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ofi-my.sharepoint.com/personal/maithili_atukuri_sanofi_com/Documents/Desktop/"/>
    </mc:Choice>
  </mc:AlternateContent>
  <xr:revisionPtr revIDLastSave="0" documentId="8_{06925629-7AD1-4302-9C02-BC68B112090F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esponses" sheetId="1" r:id="rId1"/>
    <sheet name="Lists" sheetId="4" state="veryHidden" r:id="rId2"/>
    <sheet name="Answer Key" sheetId="2" state="veryHidden" r:id="rId3"/>
    <sheet name="Scoring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3" l="1"/>
  <c r="C19" i="3"/>
  <c r="E19" i="3" s="1"/>
  <c r="B19" i="3"/>
  <c r="D18" i="3"/>
  <c r="C18" i="3"/>
  <c r="E18" i="3" s="1"/>
  <c r="B18" i="3"/>
  <c r="D17" i="3"/>
  <c r="C17" i="3"/>
  <c r="E17" i="3" s="1"/>
  <c r="B17" i="3"/>
  <c r="D16" i="3"/>
  <c r="C16" i="3"/>
  <c r="E16" i="3" s="1"/>
  <c r="B16" i="3"/>
  <c r="D15" i="3"/>
  <c r="C15" i="3"/>
  <c r="E15" i="3" s="1"/>
  <c r="B15" i="3"/>
  <c r="D14" i="3"/>
  <c r="C14" i="3"/>
  <c r="E14" i="3" s="1"/>
  <c r="B14" i="3"/>
  <c r="D13" i="3"/>
  <c r="C13" i="3"/>
  <c r="E13" i="3" s="1"/>
  <c r="B13" i="3"/>
  <c r="D12" i="3"/>
  <c r="C12" i="3"/>
  <c r="E12" i="3" s="1"/>
  <c r="B12" i="3"/>
  <c r="D11" i="3"/>
  <c r="C11" i="3"/>
  <c r="E11" i="3" s="1"/>
  <c r="B11" i="3"/>
  <c r="D10" i="3"/>
  <c r="C10" i="3"/>
  <c r="E10" i="3" s="1"/>
  <c r="B10" i="3"/>
  <c r="D9" i="3"/>
  <c r="C9" i="3"/>
  <c r="E9" i="3" s="1"/>
  <c r="B9" i="3"/>
  <c r="D8" i="3"/>
  <c r="C8" i="3"/>
  <c r="E8" i="3" s="1"/>
  <c r="B8" i="3"/>
  <c r="D7" i="3"/>
  <c r="C7" i="3"/>
  <c r="E7" i="3" s="1"/>
  <c r="B7" i="3"/>
  <c r="D6" i="3"/>
  <c r="C6" i="3"/>
  <c r="E6" i="3" s="1"/>
  <c r="B6" i="3"/>
  <c r="D5" i="3"/>
  <c r="C5" i="3"/>
  <c r="E5" i="3" s="1"/>
  <c r="B5" i="3"/>
  <c r="D4" i="3"/>
  <c r="C4" i="3"/>
  <c r="E4" i="3" s="1"/>
  <c r="B4" i="3"/>
  <c r="D3" i="3"/>
  <c r="C3" i="3"/>
  <c r="E3" i="3" s="1"/>
  <c r="B3" i="3"/>
  <c r="D2" i="3"/>
  <c r="C2" i="3"/>
  <c r="E2" i="3" s="1"/>
  <c r="B2" i="3"/>
  <c r="E20" i="3" l="1"/>
  <c r="E22" i="3" l="1"/>
  <c r="E21" i="3"/>
</calcChain>
</file>

<file path=xl/sharedStrings.xml><?xml version="1.0" encoding="utf-8"?>
<sst xmlns="http://schemas.openxmlformats.org/spreadsheetml/2006/main" count="223" uniqueCount="114">
  <si>
    <t>Question ID</t>
  </si>
  <si>
    <t>Question Text</t>
  </si>
  <si>
    <t>Answer (dropdown)</t>
  </si>
  <si>
    <t>Q1</t>
  </si>
  <si>
    <t>Definition of pharmaceutical industry</t>
  </si>
  <si>
    <t>Discover/develop/produce and market drugs</t>
  </si>
  <si>
    <t>Q2</t>
  </si>
  <si>
    <t>What are biologics?</t>
  </si>
  <si>
    <t>Products from living systems (e.g., vaccines, proteins)</t>
  </si>
  <si>
    <t>Q3</t>
  </si>
  <si>
    <t>Orphan drug population limit (US)</t>
  </si>
  <si>
    <t>200,000</t>
  </si>
  <si>
    <t>Q4</t>
  </si>
  <si>
    <t>Requirement for generics approval</t>
  </si>
  <si>
    <t>Bioequivalence</t>
  </si>
  <si>
    <t>Q5a</t>
  </si>
  <si>
    <t>Match: OTC → (choose the correct description)</t>
  </si>
  <si>
    <t>Available without prescription</t>
  </si>
  <si>
    <t>Q5b</t>
  </si>
  <si>
    <t>Match: Biosimilars → (choose the correct description)</t>
  </si>
  <si>
    <t>Highly similar to an approved biologic</t>
  </si>
  <si>
    <t>Q5c</t>
  </si>
  <si>
    <t>Match: Prescription drugs → (choose the correct description)</t>
  </si>
  <si>
    <t>Require a doctor’s prescription</t>
  </si>
  <si>
    <t>Q5d</t>
  </si>
  <si>
    <t>Match: Biologics → (choose the correct description)</t>
  </si>
  <si>
    <t>Derived from living organisms</t>
  </si>
  <si>
    <t>Q6</t>
  </si>
  <si>
    <t>Patent duration (years)</t>
  </si>
  <si>
    <t>20</t>
  </si>
  <si>
    <t>Q7</t>
  </si>
  <si>
    <t>Purpose of Patent Term Extension</t>
  </si>
  <si>
    <t>Compensate time lost during drug approval</t>
  </si>
  <si>
    <t>Q8</t>
  </si>
  <si>
    <t>Orphan Drug Exclusivity (US)</t>
  </si>
  <si>
    <t>7 years</t>
  </si>
  <si>
    <t>Q9</t>
  </si>
  <si>
    <t>Market exclusivity prevents ANDA filing (True/False)</t>
  </si>
  <si>
    <t>False</t>
  </si>
  <si>
    <t>Q10</t>
  </si>
  <si>
    <t>Meaning of Paragraph IV certification</t>
  </si>
  <si>
    <t>Patent invalid / not infringed</t>
  </si>
  <si>
    <t>Q11</t>
  </si>
  <si>
    <t>Correct order of clinical trial phases</t>
  </si>
  <si>
    <t>Early Phase 1 → Phase 1 → Phase 2 → Phase 3 → Phase 4</t>
  </si>
  <si>
    <t>Q12</t>
  </si>
  <si>
    <t>Primary purpose of Phase 1</t>
  </si>
  <si>
    <t>Safety &amp; dosage evaluation</t>
  </si>
  <si>
    <t>Q13</t>
  </si>
  <si>
    <t>Expanded Access / Compassionate Use is for</t>
  </si>
  <si>
    <t>Patients who cannot enroll in trials but need investigational therapy</t>
  </si>
  <si>
    <t>Q14</t>
  </si>
  <si>
    <t>Definition of Pharmacovigilance (select best)</t>
  </si>
  <si>
    <t>Detection, assessment, understanding &amp; prevention of adverse effects or drug-related problems</t>
  </si>
  <si>
    <t>Q15</t>
  </si>
  <si>
    <t>Which is NOT a PV term?</t>
  </si>
  <si>
    <t>Surrogate Endpoint</t>
  </si>
  <si>
    <t>Name &amp; team</t>
  </si>
  <si>
    <t>Mention your name and team in this format eg. ABC &amp; OCC</t>
  </si>
  <si>
    <t>Only use OCC , InA and CFC for your team names , keep note of formatting</t>
  </si>
  <si>
    <t>Q5map</t>
  </si>
  <si>
    <t>Devices only</t>
  </si>
  <si>
    <t>Small molecules</t>
  </si>
  <si>
    <t>1,000,000</t>
  </si>
  <si>
    <t>Chemical identity</t>
  </si>
  <si>
    <t>5</t>
  </si>
  <si>
    <t>Reduce price of branded drugs</t>
  </si>
  <si>
    <t>3 years</t>
  </si>
  <si>
    <t>True</t>
  </si>
  <si>
    <t>Wait for patent expiry</t>
  </si>
  <si>
    <t>Phase II → Phase I → Phase III → Phase IV</t>
  </si>
  <si>
    <t>Large-scale efficacy confirmation</t>
  </si>
  <si>
    <t>Healthy volunteers</t>
  </si>
  <si>
    <t>Monitoring drug prices</t>
  </si>
  <si>
    <t>Medication Error</t>
  </si>
  <si>
    <t>OTC drugs</t>
  </si>
  <si>
    <t>500,000</t>
  </si>
  <si>
    <t>10</t>
  </si>
  <si>
    <t>5 years</t>
  </si>
  <si>
    <t>Patent has expired</t>
  </si>
  <si>
    <t>Misuse</t>
  </si>
  <si>
    <t>Distribution only</t>
  </si>
  <si>
    <t>Price match</t>
  </si>
  <si>
    <t>Reward generic manufacturers</t>
  </si>
  <si>
    <t>No patent exists</t>
  </si>
  <si>
    <t>Phase III → Phase II → Phase I → Phase IV</t>
  </si>
  <si>
    <t>Post-marketing surveillance</t>
  </si>
  <si>
    <t>Manufacturers</t>
  </si>
  <si>
    <t>Marketing drugs to physicians</t>
  </si>
  <si>
    <t>Trial monitoring organizations</t>
  </si>
  <si>
    <t>Narcotics</t>
  </si>
  <si>
    <t>10,000</t>
  </si>
  <si>
    <t>Phase 3 superiority</t>
  </si>
  <si>
    <t>25</t>
  </si>
  <si>
    <t>Prevent generic entry indefinitely</t>
  </si>
  <si>
    <t>10 years</t>
  </si>
  <si>
    <t>Preclinical → Phase 3 → Phase 1 → NDA</t>
  </si>
  <si>
    <t>Real-world evidence only</t>
  </si>
  <si>
    <t>OTC product studies</t>
  </si>
  <si>
    <t>Ensuring bioequivalence to branded drugs</t>
  </si>
  <si>
    <t>Adverse Event</t>
  </si>
  <si>
    <t>Correct Answer</t>
  </si>
  <si>
    <t>Points</t>
  </si>
  <si>
    <t>Macro Controls</t>
  </si>
  <si>
    <t>Edit Attempts</t>
  </si>
  <si>
    <t>Locked?</t>
  </si>
  <si>
    <t>Enforce Single Edit?</t>
  </si>
  <si>
    <t>TRUE</t>
  </si>
  <si>
    <t>(Optional) Password</t>
  </si>
  <si>
    <t>Your Answer</t>
  </si>
  <si>
    <t>Score</t>
  </si>
  <si>
    <t>Total</t>
  </si>
  <si>
    <t>Pass/Fail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</si>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</sst>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Protection="1">
      <protection locked="0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2" borderId="0" xfId="0" applyFont="1" applyFill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2"/>
  <sheetViews>
    <sheetView showGridLines="0" showRowColHeaders="0" tabSelected="1" zoomScale="90" zoomScaleNormal="90" workbookViewId="0">
      <selection activeCell="C19" sqref="C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5" zeroHeight="1"/>
  <cols>
    <col min="1" max="1" width="14" customWidth="1"/>
    <col min="2" max="2" width="70" customWidth="1"/>
    <col min="3" max="3" width="81.85546875" bestFit="1" customWidth="1"/>
    <col min="4" max="4" width="12" customWidth="1"/>
    <col min="5" max="5" width="12" hidden="1" customWidth="1"/>
    <col min="6" max="16384" width="8.7109375" hidden="1"/>
  </cols>
  <sheetData>
    <row r="1" spans="1:3">
      <c r="A1" s="11" t="s">
        <v>0</v>
      </c>
      <c r="B1" s="12" t="s">
        <v>1</v>
      </c>
      <c r="C1" s="13" t="s">
        <v>2</v>
      </c>
    </row>
    <row r="2" spans="1:3">
      <c r="A2" s="4" t="s">
        <v>3</v>
      </c>
      <c r="B2" s="3" t="s">
        <v>4</v>
      </c>
      <c r="C2" s="5" t="s">
        <v>5</v>
      </c>
    </row>
    <row r="3" spans="1:3">
      <c r="A3" s="6" t="s">
        <v>6</v>
      </c>
      <c r="B3" s="2" t="s">
        <v>7</v>
      </c>
      <c r="C3" s="7" t="s">
        <v>8</v>
      </c>
    </row>
    <row r="4" spans="1:3">
      <c r="A4" s="6" t="s">
        <v>9</v>
      </c>
      <c r="B4" s="2" t="s">
        <v>10</v>
      </c>
      <c r="C4" s="7" t="s">
        <v>11</v>
      </c>
    </row>
    <row r="5" spans="1:3" ht="15" thickBot="1">
      <c r="A5" s="14" t="s">
        <v>12</v>
      </c>
      <c r="B5" s="15" t="s">
        <v>13</v>
      </c>
      <c r="C5" s="16" t="s">
        <v>14</v>
      </c>
    </row>
    <row r="6" spans="1:3">
      <c r="A6" s="17" t="s">
        <v>15</v>
      </c>
      <c r="B6" s="18" t="s">
        <v>16</v>
      </c>
      <c r="C6" s="19" t="s">
        <v>17</v>
      </c>
    </row>
    <row r="7" spans="1:3">
      <c r="A7" s="6" t="s">
        <v>18</v>
      </c>
      <c r="B7" s="2" t="s">
        <v>19</v>
      </c>
      <c r="C7" s="7" t="s">
        <v>20</v>
      </c>
    </row>
    <row r="8" spans="1:3">
      <c r="A8" s="6" t="s">
        <v>21</v>
      </c>
      <c r="B8" s="2" t="s">
        <v>22</v>
      </c>
      <c r="C8" s="7" t="s">
        <v>23</v>
      </c>
    </row>
    <row r="9" spans="1:3" ht="15" thickBot="1">
      <c r="A9" s="8" t="s">
        <v>24</v>
      </c>
      <c r="B9" s="9" t="s">
        <v>25</v>
      </c>
      <c r="C9" s="10" t="s">
        <v>26</v>
      </c>
    </row>
    <row r="10" spans="1:3">
      <c r="A10" s="4" t="s">
        <v>27</v>
      </c>
      <c r="B10" s="3" t="s">
        <v>28</v>
      </c>
      <c r="C10" s="5" t="s">
        <v>29</v>
      </c>
    </row>
    <row r="11" spans="1:3">
      <c r="A11" s="6" t="s">
        <v>30</v>
      </c>
      <c r="B11" s="2" t="s">
        <v>31</v>
      </c>
      <c r="C11" s="7" t="s">
        <v>32</v>
      </c>
    </row>
    <row r="12" spans="1:3">
      <c r="A12" s="6" t="s">
        <v>33</v>
      </c>
      <c r="B12" s="2" t="s">
        <v>34</v>
      </c>
      <c r="C12" s="7" t="s">
        <v>35</v>
      </c>
    </row>
    <row r="13" spans="1:3">
      <c r="A13" s="6" t="s">
        <v>36</v>
      </c>
      <c r="B13" s="2" t="s">
        <v>37</v>
      </c>
      <c r="C13" s="7" t="s">
        <v>38</v>
      </c>
    </row>
    <row r="14" spans="1:3">
      <c r="A14" s="6" t="s">
        <v>39</v>
      </c>
      <c r="B14" s="2" t="s">
        <v>40</v>
      </c>
      <c r="C14" s="7" t="s">
        <v>41</v>
      </c>
    </row>
    <row r="15" spans="1:3">
      <c r="A15" s="6" t="s">
        <v>42</v>
      </c>
      <c r="B15" s="2" t="s">
        <v>43</v>
      </c>
      <c r="C15" s="7" t="s">
        <v>44</v>
      </c>
    </row>
    <row r="16" spans="1:3">
      <c r="A16" s="6" t="s">
        <v>45</v>
      </c>
      <c r="B16" s="2" t="s">
        <v>46</v>
      </c>
      <c r="C16" s="7" t="s">
        <v>47</v>
      </c>
    </row>
    <row r="17" spans="1:3">
      <c r="A17" s="6" t="s">
        <v>48</v>
      </c>
      <c r="B17" s="2" t="s">
        <v>49</v>
      </c>
      <c r="C17" s="7" t="s">
        <v>50</v>
      </c>
    </row>
    <row r="18" spans="1:3">
      <c r="A18" s="6" t="s">
        <v>51</v>
      </c>
      <c r="B18" s="2" t="s">
        <v>52</v>
      </c>
      <c r="C18" s="7" t="s">
        <v>53</v>
      </c>
    </row>
    <row r="19" spans="1:3" ht="15" thickBot="1">
      <c r="A19" s="8" t="s">
        <v>54</v>
      </c>
      <c r="B19" s="9" t="s">
        <v>55</v>
      </c>
      <c r="C19" s="10" t="s">
        <v>56</v>
      </c>
    </row>
    <row r="20" spans="1:3"/>
    <row r="21" spans="1:3">
      <c r="A21" s="20" t="s">
        <v>57</v>
      </c>
      <c r="B21" t="s">
        <v>58</v>
      </c>
      <c r="C21" t="s">
        <v>59</v>
      </c>
    </row>
    <row r="22" spans="1:3"/>
  </sheetData>
  <pageMargins left="0.75" right="0.75" top="1" bottom="1" header="0.5" footer="0.5"/>
  <headerFooter>
    <oddHeader>&amp;C&amp;"Aptos"&amp;10&amp;K4A569E Internal&amp;1#_x000D_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44E04B9B-0AC1-48AA-AC76-FC02650B2667}">
          <x14:formula1>
            <xm:f>Lists!$A$2:$A$5</xm:f>
          </x14:formula1>
          <xm:sqref>C2</xm:sqref>
        </x14:dataValidation>
        <x14:dataValidation type="list" allowBlank="1" showInputMessage="1" showErrorMessage="1" xr:uid="{00B04E72-E512-4F33-ACD9-A32D07379B15}">
          <x14:formula1>
            <xm:f>Lists!$B$2:$B$5</xm:f>
          </x14:formula1>
          <xm:sqref>C3</xm:sqref>
        </x14:dataValidation>
        <x14:dataValidation type="list" allowBlank="1" showInputMessage="1" showErrorMessage="1" xr:uid="{A9BFED47-3721-42FF-B855-C7ED1F48C4B4}">
          <x14:formula1>
            <xm:f>Lists!$C$2:$C$5</xm:f>
          </x14:formula1>
          <xm:sqref>C4</xm:sqref>
        </x14:dataValidation>
        <x14:dataValidation type="list" allowBlank="1" showInputMessage="1" showErrorMessage="1" xr:uid="{07616F32-8048-47BC-B97A-3B5E0570BDB6}">
          <x14:formula1>
            <xm:f>Lists!$D$2:$D$5</xm:f>
          </x14:formula1>
          <xm:sqref>C5</xm:sqref>
        </x14:dataValidation>
        <x14:dataValidation type="list" allowBlank="1" showInputMessage="1" showErrorMessage="1" xr:uid="{46D2C78D-3555-4530-BA6B-2BBCAC0B8C37}">
          <x14:formula1>
            <xm:f>Lists!$E$2:$E$5</xm:f>
          </x14:formula1>
          <xm:sqref>C6:C9</xm:sqref>
        </x14:dataValidation>
        <x14:dataValidation type="list" allowBlank="1" showInputMessage="1" showErrorMessage="1" xr:uid="{FF559BF6-8586-4487-9489-63900E6EDDA0}">
          <x14:formula1>
            <xm:f>Lists!$F$2:$F$5</xm:f>
          </x14:formula1>
          <xm:sqref>C10</xm:sqref>
        </x14:dataValidation>
        <x14:dataValidation type="list" allowBlank="1" showInputMessage="1" showErrorMessage="1" xr:uid="{2B64A13B-5CF6-4B21-A7AE-540251070BDE}">
          <x14:formula1>
            <xm:f>Lists!$G$2:$G$5</xm:f>
          </x14:formula1>
          <xm:sqref>C11</xm:sqref>
        </x14:dataValidation>
        <x14:dataValidation type="list" allowBlank="1" showInputMessage="1" showErrorMessage="1" xr:uid="{4499AF55-1850-440A-8B45-F7FF8926B44E}">
          <x14:formula1>
            <xm:f>Lists!$H$2:$H$5</xm:f>
          </x14:formula1>
          <xm:sqref>C12</xm:sqref>
        </x14:dataValidation>
        <x14:dataValidation type="list" allowBlank="1" showInputMessage="1" showErrorMessage="1" xr:uid="{DC5EB1DE-E698-4738-B699-7CC77BBE1AD3}">
          <x14:formula1>
            <xm:f>Lists!$I$2:$I$5</xm:f>
          </x14:formula1>
          <xm:sqref>C13</xm:sqref>
        </x14:dataValidation>
        <x14:dataValidation type="list" allowBlank="1" showInputMessage="1" showErrorMessage="1" xr:uid="{91FD657F-DD92-4E80-8A19-36ACD9520744}">
          <x14:formula1>
            <xm:f>Lists!$J$2:$J$5</xm:f>
          </x14:formula1>
          <xm:sqref>C14</xm:sqref>
        </x14:dataValidation>
        <x14:dataValidation type="list" allowBlank="1" showInputMessage="1" showErrorMessage="1" xr:uid="{227BD181-052D-42FA-8FAE-10B02BC81973}">
          <x14:formula1>
            <xm:f>Lists!$K$2:$K$5</xm:f>
          </x14:formula1>
          <xm:sqref>C15</xm:sqref>
        </x14:dataValidation>
        <x14:dataValidation type="list" allowBlank="1" showInputMessage="1" showErrorMessage="1" xr:uid="{D2300421-9C16-47F3-A0B9-4FC4C39711A6}">
          <x14:formula1>
            <xm:f>Lists!$L$2:$L$5</xm:f>
          </x14:formula1>
          <xm:sqref>C16</xm:sqref>
        </x14:dataValidation>
        <x14:dataValidation type="list" allowBlank="1" showInputMessage="1" showErrorMessage="1" xr:uid="{E189A70E-1893-40A4-AAED-EB25D6F3B050}">
          <x14:formula1>
            <xm:f>Lists!$M$2:$M$5</xm:f>
          </x14:formula1>
          <xm:sqref>C17</xm:sqref>
        </x14:dataValidation>
        <x14:dataValidation type="list" allowBlank="1" showInputMessage="1" showErrorMessage="1" xr:uid="{845A3B14-1C23-45D0-9AFA-BBCDDC9FCB15}">
          <x14:formula1>
            <xm:f>Lists!$N$2:$N$5</xm:f>
          </x14:formula1>
          <xm:sqref>C18</xm:sqref>
        </x14:dataValidation>
        <x14:dataValidation type="list" allowBlank="1" showInputMessage="1" showErrorMessage="1" xr:uid="{0A6FD290-BDB8-48DE-A403-B802E31E8CE3}">
          <x14:formula1>
            <xm:f>Lists!$O$2:$O$5</xm:f>
          </x14:formula1>
          <xm:sqref>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5"/>
  <sheetViews>
    <sheetView workbookViewId="0">
      <selection activeCell="E3" sqref="E3"/>
    </sheetView>
  </sheetViews>
  <sheetFormatPr defaultRowHeight="14.45"/>
  <sheetData>
    <row r="1" spans="1:15">
      <c r="A1" t="s">
        <v>3</v>
      </c>
      <c r="B1" t="s">
        <v>6</v>
      </c>
      <c r="C1" t="s">
        <v>9</v>
      </c>
      <c r="D1" t="s">
        <v>12</v>
      </c>
      <c r="E1" t="s">
        <v>60</v>
      </c>
      <c r="F1" t="s">
        <v>27</v>
      </c>
      <c r="G1" t="s">
        <v>30</v>
      </c>
      <c r="H1" t="s">
        <v>33</v>
      </c>
      <c r="I1" t="s">
        <v>36</v>
      </c>
      <c r="J1" t="s">
        <v>39</v>
      </c>
      <c r="K1" t="s">
        <v>42</v>
      </c>
      <c r="L1" t="s">
        <v>45</v>
      </c>
      <c r="M1" t="s">
        <v>48</v>
      </c>
      <c r="N1" t="s">
        <v>51</v>
      </c>
      <c r="O1" t="s">
        <v>54</v>
      </c>
    </row>
    <row r="2" spans="1:15">
      <c r="A2" t="s">
        <v>61</v>
      </c>
      <c r="B2" t="s">
        <v>62</v>
      </c>
      <c r="C2" t="s">
        <v>63</v>
      </c>
      <c r="D2" t="s">
        <v>64</v>
      </c>
      <c r="E2" t="s">
        <v>17</v>
      </c>
      <c r="F2" t="s">
        <v>65</v>
      </c>
      <c r="G2" t="s">
        <v>66</v>
      </c>
      <c r="H2" t="s">
        <v>67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</row>
    <row r="3" spans="1:15">
      <c r="A3" t="s">
        <v>5</v>
      </c>
      <c r="B3" t="s">
        <v>75</v>
      </c>
      <c r="C3" t="s">
        <v>76</v>
      </c>
      <c r="D3" t="s">
        <v>14</v>
      </c>
      <c r="E3" t="s">
        <v>20</v>
      </c>
      <c r="F3" t="s">
        <v>77</v>
      </c>
      <c r="G3" t="s">
        <v>32</v>
      </c>
      <c r="H3" t="s">
        <v>78</v>
      </c>
      <c r="I3" t="s">
        <v>38</v>
      </c>
      <c r="J3" t="s">
        <v>79</v>
      </c>
      <c r="K3" t="s">
        <v>44</v>
      </c>
      <c r="L3" t="s">
        <v>47</v>
      </c>
      <c r="M3" t="s">
        <v>50</v>
      </c>
      <c r="N3" t="s">
        <v>53</v>
      </c>
      <c r="O3" t="s">
        <v>80</v>
      </c>
    </row>
    <row r="4" spans="1:15">
      <c r="A4" t="s">
        <v>81</v>
      </c>
      <c r="B4" t="s">
        <v>8</v>
      </c>
      <c r="C4" t="s">
        <v>11</v>
      </c>
      <c r="D4" t="s">
        <v>82</v>
      </c>
      <c r="E4" t="s">
        <v>23</v>
      </c>
      <c r="F4" t="s">
        <v>29</v>
      </c>
      <c r="G4" t="s">
        <v>83</v>
      </c>
      <c r="H4" t="s">
        <v>35</v>
      </c>
      <c r="J4" t="s">
        <v>84</v>
      </c>
      <c r="K4" t="s">
        <v>85</v>
      </c>
      <c r="L4" t="s">
        <v>86</v>
      </c>
      <c r="M4" t="s">
        <v>87</v>
      </c>
      <c r="N4" t="s">
        <v>88</v>
      </c>
      <c r="O4" t="s">
        <v>56</v>
      </c>
    </row>
    <row r="5" spans="1:15">
      <c r="A5" t="s">
        <v>89</v>
      </c>
      <c r="B5" t="s">
        <v>90</v>
      </c>
      <c r="C5" t="s">
        <v>91</v>
      </c>
      <c r="D5" t="s">
        <v>92</v>
      </c>
      <c r="E5" t="s">
        <v>26</v>
      </c>
      <c r="F5" t="s">
        <v>93</v>
      </c>
      <c r="G5" t="s">
        <v>94</v>
      </c>
      <c r="H5" t="s">
        <v>95</v>
      </c>
      <c r="J5" t="s">
        <v>41</v>
      </c>
      <c r="K5" t="s">
        <v>96</v>
      </c>
      <c r="L5" t="s">
        <v>97</v>
      </c>
      <c r="M5" t="s">
        <v>98</v>
      </c>
      <c r="N5" t="s">
        <v>99</v>
      </c>
      <c r="O5" t="s">
        <v>100</v>
      </c>
    </row>
  </sheetData>
  <pageMargins left="0.75" right="0.75" top="1" bottom="1" header="0.5" footer="0.5"/>
  <headerFooter>
    <oddHeader>&amp;C&amp;"Aptos"&amp;10&amp;K4A569E Internal&amp;1#_x000D_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workbookViewId="0">
      <selection activeCell="G4" sqref="G4"/>
    </sheetView>
  </sheetViews>
  <sheetFormatPr defaultRowHeight="14.45"/>
  <cols>
    <col min="1" max="1" width="14" customWidth="1"/>
    <col min="2" max="2" width="70" customWidth="1"/>
    <col min="3" max="3" width="50" customWidth="1"/>
    <col min="4" max="5" width="12" customWidth="1"/>
    <col min="7" max="7" width="17.85546875" bestFit="1" customWidth="1"/>
  </cols>
  <sheetData>
    <row r="1" spans="1:8">
      <c r="A1" t="s">
        <v>0</v>
      </c>
      <c r="B1" t="s">
        <v>1</v>
      </c>
      <c r="C1" t="s">
        <v>101</v>
      </c>
      <c r="D1" t="s">
        <v>102</v>
      </c>
      <c r="G1" t="s">
        <v>103</v>
      </c>
    </row>
    <row r="2" spans="1:8">
      <c r="A2" t="s">
        <v>3</v>
      </c>
      <c r="B2" t="s">
        <v>4</v>
      </c>
      <c r="C2" t="s">
        <v>5</v>
      </c>
      <c r="D2">
        <v>1</v>
      </c>
      <c r="G2" s="1" t="s">
        <v>104</v>
      </c>
      <c r="H2" s="1">
        <v>0</v>
      </c>
    </row>
    <row r="3" spans="1:8">
      <c r="A3" t="s">
        <v>6</v>
      </c>
      <c r="B3" t="s">
        <v>7</v>
      </c>
      <c r="C3" t="s">
        <v>8</v>
      </c>
      <c r="D3">
        <v>1</v>
      </c>
      <c r="G3" s="1" t="s">
        <v>105</v>
      </c>
      <c r="H3" s="1" t="b">
        <v>1</v>
      </c>
    </row>
    <row r="4" spans="1:8">
      <c r="A4" t="s">
        <v>9</v>
      </c>
      <c r="B4" t="s">
        <v>10</v>
      </c>
      <c r="C4" t="s">
        <v>11</v>
      </c>
      <c r="D4">
        <v>1</v>
      </c>
      <c r="G4" s="1" t="s">
        <v>106</v>
      </c>
      <c r="H4" s="1" t="s">
        <v>107</v>
      </c>
    </row>
    <row r="5" spans="1:8">
      <c r="A5" t="s">
        <v>12</v>
      </c>
      <c r="B5" t="s">
        <v>13</v>
      </c>
      <c r="C5" t="s">
        <v>14</v>
      </c>
      <c r="D5">
        <v>1</v>
      </c>
      <c r="G5" s="1" t="s">
        <v>108</v>
      </c>
      <c r="H5" s="1"/>
    </row>
    <row r="6" spans="1:8">
      <c r="A6" t="s">
        <v>15</v>
      </c>
      <c r="B6" t="s">
        <v>16</v>
      </c>
      <c r="C6" t="s">
        <v>17</v>
      </c>
      <c r="D6">
        <v>0.5</v>
      </c>
    </row>
    <row r="7" spans="1:8">
      <c r="A7" t="s">
        <v>18</v>
      </c>
      <c r="B7" t="s">
        <v>19</v>
      </c>
      <c r="C7" t="s">
        <v>20</v>
      </c>
      <c r="D7">
        <v>0.5</v>
      </c>
    </row>
    <row r="8" spans="1:8">
      <c r="A8" t="s">
        <v>21</v>
      </c>
      <c r="B8" t="s">
        <v>22</v>
      </c>
      <c r="C8" t="s">
        <v>23</v>
      </c>
      <c r="D8">
        <v>0.5</v>
      </c>
    </row>
    <row r="9" spans="1:8">
      <c r="A9" t="s">
        <v>24</v>
      </c>
      <c r="B9" t="s">
        <v>25</v>
      </c>
      <c r="C9" t="s">
        <v>26</v>
      </c>
      <c r="D9">
        <v>0.5</v>
      </c>
    </row>
    <row r="10" spans="1:8">
      <c r="A10" t="s">
        <v>27</v>
      </c>
      <c r="B10" t="s">
        <v>28</v>
      </c>
      <c r="C10" t="s">
        <v>29</v>
      </c>
      <c r="D10">
        <v>1</v>
      </c>
    </row>
    <row r="11" spans="1:8">
      <c r="A11" t="s">
        <v>30</v>
      </c>
      <c r="B11" t="s">
        <v>31</v>
      </c>
      <c r="C11" t="s">
        <v>32</v>
      </c>
      <c r="D11">
        <v>1</v>
      </c>
    </row>
    <row r="12" spans="1:8">
      <c r="A12" t="s">
        <v>33</v>
      </c>
      <c r="B12" t="s">
        <v>34</v>
      </c>
      <c r="C12" t="s">
        <v>35</v>
      </c>
      <c r="D12">
        <v>1</v>
      </c>
    </row>
    <row r="13" spans="1:8">
      <c r="A13" t="s">
        <v>36</v>
      </c>
      <c r="B13" t="s">
        <v>37</v>
      </c>
      <c r="C13" t="s">
        <v>38</v>
      </c>
      <c r="D13">
        <v>1</v>
      </c>
    </row>
    <row r="14" spans="1:8">
      <c r="A14" t="s">
        <v>39</v>
      </c>
      <c r="B14" t="s">
        <v>40</v>
      </c>
      <c r="C14" t="s">
        <v>41</v>
      </c>
      <c r="D14">
        <v>1</v>
      </c>
    </row>
    <row r="15" spans="1:8">
      <c r="A15" t="s">
        <v>42</v>
      </c>
      <c r="B15" t="s">
        <v>43</v>
      </c>
      <c r="C15" t="s">
        <v>44</v>
      </c>
      <c r="D15">
        <v>1</v>
      </c>
    </row>
    <row r="16" spans="1:8">
      <c r="A16" t="s">
        <v>45</v>
      </c>
      <c r="B16" t="s">
        <v>46</v>
      </c>
      <c r="C16" t="s">
        <v>47</v>
      </c>
      <c r="D16">
        <v>1</v>
      </c>
    </row>
    <row r="17" spans="1:4">
      <c r="A17" t="s">
        <v>48</v>
      </c>
      <c r="B17" t="s">
        <v>49</v>
      </c>
      <c r="C17" t="s">
        <v>50</v>
      </c>
      <c r="D17">
        <v>1</v>
      </c>
    </row>
    <row r="18" spans="1:4">
      <c r="A18" t="s">
        <v>51</v>
      </c>
      <c r="B18" t="s">
        <v>52</v>
      </c>
      <c r="C18" t="s">
        <v>53</v>
      </c>
      <c r="D18">
        <v>1</v>
      </c>
    </row>
    <row r="19" spans="1:4">
      <c r="A19" t="s">
        <v>54</v>
      </c>
      <c r="B19" t="s">
        <v>55</v>
      </c>
      <c r="C19" t="s">
        <v>56</v>
      </c>
      <c r="D19">
        <v>1</v>
      </c>
    </row>
  </sheetData>
  <sheetProtection sheet="1" autoFilter="0"/>
  <pageMargins left="0.75" right="0.75" top="1" bottom="1" header="0.5" footer="0.5"/>
  <headerFooter>
    <oddHeader>&amp;C&amp;"Aptos"&amp;10&amp;K4A569E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3"/>
  <sheetViews>
    <sheetView showGridLines="0" showRowColHeaders="0" workbookViewId="0">
      <selection activeCell="G15" sqref="G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5" zeroHeight="1"/>
  <cols>
    <col min="1" max="1" width="14" customWidth="1"/>
    <col min="2" max="2" width="70" hidden="1" customWidth="1"/>
    <col min="3" max="3" width="50" hidden="1" customWidth="1"/>
    <col min="4" max="5" width="12" customWidth="1"/>
    <col min="6" max="7" width="8.7109375" customWidth="1"/>
    <col min="8" max="9" width="8.7109375" hidden="1" customWidth="1"/>
    <col min="10" max="16384" width="8.7109375" hidden="1"/>
  </cols>
  <sheetData>
    <row r="1" spans="1:5">
      <c r="A1" s="21" t="s">
        <v>0</v>
      </c>
      <c r="B1" s="22" t="s">
        <v>101</v>
      </c>
      <c r="C1" s="22" t="s">
        <v>109</v>
      </c>
      <c r="D1" s="22" t="s">
        <v>102</v>
      </c>
      <c r="E1" s="23" t="s">
        <v>110</v>
      </c>
    </row>
    <row r="2" spans="1:5">
      <c r="A2" s="6" t="s">
        <v>3</v>
      </c>
      <c r="B2" s="2" t="str">
        <f>INDEX('Answer Key'!$C$2:$C$19, MATCH(A2, 'Answer Key'!$A$2:$A$19, 0))</f>
        <v>Discover/develop/produce and market drugs</v>
      </c>
      <c r="C2" s="2" t="str">
        <f>INDEX(Responses!$C$2:$C$19, MATCH(A2, Responses!$A$2:$A$19, 0))</f>
        <v>Discover/develop/produce and market drugs</v>
      </c>
      <c r="D2" s="2">
        <f>INDEX('Answer Key'!$D$2:$D$19, MATCH(A2, 'Answer Key'!$A$2:$A$19, 0))</f>
        <v>1</v>
      </c>
      <c r="E2" s="7">
        <f t="shared" ref="E2:E19" si="0">IF(TRIM(C2)=TRIM(B2),1,0)*D2</f>
        <v>1</v>
      </c>
    </row>
    <row r="3" spans="1:5">
      <c r="A3" s="6" t="s">
        <v>6</v>
      </c>
      <c r="B3" s="2" t="str">
        <f>INDEX('Answer Key'!$C$2:$C$19, MATCH(A3, 'Answer Key'!$A$2:$A$19, 0))</f>
        <v>Products from living systems (e.g., vaccines, proteins)</v>
      </c>
      <c r="C3" s="2" t="str">
        <f>INDEX(Responses!$C$2:$C$19, MATCH(A3, Responses!$A$2:$A$19, 0))</f>
        <v>Products from living systems (e.g., vaccines, proteins)</v>
      </c>
      <c r="D3" s="2">
        <f>INDEX('Answer Key'!$D$2:$D$19, MATCH(A3, 'Answer Key'!$A$2:$A$19, 0))</f>
        <v>1</v>
      </c>
      <c r="E3" s="7">
        <f t="shared" si="0"/>
        <v>1</v>
      </c>
    </row>
    <row r="4" spans="1:5">
      <c r="A4" s="6" t="s">
        <v>9</v>
      </c>
      <c r="B4" s="2" t="str">
        <f>INDEX('Answer Key'!$C$2:$C$19, MATCH(A4, 'Answer Key'!$A$2:$A$19, 0))</f>
        <v>200,000</v>
      </c>
      <c r="C4" s="2" t="str">
        <f>INDEX(Responses!$C$2:$C$19, MATCH(A4, Responses!$A$2:$A$19, 0))</f>
        <v>200,000</v>
      </c>
      <c r="D4" s="2">
        <f>INDEX('Answer Key'!$D$2:$D$19, MATCH(A4, 'Answer Key'!$A$2:$A$19, 0))</f>
        <v>1</v>
      </c>
      <c r="E4" s="7">
        <f t="shared" si="0"/>
        <v>1</v>
      </c>
    </row>
    <row r="5" spans="1:5">
      <c r="A5" s="6" t="s">
        <v>12</v>
      </c>
      <c r="B5" s="2" t="str">
        <f>INDEX('Answer Key'!$C$2:$C$19, MATCH(A5, 'Answer Key'!$A$2:$A$19, 0))</f>
        <v>Bioequivalence</v>
      </c>
      <c r="C5" s="2" t="str">
        <f>INDEX(Responses!$C$2:$C$19, MATCH(A5, Responses!$A$2:$A$19, 0))</f>
        <v>Bioequivalence</v>
      </c>
      <c r="D5" s="2">
        <f>INDEX('Answer Key'!$D$2:$D$19, MATCH(A5, 'Answer Key'!$A$2:$A$19, 0))</f>
        <v>1</v>
      </c>
      <c r="E5" s="7">
        <f t="shared" si="0"/>
        <v>1</v>
      </c>
    </row>
    <row r="6" spans="1:5">
      <c r="A6" s="6" t="s">
        <v>15</v>
      </c>
      <c r="B6" s="2" t="str">
        <f>INDEX('Answer Key'!$C$2:$C$19, MATCH(A6, 'Answer Key'!$A$2:$A$19, 0))</f>
        <v>Available without prescription</v>
      </c>
      <c r="C6" s="2" t="str">
        <f>INDEX(Responses!$C$2:$C$19, MATCH(A6, Responses!$A$2:$A$19, 0))</f>
        <v>Available without prescription</v>
      </c>
      <c r="D6" s="2">
        <f>INDEX('Answer Key'!$D$2:$D$19, MATCH(A6, 'Answer Key'!$A$2:$A$19, 0))</f>
        <v>0.5</v>
      </c>
      <c r="E6" s="7">
        <f t="shared" si="0"/>
        <v>0.5</v>
      </c>
    </row>
    <row r="7" spans="1:5">
      <c r="A7" s="6" t="s">
        <v>18</v>
      </c>
      <c r="B7" s="2" t="str">
        <f>INDEX('Answer Key'!$C$2:$C$19, MATCH(A7, 'Answer Key'!$A$2:$A$19, 0))</f>
        <v>Highly similar to an approved biologic</v>
      </c>
      <c r="C7" s="2" t="str">
        <f>INDEX(Responses!$C$2:$C$19, MATCH(A7, Responses!$A$2:$A$19, 0))</f>
        <v>Highly similar to an approved biologic</v>
      </c>
      <c r="D7" s="2">
        <f>INDEX('Answer Key'!$D$2:$D$19, MATCH(A7, 'Answer Key'!$A$2:$A$19, 0))</f>
        <v>0.5</v>
      </c>
      <c r="E7" s="7">
        <f t="shared" si="0"/>
        <v>0.5</v>
      </c>
    </row>
    <row r="8" spans="1:5">
      <c r="A8" s="6" t="s">
        <v>21</v>
      </c>
      <c r="B8" s="2" t="str">
        <f>INDEX('Answer Key'!$C$2:$C$19, MATCH(A8, 'Answer Key'!$A$2:$A$19, 0))</f>
        <v>Require a doctor’s prescription</v>
      </c>
      <c r="C8" s="2" t="str">
        <f>INDEX(Responses!$C$2:$C$19, MATCH(A8, Responses!$A$2:$A$19, 0))</f>
        <v>Require a doctor’s prescription</v>
      </c>
      <c r="D8" s="2">
        <f>INDEX('Answer Key'!$D$2:$D$19, MATCH(A8, 'Answer Key'!$A$2:$A$19, 0))</f>
        <v>0.5</v>
      </c>
      <c r="E8" s="7">
        <f t="shared" si="0"/>
        <v>0.5</v>
      </c>
    </row>
    <row r="9" spans="1:5">
      <c r="A9" s="6" t="s">
        <v>24</v>
      </c>
      <c r="B9" s="2" t="str">
        <f>INDEX('Answer Key'!$C$2:$C$19, MATCH(A9, 'Answer Key'!$A$2:$A$19, 0))</f>
        <v>Derived from living organisms</v>
      </c>
      <c r="C9" s="2" t="str">
        <f>INDEX(Responses!$C$2:$C$19, MATCH(A9, Responses!$A$2:$A$19, 0))</f>
        <v>Derived from living organisms</v>
      </c>
      <c r="D9" s="2">
        <f>INDEX('Answer Key'!$D$2:$D$19, MATCH(A9, 'Answer Key'!$A$2:$A$19, 0))</f>
        <v>0.5</v>
      </c>
      <c r="E9" s="7">
        <f t="shared" si="0"/>
        <v>0.5</v>
      </c>
    </row>
    <row r="10" spans="1:5">
      <c r="A10" s="6" t="s">
        <v>27</v>
      </c>
      <c r="B10" s="2" t="str">
        <f>INDEX('Answer Key'!$C$2:$C$19, MATCH(A10, 'Answer Key'!$A$2:$A$19, 0))</f>
        <v>20</v>
      </c>
      <c r="C10" s="2" t="str">
        <f>INDEX(Responses!$C$2:$C$19, MATCH(A10, Responses!$A$2:$A$19, 0))</f>
        <v>20</v>
      </c>
      <c r="D10" s="2">
        <f>INDEX('Answer Key'!$D$2:$D$19, MATCH(A10, 'Answer Key'!$A$2:$A$19, 0))</f>
        <v>1</v>
      </c>
      <c r="E10" s="7">
        <f t="shared" si="0"/>
        <v>1</v>
      </c>
    </row>
    <row r="11" spans="1:5">
      <c r="A11" s="6" t="s">
        <v>30</v>
      </c>
      <c r="B11" s="2" t="str">
        <f>INDEX('Answer Key'!$C$2:$C$19, MATCH(A11, 'Answer Key'!$A$2:$A$19, 0))</f>
        <v>Compensate time lost during drug approval</v>
      </c>
      <c r="C11" s="2" t="str">
        <f>INDEX(Responses!$C$2:$C$19, MATCH(A11, Responses!$A$2:$A$19, 0))</f>
        <v>Compensate time lost during drug approval</v>
      </c>
      <c r="D11" s="2">
        <f>INDEX('Answer Key'!$D$2:$D$19, MATCH(A11, 'Answer Key'!$A$2:$A$19, 0))</f>
        <v>1</v>
      </c>
      <c r="E11" s="7">
        <f t="shared" si="0"/>
        <v>1</v>
      </c>
    </row>
    <row r="12" spans="1:5">
      <c r="A12" s="6" t="s">
        <v>33</v>
      </c>
      <c r="B12" s="2" t="str">
        <f>INDEX('Answer Key'!$C$2:$C$19, MATCH(A12, 'Answer Key'!$A$2:$A$19, 0))</f>
        <v>7 years</v>
      </c>
      <c r="C12" s="2" t="str">
        <f>INDEX(Responses!$C$2:$C$19, MATCH(A12, Responses!$A$2:$A$19, 0))</f>
        <v>7 years</v>
      </c>
      <c r="D12" s="2">
        <f>INDEX('Answer Key'!$D$2:$D$19, MATCH(A12, 'Answer Key'!$A$2:$A$19, 0))</f>
        <v>1</v>
      </c>
      <c r="E12" s="7">
        <f t="shared" si="0"/>
        <v>1</v>
      </c>
    </row>
    <row r="13" spans="1:5">
      <c r="A13" s="6" t="s">
        <v>36</v>
      </c>
      <c r="B13" s="2" t="str">
        <f>INDEX('Answer Key'!$C$2:$C$19, MATCH(A13, 'Answer Key'!$A$2:$A$19, 0))</f>
        <v>False</v>
      </c>
      <c r="C13" s="2" t="str">
        <f>INDEX(Responses!$C$2:$C$19, MATCH(A13, Responses!$A$2:$A$19, 0))</f>
        <v>False</v>
      </c>
      <c r="D13" s="2">
        <f>INDEX('Answer Key'!$D$2:$D$19, MATCH(A13, 'Answer Key'!$A$2:$A$19, 0))</f>
        <v>1</v>
      </c>
      <c r="E13" s="7">
        <f t="shared" si="0"/>
        <v>1</v>
      </c>
    </row>
    <row r="14" spans="1:5">
      <c r="A14" s="6" t="s">
        <v>39</v>
      </c>
      <c r="B14" s="2" t="str">
        <f>INDEX('Answer Key'!$C$2:$C$19, MATCH(A14, 'Answer Key'!$A$2:$A$19, 0))</f>
        <v>Patent invalid / not infringed</v>
      </c>
      <c r="C14" s="2" t="str">
        <f>INDEX(Responses!$C$2:$C$19, MATCH(A14, Responses!$A$2:$A$19, 0))</f>
        <v>Patent invalid / not infringed</v>
      </c>
      <c r="D14" s="2">
        <f>INDEX('Answer Key'!$D$2:$D$19, MATCH(A14, 'Answer Key'!$A$2:$A$19, 0))</f>
        <v>1</v>
      </c>
      <c r="E14" s="7">
        <f t="shared" si="0"/>
        <v>1</v>
      </c>
    </row>
    <row r="15" spans="1:5">
      <c r="A15" s="6" t="s">
        <v>42</v>
      </c>
      <c r="B15" s="2" t="str">
        <f>INDEX('Answer Key'!$C$2:$C$19, MATCH(A15, 'Answer Key'!$A$2:$A$19, 0))</f>
        <v>Early Phase 1 → Phase 1 → Phase 2 → Phase 3 → Phase 4</v>
      </c>
      <c r="C15" s="2" t="str">
        <f>INDEX(Responses!$C$2:$C$19, MATCH(A15, Responses!$A$2:$A$19, 0))</f>
        <v>Early Phase 1 → Phase 1 → Phase 2 → Phase 3 → Phase 4</v>
      </c>
      <c r="D15" s="2">
        <f>INDEX('Answer Key'!$D$2:$D$19, MATCH(A15, 'Answer Key'!$A$2:$A$19, 0))</f>
        <v>1</v>
      </c>
      <c r="E15" s="7">
        <f t="shared" si="0"/>
        <v>1</v>
      </c>
    </row>
    <row r="16" spans="1:5">
      <c r="A16" s="6" t="s">
        <v>45</v>
      </c>
      <c r="B16" s="2" t="str">
        <f>INDEX('Answer Key'!$C$2:$C$19, MATCH(A16, 'Answer Key'!$A$2:$A$19, 0))</f>
        <v>Safety &amp; dosage evaluation</v>
      </c>
      <c r="C16" s="2" t="str">
        <f>INDEX(Responses!$C$2:$C$19, MATCH(A16, Responses!$A$2:$A$19, 0))</f>
        <v>Safety &amp; dosage evaluation</v>
      </c>
      <c r="D16" s="2">
        <f>INDEX('Answer Key'!$D$2:$D$19, MATCH(A16, 'Answer Key'!$A$2:$A$19, 0))</f>
        <v>1</v>
      </c>
      <c r="E16" s="7">
        <f t="shared" si="0"/>
        <v>1</v>
      </c>
    </row>
    <row r="17" spans="1:5">
      <c r="A17" s="6" t="s">
        <v>48</v>
      </c>
      <c r="B17" s="2" t="str">
        <f>INDEX('Answer Key'!$C$2:$C$19, MATCH(A17, 'Answer Key'!$A$2:$A$19, 0))</f>
        <v>Patients who cannot enroll in trials but need investigational therapy</v>
      </c>
      <c r="C17" s="2" t="str">
        <f>INDEX(Responses!$C$2:$C$19, MATCH(A17, Responses!$A$2:$A$19, 0))</f>
        <v>Patients who cannot enroll in trials but need investigational therapy</v>
      </c>
      <c r="D17" s="2">
        <f>INDEX('Answer Key'!$D$2:$D$19, MATCH(A17, 'Answer Key'!$A$2:$A$19, 0))</f>
        <v>1</v>
      </c>
      <c r="E17" s="7">
        <f t="shared" si="0"/>
        <v>1</v>
      </c>
    </row>
    <row r="18" spans="1:5">
      <c r="A18" s="6" t="s">
        <v>51</v>
      </c>
      <c r="B18" s="2" t="str">
        <f>INDEX('Answer Key'!$C$2:$C$19, MATCH(A18, 'Answer Key'!$A$2:$A$19, 0))</f>
        <v>Detection, assessment, understanding &amp; prevention of adverse effects or drug-related problems</v>
      </c>
      <c r="C18" s="2" t="str">
        <f>INDEX(Responses!$C$2:$C$19, MATCH(A18, Responses!$A$2:$A$19, 0))</f>
        <v>Detection, assessment, understanding &amp; prevention of adverse effects or drug-related problems</v>
      </c>
      <c r="D18" s="2">
        <f>INDEX('Answer Key'!$D$2:$D$19, MATCH(A18, 'Answer Key'!$A$2:$A$19, 0))</f>
        <v>1</v>
      </c>
      <c r="E18" s="7">
        <f t="shared" si="0"/>
        <v>1</v>
      </c>
    </row>
    <row r="19" spans="1:5">
      <c r="A19" s="6" t="s">
        <v>54</v>
      </c>
      <c r="B19" s="2" t="str">
        <f>INDEX('Answer Key'!$C$2:$C$19, MATCH(A19, 'Answer Key'!$A$2:$A$19, 0))</f>
        <v>Surrogate Endpoint</v>
      </c>
      <c r="C19" s="2" t="str">
        <f>INDEX(Responses!$C$2:$C$19, MATCH(A19, Responses!$A$2:$A$19, 0))</f>
        <v>Surrogate Endpoint</v>
      </c>
      <c r="D19" s="2">
        <f>INDEX('Answer Key'!$D$2:$D$19, MATCH(A19, 'Answer Key'!$A$2:$A$19, 0))</f>
        <v>1</v>
      </c>
      <c r="E19" s="7">
        <f t="shared" si="0"/>
        <v>1</v>
      </c>
    </row>
    <row r="20" spans="1:5">
      <c r="A20" s="6"/>
      <c r="B20" s="2"/>
      <c r="C20" s="2"/>
      <c r="D20" s="2" t="s">
        <v>111</v>
      </c>
      <c r="E20" s="7">
        <f>SUM(E2:E19)</f>
        <v>16</v>
      </c>
    </row>
    <row r="21" spans="1:5" hidden="1">
      <c r="A21" s="6"/>
      <c r="B21" s="2"/>
      <c r="C21" s="2"/>
      <c r="D21" s="2" t="s">
        <v>112</v>
      </c>
      <c r="E21" s="7" t="str">
        <f>IF(E20&gt;=12,"PASS","FAIL")</f>
        <v>PASS</v>
      </c>
    </row>
    <row r="22" spans="1:5" ht="15" thickBot="1">
      <c r="A22" s="8"/>
      <c r="B22" s="9"/>
      <c r="C22" s="9"/>
      <c r="D22" s="9" t="s">
        <v>113</v>
      </c>
      <c r="E22" s="10" t="str">
        <f>IF(E20&gt;=15,"Expert",IF(E20&gt;=13,"Proficient",IF(E20&gt;=12,"Competent",IF(E20&gt;=9,"Needs Improvement","Beginner"))))</f>
        <v>Expert</v>
      </c>
    </row>
    <row r="23" spans="1:5"/>
  </sheetData>
  <pageMargins left="0.75" right="0.75" top="1" bottom="1" header="0.5" footer="0.5"/>
  <headerFooter>
    <oddHeader>&amp;C&amp;"Aptos"&amp;10&amp;K4A569E Internal&amp;1#_x000D_</oddHeader>
  </headerFooter>
</worksheet>
</file>

<file path=docMetadata/LabelInfo.xml><?xml version="1.0" encoding="utf-8"?>
<clbl:labelList xmlns:clbl="http://schemas.microsoft.com/office/2020/mipLabelMetadata">
  <clbl:label id="{9e3dcb88-8425-4e1d-b1a3-bd5572915bbc}" enabled="1" method="Privileged" siteId="{aca3c8d6-aa71-4e1a-a10e-03572fc58c0b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Atukuri, Maithili /IN/EXT</cp:lastModifiedBy>
  <cp:revision/>
  <dcterms:created xsi:type="dcterms:W3CDTF">2026-02-02T14:57:50Z</dcterms:created>
  <dcterms:modified xsi:type="dcterms:W3CDTF">2026-02-10T09:01:03Z</dcterms:modified>
  <cp:category/>
  <cp:contentStatus/>
</cp:coreProperties>
</file>