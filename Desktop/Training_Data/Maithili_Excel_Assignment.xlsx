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/>
  <mc:AlternateContent xmlns:mc="http://schemas.openxmlformats.org/markup-compatibility/2006">
    <mc:Choice Requires="x15">
      <x15ac:absPath xmlns:x15ac="http://schemas.microsoft.com/office/spreadsheetml/2010/11/ac" url="https://sanofi-my.sharepoint.com/personal/maithili_atukuri_sanofi_com/Documents/Desktop/"/>
    </mc:Choice>
  </mc:AlternateContent>
  <xr:revisionPtr revIDLastSave="0" documentId="8_{F3D8B940-EDCE-455A-89CF-F672B5207FA0}" xr6:coauthVersionLast="47" xr6:coauthVersionMax="47" xr10:uidLastSave="{00000000-0000-0000-0000-000000000000}"/>
  <bookViews>
    <workbookView xWindow="-110" yWindow="-110" windowWidth="19420" windowHeight="11500" firstSheet="1" activeTab="4" xr2:uid="{7AB33434-F72B-4990-998B-1A77BAF0BE86}"/>
  </bookViews>
  <sheets>
    <sheet name="Raw_Data" sheetId="1" r:id="rId1"/>
    <sheet name="Sheet2" sheetId="10" r:id="rId2"/>
    <sheet name="Data Set for Que 5 to 7" sheetId="7" r:id="rId3"/>
    <sheet name="Que 1-3" sheetId="3" r:id="rId4"/>
    <sheet name="Que 4-8" sheetId="4" r:id="rId5"/>
    <sheet name="Que 9-10" sheetId="5" r:id="rId6"/>
    <sheet name="Que 11" sheetId="8" r:id="rId7"/>
  </sheets>
  <externalReferences>
    <externalReference r:id="rId8"/>
  </externalReferences>
  <definedNames>
    <definedName name="_xlcn.WorksheetConnection_DataSetforQue5to7A1C271" hidden="1">'Data Set for Que 5 to 7'!$A$1:$C$27</definedName>
    <definedName name="Sum">[1]Sheet2!$B$128303</definedName>
  </definedNames>
  <calcPr calcId="191029"/>
  <pivotCaches>
    <pivotCache cacheId="11" r:id="rId9"/>
    <pivotCache cacheId="40" r:id="rId10"/>
    <pivotCache cacheId="43" r:id="rId11"/>
    <pivotCache cacheId="78" r:id="rId12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Data Set for Que 5 to 7!$A$1:$C$27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2" i="4" l="1" a="1"/>
  <c r="D32" i="4" s="1"/>
  <c r="C23" i="4" a="1"/>
  <c r="C23" i="4" s="1"/>
  <c r="C14" i="4" a="1"/>
  <c r="C14" i="4" s="1"/>
  <c r="E12" i="5" a="1"/>
  <c r="E12" i="5" s="1"/>
  <c r="G3" i="5" a="1"/>
  <c r="G3" i="5" s="1"/>
  <c r="F3" i="5" a="1"/>
  <c r="F3" i="5" s="1"/>
  <c r="E3" i="5" a="1"/>
  <c r="E3" i="5" s="1"/>
  <c r="D41" i="4" a="1"/>
  <c r="D41" i="4" s="1"/>
  <c r="E3" i="4" a="1"/>
  <c r="E3" i="4" s="1"/>
  <c r="D3" i="4" a="1"/>
  <c r="D3" i="4" s="1"/>
  <c r="C3" i="4" a="1"/>
  <c r="C3" i="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97C8545-0C13-4C17-BB26-877F92E17D37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F4164410-F5B5-48D2-8249-5F205A0C51CC}" name="WorksheetConnection_Data Set for Que 5 to 7!$A$1:$C$27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DataSetforQue5to7A1C27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<sst xmlns="http://schemas.openxmlformats.org/spreadsheetml/2006/main" count="31519" uniqueCount="1969">
  <si>
    <t>Region</t>
  </si>
  <si>
    <t>Country</t>
  </si>
  <si>
    <t>Item Type</t>
  </si>
  <si>
    <t>Sales Channel</t>
  </si>
  <si>
    <t>Order Priority</t>
  </si>
  <si>
    <t>Order Date</t>
  </si>
  <si>
    <t>Order ID</t>
  </si>
  <si>
    <t>Ship Date</t>
  </si>
  <si>
    <t>Units Sold</t>
  </si>
  <si>
    <t>Unit Price</t>
  </si>
  <si>
    <t>Unit Cost</t>
  </si>
  <si>
    <t>Total Revenue</t>
  </si>
  <si>
    <t>Total Cost</t>
  </si>
  <si>
    <t>Total Profit</t>
  </si>
  <si>
    <t>Central America and the Caribbean</t>
  </si>
  <si>
    <t xml:space="preserve">Antigua and Barbuda </t>
  </si>
  <si>
    <t>Baby Food</t>
  </si>
  <si>
    <t>Online</t>
  </si>
  <si>
    <t>M</t>
  </si>
  <si>
    <t>12/20/2013</t>
  </si>
  <si>
    <t>Panama</t>
  </si>
  <si>
    <t>Snacks</t>
  </si>
  <si>
    <t>Offline</t>
  </si>
  <si>
    <t>C</t>
  </si>
  <si>
    <t>7/26/2010</t>
  </si>
  <si>
    <t>Europe</t>
  </si>
  <si>
    <t>Czech Republic</t>
  </si>
  <si>
    <t>Beverages</t>
  </si>
  <si>
    <t>9/29/2011</t>
  </si>
  <si>
    <t>Asia</t>
  </si>
  <si>
    <t>North Korea</t>
  </si>
  <si>
    <t>Cereal</t>
  </si>
  <si>
    <t>L</t>
  </si>
  <si>
    <t>5/13/2010</t>
  </si>
  <si>
    <t>6/15/2010</t>
  </si>
  <si>
    <t>Sri Lanka</t>
  </si>
  <si>
    <t>7/20/2015</t>
  </si>
  <si>
    <t>7/27/2015</t>
  </si>
  <si>
    <t>Middle East and North Africa</t>
  </si>
  <si>
    <t>Morocco</t>
  </si>
  <si>
    <t>Personal Care</t>
  </si>
  <si>
    <t>11/22/2010</t>
  </si>
  <si>
    <t>Australia and Oceania</t>
  </si>
  <si>
    <t>Federated States of Micronesia</t>
  </si>
  <si>
    <t>Clothes</t>
  </si>
  <si>
    <t>H</t>
  </si>
  <si>
    <t>3/28/2011</t>
  </si>
  <si>
    <t>Bosnia and Herzegovina</t>
  </si>
  <si>
    <t>10/14/2013</t>
  </si>
  <si>
    <t>Afghanistan</t>
  </si>
  <si>
    <t>8/27/2016</t>
  </si>
  <si>
    <t>Sub-Saharan Africa</t>
  </si>
  <si>
    <t>Ethiopia</t>
  </si>
  <si>
    <t>4/13/2015</t>
  </si>
  <si>
    <t>Turkey</t>
  </si>
  <si>
    <t>Office Supplies</t>
  </si>
  <si>
    <t>9/25/2013</t>
  </si>
  <si>
    <t>10/15/2013</t>
  </si>
  <si>
    <t>Oman</t>
  </si>
  <si>
    <t>Cosmetics</t>
  </si>
  <si>
    <t>5/17/2013</t>
  </si>
  <si>
    <t>Malaysia</t>
  </si>
  <si>
    <t>7/31/2016</t>
  </si>
  <si>
    <t>8/25/2016</t>
  </si>
  <si>
    <t>Saint Lucia</t>
  </si>
  <si>
    <t>7/16/2015</t>
  </si>
  <si>
    <t>Saint Vincent and the Grenadines</t>
  </si>
  <si>
    <t>11/28/2010</t>
  </si>
  <si>
    <t>Lebanon</t>
  </si>
  <si>
    <t>Meat</t>
  </si>
  <si>
    <t>12/17/2015</t>
  </si>
  <si>
    <t>1/31/2016</t>
  </si>
  <si>
    <t>Austria</t>
  </si>
  <si>
    <t>8/13/2014</t>
  </si>
  <si>
    <t>Bulgaria</t>
  </si>
  <si>
    <t>10/31/2010</t>
  </si>
  <si>
    <t>11/29/2010</t>
  </si>
  <si>
    <t>North America</t>
  </si>
  <si>
    <t>Mexico</t>
  </si>
  <si>
    <t>3/13/2017</t>
  </si>
  <si>
    <t>3/20/2017</t>
  </si>
  <si>
    <t>Trinidad and Tobago</t>
  </si>
  <si>
    <t>4/16/2013</t>
  </si>
  <si>
    <t>Libya</t>
  </si>
  <si>
    <t>1/18/2010</t>
  </si>
  <si>
    <t>Algeria</t>
  </si>
  <si>
    <t>10/14/2015</t>
  </si>
  <si>
    <t>Estonia</t>
  </si>
  <si>
    <t>Fruits</t>
  </si>
  <si>
    <t>9/28/2016</t>
  </si>
  <si>
    <t>Tuvalu</t>
  </si>
  <si>
    <t>3/22/2012</t>
  </si>
  <si>
    <t>Saudi Arabia</t>
  </si>
  <si>
    <t>4/25/2017</t>
  </si>
  <si>
    <t>Cuba</t>
  </si>
  <si>
    <t>3/13/2014</t>
  </si>
  <si>
    <t>Montenegro</t>
  </si>
  <si>
    <t>5/29/2016</t>
  </si>
  <si>
    <t>Guatemala</t>
  </si>
  <si>
    <t>1/17/2012</t>
  </si>
  <si>
    <t>Guinea</t>
  </si>
  <si>
    <t>12/27/2012</t>
  </si>
  <si>
    <t>1/21/2013</t>
  </si>
  <si>
    <t>Vanuatu</t>
  </si>
  <si>
    <t>4/15/2013</t>
  </si>
  <si>
    <t>United Arab Emirates</t>
  </si>
  <si>
    <t>6/26/2015</t>
  </si>
  <si>
    <t>Australia</t>
  </si>
  <si>
    <t>Malawi</t>
  </si>
  <si>
    <t>2/17/2012</t>
  </si>
  <si>
    <t>2/24/2012</t>
  </si>
  <si>
    <t>3/27/2012</t>
  </si>
  <si>
    <t>Luxembourg</t>
  </si>
  <si>
    <t>Vegetables</t>
  </si>
  <si>
    <t>2/13/2010</t>
  </si>
  <si>
    <t>Benin</t>
  </si>
  <si>
    <t>9/15/2016</t>
  </si>
  <si>
    <t>Somalia</t>
  </si>
  <si>
    <t>4/26/2017</t>
  </si>
  <si>
    <t>Switzerland</t>
  </si>
  <si>
    <t>3/21/2014</t>
  </si>
  <si>
    <t>Laos</t>
  </si>
  <si>
    <t>3/21/2017</t>
  </si>
  <si>
    <t>3/24/2017</t>
  </si>
  <si>
    <t>Kyrgyzstan</t>
  </si>
  <si>
    <t>9/22/2013</t>
  </si>
  <si>
    <t>12/30/2016</t>
  </si>
  <si>
    <t>1/25/2017</t>
  </si>
  <si>
    <t>Angola</t>
  </si>
  <si>
    <t>Mauritania</t>
  </si>
  <si>
    <t>5/30/2014</t>
  </si>
  <si>
    <t>Household</t>
  </si>
  <si>
    <t>10/15/2014</t>
  </si>
  <si>
    <t>10/16/2014</t>
  </si>
  <si>
    <t>Finland</t>
  </si>
  <si>
    <t>3/16/2012</t>
  </si>
  <si>
    <t>3/23/2012</t>
  </si>
  <si>
    <t>Taiwan</t>
  </si>
  <si>
    <t>5/27/2014</t>
  </si>
  <si>
    <t>6/13/2014</t>
  </si>
  <si>
    <t>Belgium</t>
  </si>
  <si>
    <t>1/17/2015</t>
  </si>
  <si>
    <t>San Marino</t>
  </si>
  <si>
    <t>4/13/2014</t>
  </si>
  <si>
    <t>11/23/2016</t>
  </si>
  <si>
    <t>12/31/2016</t>
  </si>
  <si>
    <t>Kiribati</t>
  </si>
  <si>
    <t>10/22/2010</t>
  </si>
  <si>
    <t>10/29/2010</t>
  </si>
  <si>
    <t>1/17/2014</t>
  </si>
  <si>
    <t xml:space="preserve">Samoa </t>
  </si>
  <si>
    <t>Central African Republic</t>
  </si>
  <si>
    <t>12/16/2014</t>
  </si>
  <si>
    <t>Uzbekistan</t>
  </si>
  <si>
    <t>Dominica</t>
  </si>
  <si>
    <t>7/30/2010</t>
  </si>
  <si>
    <t>Qatar</t>
  </si>
  <si>
    <t>6/18/2013</t>
  </si>
  <si>
    <t>7/18/2013</t>
  </si>
  <si>
    <t>South Korea</t>
  </si>
  <si>
    <t>9/30/2016</t>
  </si>
  <si>
    <t>9/22/2016</t>
  </si>
  <si>
    <t>1/29/2010</t>
  </si>
  <si>
    <t>3/20/2010</t>
  </si>
  <si>
    <t>Nigeria</t>
  </si>
  <si>
    <t>12/23/2014</t>
  </si>
  <si>
    <t>South Africa</t>
  </si>
  <si>
    <t>7/28/2016</t>
  </si>
  <si>
    <t>6/23/2016</t>
  </si>
  <si>
    <t>Sudan</t>
  </si>
  <si>
    <t>4/28/2013</t>
  </si>
  <si>
    <t>8/15/2014</t>
  </si>
  <si>
    <t>Netherlands</t>
  </si>
  <si>
    <t>11/24/2011</t>
  </si>
  <si>
    <t>Solomon Islands</t>
  </si>
  <si>
    <t>10/20/2016</t>
  </si>
  <si>
    <t>5/16/2013</t>
  </si>
  <si>
    <t>Iran</t>
  </si>
  <si>
    <t>7/13/2017</t>
  </si>
  <si>
    <t>8/17/2017</t>
  </si>
  <si>
    <t>4/29/2012</t>
  </si>
  <si>
    <t>5/23/2012</t>
  </si>
  <si>
    <t>Equatorial Guinea</t>
  </si>
  <si>
    <t>6/16/2010</t>
  </si>
  <si>
    <t>7/18/2010</t>
  </si>
  <si>
    <t>Russia</t>
  </si>
  <si>
    <t>8/20/2017</t>
  </si>
  <si>
    <t>Azerbaijan</t>
  </si>
  <si>
    <t>6/28/2017</t>
  </si>
  <si>
    <t>8/15/2017</t>
  </si>
  <si>
    <t>Iraq</t>
  </si>
  <si>
    <t>4/21/2014</t>
  </si>
  <si>
    <t xml:space="preserve">Mauritius </t>
  </si>
  <si>
    <t>12/26/2012</t>
  </si>
  <si>
    <t>Eritrea</t>
  </si>
  <si>
    <t>12/21/2015</t>
  </si>
  <si>
    <t>Ukraine</t>
  </si>
  <si>
    <t>1/22/2011</t>
  </si>
  <si>
    <t>1/28/2011</t>
  </si>
  <si>
    <t>Myanmar</t>
  </si>
  <si>
    <t>7/24/2012</t>
  </si>
  <si>
    <t>Latvia</t>
  </si>
  <si>
    <t>12/15/2011</t>
  </si>
  <si>
    <t>12/18/2011</t>
  </si>
  <si>
    <t>Serbia</t>
  </si>
  <si>
    <t>9/21/2012</t>
  </si>
  <si>
    <t>Mongolia</t>
  </si>
  <si>
    <t>1/19/2012</t>
  </si>
  <si>
    <t>Grenada</t>
  </si>
  <si>
    <t>1/17/2016</t>
  </si>
  <si>
    <t>Namibia</t>
  </si>
  <si>
    <t>Portugal</t>
  </si>
  <si>
    <t>1/21/2014</t>
  </si>
  <si>
    <t>Barbados</t>
  </si>
  <si>
    <t>12/21/2013</t>
  </si>
  <si>
    <t>12/31/2013</t>
  </si>
  <si>
    <t>2/24/2015</t>
  </si>
  <si>
    <t>3/20/2015</t>
  </si>
  <si>
    <t>Poland</t>
  </si>
  <si>
    <t>Senegal</t>
  </si>
  <si>
    <t>6/30/2014</t>
  </si>
  <si>
    <t>9/27/2016</t>
  </si>
  <si>
    <t>11/13/2016</t>
  </si>
  <si>
    <t>Burundi</t>
  </si>
  <si>
    <t>5/22/2010</t>
  </si>
  <si>
    <t>4/13/2013</t>
  </si>
  <si>
    <t>Haiti</t>
  </si>
  <si>
    <t>10/17/2012</t>
  </si>
  <si>
    <t>10/26/2012</t>
  </si>
  <si>
    <t>Liechtenstein</t>
  </si>
  <si>
    <t>7/15/2012</t>
  </si>
  <si>
    <t>Zambia</t>
  </si>
  <si>
    <t>5/19/2013</t>
  </si>
  <si>
    <t>6/15/2013</t>
  </si>
  <si>
    <t>United Kingdom</t>
  </si>
  <si>
    <t>12/14/2015</t>
  </si>
  <si>
    <t>12/21/2016</t>
  </si>
  <si>
    <t>8/21/2010</t>
  </si>
  <si>
    <t>9/13/2010</t>
  </si>
  <si>
    <t>Slovenia</t>
  </si>
  <si>
    <t>10/22/2012</t>
  </si>
  <si>
    <t>11/20/2012</t>
  </si>
  <si>
    <t>Malta</t>
  </si>
  <si>
    <t>Bhutan</t>
  </si>
  <si>
    <t>8/14/2016</t>
  </si>
  <si>
    <t>4/26/2015</t>
  </si>
  <si>
    <t>7/16/2010</t>
  </si>
  <si>
    <t>8/27/2010</t>
  </si>
  <si>
    <t>Singapore</t>
  </si>
  <si>
    <t>2/13/2011</t>
  </si>
  <si>
    <t>Cameroon</t>
  </si>
  <si>
    <t>5/22/2015</t>
  </si>
  <si>
    <t>Cyprus</t>
  </si>
  <si>
    <t>8/30/2015</t>
  </si>
  <si>
    <t>11/27/2015</t>
  </si>
  <si>
    <t>12/29/2015</t>
  </si>
  <si>
    <t>Monaco</t>
  </si>
  <si>
    <t>11/21/2013</t>
  </si>
  <si>
    <t>Gabon</t>
  </si>
  <si>
    <t>7/14/2010</t>
  </si>
  <si>
    <t>Djibouti</t>
  </si>
  <si>
    <t>1/17/2013</t>
  </si>
  <si>
    <t>1/26/2013</t>
  </si>
  <si>
    <t>1/15/2016</t>
  </si>
  <si>
    <t>5/23/2011</t>
  </si>
  <si>
    <t>5/29/2011</t>
  </si>
  <si>
    <t>Norway</t>
  </si>
  <si>
    <t>10/18/2014</t>
  </si>
  <si>
    <t>5/27/2016</t>
  </si>
  <si>
    <t>6/27/2016</t>
  </si>
  <si>
    <t>2/27/2015</t>
  </si>
  <si>
    <t>Thailand</t>
  </si>
  <si>
    <t>5/19/2012</t>
  </si>
  <si>
    <t>6/23/2012</t>
  </si>
  <si>
    <t>Uganda</t>
  </si>
  <si>
    <t>2/17/2010</t>
  </si>
  <si>
    <t>The Gambia</t>
  </si>
  <si>
    <t>3/27/2010</t>
  </si>
  <si>
    <t>5/14/2010</t>
  </si>
  <si>
    <t>3/15/2016</t>
  </si>
  <si>
    <t>4/22/2016</t>
  </si>
  <si>
    <t>9/23/2010</t>
  </si>
  <si>
    <t>6/26/2013</t>
  </si>
  <si>
    <t>3/16/2015</t>
  </si>
  <si>
    <t>Armenia</t>
  </si>
  <si>
    <t>3/23/2011</t>
  </si>
  <si>
    <t>3/29/2013</t>
  </si>
  <si>
    <t>5/15/2013</t>
  </si>
  <si>
    <t>Jordan</t>
  </si>
  <si>
    <t>1/15/2015</t>
  </si>
  <si>
    <t>Tonga</t>
  </si>
  <si>
    <t>5/21/2011</t>
  </si>
  <si>
    <t>3/27/2017</t>
  </si>
  <si>
    <t>6/23/2010</t>
  </si>
  <si>
    <t>7/29/2010</t>
  </si>
  <si>
    <t>Mali</t>
  </si>
  <si>
    <t>12/28/2011</t>
  </si>
  <si>
    <t>5/26/2013</t>
  </si>
  <si>
    <t>10/27/2016</t>
  </si>
  <si>
    <t>Tanzania</t>
  </si>
  <si>
    <t>5/13/2011</t>
  </si>
  <si>
    <t>Swaziland</t>
  </si>
  <si>
    <t>7/17/2012</t>
  </si>
  <si>
    <t>Denmark</t>
  </si>
  <si>
    <t>6/26/2016</t>
  </si>
  <si>
    <t xml:space="preserve">Seychelles </t>
  </si>
  <si>
    <t>2/28/2012</t>
  </si>
  <si>
    <t>3/18/2012</t>
  </si>
  <si>
    <t>Madagascar</t>
  </si>
  <si>
    <t>2/24/2016</t>
  </si>
  <si>
    <t>5/18/2010</t>
  </si>
  <si>
    <t>6/14/2010</t>
  </si>
  <si>
    <t>2/25/2016</t>
  </si>
  <si>
    <t>3/29/2016</t>
  </si>
  <si>
    <t>9/14/2015</t>
  </si>
  <si>
    <t>China</t>
  </si>
  <si>
    <t>4/15/2015</t>
  </si>
  <si>
    <t>5/20/2015</t>
  </si>
  <si>
    <t>11/20/2015</t>
  </si>
  <si>
    <t>12/25/2015</t>
  </si>
  <si>
    <t>United States of America</t>
  </si>
  <si>
    <t>2/14/2013</t>
  </si>
  <si>
    <t>3/21/2013</t>
  </si>
  <si>
    <t>Philippines</t>
  </si>
  <si>
    <t>4/23/2017</t>
  </si>
  <si>
    <t>5/22/2017</t>
  </si>
  <si>
    <t>11/18/2014</t>
  </si>
  <si>
    <t>South Sudan</t>
  </si>
  <si>
    <t>1/30/2016</t>
  </si>
  <si>
    <t>Kuwait</t>
  </si>
  <si>
    <t>8/18/2016</t>
  </si>
  <si>
    <t>7/22/2017</t>
  </si>
  <si>
    <t>3/22/2013</t>
  </si>
  <si>
    <t>7/27/2010</t>
  </si>
  <si>
    <t>3/14/2017</t>
  </si>
  <si>
    <t>3/22/2017</t>
  </si>
  <si>
    <t>9/21/2015</t>
  </si>
  <si>
    <t>10/20/2015</t>
  </si>
  <si>
    <t>Turkmenistan</t>
  </si>
  <si>
    <t>Kosovo</t>
  </si>
  <si>
    <t>4/18/2011</t>
  </si>
  <si>
    <t>9/21/2014</t>
  </si>
  <si>
    <t>2/17/2015</t>
  </si>
  <si>
    <t>Hungary</t>
  </si>
  <si>
    <t>1/25/2011</t>
  </si>
  <si>
    <t>3/13/2011</t>
  </si>
  <si>
    <t>Pakistan</t>
  </si>
  <si>
    <t>5/21/2015</t>
  </si>
  <si>
    <t>5/25/2015</t>
  </si>
  <si>
    <t>12/18/2010</t>
  </si>
  <si>
    <t>Mozambique</t>
  </si>
  <si>
    <t>5/20/2016</t>
  </si>
  <si>
    <t>7/20/2016</t>
  </si>
  <si>
    <t>4/26/2010</t>
  </si>
  <si>
    <t>7/14/2015</t>
  </si>
  <si>
    <t>5/21/2013</t>
  </si>
  <si>
    <t>Kazakhstan</t>
  </si>
  <si>
    <t>Nicaragua</t>
  </si>
  <si>
    <t>8/20/2010</t>
  </si>
  <si>
    <t>9/28/2010</t>
  </si>
  <si>
    <t>Chad</t>
  </si>
  <si>
    <t>East Timor</t>
  </si>
  <si>
    <t>1/27/2012</t>
  </si>
  <si>
    <t>Lithuania</t>
  </si>
  <si>
    <t>2/18/2012</t>
  </si>
  <si>
    <t>11/26/2014</t>
  </si>
  <si>
    <t>4/25/2010</t>
  </si>
  <si>
    <t>Liberia</t>
  </si>
  <si>
    <t>5/17/2011</t>
  </si>
  <si>
    <t>6/20/2011</t>
  </si>
  <si>
    <t xml:space="preserve">Saint Kitts and Nevis </t>
  </si>
  <si>
    <t>10/18/2013</t>
  </si>
  <si>
    <t>Jamaica</t>
  </si>
  <si>
    <t>9/14/2013</t>
  </si>
  <si>
    <t>Albania</t>
  </si>
  <si>
    <t>Japan</t>
  </si>
  <si>
    <t>5/22/2013</t>
  </si>
  <si>
    <t>12/15/2014</t>
  </si>
  <si>
    <t>1/21/2015</t>
  </si>
  <si>
    <t>12/20/2010</t>
  </si>
  <si>
    <t>7/19/2014</t>
  </si>
  <si>
    <t>1/31/2017</t>
  </si>
  <si>
    <t>3/19/2015</t>
  </si>
  <si>
    <t>The Bahamas</t>
  </si>
  <si>
    <t>7/23/2013</t>
  </si>
  <si>
    <t>5/29/2013</t>
  </si>
  <si>
    <t xml:space="preserve">Moldova </t>
  </si>
  <si>
    <t>11/13/2012</t>
  </si>
  <si>
    <t>Egypt</t>
  </si>
  <si>
    <t>5/22/2012</t>
  </si>
  <si>
    <t>5/29/2012</t>
  </si>
  <si>
    <t>9/25/2016</t>
  </si>
  <si>
    <t>10/16/2016</t>
  </si>
  <si>
    <t>India</t>
  </si>
  <si>
    <t>1/16/2010</t>
  </si>
  <si>
    <t>1/25/2010</t>
  </si>
  <si>
    <t>11/25/2015</t>
  </si>
  <si>
    <t>12/19/2015</t>
  </si>
  <si>
    <t>Democratic Republic of the Congo</t>
  </si>
  <si>
    <t>9/24/2014</t>
  </si>
  <si>
    <t>10/13/2014</t>
  </si>
  <si>
    <t>4/30/2014</t>
  </si>
  <si>
    <t>12/18/2012</t>
  </si>
  <si>
    <t>12/21/2012</t>
  </si>
  <si>
    <t>7/20/2017</t>
  </si>
  <si>
    <t>2/16/2017</t>
  </si>
  <si>
    <t>12/15/2016</t>
  </si>
  <si>
    <t>1/14/2012</t>
  </si>
  <si>
    <t>5/28/2013</t>
  </si>
  <si>
    <t>8/21/2014</t>
  </si>
  <si>
    <t>3/29/2017</t>
  </si>
  <si>
    <t>3/17/2013</t>
  </si>
  <si>
    <t>4/23/2013</t>
  </si>
  <si>
    <t>4/30/2010</t>
  </si>
  <si>
    <t>Republic of the Congo</t>
  </si>
  <si>
    <t>9/16/2013</t>
  </si>
  <si>
    <t>9/28/2013</t>
  </si>
  <si>
    <t>Comoros</t>
  </si>
  <si>
    <t>France</t>
  </si>
  <si>
    <t>11/28/2015</t>
  </si>
  <si>
    <t>Rwanda</t>
  </si>
  <si>
    <t>4/21/2015</t>
  </si>
  <si>
    <t>1/15/2014</t>
  </si>
  <si>
    <t>1/31/2014</t>
  </si>
  <si>
    <t>Cote d'Ivoire</t>
  </si>
  <si>
    <t>5/27/2015</t>
  </si>
  <si>
    <t>Spain</t>
  </si>
  <si>
    <t>10/22/2011</t>
  </si>
  <si>
    <t>11/14/2011</t>
  </si>
  <si>
    <t>3/20/2012</t>
  </si>
  <si>
    <t>Israel</t>
  </si>
  <si>
    <t>12/22/2011</t>
  </si>
  <si>
    <t>Costa Rica</t>
  </si>
  <si>
    <t>Honduras</t>
  </si>
  <si>
    <t>Sweden</t>
  </si>
  <si>
    <t>9/20/2010</t>
  </si>
  <si>
    <t>10/25/2010</t>
  </si>
  <si>
    <t>8/24/2010</t>
  </si>
  <si>
    <t>9/16/2010</t>
  </si>
  <si>
    <t>3/15/2017</t>
  </si>
  <si>
    <t>Indonesia</t>
  </si>
  <si>
    <t>3/25/2011</t>
  </si>
  <si>
    <t>3/31/2011</t>
  </si>
  <si>
    <t>5/19/2016</t>
  </si>
  <si>
    <t>6/18/2016</t>
  </si>
  <si>
    <t>6/17/2012</t>
  </si>
  <si>
    <t>9/16/2012</t>
  </si>
  <si>
    <t>8/16/2011</t>
  </si>
  <si>
    <t>5/14/2012</t>
  </si>
  <si>
    <t>4/28/2015</t>
  </si>
  <si>
    <t>5/21/2014</t>
  </si>
  <si>
    <t>Yemen</t>
  </si>
  <si>
    <t>11/15/2015</t>
  </si>
  <si>
    <t>1/28/2015</t>
  </si>
  <si>
    <t>9/19/2015</t>
  </si>
  <si>
    <t>8/19/2016</t>
  </si>
  <si>
    <t>8/22/2014</t>
  </si>
  <si>
    <t>9/27/2014</t>
  </si>
  <si>
    <t>Macedonia</t>
  </si>
  <si>
    <t>12/26/2010</t>
  </si>
  <si>
    <t>8/27/2015</t>
  </si>
  <si>
    <t>9/29/2015</t>
  </si>
  <si>
    <t>Greece</t>
  </si>
  <si>
    <t>6/27/2017</t>
  </si>
  <si>
    <t>8/14/2017</t>
  </si>
  <si>
    <t>10/21/2013</t>
  </si>
  <si>
    <t>11/29/2013</t>
  </si>
  <si>
    <t>Cambodia</t>
  </si>
  <si>
    <t>11/15/2010</t>
  </si>
  <si>
    <t>Italy</t>
  </si>
  <si>
    <t>2/25/2011</t>
  </si>
  <si>
    <t>12/20/2016</t>
  </si>
  <si>
    <t>6/28/2010</t>
  </si>
  <si>
    <t>12/27/2013</t>
  </si>
  <si>
    <t>1/30/2014</t>
  </si>
  <si>
    <t>10/17/2016</t>
  </si>
  <si>
    <t>New Zealand</t>
  </si>
  <si>
    <t>1/27/2016</t>
  </si>
  <si>
    <t>2/21/2010</t>
  </si>
  <si>
    <t>7/14/2012</t>
  </si>
  <si>
    <t>6/15/2011</t>
  </si>
  <si>
    <t>12/25/2016</t>
  </si>
  <si>
    <t>2/18/2014</t>
  </si>
  <si>
    <t>4/16/2011</t>
  </si>
  <si>
    <t>11/17/2014</t>
  </si>
  <si>
    <t>Tajikistan</t>
  </si>
  <si>
    <t>7/15/2017</t>
  </si>
  <si>
    <t>Botswana</t>
  </si>
  <si>
    <t>Dominican Republic</t>
  </si>
  <si>
    <t>2/15/2016</t>
  </si>
  <si>
    <t>12/26/2011</t>
  </si>
  <si>
    <t>12/29/2011</t>
  </si>
  <si>
    <t>5/21/2016</t>
  </si>
  <si>
    <t>6/19/2016</t>
  </si>
  <si>
    <t>Vietnam</t>
  </si>
  <si>
    <t>7/28/2011</t>
  </si>
  <si>
    <t>3/26/2012</t>
  </si>
  <si>
    <t>Germany</t>
  </si>
  <si>
    <t>2/15/2017</t>
  </si>
  <si>
    <t>5/20/2014</t>
  </si>
  <si>
    <t>6/21/2014</t>
  </si>
  <si>
    <t>4/17/2017</t>
  </si>
  <si>
    <t>Togo</t>
  </si>
  <si>
    <t>2/14/2017</t>
  </si>
  <si>
    <t>3/28/2017</t>
  </si>
  <si>
    <t>6/25/2011</t>
  </si>
  <si>
    <t>7/15/2014</t>
  </si>
  <si>
    <t>4/24/2015</t>
  </si>
  <si>
    <t>2/26/2010</t>
  </si>
  <si>
    <t>4/14/2010</t>
  </si>
  <si>
    <t>1/23/2017</t>
  </si>
  <si>
    <t>12/15/2013</t>
  </si>
  <si>
    <t>8/18/2014</t>
  </si>
  <si>
    <t>2/28/2010</t>
  </si>
  <si>
    <t>1/31/2013</t>
  </si>
  <si>
    <t>3/13/2013</t>
  </si>
  <si>
    <t>7/31/2017</t>
  </si>
  <si>
    <t>8/18/2012</t>
  </si>
  <si>
    <t>9/22/2012</t>
  </si>
  <si>
    <t>3/23/2017</t>
  </si>
  <si>
    <t>11/14/2012</t>
  </si>
  <si>
    <t>9/29/2012</t>
  </si>
  <si>
    <t>10/21/2012</t>
  </si>
  <si>
    <t>6/22/2012</t>
  </si>
  <si>
    <t>1/19/2016</t>
  </si>
  <si>
    <t>Kenya</t>
  </si>
  <si>
    <t>11/27/2011</t>
  </si>
  <si>
    <t xml:space="preserve">Tunisia </t>
  </si>
  <si>
    <t>1/26/2011</t>
  </si>
  <si>
    <t>Andorra</t>
  </si>
  <si>
    <t>3/19/2010</t>
  </si>
  <si>
    <t>3/26/2010</t>
  </si>
  <si>
    <t>9/20/2015</t>
  </si>
  <si>
    <t>Iceland</t>
  </si>
  <si>
    <t>5/16/2012</t>
  </si>
  <si>
    <t>4/25/2014</t>
  </si>
  <si>
    <t>10/27/2015</t>
  </si>
  <si>
    <t>9/15/2015</t>
  </si>
  <si>
    <t>12/30/2013</t>
  </si>
  <si>
    <t>10/15/2015</t>
  </si>
  <si>
    <t>10/30/2011</t>
  </si>
  <si>
    <t>9/28/2012</t>
  </si>
  <si>
    <t>Sao Tome and Principe</t>
  </si>
  <si>
    <t>1/27/2011</t>
  </si>
  <si>
    <t>11/24/2013</t>
  </si>
  <si>
    <t>Brunei</t>
  </si>
  <si>
    <t>1/20/2016</t>
  </si>
  <si>
    <t>2/28/2016</t>
  </si>
  <si>
    <t>12/23/2015</t>
  </si>
  <si>
    <t>8/13/2010</t>
  </si>
  <si>
    <t>12/29/2014</t>
  </si>
  <si>
    <t>1/29/2013</t>
  </si>
  <si>
    <t>Nauru</t>
  </si>
  <si>
    <t>6/29/2011</t>
  </si>
  <si>
    <t>7/23/2011</t>
  </si>
  <si>
    <t>6/18/2012</t>
  </si>
  <si>
    <t>Croatia</t>
  </si>
  <si>
    <t>2/22/2013</t>
  </si>
  <si>
    <t>2/19/2011</t>
  </si>
  <si>
    <t>4/30/2013</t>
  </si>
  <si>
    <t>6/26/2010</t>
  </si>
  <si>
    <t>6/24/2013</t>
  </si>
  <si>
    <t>12/19/2014</t>
  </si>
  <si>
    <t>1/16/2015</t>
  </si>
  <si>
    <t>3/18/2010</t>
  </si>
  <si>
    <t>Marshall Islands</t>
  </si>
  <si>
    <t>8/30/2016</t>
  </si>
  <si>
    <t>1/20/2011</t>
  </si>
  <si>
    <t>10/19/2012</t>
  </si>
  <si>
    <t>Slovakia</t>
  </si>
  <si>
    <t>2/20/2010</t>
  </si>
  <si>
    <t>9/20/2012</t>
  </si>
  <si>
    <t>5/24/2012</t>
  </si>
  <si>
    <t>Papua New Guinea</t>
  </si>
  <si>
    <t>2/26/2017</t>
  </si>
  <si>
    <t>Ghana</t>
  </si>
  <si>
    <t>5/26/2017</t>
  </si>
  <si>
    <t>5/28/2017</t>
  </si>
  <si>
    <t>Niger</t>
  </si>
  <si>
    <t>12/25/2011</t>
  </si>
  <si>
    <t>11/20/2014</t>
  </si>
  <si>
    <t>7/18/2015</t>
  </si>
  <si>
    <t>12/16/2016</t>
  </si>
  <si>
    <t>11/24/2012</t>
  </si>
  <si>
    <t>Bahrain</t>
  </si>
  <si>
    <t>Nepal</t>
  </si>
  <si>
    <t>Maldives</t>
  </si>
  <si>
    <t>12/27/2010</t>
  </si>
  <si>
    <t>5/18/2016</t>
  </si>
  <si>
    <t>6/19/2010</t>
  </si>
  <si>
    <t>3/30/2014</t>
  </si>
  <si>
    <t>2/17/2011</t>
  </si>
  <si>
    <t>5/19/2015</t>
  </si>
  <si>
    <t>Guinea-Bissau</t>
  </si>
  <si>
    <t>4/21/2017</t>
  </si>
  <si>
    <t>1/28/2016</t>
  </si>
  <si>
    <t>4/23/2014</t>
  </si>
  <si>
    <t>1/14/2013</t>
  </si>
  <si>
    <t>8/22/2015</t>
  </si>
  <si>
    <t>11/26/2013</t>
  </si>
  <si>
    <t>2/19/2010</t>
  </si>
  <si>
    <t>9/22/2011</t>
  </si>
  <si>
    <t>10/20/2011</t>
  </si>
  <si>
    <t>Vatican City</t>
  </si>
  <si>
    <t>12/27/2015</t>
  </si>
  <si>
    <t>9/29/2013</t>
  </si>
  <si>
    <t>10/26/2015</t>
  </si>
  <si>
    <t>6/28/2011</t>
  </si>
  <si>
    <t>2/21/2017</t>
  </si>
  <si>
    <t>Belarus</t>
  </si>
  <si>
    <t>12/31/2012</t>
  </si>
  <si>
    <t>3/19/2014</t>
  </si>
  <si>
    <t>6/27/2010</t>
  </si>
  <si>
    <t>12/14/2010</t>
  </si>
  <si>
    <t>11/26/2011</t>
  </si>
  <si>
    <t>Ireland</t>
  </si>
  <si>
    <t>11/16/2010</t>
  </si>
  <si>
    <t>7/20/2010</t>
  </si>
  <si>
    <t>8/31/2010</t>
  </si>
  <si>
    <t>Bangladesh</t>
  </si>
  <si>
    <t>7/22/2014</t>
  </si>
  <si>
    <t>1/25/2016</t>
  </si>
  <si>
    <t>Greenland</t>
  </si>
  <si>
    <t>11/28/2016</t>
  </si>
  <si>
    <t>1/16/2017</t>
  </si>
  <si>
    <t>9/20/2016</t>
  </si>
  <si>
    <t>4/14/2015</t>
  </si>
  <si>
    <t>El Salvador</t>
  </si>
  <si>
    <t>8/19/2012</t>
  </si>
  <si>
    <t>8/22/2012</t>
  </si>
  <si>
    <t>Palau</t>
  </si>
  <si>
    <t>7/21/2017</t>
  </si>
  <si>
    <t>8/25/2017</t>
  </si>
  <si>
    <t>6/20/2013</t>
  </si>
  <si>
    <t>7/21/2013</t>
  </si>
  <si>
    <t>8/29/2013</t>
  </si>
  <si>
    <t>9/19/2013</t>
  </si>
  <si>
    <t>6/18/2010</t>
  </si>
  <si>
    <t>Sierra Leone</t>
  </si>
  <si>
    <t>1/27/2017</t>
  </si>
  <si>
    <t>4/27/2013</t>
  </si>
  <si>
    <t>11/23/2010</t>
  </si>
  <si>
    <t>1/23/2015</t>
  </si>
  <si>
    <t>8/21/2015</t>
  </si>
  <si>
    <t>2/25/2013</t>
  </si>
  <si>
    <t>2/28/2013</t>
  </si>
  <si>
    <t>3/20/2014</t>
  </si>
  <si>
    <t>11/28/2012</t>
  </si>
  <si>
    <t>12/29/2012</t>
  </si>
  <si>
    <t>1/20/2014</t>
  </si>
  <si>
    <t>9/13/2016</t>
  </si>
  <si>
    <t>2/21/2015</t>
  </si>
  <si>
    <t>10/19/2013</t>
  </si>
  <si>
    <t>1/26/2016</t>
  </si>
  <si>
    <t>2/23/2013</t>
  </si>
  <si>
    <t>3/14/2013</t>
  </si>
  <si>
    <t>9/19/2012</t>
  </si>
  <si>
    <t>10/20/2012</t>
  </si>
  <si>
    <t>7/21/2010</t>
  </si>
  <si>
    <t>9/29/2010</t>
  </si>
  <si>
    <t>11/17/2010</t>
  </si>
  <si>
    <t>2/19/2014</t>
  </si>
  <si>
    <t>2/27/2014</t>
  </si>
  <si>
    <t>11/21/2014</t>
  </si>
  <si>
    <t>Lesotho</t>
  </si>
  <si>
    <t>9/24/2010</t>
  </si>
  <si>
    <t>12/27/2011</t>
  </si>
  <si>
    <t>7/31/2012</t>
  </si>
  <si>
    <t>6/30/2017</t>
  </si>
  <si>
    <t>7/24/2017</t>
  </si>
  <si>
    <t>3/21/2016</t>
  </si>
  <si>
    <t>3/23/2016</t>
  </si>
  <si>
    <t>10/16/2011</t>
  </si>
  <si>
    <t>2/15/2012</t>
  </si>
  <si>
    <t>2/17/2013</t>
  </si>
  <si>
    <t>3/15/2013</t>
  </si>
  <si>
    <t>5/27/2017</t>
  </si>
  <si>
    <t>7/27/2013</t>
  </si>
  <si>
    <t>8/18/2013</t>
  </si>
  <si>
    <t>1/24/2016</t>
  </si>
  <si>
    <t>3/31/2013</t>
  </si>
  <si>
    <t>Fiji</t>
  </si>
  <si>
    <t>3/25/2015</t>
  </si>
  <si>
    <t>3/27/2015</t>
  </si>
  <si>
    <t>4/15/2010</t>
  </si>
  <si>
    <t>4/28/2010</t>
  </si>
  <si>
    <t>5/21/2010</t>
  </si>
  <si>
    <t>6/17/2010</t>
  </si>
  <si>
    <t>8/16/2012</t>
  </si>
  <si>
    <t>8/23/2012</t>
  </si>
  <si>
    <t>9/30/2012</t>
  </si>
  <si>
    <t>4/16/2015</t>
  </si>
  <si>
    <t>8/16/2014</t>
  </si>
  <si>
    <t>8/29/2014</t>
  </si>
  <si>
    <t>4/20/2012</t>
  </si>
  <si>
    <t>9/15/2011</t>
  </si>
  <si>
    <t>3/28/2010</t>
  </si>
  <si>
    <t>4/23/2012</t>
  </si>
  <si>
    <t>5/30/2012</t>
  </si>
  <si>
    <t>8/18/2011</t>
  </si>
  <si>
    <t>1/23/2010</t>
  </si>
  <si>
    <t>12/13/2016</t>
  </si>
  <si>
    <t>1/14/2017</t>
  </si>
  <si>
    <t>6/28/2013</t>
  </si>
  <si>
    <t>7/13/2011</t>
  </si>
  <si>
    <t>9/26/2012</t>
  </si>
  <si>
    <t>10/25/2012</t>
  </si>
  <si>
    <t>4/26/2013</t>
  </si>
  <si>
    <t>10/24/2012</t>
  </si>
  <si>
    <t>5/14/2016</t>
  </si>
  <si>
    <t>7/25/2014</t>
  </si>
  <si>
    <t>5/30/2010</t>
  </si>
  <si>
    <t>7/19/2015</t>
  </si>
  <si>
    <t>7/21/2015</t>
  </si>
  <si>
    <t>4/25/2016</t>
  </si>
  <si>
    <t>9/23/2014</t>
  </si>
  <si>
    <t>11/25/2010</t>
  </si>
  <si>
    <t>12/16/2012</t>
  </si>
  <si>
    <t>12/30/2012</t>
  </si>
  <si>
    <t>2/14/2014</t>
  </si>
  <si>
    <t>11/29/2011</t>
  </si>
  <si>
    <t>12/17/2011</t>
  </si>
  <si>
    <t>8/17/2016</t>
  </si>
  <si>
    <t>3/28/2016</t>
  </si>
  <si>
    <t>7/25/2011</t>
  </si>
  <si>
    <t>9/19/2011</t>
  </si>
  <si>
    <t>4/21/2016</t>
  </si>
  <si>
    <t>5/20/2010</t>
  </si>
  <si>
    <t>10/24/2015</t>
  </si>
  <si>
    <t>1/30/2012</t>
  </si>
  <si>
    <t>2/18/2017</t>
  </si>
  <si>
    <t>1/18/2016</t>
  </si>
  <si>
    <t>4/15/2016</t>
  </si>
  <si>
    <t>6/29/2016</t>
  </si>
  <si>
    <t>Zimbabwe</t>
  </si>
  <si>
    <t>9/18/2011</t>
  </si>
  <si>
    <t>10/19/2011</t>
  </si>
  <si>
    <t>6/24/2014</t>
  </si>
  <si>
    <t>6/30/2012</t>
  </si>
  <si>
    <t>7/19/2012</t>
  </si>
  <si>
    <t>3/22/2014</t>
  </si>
  <si>
    <t>6/27/2013</t>
  </si>
  <si>
    <t>9/26/2010</t>
  </si>
  <si>
    <t>9/27/2010</t>
  </si>
  <si>
    <t>1/13/2017</t>
  </si>
  <si>
    <t>6/25/2012</t>
  </si>
  <si>
    <t>8/13/2012</t>
  </si>
  <si>
    <t>8/22/2011</t>
  </si>
  <si>
    <t>9/20/2011</t>
  </si>
  <si>
    <t>3/23/2010</t>
  </si>
  <si>
    <t>10/17/2014</t>
  </si>
  <si>
    <t>11/13/2014</t>
  </si>
  <si>
    <t>Romania</t>
  </si>
  <si>
    <t>9/15/2014</t>
  </si>
  <si>
    <t>3/23/2015</t>
  </si>
  <si>
    <t>11/21/2011</t>
  </si>
  <si>
    <t>12/28/2012</t>
  </si>
  <si>
    <t>2/16/2016</t>
  </si>
  <si>
    <t>6/26/2014</t>
  </si>
  <si>
    <t>8/26/2013</t>
  </si>
  <si>
    <t>7/29/2012</t>
  </si>
  <si>
    <t>8/17/2012</t>
  </si>
  <si>
    <t>5/17/2010</t>
  </si>
  <si>
    <t>2/18/2015</t>
  </si>
  <si>
    <t>5/25/2010</t>
  </si>
  <si>
    <t>12/21/2011</t>
  </si>
  <si>
    <t>4/19/2012</t>
  </si>
  <si>
    <t>10/17/2015</t>
  </si>
  <si>
    <t>4/14/2011</t>
  </si>
  <si>
    <t>11/22/2011</t>
  </si>
  <si>
    <t>12/16/2011</t>
  </si>
  <si>
    <t>8/13/2011</t>
  </si>
  <si>
    <t>4/16/2016</t>
  </si>
  <si>
    <t>4/19/2016</t>
  </si>
  <si>
    <t>6/27/2011</t>
  </si>
  <si>
    <t>6/19/2015</t>
  </si>
  <si>
    <t>7/13/2013</t>
  </si>
  <si>
    <t>1/27/2014</t>
  </si>
  <si>
    <t>4/20/2011</t>
  </si>
  <si>
    <t>5/28/2011</t>
  </si>
  <si>
    <t>9/25/2011</t>
  </si>
  <si>
    <t>2/14/2015</t>
  </si>
  <si>
    <t>9/24/2012</t>
  </si>
  <si>
    <t>10/29/2012</t>
  </si>
  <si>
    <t>1/15/2017</t>
  </si>
  <si>
    <t>Georgia</t>
  </si>
  <si>
    <t>1/26/2014</t>
  </si>
  <si>
    <t>2/27/2010</t>
  </si>
  <si>
    <t>3/15/2010</t>
  </si>
  <si>
    <t>1/14/2010</t>
  </si>
  <si>
    <t>4/17/2016</t>
  </si>
  <si>
    <t>11/20/2010</t>
  </si>
  <si>
    <t>5/14/2013</t>
  </si>
  <si>
    <t>3/21/2012</t>
  </si>
  <si>
    <t>Canada</t>
  </si>
  <si>
    <t>4/14/2013</t>
  </si>
  <si>
    <t>5/27/2013</t>
  </si>
  <si>
    <t>11/22/2016</t>
  </si>
  <si>
    <t>11/23/2013</t>
  </si>
  <si>
    <t>5/22/2014</t>
  </si>
  <si>
    <t>10/27/2011</t>
  </si>
  <si>
    <t>10/14/2016</t>
  </si>
  <si>
    <t>10/22/2016</t>
  </si>
  <si>
    <t>1/24/2015</t>
  </si>
  <si>
    <t>7/29/2015</t>
  </si>
  <si>
    <t>1/25/2015</t>
  </si>
  <si>
    <t>10/20/2014</t>
  </si>
  <si>
    <t>11/28/2014</t>
  </si>
  <si>
    <t>11/26/2016</t>
  </si>
  <si>
    <t>12/22/2016</t>
  </si>
  <si>
    <t>12/20/2011</t>
  </si>
  <si>
    <t>10/28/2010</t>
  </si>
  <si>
    <t>11/21/2010</t>
  </si>
  <si>
    <t>5/23/2017</t>
  </si>
  <si>
    <t>5/30/2017</t>
  </si>
  <si>
    <t>7/16/2012</t>
  </si>
  <si>
    <t>6/24/2015</t>
  </si>
  <si>
    <t>7/28/2015</t>
  </si>
  <si>
    <t>12/29/2013</t>
  </si>
  <si>
    <t>1/20/2015</t>
  </si>
  <si>
    <t>2/19/2015</t>
  </si>
  <si>
    <t>3/16/2017</t>
  </si>
  <si>
    <t>7/22/2012</t>
  </si>
  <si>
    <t>8/24/2011</t>
  </si>
  <si>
    <t>12/17/2013</t>
  </si>
  <si>
    <t>7/15/2011</t>
  </si>
  <si>
    <t>7/17/2011</t>
  </si>
  <si>
    <t>7/27/2014</t>
  </si>
  <si>
    <t>7/29/2014</t>
  </si>
  <si>
    <t>2/28/2011</t>
  </si>
  <si>
    <t>5/18/2011</t>
  </si>
  <si>
    <t>1/28/2014</t>
  </si>
  <si>
    <t>5/26/2011</t>
  </si>
  <si>
    <t>2/15/2010</t>
  </si>
  <si>
    <t>9/17/2014</t>
  </si>
  <si>
    <t>Belize</t>
  </si>
  <si>
    <t>9/17/2010</t>
  </si>
  <si>
    <t>4/25/2012</t>
  </si>
  <si>
    <t>4/16/2017</t>
  </si>
  <si>
    <t>5/14/2017</t>
  </si>
  <si>
    <t>5/26/2016</t>
  </si>
  <si>
    <t>12/22/2013</t>
  </si>
  <si>
    <t>5/24/2014</t>
  </si>
  <si>
    <t>12/15/2012</t>
  </si>
  <si>
    <t>4/24/2012</t>
  </si>
  <si>
    <t>4/19/2015</t>
  </si>
  <si>
    <t>10/26/2010</t>
  </si>
  <si>
    <t>9/27/2011</t>
  </si>
  <si>
    <t>Cape Verde</t>
  </si>
  <si>
    <t>3/28/2013</t>
  </si>
  <si>
    <t>5/30/2015</t>
  </si>
  <si>
    <t>3/29/2012</t>
  </si>
  <si>
    <t>2/24/2017</t>
  </si>
  <si>
    <t>7/14/2017</t>
  </si>
  <si>
    <t>7/16/2017</t>
  </si>
  <si>
    <t>1/16/2016</t>
  </si>
  <si>
    <t>2/23/2016</t>
  </si>
  <si>
    <t>4/22/2017</t>
  </si>
  <si>
    <t>4/27/2017</t>
  </si>
  <si>
    <t>10/30/2012</t>
  </si>
  <si>
    <t>11/18/2012</t>
  </si>
  <si>
    <t>10/29/2013</t>
  </si>
  <si>
    <t>10/19/2010</t>
  </si>
  <si>
    <t>8/16/2016</t>
  </si>
  <si>
    <t>10/18/2011</t>
  </si>
  <si>
    <t>4/17/2015</t>
  </si>
  <si>
    <t>10/21/2016</t>
  </si>
  <si>
    <t>11/30/2016</t>
  </si>
  <si>
    <t>11/27/2013</t>
  </si>
  <si>
    <t>6/27/2014</t>
  </si>
  <si>
    <t>7/28/2014</t>
  </si>
  <si>
    <t>1/22/2012</t>
  </si>
  <si>
    <t>5/17/2014</t>
  </si>
  <si>
    <t>1/28/2013</t>
  </si>
  <si>
    <t>9/16/2015</t>
  </si>
  <si>
    <t>10/21/2015</t>
  </si>
  <si>
    <t>7/26/2015</t>
  </si>
  <si>
    <t>Burkina Faso</t>
  </si>
  <si>
    <t>12/24/2016</t>
  </si>
  <si>
    <t>4/19/2013</t>
  </si>
  <si>
    <t>1/26/2010</t>
  </si>
  <si>
    <t>9/25/2012</t>
  </si>
  <si>
    <t>8/20/2012</t>
  </si>
  <si>
    <t>2/15/2013</t>
  </si>
  <si>
    <t>3/26/2015</t>
  </si>
  <si>
    <t>3/27/2013</t>
  </si>
  <si>
    <t>5/13/2013</t>
  </si>
  <si>
    <t>1/16/2014</t>
  </si>
  <si>
    <t>3/31/2010</t>
  </si>
  <si>
    <t>4/24/2010</t>
  </si>
  <si>
    <t>8/20/2014</t>
  </si>
  <si>
    <t>8/30/2010</t>
  </si>
  <si>
    <t>12/14/2016</t>
  </si>
  <si>
    <t>11/16/2011</t>
  </si>
  <si>
    <t>3/20/2016</t>
  </si>
  <si>
    <t>3/13/2016</t>
  </si>
  <si>
    <t>11/18/2016</t>
  </si>
  <si>
    <t>5/26/2012</t>
  </si>
  <si>
    <t>5/28/2012</t>
  </si>
  <si>
    <t>6/30/2010</t>
  </si>
  <si>
    <t>7/27/2016</t>
  </si>
  <si>
    <t>2/28/2014</t>
  </si>
  <si>
    <t>3/29/2014</t>
  </si>
  <si>
    <t>6/26/2017</t>
  </si>
  <si>
    <t>2/14/2010</t>
  </si>
  <si>
    <t>3/17/2010</t>
  </si>
  <si>
    <t>11/14/2013</t>
  </si>
  <si>
    <t>8/17/2013</t>
  </si>
  <si>
    <t>6/15/2016</t>
  </si>
  <si>
    <t>2/17/2016</t>
  </si>
  <si>
    <t>3/22/2016</t>
  </si>
  <si>
    <t>12/26/2013</t>
  </si>
  <si>
    <t>12/20/2012</t>
  </si>
  <si>
    <t>12/24/2012</t>
  </si>
  <si>
    <t>9/24/2015</t>
  </si>
  <si>
    <t>1/20/2013</t>
  </si>
  <si>
    <t>1/30/2013</t>
  </si>
  <si>
    <t>7/27/2017</t>
  </si>
  <si>
    <t>12/22/2012</t>
  </si>
  <si>
    <t>8/17/2011</t>
  </si>
  <si>
    <t>7/28/2010</t>
  </si>
  <si>
    <t>2/21/2014</t>
  </si>
  <si>
    <t>7/31/2011</t>
  </si>
  <si>
    <t>3/26/2014</t>
  </si>
  <si>
    <t>6/17/2016</t>
  </si>
  <si>
    <t>6/25/2013</t>
  </si>
  <si>
    <t>3/17/2015</t>
  </si>
  <si>
    <t>11/17/2016</t>
  </si>
  <si>
    <t>1/20/2017</t>
  </si>
  <si>
    <t>8/14/2012</t>
  </si>
  <si>
    <t>9/24/2013</t>
  </si>
  <si>
    <t>1/18/2015</t>
  </si>
  <si>
    <t>1/22/2015</t>
  </si>
  <si>
    <t>6/30/2013</t>
  </si>
  <si>
    <t>1/22/2016</t>
  </si>
  <si>
    <t>2/22/2016</t>
  </si>
  <si>
    <t>9/13/2015</t>
  </si>
  <si>
    <t>1/29/2015</t>
  </si>
  <si>
    <t>5/31/2014</t>
  </si>
  <si>
    <t>6/14/2014</t>
  </si>
  <si>
    <t>1/21/2011</t>
  </si>
  <si>
    <t>2/21/2011</t>
  </si>
  <si>
    <t>4/23/2011</t>
  </si>
  <si>
    <t>5/25/2011</t>
  </si>
  <si>
    <t>12/25/2014</t>
  </si>
  <si>
    <t>12/31/2014</t>
  </si>
  <si>
    <t>5/22/2011</t>
  </si>
  <si>
    <t>1/29/2014</t>
  </si>
  <si>
    <t>2/26/2011</t>
  </si>
  <si>
    <t>8/21/2011</t>
  </si>
  <si>
    <t>4/20/2017</t>
  </si>
  <si>
    <t>8/19/2014</t>
  </si>
  <si>
    <t>11/19/2013</t>
  </si>
  <si>
    <t>6/15/2014</t>
  </si>
  <si>
    <t>7/23/2014</t>
  </si>
  <si>
    <t>6/23/2015</t>
  </si>
  <si>
    <t>8/21/2016</t>
  </si>
  <si>
    <t>8/18/2015</t>
  </si>
  <si>
    <t>9/19/2010</t>
  </si>
  <si>
    <t>10/20/2010</t>
  </si>
  <si>
    <t>2/13/2014</t>
  </si>
  <si>
    <t>3/22/2010</t>
  </si>
  <si>
    <t>9/24/2011</t>
  </si>
  <si>
    <t>2/16/2012</t>
  </si>
  <si>
    <t>2/25/2012</t>
  </si>
  <si>
    <t>9/25/2010</t>
  </si>
  <si>
    <t>10/13/2013</t>
  </si>
  <si>
    <t>8/18/2010</t>
  </si>
  <si>
    <t>1/24/2013</t>
  </si>
  <si>
    <t>2/23/2012</t>
  </si>
  <si>
    <t>5/26/2014</t>
  </si>
  <si>
    <t>8/23/2010</t>
  </si>
  <si>
    <t>8/29/2010</t>
  </si>
  <si>
    <t>7/20/2014</t>
  </si>
  <si>
    <t>8/17/2014</t>
  </si>
  <si>
    <t>3/31/2016</t>
  </si>
  <si>
    <t>4/18/2016</t>
  </si>
  <si>
    <t>6/29/2015</t>
  </si>
  <si>
    <t>8/14/2010</t>
  </si>
  <si>
    <t>7/23/2012</t>
  </si>
  <si>
    <t>7/26/2012</t>
  </si>
  <si>
    <t>8/30/2013</t>
  </si>
  <si>
    <t>3/14/2014</t>
  </si>
  <si>
    <t>3/25/2014</t>
  </si>
  <si>
    <t>10/26/2011</t>
  </si>
  <si>
    <t>2/15/2014</t>
  </si>
  <si>
    <t>3/28/2014</t>
  </si>
  <si>
    <t>4/27/2012</t>
  </si>
  <si>
    <t>5/15/2012</t>
  </si>
  <si>
    <t>8/20/2011</t>
  </si>
  <si>
    <t>6/14/2012</t>
  </si>
  <si>
    <t>11/20/2016</t>
  </si>
  <si>
    <t>7/28/2013</t>
  </si>
  <si>
    <t>7/30/2013</t>
  </si>
  <si>
    <t>3/25/2012</t>
  </si>
  <si>
    <t>10/21/2011</t>
  </si>
  <si>
    <t>1/24/2014</t>
  </si>
  <si>
    <t>10/14/2012</t>
  </si>
  <si>
    <t>8/27/2011</t>
  </si>
  <si>
    <t>9/17/2011</t>
  </si>
  <si>
    <t>3/19/2016</t>
  </si>
  <si>
    <t>3/27/2011</t>
  </si>
  <si>
    <t>4/15/2011</t>
  </si>
  <si>
    <t>7/31/2010</t>
  </si>
  <si>
    <t>1/23/2012</t>
  </si>
  <si>
    <t>6/21/2013</t>
  </si>
  <si>
    <t>12/30/2015</t>
  </si>
  <si>
    <t>1/13/2016</t>
  </si>
  <si>
    <t>7/13/2010</t>
  </si>
  <si>
    <t>7/17/2010</t>
  </si>
  <si>
    <t>4/14/2014</t>
  </si>
  <si>
    <t>11/27/2014</t>
  </si>
  <si>
    <t>12/22/2014</t>
  </si>
  <si>
    <t>9/16/2016</t>
  </si>
  <si>
    <t>9/26/2013</t>
  </si>
  <si>
    <t>5/27/2011</t>
  </si>
  <si>
    <t>3/21/2015</t>
  </si>
  <si>
    <t>2/13/2016</t>
  </si>
  <si>
    <t>7/30/2016</t>
  </si>
  <si>
    <t>12/25/2010</t>
  </si>
  <si>
    <t>10/22/2015</t>
  </si>
  <si>
    <t>10/20/2013</t>
  </si>
  <si>
    <t>11/18/2013</t>
  </si>
  <si>
    <t>2/19/2016</t>
  </si>
  <si>
    <t>3/24/2016</t>
  </si>
  <si>
    <t>9/21/2013</t>
  </si>
  <si>
    <t>10/27/2013</t>
  </si>
  <si>
    <t>4/17/2014</t>
  </si>
  <si>
    <t>7/30/2011</t>
  </si>
  <si>
    <t>12/22/2010</t>
  </si>
  <si>
    <t>2/17/2014</t>
  </si>
  <si>
    <t>3/18/2014</t>
  </si>
  <si>
    <t>11/14/2015</t>
  </si>
  <si>
    <t>6/22/2010</t>
  </si>
  <si>
    <t>6/24/2010</t>
  </si>
  <si>
    <t>10/26/2013</t>
  </si>
  <si>
    <t>8/15/2011</t>
  </si>
  <si>
    <t>1/24/2012</t>
  </si>
  <si>
    <t>6/16/2012</t>
  </si>
  <si>
    <t>6/20/2017</t>
  </si>
  <si>
    <t>4/27/2011</t>
  </si>
  <si>
    <t>4/27/2014</t>
  </si>
  <si>
    <t>4/19/2011</t>
  </si>
  <si>
    <t>4/26/2011</t>
  </si>
  <si>
    <t>7/25/2012</t>
  </si>
  <si>
    <t>7/30/2012</t>
  </si>
  <si>
    <t>7/16/2016</t>
  </si>
  <si>
    <t>3/29/2015</t>
  </si>
  <si>
    <t>11/25/2011</t>
  </si>
  <si>
    <t>3/20/2013</t>
  </si>
  <si>
    <t>9/18/2014</t>
  </si>
  <si>
    <t>10/30/2014</t>
  </si>
  <si>
    <t>2/15/2015</t>
  </si>
  <si>
    <t>6/19/2013</t>
  </si>
  <si>
    <t>10/29/2016</t>
  </si>
  <si>
    <t>8/16/2010</t>
  </si>
  <si>
    <t>9/19/2016</t>
  </si>
  <si>
    <t>12/23/2012</t>
  </si>
  <si>
    <t>7/15/2015</t>
  </si>
  <si>
    <t>3/30/2011</t>
  </si>
  <si>
    <t>4/20/2010</t>
  </si>
  <si>
    <t>4/24/2011</t>
  </si>
  <si>
    <t>6/16/2016</t>
  </si>
  <si>
    <t>9/23/2013</t>
  </si>
  <si>
    <t>10/17/2013</t>
  </si>
  <si>
    <t>9/23/2012</t>
  </si>
  <si>
    <t>7/13/2014</t>
  </si>
  <si>
    <t>10/31/2013</t>
  </si>
  <si>
    <t>2/16/2010</t>
  </si>
  <si>
    <t>9/27/2013</t>
  </si>
  <si>
    <t>1/15/2011</t>
  </si>
  <si>
    <t>9/20/2013</t>
  </si>
  <si>
    <t>5/15/2011</t>
  </si>
  <si>
    <t>5/31/2016</t>
  </si>
  <si>
    <t>5/18/2014</t>
  </si>
  <si>
    <t>12/23/2010</t>
  </si>
  <si>
    <t>10/13/2015</t>
  </si>
  <si>
    <t>5/23/2014</t>
  </si>
  <si>
    <t>6/23/2014</t>
  </si>
  <si>
    <t>6/17/2017</t>
  </si>
  <si>
    <t>10/24/2013</t>
  </si>
  <si>
    <t>2/22/2015</t>
  </si>
  <si>
    <t>5/19/2011</t>
  </si>
  <si>
    <t>4/21/2012</t>
  </si>
  <si>
    <t>1/19/2015</t>
  </si>
  <si>
    <t>4/24/2014</t>
  </si>
  <si>
    <t>10/23/2011</t>
  </si>
  <si>
    <t>1/15/2012</t>
  </si>
  <si>
    <t>3/21/2011</t>
  </si>
  <si>
    <t>1/13/2014</t>
  </si>
  <si>
    <t>10/18/2012</t>
  </si>
  <si>
    <t>11/21/2012</t>
  </si>
  <si>
    <t>2/26/2012</t>
  </si>
  <si>
    <t>4/13/2011</t>
  </si>
  <si>
    <t>4/21/2011</t>
  </si>
  <si>
    <t>12/20/2015</t>
  </si>
  <si>
    <t>2/15/2011</t>
  </si>
  <si>
    <t>12/13/2013</t>
  </si>
  <si>
    <t>1/22/2017</t>
  </si>
  <si>
    <t>6/14/2015</t>
  </si>
  <si>
    <t>6/20/2015</t>
  </si>
  <si>
    <t>2/27/2017</t>
  </si>
  <si>
    <t>9/22/2014</t>
  </si>
  <si>
    <t>9/30/2014</t>
  </si>
  <si>
    <t>12/18/2016</t>
  </si>
  <si>
    <t>10/29/2015</t>
  </si>
  <si>
    <t>7/17/2015</t>
  </si>
  <si>
    <t>4/22/2015</t>
  </si>
  <si>
    <t>1/25/2012</t>
  </si>
  <si>
    <t>6/22/2016</t>
  </si>
  <si>
    <t>12/21/2010</t>
  </si>
  <si>
    <t>3/31/2014</t>
  </si>
  <si>
    <t>7/25/2015</t>
  </si>
  <si>
    <t>6/19/2017</t>
  </si>
  <si>
    <t>5/24/2013</t>
  </si>
  <si>
    <t>7/14/2014</t>
  </si>
  <si>
    <t>10/14/2011</t>
  </si>
  <si>
    <t>11/20/2011</t>
  </si>
  <si>
    <t>8/25/2010</t>
  </si>
  <si>
    <t>11/16/2016</t>
  </si>
  <si>
    <t>11/25/2016</t>
  </si>
  <si>
    <t>10/28/2013</t>
  </si>
  <si>
    <t>8/19/2010</t>
  </si>
  <si>
    <t>2/13/2013</t>
  </si>
  <si>
    <t>1/13/2010</t>
  </si>
  <si>
    <t>10/17/2011</t>
  </si>
  <si>
    <t>12/28/2013</t>
  </si>
  <si>
    <t>9/17/2012</t>
  </si>
  <si>
    <t>11/15/2016</t>
  </si>
  <si>
    <t>6/18/2017</t>
  </si>
  <si>
    <t>10/24/2016</t>
  </si>
  <si>
    <t>6/27/2012</t>
  </si>
  <si>
    <t>11/24/2014</t>
  </si>
  <si>
    <t>7/29/2016</t>
  </si>
  <si>
    <t>5/14/2011</t>
  </si>
  <si>
    <t>1/18/2012</t>
  </si>
  <si>
    <t>7/22/2016</t>
  </si>
  <si>
    <t>3/14/2010</t>
  </si>
  <si>
    <t>3/16/2010</t>
  </si>
  <si>
    <t>10/25/2016</t>
  </si>
  <si>
    <t>6/15/2017</t>
  </si>
  <si>
    <t>10/29/2014</t>
  </si>
  <si>
    <t>7/30/2014</t>
  </si>
  <si>
    <t>2/24/2013</t>
  </si>
  <si>
    <t>8/23/2013</t>
  </si>
  <si>
    <t>8/26/2016</t>
  </si>
  <si>
    <t>6/30/2015</t>
  </si>
  <si>
    <t>8/27/2014</t>
  </si>
  <si>
    <t>11/25/2013</t>
  </si>
  <si>
    <t>12/16/2013</t>
  </si>
  <si>
    <t>11/22/2013</t>
  </si>
  <si>
    <t>12/24/2013</t>
  </si>
  <si>
    <t>5/14/2015</t>
  </si>
  <si>
    <t>4/26/2016</t>
  </si>
  <si>
    <t>1/26/2012</t>
  </si>
  <si>
    <t>2/22/2014</t>
  </si>
  <si>
    <t>2/17/2017</t>
  </si>
  <si>
    <t>11/21/2015</t>
  </si>
  <si>
    <t>11/23/2015</t>
  </si>
  <si>
    <t>4/25/2011</t>
  </si>
  <si>
    <t>10/28/2012</t>
  </si>
  <si>
    <t>2/14/2012</t>
  </si>
  <si>
    <t>6/13/2012</t>
  </si>
  <si>
    <t>10/23/2014</t>
  </si>
  <si>
    <t>8/14/2013</t>
  </si>
  <si>
    <t>11/18/2011</t>
  </si>
  <si>
    <t>4/14/2017</t>
  </si>
  <si>
    <t>12/16/2015</t>
  </si>
  <si>
    <t>1/31/2010</t>
  </si>
  <si>
    <t>9/30/2015</t>
  </si>
  <si>
    <t>2/13/2015</t>
  </si>
  <si>
    <t>7/21/2016</t>
  </si>
  <si>
    <t>1/18/2011</t>
  </si>
  <si>
    <t>12/16/2010</t>
  </si>
  <si>
    <t>5/21/2012</t>
  </si>
  <si>
    <t>12/28/2014</t>
  </si>
  <si>
    <t>1/30/2015</t>
  </si>
  <si>
    <t>7/20/2011</t>
  </si>
  <si>
    <t>6/13/2017</t>
  </si>
  <si>
    <t>10/30/2010</t>
  </si>
  <si>
    <t>11/13/2010</t>
  </si>
  <si>
    <t>2/22/2017</t>
  </si>
  <si>
    <t>1/26/2015</t>
  </si>
  <si>
    <t>1/15/2013</t>
  </si>
  <si>
    <t>12/14/2013</t>
  </si>
  <si>
    <t>11/15/2013</t>
  </si>
  <si>
    <t>7/24/2010</t>
  </si>
  <si>
    <t>8/15/2010</t>
  </si>
  <si>
    <t>11/13/2013</t>
  </si>
  <si>
    <t>9/30/2011</t>
  </si>
  <si>
    <t>8/28/2012</t>
  </si>
  <si>
    <t>4/28/2012</t>
  </si>
  <si>
    <t>6/21/2016</t>
  </si>
  <si>
    <t>10/25/2014</t>
  </si>
  <si>
    <t>5/28/2014</t>
  </si>
  <si>
    <t>8/19/2013</t>
  </si>
  <si>
    <t>2/26/2016</t>
  </si>
  <si>
    <t>2/18/2013</t>
  </si>
  <si>
    <t>3/26/2013</t>
  </si>
  <si>
    <t>11/18/2015</t>
  </si>
  <si>
    <t>10/28/2016</t>
  </si>
  <si>
    <t>7/24/2015</t>
  </si>
  <si>
    <t>8/15/2015</t>
  </si>
  <si>
    <t>5/15/2014</t>
  </si>
  <si>
    <t>11/22/2012</t>
  </si>
  <si>
    <t>10/19/2016</t>
  </si>
  <si>
    <t>4/13/2012</t>
  </si>
  <si>
    <t>2/26/2014</t>
  </si>
  <si>
    <t>11/14/2010</t>
  </si>
  <si>
    <t>3/18/2016</t>
  </si>
  <si>
    <t>1/17/2011</t>
  </si>
  <si>
    <t>2/14/2016</t>
  </si>
  <si>
    <t>2/16/2015</t>
  </si>
  <si>
    <t>6/29/2012</t>
  </si>
  <si>
    <t>3/24/2013</t>
  </si>
  <si>
    <t>9/18/2012</t>
  </si>
  <si>
    <t>6/18/2014</t>
  </si>
  <si>
    <t>7/26/2014</t>
  </si>
  <si>
    <t>8/28/2016</t>
  </si>
  <si>
    <t>12/24/2011</t>
  </si>
  <si>
    <t>1/21/2016</t>
  </si>
  <si>
    <t>6/22/2013</t>
  </si>
  <si>
    <t>9/26/2015</t>
  </si>
  <si>
    <t>2/18/2010</t>
  </si>
  <si>
    <t>9/22/2010</t>
  </si>
  <si>
    <t>5/28/2015</t>
  </si>
  <si>
    <t>5/25/2017</t>
  </si>
  <si>
    <t>11/29/2014</t>
  </si>
  <si>
    <t>11/18/2010</t>
  </si>
  <si>
    <t>1/23/2011</t>
  </si>
  <si>
    <t>2/22/2011</t>
  </si>
  <si>
    <t>6/16/2013</t>
  </si>
  <si>
    <t>11/23/2012</t>
  </si>
  <si>
    <t>4/29/2014</t>
  </si>
  <si>
    <t>3/24/2011</t>
  </si>
  <si>
    <t>8/31/2013</t>
  </si>
  <si>
    <t>8/27/2012</t>
  </si>
  <si>
    <t>4/21/2013</t>
  </si>
  <si>
    <t>6/15/2012</t>
  </si>
  <si>
    <t>3/17/2016</t>
  </si>
  <si>
    <t>4/23/2016</t>
  </si>
  <si>
    <t>3/17/2012</t>
  </si>
  <si>
    <t>7/17/2017</t>
  </si>
  <si>
    <t>7/23/2017</t>
  </si>
  <si>
    <t>4/21/2010</t>
  </si>
  <si>
    <t>4/27/2015</t>
  </si>
  <si>
    <t>11/19/2014</t>
  </si>
  <si>
    <t>6/22/2017</t>
  </si>
  <si>
    <t>7/24/2016</t>
  </si>
  <si>
    <t>1/26/2017</t>
  </si>
  <si>
    <t>7/31/2013</t>
  </si>
  <si>
    <t>4/18/2013</t>
  </si>
  <si>
    <t>9/16/2011</t>
  </si>
  <si>
    <t>6/28/2015</t>
  </si>
  <si>
    <t>4/15/2017</t>
  </si>
  <si>
    <t>9/13/2012</t>
  </si>
  <si>
    <t>12/17/2016</t>
  </si>
  <si>
    <t>1/30/2017</t>
  </si>
  <si>
    <t>9/25/2014</t>
  </si>
  <si>
    <t>7/29/2011</t>
  </si>
  <si>
    <t>3/23/2014</t>
  </si>
  <si>
    <t>8/24/2015</t>
  </si>
  <si>
    <t>3/16/2014</t>
  </si>
  <si>
    <t>1/13/2013</t>
  </si>
  <si>
    <t>12/14/2012</t>
  </si>
  <si>
    <t>9/17/2015</t>
  </si>
  <si>
    <t>4/29/2010</t>
  </si>
  <si>
    <t>10/31/2015</t>
  </si>
  <si>
    <t>Syria</t>
  </si>
  <si>
    <t>2/16/2011</t>
  </si>
  <si>
    <t>3/30/2012</t>
  </si>
  <si>
    <t>4/19/2014</t>
  </si>
  <si>
    <t>8/24/2013</t>
  </si>
  <si>
    <t>6/19/2014</t>
  </si>
  <si>
    <t>7/22/2011</t>
  </si>
  <si>
    <t>8/23/2011</t>
  </si>
  <si>
    <t>10/23/2013</t>
  </si>
  <si>
    <t>3/27/2016</t>
  </si>
  <si>
    <t>12/19/2011</t>
  </si>
  <si>
    <t>8/26/2010</t>
  </si>
  <si>
    <t>6/28/2014</t>
  </si>
  <si>
    <t>10/25/2011</t>
  </si>
  <si>
    <t>2/19/2013</t>
  </si>
  <si>
    <t>11/16/2012</t>
  </si>
  <si>
    <t>8/24/2014</t>
  </si>
  <si>
    <t>6/21/2011</t>
  </si>
  <si>
    <t>4/13/2017</t>
  </si>
  <si>
    <t>9/23/2015</t>
  </si>
  <si>
    <t>5/16/2017</t>
  </si>
  <si>
    <t>7/31/2014</t>
  </si>
  <si>
    <t>5/24/2017</t>
  </si>
  <si>
    <t>3/28/2015</t>
  </si>
  <si>
    <t>2/27/2016</t>
  </si>
  <si>
    <t>4/13/2016</t>
  </si>
  <si>
    <t>4/22/2012</t>
  </si>
  <si>
    <t>11/30/2015</t>
  </si>
  <si>
    <t>7/15/2016</t>
  </si>
  <si>
    <t>9/28/2014</t>
  </si>
  <si>
    <t>3/17/2014</t>
  </si>
  <si>
    <t>3/24/2015</t>
  </si>
  <si>
    <t>3/30/2017</t>
  </si>
  <si>
    <t>9/26/2016</t>
  </si>
  <si>
    <t>5/13/2014</t>
  </si>
  <si>
    <t>6/15/2015</t>
  </si>
  <si>
    <t>6/22/2015</t>
  </si>
  <si>
    <t>10/27/2014</t>
  </si>
  <si>
    <t>10/31/2014</t>
  </si>
  <si>
    <t>10/29/2011</t>
  </si>
  <si>
    <t>2/23/2011</t>
  </si>
  <si>
    <t>7/26/2013</t>
  </si>
  <si>
    <t>5/20/2017</t>
  </si>
  <si>
    <t>6/29/2017</t>
  </si>
  <si>
    <t>1/20/2010</t>
  </si>
  <si>
    <t>4/18/2012</t>
  </si>
  <si>
    <t>12/23/2013</t>
  </si>
  <si>
    <t>8/28/2015</t>
  </si>
  <si>
    <t>4/17/2011</t>
  </si>
  <si>
    <t>5/23/2015</t>
  </si>
  <si>
    <t>2/28/2015</t>
  </si>
  <si>
    <t>5/31/2013</t>
  </si>
  <si>
    <t>7/27/2011</t>
  </si>
  <si>
    <t>6/23/2017</t>
  </si>
  <si>
    <t>2/20/2016</t>
  </si>
  <si>
    <t>11/24/2015</t>
  </si>
  <si>
    <t>8/26/2011</t>
  </si>
  <si>
    <t>8/13/2015</t>
  </si>
  <si>
    <t>6/23/2013</t>
  </si>
  <si>
    <t>7/15/2013</t>
  </si>
  <si>
    <t>11/30/2013</t>
  </si>
  <si>
    <t>7/26/2017</t>
  </si>
  <si>
    <t>8/18/2017</t>
  </si>
  <si>
    <t>2/20/2017</t>
  </si>
  <si>
    <t>5/15/2010</t>
  </si>
  <si>
    <t>6/24/2016</t>
  </si>
  <si>
    <t>8/29/2016</t>
  </si>
  <si>
    <t>12/14/2011</t>
  </si>
  <si>
    <t>8/16/2013</t>
  </si>
  <si>
    <t>10/16/2012</t>
  </si>
  <si>
    <t>2/19/2017</t>
  </si>
  <si>
    <t>3/15/2015</t>
  </si>
  <si>
    <t>6/29/2014</t>
  </si>
  <si>
    <t>6/17/2014</t>
  </si>
  <si>
    <t>1/22/2010</t>
  </si>
  <si>
    <t>11/27/2012</t>
  </si>
  <si>
    <t>4/26/2012</t>
  </si>
  <si>
    <t>3/30/2013</t>
  </si>
  <si>
    <t>5/18/2013</t>
  </si>
  <si>
    <t>11/24/2016</t>
  </si>
  <si>
    <t>7/19/2013</t>
  </si>
  <si>
    <t>12/14/2014</t>
  </si>
  <si>
    <t>11/23/2014</t>
  </si>
  <si>
    <t>6/20/2012</t>
  </si>
  <si>
    <t>6/24/2012</t>
  </si>
  <si>
    <t>1/23/2016</t>
  </si>
  <si>
    <t>5/25/2013</t>
  </si>
  <si>
    <t>6/13/2016</t>
  </si>
  <si>
    <t>9/13/2011</t>
  </si>
  <si>
    <t>9/15/2010</t>
  </si>
  <si>
    <t>1/31/2015</t>
  </si>
  <si>
    <t>2/23/2015</t>
  </si>
  <si>
    <t>9/18/2010</t>
  </si>
  <si>
    <t>6/14/2013</t>
  </si>
  <si>
    <t>8/31/2014</t>
  </si>
  <si>
    <t>3/28/2012</t>
  </si>
  <si>
    <t>4/14/2012</t>
  </si>
  <si>
    <t>11/19/2012</t>
  </si>
  <si>
    <t>12/17/2012</t>
  </si>
  <si>
    <t>4/29/2016</t>
  </si>
  <si>
    <t>7/25/2016</t>
  </si>
  <si>
    <t>7/26/2016</t>
  </si>
  <si>
    <t>1/18/2017</t>
  </si>
  <si>
    <t>1/14/2014</t>
  </si>
  <si>
    <t>10/21/2014</t>
  </si>
  <si>
    <t>11/24/2010</t>
  </si>
  <si>
    <t>3/26/2011</t>
  </si>
  <si>
    <t>12/26/2015</t>
  </si>
  <si>
    <t>9/13/2013</t>
  </si>
  <si>
    <t>8/25/2012</t>
  </si>
  <si>
    <t>9/30/2013</t>
  </si>
  <si>
    <t>9/14/2016</t>
  </si>
  <si>
    <t>10/23/2012</t>
  </si>
  <si>
    <t>12/13/2015</t>
  </si>
  <si>
    <t>11/17/2011</t>
  </si>
  <si>
    <t>8/24/2012</t>
  </si>
  <si>
    <t>9/18/2016</t>
  </si>
  <si>
    <t>4/24/2017</t>
  </si>
  <si>
    <t>2/18/2011</t>
  </si>
  <si>
    <t>3/16/2011</t>
  </si>
  <si>
    <t>12/30/2010</t>
  </si>
  <si>
    <t>6/24/2011</t>
  </si>
  <si>
    <t>3/19/2011</t>
  </si>
  <si>
    <t>8/22/2016</t>
  </si>
  <si>
    <t>7/19/2016</t>
  </si>
  <si>
    <t>3/14/2015</t>
  </si>
  <si>
    <t>9/19/2014</t>
  </si>
  <si>
    <t>12/31/2015</t>
  </si>
  <si>
    <t>6/28/2016</t>
  </si>
  <si>
    <t>6/29/2010</t>
  </si>
  <si>
    <t>2/18/2016</t>
  </si>
  <si>
    <t>12/23/2016</t>
  </si>
  <si>
    <t>1/24/2017</t>
  </si>
  <si>
    <t>8/27/2013</t>
  </si>
  <si>
    <t>3/29/2011</t>
  </si>
  <si>
    <t>3/18/2017</t>
  </si>
  <si>
    <t>7/20/2013</t>
  </si>
  <si>
    <t>6/21/2015</t>
  </si>
  <si>
    <t>12/19/2013</t>
  </si>
  <si>
    <t>11/22/2015</t>
  </si>
  <si>
    <t>11/30/2010</t>
  </si>
  <si>
    <t>11/13/2011</t>
  </si>
  <si>
    <t>11/25/2012</t>
  </si>
  <si>
    <t>8/20/2015</t>
  </si>
  <si>
    <t>8/26/2015</t>
  </si>
  <si>
    <t>8/31/2017</t>
  </si>
  <si>
    <t>5/20/2013</t>
  </si>
  <si>
    <t>11/29/2015</t>
  </si>
  <si>
    <t>5/26/2010</t>
  </si>
  <si>
    <t>2/13/2012</t>
  </si>
  <si>
    <t>3/22/2011</t>
  </si>
  <si>
    <t>10/17/2010</t>
  </si>
  <si>
    <t>5/22/2016</t>
  </si>
  <si>
    <t>6/25/2016</t>
  </si>
  <si>
    <t>5/18/2015</t>
  </si>
  <si>
    <t>2/28/2017</t>
  </si>
  <si>
    <t>11/15/2011</t>
  </si>
  <si>
    <t>11/19/2011</t>
  </si>
  <si>
    <t>7/25/2010</t>
  </si>
  <si>
    <t>1/21/2010</t>
  </si>
  <si>
    <t>7/29/2013</t>
  </si>
  <si>
    <t>7/22/2010</t>
  </si>
  <si>
    <t>6/27/2015</t>
  </si>
  <si>
    <t>7/31/2015</t>
  </si>
  <si>
    <t>12/28/2016</t>
  </si>
  <si>
    <t>8/29/2011</t>
  </si>
  <si>
    <t>4/28/2011</t>
  </si>
  <si>
    <t>11/29/2016</t>
  </si>
  <si>
    <t>10/30/2016</t>
  </si>
  <si>
    <t>7/14/2011</t>
  </si>
  <si>
    <t>10/15/2016</t>
  </si>
  <si>
    <t>5/14/2014</t>
  </si>
  <si>
    <t>9/27/2015</t>
  </si>
  <si>
    <t>10/30/2015</t>
  </si>
  <si>
    <t>3/15/2014</t>
  </si>
  <si>
    <t>3/19/2013</t>
  </si>
  <si>
    <t>1/13/2012</t>
  </si>
  <si>
    <t>5/16/2015</t>
  </si>
  <si>
    <t>7/23/2016</t>
  </si>
  <si>
    <t>8/20/2016</t>
  </si>
  <si>
    <t>4/26/2014</t>
  </si>
  <si>
    <t>3/26/2016</t>
  </si>
  <si>
    <t>4/22/2010</t>
  </si>
  <si>
    <t>11/21/2016</t>
  </si>
  <si>
    <t>11/17/2013</t>
  </si>
  <si>
    <t>11/20/2013</t>
  </si>
  <si>
    <t>12/15/2010</t>
  </si>
  <si>
    <t>10/15/2012</t>
  </si>
  <si>
    <t>5/16/2010</t>
  </si>
  <si>
    <t>4/27/2016</t>
  </si>
  <si>
    <t>5/28/2016</t>
  </si>
  <si>
    <t>11/26/2015</t>
  </si>
  <si>
    <t>4/30/2012</t>
  </si>
  <si>
    <t>4/30/2011</t>
  </si>
  <si>
    <t>6/17/2011</t>
  </si>
  <si>
    <t>6/30/2011</t>
  </si>
  <si>
    <t>12/19/2010</t>
  </si>
  <si>
    <t>5/19/2014</t>
  </si>
  <si>
    <t>4/24/2016</t>
  </si>
  <si>
    <t>5/13/2015</t>
  </si>
  <si>
    <t>3/13/2015</t>
  </si>
  <si>
    <t>4/16/2014</t>
  </si>
  <si>
    <t>5/23/2013</t>
  </si>
  <si>
    <t>9/29/2014</t>
  </si>
  <si>
    <t>8/13/2013</t>
  </si>
  <si>
    <t>8/21/2013</t>
  </si>
  <si>
    <t>5/16/2014</t>
  </si>
  <si>
    <t>4/25/2013</t>
  </si>
  <si>
    <t>11/19/2015</t>
  </si>
  <si>
    <t>12/15/2015</t>
  </si>
  <si>
    <t>7/24/2011</t>
  </si>
  <si>
    <t>2/21/2013</t>
  </si>
  <si>
    <t>4/30/2017</t>
  </si>
  <si>
    <t>1/14/2016</t>
  </si>
  <si>
    <t>3/18/2013</t>
  </si>
  <si>
    <t>5/13/2016</t>
  </si>
  <si>
    <t>7/22/2015</t>
  </si>
  <si>
    <t>8/30/2012</t>
  </si>
  <si>
    <t>3/31/2012</t>
  </si>
  <si>
    <t>4/15/2012</t>
  </si>
  <si>
    <t>2/20/2013</t>
  </si>
  <si>
    <t>7/18/2017</t>
  </si>
  <si>
    <t>7/17/2016</t>
  </si>
  <si>
    <t>12/24/2015</t>
  </si>
  <si>
    <t>2/20/2012</t>
  </si>
  <si>
    <t>7/16/2011</t>
  </si>
  <si>
    <t>8/28/2011</t>
  </si>
  <si>
    <t>3/14/2011</t>
  </si>
  <si>
    <t>5/24/2011</t>
  </si>
  <si>
    <t>3/18/2011</t>
  </si>
  <si>
    <t>11/29/2012</t>
  </si>
  <si>
    <t>5/23/2016</t>
  </si>
  <si>
    <t>5/19/2017</t>
  </si>
  <si>
    <t>2/25/2017</t>
  </si>
  <si>
    <t>1/14/2015</t>
  </si>
  <si>
    <t>4/30/2016</t>
  </si>
  <si>
    <t>7/13/2015</t>
  </si>
  <si>
    <t>6/25/2010</t>
  </si>
  <si>
    <t>2/22/2012</t>
  </si>
  <si>
    <t>6/24/2017</t>
  </si>
  <si>
    <t>8/13/2017</t>
  </si>
  <si>
    <t>10/24/2010</t>
  </si>
  <si>
    <t>9/14/2014</t>
  </si>
  <si>
    <t>7/30/2015</t>
  </si>
  <si>
    <t>2/20/2011</t>
  </si>
  <si>
    <t>6/26/2012</t>
  </si>
  <si>
    <t>1/31/2011</t>
  </si>
  <si>
    <t>8/25/2014</t>
  </si>
  <si>
    <t>7/24/2014</t>
  </si>
  <si>
    <t>10/19/2015</t>
  </si>
  <si>
    <t>10/24/2011</t>
  </si>
  <si>
    <t>4/24/2013</t>
  </si>
  <si>
    <t>3/14/2012</t>
  </si>
  <si>
    <t>2/21/2016</t>
  </si>
  <si>
    <t>6/30/2016</t>
  </si>
  <si>
    <t>12/26/2016</t>
  </si>
  <si>
    <t>8/31/2015</t>
  </si>
  <si>
    <t>10/16/2015</t>
  </si>
  <si>
    <t>12/13/2011</t>
  </si>
  <si>
    <t>10/18/2016</t>
  </si>
  <si>
    <t>7/21/2011</t>
  </si>
  <si>
    <t>12/24/2010</t>
  </si>
  <si>
    <t>6/16/2014</t>
  </si>
  <si>
    <t>7/18/2014</t>
  </si>
  <si>
    <t>5/29/2014</t>
  </si>
  <si>
    <t>4/17/2012</t>
  </si>
  <si>
    <t>8/31/2016</t>
  </si>
  <si>
    <t>9/29/2016</t>
  </si>
  <si>
    <t>3/19/2017</t>
  </si>
  <si>
    <t>10/31/2012</t>
  </si>
  <si>
    <t>8/28/2010</t>
  </si>
  <si>
    <t>5/17/2012</t>
  </si>
  <si>
    <t>1/29/2017</t>
  </si>
  <si>
    <t>4/20/2014</t>
  </si>
  <si>
    <t>6/20/2016</t>
  </si>
  <si>
    <t>11/28/2011</t>
  </si>
  <si>
    <t>9/18/2015</t>
  </si>
  <si>
    <t>3/25/2017</t>
  </si>
  <si>
    <t>9/27/2012</t>
  </si>
  <si>
    <t>6/13/2011</t>
  </si>
  <si>
    <t>2/21/2012</t>
  </si>
  <si>
    <t>4/18/2017</t>
  </si>
  <si>
    <t>5/31/2017</t>
  </si>
  <si>
    <t>7/18/2016</t>
  </si>
  <si>
    <t>11/16/2013</t>
  </si>
  <si>
    <t>9/18/2013</t>
  </si>
  <si>
    <t>8/14/2014</t>
  </si>
  <si>
    <t>3/23/2013</t>
  </si>
  <si>
    <t>4/20/2013</t>
  </si>
  <si>
    <t>1/16/2013</t>
  </si>
  <si>
    <t>10/26/2014</t>
  </si>
  <si>
    <t>4/16/2012</t>
  </si>
  <si>
    <t>4/28/2014</t>
  </si>
  <si>
    <t>10/23/2015</t>
  </si>
  <si>
    <t>8/27/2017</t>
  </si>
  <si>
    <t>3/15/2012</t>
  </si>
  <si>
    <t>8/31/2012</t>
  </si>
  <si>
    <t>9/14/2012</t>
  </si>
  <si>
    <t>8/30/2011</t>
  </si>
  <si>
    <t>4/29/2013</t>
  </si>
  <si>
    <t>3/15/2011</t>
  </si>
  <si>
    <t>8/16/2015</t>
  </si>
  <si>
    <t>12/13/2014</t>
  </si>
  <si>
    <t>4/18/2015</t>
  </si>
  <si>
    <t>9/25/2015</t>
  </si>
  <si>
    <t>6/13/2013</t>
  </si>
  <si>
    <t>1/30/2011</t>
  </si>
  <si>
    <t>3/19/2012</t>
  </si>
  <si>
    <t>5/15/2015</t>
  </si>
  <si>
    <t>4/25/2015</t>
  </si>
  <si>
    <t>8/29/2012</t>
  </si>
  <si>
    <t>6/20/2010</t>
  </si>
  <si>
    <t>11/25/2014</t>
  </si>
  <si>
    <t>12/31/2010</t>
  </si>
  <si>
    <t>8/13/2016</t>
  </si>
  <si>
    <t>10/18/2015</t>
  </si>
  <si>
    <t>3/16/2016</t>
  </si>
  <si>
    <t>3/21/2010</t>
  </si>
  <si>
    <t>4/16/2010</t>
  </si>
  <si>
    <t>2/27/2012</t>
  </si>
  <si>
    <t>12/22/2015</t>
  </si>
  <si>
    <t>8/20/2013</t>
  </si>
  <si>
    <t>11/13/2015</t>
  </si>
  <si>
    <t>9/20/2014</t>
  </si>
  <si>
    <t>9/17/2016</t>
  </si>
  <si>
    <t>3/16/2013</t>
  </si>
  <si>
    <t>2/24/2011</t>
  </si>
  <si>
    <t>5/16/2016</t>
  </si>
  <si>
    <t>8/30/2014</t>
  </si>
  <si>
    <t>1/27/2015</t>
  </si>
  <si>
    <t>7/14/2016</t>
  </si>
  <si>
    <t>3/24/2012</t>
  </si>
  <si>
    <t>1/15/2010</t>
  </si>
  <si>
    <t>7/23/2015</t>
  </si>
  <si>
    <t>1/13/2011</t>
  </si>
  <si>
    <t>7/28/2012</t>
  </si>
  <si>
    <t>5/31/2012</t>
  </si>
  <si>
    <t>5/30/2016</t>
  </si>
  <si>
    <t>3/13/2012</t>
  </si>
  <si>
    <t>3/20/2011</t>
  </si>
  <si>
    <t>12/18/2013</t>
  </si>
  <si>
    <t>6/29/2013</t>
  </si>
  <si>
    <t>6/18/2015</t>
  </si>
  <si>
    <t>11/19/2016</t>
  </si>
  <si>
    <t>9/14/2011</t>
  </si>
  <si>
    <t>7/28/2017</t>
  </si>
  <si>
    <t>10/21/2010</t>
  </si>
  <si>
    <t>11/19/2010</t>
  </si>
  <si>
    <t>6/26/2011</t>
  </si>
  <si>
    <t>8/22/2013</t>
  </si>
  <si>
    <t>2/23/2014</t>
  </si>
  <si>
    <t>8/31/2011</t>
  </si>
  <si>
    <t>8/23/2017</t>
  </si>
  <si>
    <t>4/29/2015</t>
  </si>
  <si>
    <t>5/25/2014</t>
  </si>
  <si>
    <t>5/30/2011</t>
  </si>
  <si>
    <t>8/15/2013</t>
  </si>
  <si>
    <t>2/16/2013</t>
  </si>
  <si>
    <t>4/18/2010</t>
  </si>
  <si>
    <t>12/13/2010</t>
  </si>
  <si>
    <t>12/27/2016</t>
  </si>
  <si>
    <t>1/28/2017</t>
  </si>
  <si>
    <t>2/29/2016</t>
  </si>
  <si>
    <t>12/17/2010</t>
  </si>
  <si>
    <t>1/19/2011</t>
  </si>
  <si>
    <t>8/29/2015</t>
  </si>
  <si>
    <t>1/23/2013</t>
  </si>
  <si>
    <t>8/23/2015</t>
  </si>
  <si>
    <t>11/22/2014</t>
  </si>
  <si>
    <t>12/24/2014</t>
  </si>
  <si>
    <t>10/24/2014</t>
  </si>
  <si>
    <t>2/24/2010</t>
  </si>
  <si>
    <t>3/30/2010</t>
  </si>
  <si>
    <t>9/26/2014</t>
  </si>
  <si>
    <t>5/21/2017</t>
  </si>
  <si>
    <t>10/22/2014</t>
  </si>
  <si>
    <t>1/17/2010</t>
  </si>
  <si>
    <t>10/28/2015</t>
  </si>
  <si>
    <t>9/15/2012</t>
  </si>
  <si>
    <t>3/26/2017</t>
  </si>
  <si>
    <t>5/29/2017</t>
  </si>
  <si>
    <t>9/24/2016</t>
  </si>
  <si>
    <t>9/21/2010</t>
  </si>
  <si>
    <t>5/31/2011</t>
  </si>
  <si>
    <t>6/16/2011</t>
  </si>
  <si>
    <t>2/19/2012</t>
  </si>
  <si>
    <t>7/16/2014</t>
  </si>
  <si>
    <t>4/29/2017</t>
  </si>
  <si>
    <t>10/14/2014</t>
  </si>
  <si>
    <t>10/28/2011</t>
  </si>
  <si>
    <t>5/20/2012</t>
  </si>
  <si>
    <t>8/22/2010</t>
  </si>
  <si>
    <t>12/25/2013</t>
  </si>
  <si>
    <t>7/21/2014</t>
  </si>
  <si>
    <t>5/31/2015</t>
  </si>
  <si>
    <t>4/27/2010</t>
  </si>
  <si>
    <t>5/31/2010</t>
  </si>
  <si>
    <t>1/18/2013</t>
  </si>
  <si>
    <t>8/14/2011</t>
  </si>
  <si>
    <t>7/13/2016</t>
  </si>
  <si>
    <t>1/28/2012</t>
  </si>
  <si>
    <t>2/26/2015</t>
  </si>
  <si>
    <t>12/19/2012</t>
  </si>
  <si>
    <t>9/26/2011</t>
  </si>
  <si>
    <t>11/16/2015</t>
  </si>
  <si>
    <t>4/14/2016</t>
  </si>
  <si>
    <t>8/25/2013</t>
  </si>
  <si>
    <t>10/16/2013</t>
  </si>
  <si>
    <t>4/30/2015</t>
  </si>
  <si>
    <t>10/19/2014</t>
  </si>
  <si>
    <t>7/25/2017</t>
  </si>
  <si>
    <t>11/17/2012</t>
  </si>
  <si>
    <t>4/15/2014</t>
  </si>
  <si>
    <t>1/17/2017</t>
  </si>
  <si>
    <t>9/21/2016</t>
  </si>
  <si>
    <t>8/25/2011</t>
  </si>
  <si>
    <t>6/19/2011</t>
  </si>
  <si>
    <t>2/23/2017</t>
  </si>
  <si>
    <t>5/17/2015</t>
  </si>
  <si>
    <t>7/18/2012</t>
  </si>
  <si>
    <t>5/24/2010</t>
  </si>
  <si>
    <t>9/22/2015</t>
  </si>
  <si>
    <t>6/21/2010</t>
  </si>
  <si>
    <t>8/21/2012</t>
  </si>
  <si>
    <t>7/13/2012</t>
  </si>
  <si>
    <t>12/23/2011</t>
  </si>
  <si>
    <t>9/28/2015</t>
  </si>
  <si>
    <t>11/14/2016</t>
  </si>
  <si>
    <t>5/15/2016</t>
  </si>
  <si>
    <t>4/28/2016</t>
  </si>
  <si>
    <t>3/17/2017</t>
  </si>
  <si>
    <t>1/30/2010</t>
  </si>
  <si>
    <t>2/20/2015</t>
  </si>
  <si>
    <t>12/28/2015</t>
  </si>
  <si>
    <t>7/26/2011</t>
  </si>
  <si>
    <t>10/13/2011</t>
  </si>
  <si>
    <t>9/23/2016</t>
  </si>
  <si>
    <t>11/27/2016</t>
  </si>
  <si>
    <t>10/31/2016</t>
  </si>
  <si>
    <t>6/13/2010</t>
  </si>
  <si>
    <t>9/30/2010</t>
  </si>
  <si>
    <t>3/27/2014</t>
  </si>
  <si>
    <t>10/23/2016</t>
  </si>
  <si>
    <t>5/13/2017</t>
  </si>
  <si>
    <t>3/30/2016</t>
  </si>
  <si>
    <t>2/25/2014</t>
  </si>
  <si>
    <t>4/22/2014</t>
  </si>
  <si>
    <t>5/25/2016</t>
  </si>
  <si>
    <t>7/24/2013</t>
  </si>
  <si>
    <t>10/14/2010</t>
  </si>
  <si>
    <t>5/18/2012</t>
  </si>
  <si>
    <t>8/26/2012</t>
  </si>
  <si>
    <t>10/13/2016</t>
  </si>
  <si>
    <t>5/26/2015</t>
  </si>
  <si>
    <t>2/25/2010</t>
  </si>
  <si>
    <t>7/23/2010</t>
  </si>
  <si>
    <t>5/18/2017</t>
  </si>
  <si>
    <t>6/25/2017</t>
  </si>
  <si>
    <t>2/29/2012</t>
  </si>
  <si>
    <t>9/15/2013</t>
  </si>
  <si>
    <t>7/20/2012</t>
  </si>
  <si>
    <t>8/15/2016</t>
  </si>
  <si>
    <t>11/26/2010</t>
  </si>
  <si>
    <t>5/17/2017</t>
  </si>
  <si>
    <t>12/17/2014</t>
  </si>
  <si>
    <t>12/21/2014</t>
  </si>
  <si>
    <t>1/13/2015</t>
  </si>
  <si>
    <t>5/13/2012</t>
  </si>
  <si>
    <t>1/24/2011</t>
  </si>
  <si>
    <t>8/23/2014</t>
  </si>
  <si>
    <t>6/20/2014</t>
  </si>
  <si>
    <t>12/30/2014</t>
  </si>
  <si>
    <t>10/16/2010</t>
  </si>
  <si>
    <t>7/27/2012</t>
  </si>
  <si>
    <t>3/30/2015</t>
  </si>
  <si>
    <t>8/19/2011</t>
  </si>
  <si>
    <t>12/30/2011</t>
  </si>
  <si>
    <t>12/31/2011</t>
  </si>
  <si>
    <t>4/28/2017</t>
  </si>
  <si>
    <t>1/25/2014</t>
  </si>
  <si>
    <t>11/30/2011</t>
  </si>
  <si>
    <t>4/19/2017</t>
  </si>
  <si>
    <t>4/22/2011</t>
  </si>
  <si>
    <t>5/27/2010</t>
  </si>
  <si>
    <t>7/14/2013</t>
  </si>
  <si>
    <t>10/15/2011</t>
  </si>
  <si>
    <t>6/22/2011</t>
  </si>
  <si>
    <t>7/19/2011</t>
  </si>
  <si>
    <t>2/27/2013</t>
  </si>
  <si>
    <t>1/19/2010</t>
  </si>
  <si>
    <t>10/23/2010</t>
  </si>
  <si>
    <t>7/29/2017</t>
  </si>
  <si>
    <t>3/22/2015</t>
  </si>
  <si>
    <t>6/13/2015</t>
  </si>
  <si>
    <t>3/18/2015</t>
  </si>
  <si>
    <t>8/15/2012</t>
  </si>
  <si>
    <t>7/21/2012</t>
  </si>
  <si>
    <t>7/17/2014</t>
  </si>
  <si>
    <t>6/25/2014</t>
  </si>
  <si>
    <t>1/24/2010</t>
  </si>
  <si>
    <t>2/16/2014</t>
  </si>
  <si>
    <t>12/18/2015</t>
  </si>
  <si>
    <t>3/14/2016</t>
  </si>
  <si>
    <t>5/19/2010</t>
  </si>
  <si>
    <t>1/19/2013</t>
  </si>
  <si>
    <t>4/17/2010</t>
  </si>
  <si>
    <t>2/24/2014</t>
  </si>
  <si>
    <t>4/20/2016</t>
  </si>
  <si>
    <t>7/17/2013</t>
  </si>
  <si>
    <t>1/29/2011</t>
  </si>
  <si>
    <t>2/13/2017</t>
  </si>
  <si>
    <t>6/17/2013</t>
  </si>
  <si>
    <t>10/25/2013</t>
  </si>
  <si>
    <t>4/23/2010</t>
  </si>
  <si>
    <t>5/29/2015</t>
  </si>
  <si>
    <t>12/13/2012</t>
  </si>
  <si>
    <t>12/26/2014</t>
  </si>
  <si>
    <t>1/28/2010</t>
  </si>
  <si>
    <t>10/26/2016</t>
  </si>
  <si>
    <t>7/25/2013</t>
  </si>
  <si>
    <t>5/25/2012</t>
  </si>
  <si>
    <t>8/25/2015</t>
  </si>
  <si>
    <t>5/27/2012</t>
  </si>
  <si>
    <t>11/14/2014</t>
  </si>
  <si>
    <t>10/13/2012</t>
  </si>
  <si>
    <t>1/14/2011</t>
  </si>
  <si>
    <t>2/14/2011</t>
  </si>
  <si>
    <t>10/27/2012</t>
  </si>
  <si>
    <t>6/16/2017</t>
  </si>
  <si>
    <t>5/28/2010</t>
  </si>
  <si>
    <t>2/27/2011</t>
  </si>
  <si>
    <t>11/16/2014</t>
  </si>
  <si>
    <t>11/17/2015</t>
  </si>
  <si>
    <t>7/19/2010</t>
  </si>
  <si>
    <t>12/19/2016</t>
  </si>
  <si>
    <t>9/16/2014</t>
  </si>
  <si>
    <t>6/16/2015</t>
  </si>
  <si>
    <t>10/15/2010</t>
  </si>
  <si>
    <t>1/25/2013</t>
  </si>
  <si>
    <t>2/26/2013</t>
  </si>
  <si>
    <t>3/24/2010</t>
  </si>
  <si>
    <t>1/29/2012</t>
  </si>
  <si>
    <t>1/31/2012</t>
  </si>
  <si>
    <t>6/28/2012</t>
  </si>
  <si>
    <t>5/17/2016</t>
  </si>
  <si>
    <t>7/30/2017</t>
  </si>
  <si>
    <t>1/27/2010</t>
  </si>
  <si>
    <t>1/23/2014</t>
  </si>
  <si>
    <t>11/28/2013</t>
  </si>
  <si>
    <t>3/25/2016</t>
  </si>
  <si>
    <t>6/21/2017</t>
  </si>
  <si>
    <t>2/22/2010</t>
  </si>
  <si>
    <t>4/29/2011</t>
  </si>
  <si>
    <t>1/20/2012</t>
  </si>
  <si>
    <t>2/23/2010</t>
  </si>
  <si>
    <t>3/17/2011</t>
  </si>
  <si>
    <t>10/13/2010</t>
  </si>
  <si>
    <t>3/25/2013</t>
  </si>
  <si>
    <t>2/20/2014</t>
  </si>
  <si>
    <t>10/25/2015</t>
  </si>
  <si>
    <t>1/16/2012</t>
  </si>
  <si>
    <t>3/31/2015</t>
  </si>
  <si>
    <t>5/20/2011</t>
  </si>
  <si>
    <t>7/22/2013</t>
  </si>
  <si>
    <t>12/28/2010</t>
  </si>
  <si>
    <t>9/17/2013</t>
  </si>
  <si>
    <t>9/28/2011</t>
  </si>
  <si>
    <t>4/22/2013</t>
  </si>
  <si>
    <t>11/30/2012</t>
  </si>
  <si>
    <t>6/18/2011</t>
  </si>
  <si>
    <t>6/25/2015</t>
  </si>
  <si>
    <t>1/21/2017</t>
  </si>
  <si>
    <t>3/31/2017</t>
  </si>
  <si>
    <t>8/17/2015</t>
  </si>
  <si>
    <t>1/22/2013</t>
  </si>
  <si>
    <t>12/29/2016</t>
  </si>
  <si>
    <t>5/23/2010</t>
  </si>
  <si>
    <t>6/23/2011</t>
  </si>
  <si>
    <t>5/16/2011</t>
  </si>
  <si>
    <t>1/29/2016</t>
  </si>
  <si>
    <t>6/22/2014</t>
  </si>
  <si>
    <t>8/14/2015</t>
  </si>
  <si>
    <t>9/14/2010</t>
  </si>
  <si>
    <t>10/18/2010</t>
  </si>
  <si>
    <t>10/22/2013</t>
  </si>
  <si>
    <t>11/30/2014</t>
  </si>
  <si>
    <t>9/13/2014</t>
  </si>
  <si>
    <t>6/19/2012</t>
  </si>
  <si>
    <t>10/28/2014</t>
  </si>
  <si>
    <t>2/25/2015</t>
  </si>
  <si>
    <t>7/16/2013</t>
  </si>
  <si>
    <t>4/20/2015</t>
  </si>
  <si>
    <t>Find the Duplicate values using conditional Formatting in Column G</t>
  </si>
  <si>
    <t>Example</t>
  </si>
  <si>
    <t>Total Sales</t>
  </si>
  <si>
    <t>$94,59,379</t>
  </si>
  <si>
    <t>S.No.</t>
  </si>
  <si>
    <t>Data</t>
  </si>
  <si>
    <t>ABC</t>
  </si>
  <si>
    <t>DEF</t>
  </si>
  <si>
    <t>Que 4</t>
  </si>
  <si>
    <t>Check if the cell does not contain text using Formula</t>
  </si>
  <si>
    <t>Check if the cell contains a number using Formula</t>
  </si>
  <si>
    <t>Check if the cell contains text using Formula</t>
  </si>
  <si>
    <t>Account ID</t>
  </si>
  <si>
    <t>Doses</t>
  </si>
  <si>
    <t>A</t>
  </si>
  <si>
    <t>West</t>
  </si>
  <si>
    <t>D</t>
  </si>
  <si>
    <t>E</t>
  </si>
  <si>
    <t>East</t>
  </si>
  <si>
    <t>F</t>
  </si>
  <si>
    <t>G</t>
  </si>
  <si>
    <t>I</t>
  </si>
  <si>
    <t>North</t>
  </si>
  <si>
    <t>J</t>
  </si>
  <si>
    <t>K</t>
  </si>
  <si>
    <t>South</t>
  </si>
  <si>
    <t>N</t>
  </si>
  <si>
    <t>O</t>
  </si>
  <si>
    <t>P</t>
  </si>
  <si>
    <t>Q</t>
  </si>
  <si>
    <t>R</t>
  </si>
  <si>
    <t>S</t>
  </si>
  <si>
    <t>T</t>
  </si>
  <si>
    <t>Count of Account ID</t>
  </si>
  <si>
    <t>Total Dosages</t>
  </si>
  <si>
    <t>Calculate the total account id is each region using formula?</t>
  </si>
  <si>
    <t>Statement</t>
  </si>
  <si>
    <t>Que 6</t>
  </si>
  <si>
    <t>Que 5</t>
  </si>
  <si>
    <t>Que 7</t>
  </si>
  <si>
    <t>Calculate the total number of Doses in each Region against each Account ID using formula ?</t>
  </si>
  <si>
    <t>Calculate the total number of Doses in each Region using formula ?</t>
  </si>
  <si>
    <t>Student ID</t>
  </si>
  <si>
    <t>Student A</t>
  </si>
  <si>
    <t>Student B</t>
  </si>
  <si>
    <t>Student C</t>
  </si>
  <si>
    <t>Student D</t>
  </si>
  <si>
    <t>Student E</t>
  </si>
  <si>
    <t>Student F</t>
  </si>
  <si>
    <t>Student G</t>
  </si>
  <si>
    <t>Student H</t>
  </si>
  <si>
    <t>Semester 1 Score</t>
  </si>
  <si>
    <t>Grades</t>
  </si>
  <si>
    <t>Format the date in Column F similar to cell C2 in Column F</t>
  </si>
  <si>
    <t>Add Dollar Symbol before Total sales value in column H, Exmaple showin in C3</t>
  </si>
  <si>
    <t>Que 1</t>
  </si>
  <si>
    <t>Que 2</t>
  </si>
  <si>
    <t>Que 3</t>
  </si>
  <si>
    <t>Que 8</t>
  </si>
  <si>
    <t>Hint : Use IF formula</t>
  </si>
  <si>
    <t>Hint: Use Sumifs</t>
  </si>
  <si>
    <t>Hint : Use Countif</t>
  </si>
  <si>
    <t>Hint : Use Sumif</t>
  </si>
  <si>
    <r>
      <t xml:space="preserve">Calculates the student grades using conditional formula :
</t>
    </r>
    <r>
      <rPr>
        <b/>
        <sz val="11"/>
        <color theme="1"/>
        <rFont val="Verdana"/>
        <family val="2"/>
        <scheme val="minor"/>
      </rPr>
      <t>Condtions :</t>
    </r>
    <r>
      <rPr>
        <sz val="11"/>
        <color theme="1"/>
        <rFont val="Verdana"/>
        <family val="2"/>
        <scheme val="minor"/>
      </rPr>
      <t xml:space="preserve">
Grade less than 45 : </t>
    </r>
    <r>
      <rPr>
        <b/>
        <sz val="11"/>
        <color theme="1"/>
        <rFont val="Verdana"/>
        <family val="2"/>
        <scheme val="minor"/>
      </rPr>
      <t>Fail</t>
    </r>
    <r>
      <rPr>
        <sz val="11"/>
        <color theme="1"/>
        <rFont val="Verdana"/>
        <family val="2"/>
        <scheme val="minor"/>
      </rPr>
      <t xml:space="preserve">
Grade less than 65 and Greater than 46 : </t>
    </r>
    <r>
      <rPr>
        <b/>
        <sz val="11"/>
        <color theme="1"/>
        <rFont val="Verdana"/>
        <family val="2"/>
        <scheme val="minor"/>
      </rPr>
      <t>Average</t>
    </r>
    <r>
      <rPr>
        <sz val="11"/>
        <color theme="1"/>
        <rFont val="Verdana"/>
        <family val="2"/>
        <scheme val="minor"/>
      </rPr>
      <t xml:space="preserve">
Grade Greater than 66 : </t>
    </r>
    <r>
      <rPr>
        <b/>
        <sz val="11"/>
        <color theme="1"/>
        <rFont val="Verdana"/>
        <family val="2"/>
        <scheme val="minor"/>
      </rPr>
      <t>Merit</t>
    </r>
  </si>
  <si>
    <t>Product Code</t>
  </si>
  <si>
    <t>ABC123</t>
  </si>
  <si>
    <t>DEF456</t>
  </si>
  <si>
    <t>GHI789</t>
  </si>
  <si>
    <t>JKL012</t>
  </si>
  <si>
    <t>MNO345</t>
  </si>
  <si>
    <t>What are the first three letters of each product code?
Hint : Use Left Function</t>
  </si>
  <si>
    <t>What are the last three numbers of each product code?
Hint : Use Right Function</t>
  </si>
  <si>
    <t>Product Name</t>
  </si>
  <si>
    <t>Product 1</t>
  </si>
  <si>
    <t>Product 2</t>
  </si>
  <si>
    <t>Product 3</t>
  </si>
  <si>
    <t>Product 4</t>
  </si>
  <si>
    <t>Product 5</t>
  </si>
  <si>
    <t>Calculate the length of each product code.
Hint : Use Len function</t>
  </si>
  <si>
    <t>Que 9</t>
  </si>
  <si>
    <t>First Name</t>
  </si>
  <si>
    <t>Last Name</t>
  </si>
  <si>
    <t>Combine the first name and last name into a full name</t>
  </si>
  <si>
    <t>John</t>
  </si>
  <si>
    <t>Doe</t>
  </si>
  <si>
    <t>Jane</t>
  </si>
  <si>
    <t>Smith</t>
  </si>
  <si>
    <t>Alice</t>
  </si>
  <si>
    <t>Johnson</t>
  </si>
  <si>
    <t>Bob</t>
  </si>
  <si>
    <t>Brown</t>
  </si>
  <si>
    <t>Carol</t>
  </si>
  <si>
    <t>Davis</t>
  </si>
  <si>
    <t>Que 10</t>
  </si>
  <si>
    <t>Que 11</t>
  </si>
  <si>
    <t>Calculate the Region wise total Doses</t>
  </si>
  <si>
    <r>
      <t xml:space="preserve">Calcute the total distinct count of AccountID in each Region and group by data based on sum of Total Dosages
</t>
    </r>
    <r>
      <rPr>
        <sz val="9"/>
        <color theme="1"/>
        <rFont val="Verdana"/>
        <family val="2"/>
        <scheme val="minor"/>
      </rPr>
      <t>Hint: While creating the pivot table click on Add data to data model option</t>
    </r>
  </si>
  <si>
    <t>(i)</t>
  </si>
  <si>
    <t>(ii)</t>
  </si>
  <si>
    <t>(iii)</t>
  </si>
  <si>
    <t>Short the Answer of (ii) in ascending order (Sum of Total Dosages)</t>
  </si>
  <si>
    <t>Create the pivot table using Raw_Data worksheet in this worksheet</t>
  </si>
  <si>
    <t>Row Labels</t>
  </si>
  <si>
    <t>(blank)</t>
  </si>
  <si>
    <t>Grand Total</t>
  </si>
  <si>
    <t>Sum of Doses</t>
  </si>
  <si>
    <t>11(i)</t>
  </si>
  <si>
    <t>11(2)</t>
  </si>
  <si>
    <t>11(3)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</si>
</sst>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14009]dddd\,\ d\ mmmm\,\ yyyy;@"/>
  </numFmts>
  <fonts count="5" x14ac:knownFonts="1">
    <font>
      <sz val="11"/>
      <color theme="1"/>
      <name val="Verdana"/>
      <family val="2"/>
      <scheme val="minor"/>
    </font>
    <font>
      <b/>
      <sz val="11"/>
      <color theme="0"/>
      <name val="Verdana"/>
      <family val="2"/>
      <scheme val="minor"/>
    </font>
    <font>
      <b/>
      <sz val="11"/>
      <color theme="1"/>
      <name val="Verdana"/>
      <family val="2"/>
      <scheme val="minor"/>
    </font>
    <font>
      <sz val="9"/>
      <color theme="1"/>
      <name val="Verdana"/>
      <family val="2"/>
      <scheme val="minor"/>
    </font>
    <font>
      <sz val="8"/>
      <color theme="1"/>
      <name val="Verdana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14" fontId="0" fillId="0" borderId="0" xfId="0" applyNumberFormat="1"/>
    <xf numFmtId="0" fontId="2" fillId="0" borderId="0" xfId="0" applyFont="1"/>
    <xf numFmtId="164" fontId="0" fillId="0" borderId="0" xfId="0" applyNumberFormat="1"/>
    <xf numFmtId="164" fontId="0" fillId="2" borderId="0" xfId="0" applyNumberFormat="1" applyFill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37" fontId="0" fillId="0" borderId="1" xfId="0" applyNumberFormat="1" applyBorder="1" applyAlignment="1">
      <alignment horizontal="center" vertical="center"/>
    </xf>
    <xf numFmtId="0" fontId="0" fillId="0" borderId="0" xfId="0" applyAlignment="1">
      <alignment wrapText="1"/>
    </xf>
    <xf numFmtId="0" fontId="0" fillId="2" borderId="0" xfId="0" applyFill="1"/>
    <xf numFmtId="0" fontId="2" fillId="0" borderId="1" xfId="0" applyFont="1" applyBorder="1"/>
    <xf numFmtId="0" fontId="0" fillId="2" borderId="1" xfId="0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0" fontId="4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93B5534C-00D6-4502-9284-2C01FB4EE7E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theme" Target="theme/theme1.xml"/><Relationship Id="rId18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4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pivotCacheDefinition" Target="pivotCache/pivotCacheDefinition2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onnections" Target="connection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anofi-my.sharepoint.com/personal/sourabh_sharma_sanofi_com/Documents/Desktop/Work/WIP/Day%201/Product-Sales-Region.xlsx" TargetMode="External"/><Relationship Id="rId1" Type="http://schemas.openxmlformats.org/officeDocument/2006/relationships/externalLinkPath" Target="/personal/sourabh_sharma_sanofi_com/Documents/Desktop/Work/WIP/Day%201/Product-Sales-Reg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"/>
      <sheetName val="Sheet7"/>
      <sheetName val="Sheet5"/>
      <sheetName val="Sheet6"/>
      <sheetName val="Sheet2"/>
      <sheetName val="Raw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tukuri, Maithili /IN/EXT" refreshedDate="46055.652855902779" createdVersion="8" refreshedVersion="8" minRefreshableVersion="3" recordCount="5001" xr:uid="{4A0A771F-0F1E-466A-88BD-3D24BBB410C5}">
  <cacheSource type="worksheet">
    <worksheetSource ref="A1:N1048576" sheet="Raw_Data"/>
  </cacheSource>
  <cacheFields count="14">
    <cacheField name="Region" numFmtId="0">
      <sharedItems containsBlank="1" count="8">
        <s v="Central America and the Caribbean"/>
        <s v="Europe"/>
        <s v="Asia"/>
        <s v="Middle East and North Africa"/>
        <s v="Australia and Oceania"/>
        <s v="Sub-Saharan Africa"/>
        <s v="North America"/>
        <m/>
      </sharedItems>
    </cacheField>
    <cacheField name="Country" numFmtId="0">
      <sharedItems containsBlank="1"/>
    </cacheField>
    <cacheField name="Item Type" numFmtId="0">
      <sharedItems containsBlank="1"/>
    </cacheField>
    <cacheField name="Sales Channel" numFmtId="0">
      <sharedItems containsBlank="1"/>
    </cacheField>
    <cacheField name="Order Priority" numFmtId="0">
      <sharedItems containsBlank="1"/>
    </cacheField>
    <cacheField name="Order Date" numFmtId="0">
      <sharedItems containsDate="1" containsBlank="1" containsMixedTypes="1" minDate="2010-01-01T00:00:00" maxDate="2017-12-08T00:00:00"/>
    </cacheField>
    <cacheField name="Order ID" numFmtId="0">
      <sharedItems containsString="0" containsBlank="1" containsNumber="1" containsInteger="1" minValue="100090873" maxValue="999879729"/>
    </cacheField>
    <cacheField name="Ship Date" numFmtId="0">
      <sharedItems containsDate="1" containsBlank="1" containsMixedTypes="1" minDate="2010-01-02T00:00:00" maxDate="2017-12-09T00:00:00"/>
    </cacheField>
    <cacheField name="Units Sold" numFmtId="0">
      <sharedItems containsString="0" containsBlank="1" containsNumber="1" containsInteger="1" minValue="2" maxValue="9999"/>
    </cacheField>
    <cacheField name="Unit Price" numFmtId="0">
      <sharedItems containsString="0" containsBlank="1" containsNumber="1" minValue="9.33" maxValue="668.27"/>
    </cacheField>
    <cacheField name="Unit Cost" numFmtId="0">
      <sharedItems containsString="0" containsBlank="1" containsNumber="1" minValue="6.92" maxValue="524.96"/>
    </cacheField>
    <cacheField name="Total Revenue" numFmtId="0">
      <sharedItems containsString="0" containsBlank="1" containsNumber="1" minValue="65.31" maxValue="6672675.9500000002"/>
    </cacheField>
    <cacheField name="Total Cost" numFmtId="0">
      <sharedItems containsString="0" containsBlank="1" containsNumber="1" minValue="48.44" maxValue="5248025.12"/>
    </cacheField>
    <cacheField name="Total Profit" numFmtId="0">
      <sharedItems containsString="0" containsBlank="1" containsNumber="1" minValue="16.87" maxValue="1726007.4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tukuri, Maithili /IN/EXT" refreshedDate="46056.43289178241" backgroundQuery="1" createdVersion="8" refreshedVersion="8" minRefreshableVersion="3" recordCount="0" supportSubquery="1" supportAdvancedDrill="1" xr:uid="{4FBB86E9-FE3C-4E52-A5E8-75BD592C75B9}">
  <cacheSource type="external" connectionId="1"/>
  <cacheFields count="2">
    <cacheField name="[Range].[Region].[Region]" caption="Region" numFmtId="0" hierarchy="1" level="1">
      <sharedItems count="4">
        <s v="East"/>
        <s v="North"/>
        <s v="South"/>
        <s v="West"/>
      </sharedItems>
    </cacheField>
    <cacheField name="[Measures].[Sum of Doses]" caption="Sum of Doses" numFmtId="0" hierarchy="5" level="32767"/>
  </cacheFields>
  <cacheHierarchies count="7">
    <cacheHierarchy uniqueName="[Range].[Account ID]" caption="Account ID" attribute="1" defaultMemberUniqueName="[Range].[Account ID].[All]" allUniqueName="[Range].[Account ID].[All]" dimensionUniqueName="[Range]" displayFolder="" count="0" memberValueDatatype="130" unbalanced="0"/>
    <cacheHierarchy uniqueName="[Range].[Region]" caption="Region" attribute="1" defaultMemberUniqueName="[Range].[Region].[All]" allUniqueName="[Range].[Region].[All]" dimensionUniqueName="[Range]" displayFolder="" count="2" memberValueDatatype="130" unbalanced="0">
      <fieldsUsage count="2">
        <fieldUsage x="-1"/>
        <fieldUsage x="0"/>
      </fieldsUsage>
    </cacheHierarchy>
    <cacheHierarchy uniqueName="[Range].[Doses]" caption="Doses" attribute="1" defaultMemberUniqueName="[Range].[Doses].[All]" allUniqueName="[Range].[Doses].[All]" dimensionUniqueName="[Range]" displayFolder="" count="0" memberValueDatatype="2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Doses]" caption="Sum of Doses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Account ID]" caption="Count of Account 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tukuri, Maithili /IN/EXT" refreshedDate="46056.433370601851" backgroundQuery="1" createdVersion="8" refreshedVersion="8" minRefreshableVersion="3" recordCount="0" supportSubquery="1" supportAdvancedDrill="1" xr:uid="{5168C4EF-4EE5-4E1F-A8EA-1D9332EB9E90}">
  <cacheSource type="external" connectionId="1"/>
  <cacheFields count="3">
    <cacheField name="[Range].[Region].[Region]" caption="Region" numFmtId="0" hierarchy="1" level="1">
      <sharedItems count="4">
        <s v="East"/>
        <s v="North"/>
        <s v="South"/>
        <s v="West"/>
      </sharedItems>
    </cacheField>
    <cacheField name="[Measures].[Sum of Doses]" caption="Sum of Doses" numFmtId="0" hierarchy="5" level="32767"/>
    <cacheField name="[Measures].[Count of Account ID]" caption="Count of Account ID" numFmtId="0" hierarchy="6" level="32767"/>
  </cacheFields>
  <cacheHierarchies count="7">
    <cacheHierarchy uniqueName="[Range].[Account ID]" caption="Account ID" attribute="1" defaultMemberUniqueName="[Range].[Account ID].[All]" allUniqueName="[Range].[Account ID].[All]" dimensionUniqueName="[Range]" displayFolder="" count="0" memberValueDatatype="130" unbalanced="0"/>
    <cacheHierarchy uniqueName="[Range].[Region]" caption="Region" attribute="1" defaultMemberUniqueName="[Range].[Region].[All]" allUniqueName="[Range].[Region].[All]" dimensionUniqueName="[Range]" displayFolder="" count="2" memberValueDatatype="130" unbalanced="0">
      <fieldsUsage count="2">
        <fieldUsage x="-1"/>
        <fieldUsage x="0"/>
      </fieldsUsage>
    </cacheHierarchy>
    <cacheHierarchy uniqueName="[Range].[Doses]" caption="Doses" attribute="1" defaultMemberUniqueName="[Range].[Doses].[All]" allUniqueName="[Range].[Doses].[All]" dimensionUniqueName="[Range]" displayFolder="" count="0" memberValueDatatype="2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Doses]" caption="Sum of Doses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Account ID]" caption="Count of Account ID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tukuri, Maithili /IN/EXT" refreshedDate="46056.436095486111" backgroundQuery="1" createdVersion="8" refreshedVersion="8" minRefreshableVersion="3" recordCount="0" supportSubquery="1" supportAdvancedDrill="1" xr:uid="{FE12D7D4-A812-4485-A747-89C261D90EF9}">
  <cacheSource type="external" connectionId="1"/>
  <cacheFields count="3">
    <cacheField name="[Range].[Region].[Region]" caption="Region" numFmtId="0" hierarchy="1" level="1">
      <sharedItems count="4">
        <s v="East"/>
        <s v="North"/>
        <s v="South"/>
        <s v="West"/>
      </sharedItems>
    </cacheField>
    <cacheField name="[Measures].[Sum of Doses]" caption="Sum of Doses" numFmtId="0" hierarchy="5" level="32767"/>
    <cacheField name="[Measures].[Count of Account ID]" caption="Count of Account ID" numFmtId="0" hierarchy="6" level="32767"/>
  </cacheFields>
  <cacheHierarchies count="7">
    <cacheHierarchy uniqueName="[Range].[Account ID]" caption="Account ID" attribute="1" defaultMemberUniqueName="[Range].[Account ID].[All]" allUniqueName="[Range].[Account ID].[All]" dimensionUniqueName="[Range]" displayFolder="" count="0" memberValueDatatype="130" unbalanced="0"/>
    <cacheHierarchy uniqueName="[Range].[Region]" caption="Region" attribute="1" defaultMemberUniqueName="[Range].[Region].[All]" allUniqueName="[Range].[Region].[All]" dimensionUniqueName="[Range]" displayFolder="" count="2" memberValueDatatype="130" unbalanced="0">
      <fieldsUsage count="2">
        <fieldUsage x="-1"/>
        <fieldUsage x="0"/>
      </fieldsUsage>
    </cacheHierarchy>
    <cacheHierarchy uniqueName="[Range].[Doses]" caption="Doses" attribute="1" defaultMemberUniqueName="[Range].[Doses].[All]" allUniqueName="[Range].[Doses].[All]" dimensionUniqueName="[Range]" displayFolder="" count="0" memberValueDatatype="2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Doses]" caption="Sum of Doses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Account ID]" caption="Count of Account ID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1">
  <r>
    <x v="0"/>
    <s v="Antigua and Barbuda "/>
    <s v="Baby Food"/>
    <s v="Online"/>
    <s v="M"/>
    <s v="12/20/2013"/>
    <n v="957081544"/>
    <d v="2014-11-01T00:00:00"/>
    <n v="552"/>
    <n v="255.28"/>
    <n v="159.41999999999999"/>
    <n v="140914.56"/>
    <n v="87999.84"/>
    <n v="52914.720000000001"/>
  </r>
  <r>
    <x v="0"/>
    <s v="Panama"/>
    <s v="Snacks"/>
    <s v="Offline"/>
    <s v="C"/>
    <d v="2010-05-07T00:00:00"/>
    <n v="301644504"/>
    <s v="7/26/2010"/>
    <n v="2167"/>
    <n v="152.58000000000001"/>
    <n v="97.44"/>
    <n v="330640.86"/>
    <n v="211152.48"/>
    <n v="119488.38"/>
  </r>
  <r>
    <x v="1"/>
    <s v="Czech Republic"/>
    <s v="Beverages"/>
    <s v="Offline"/>
    <s v="C"/>
    <d v="2011-12-09T00:00:00"/>
    <n v="478051030"/>
    <s v="9/29/2011"/>
    <n v="4778"/>
    <n v="47.45"/>
    <n v="31.79"/>
    <n v="226716.1"/>
    <n v="151892.62"/>
    <n v="74823.48"/>
  </r>
  <r>
    <x v="2"/>
    <s v="North Korea"/>
    <s v="Cereal"/>
    <s v="Offline"/>
    <s v="L"/>
    <s v="5/13/2010"/>
    <n v="892599952"/>
    <s v="6/15/2010"/>
    <n v="9016"/>
    <n v="205.7"/>
    <n v="117.11"/>
    <n v="1854591.2"/>
    <n v="1055863.76"/>
    <n v="798727.44"/>
  </r>
  <r>
    <x v="2"/>
    <s v="Sri Lanka"/>
    <s v="Snacks"/>
    <s v="Offline"/>
    <s v="C"/>
    <s v="7/20/2015"/>
    <n v="571902596"/>
    <s v="7/27/2015"/>
    <n v="7542"/>
    <n v="152.58000000000001"/>
    <n v="97.44"/>
    <n v="1150758.3600000001"/>
    <n v="734892.48"/>
    <n v="415865.88"/>
  </r>
  <r>
    <x v="3"/>
    <s v="Morocco"/>
    <s v="Personal Care"/>
    <s v="Offline"/>
    <s v="L"/>
    <d v="2010-08-11T00:00:00"/>
    <n v="412882792"/>
    <s v="11/22/2010"/>
    <n v="48"/>
    <n v="81.73"/>
    <n v="56.67"/>
    <n v="3923.04"/>
    <n v="2720.16"/>
    <n v="1202.8800000000001"/>
  </r>
  <r>
    <x v="4"/>
    <s v="Federated States of Micronesia"/>
    <s v="Clothes"/>
    <s v="Offline"/>
    <s v="H"/>
    <s v="3/28/2011"/>
    <n v="932776868"/>
    <d v="2011-10-05T00:00:00"/>
    <n v="8258"/>
    <n v="109.28"/>
    <n v="35.840000000000003"/>
    <n v="902434.24"/>
    <n v="295966.71999999997"/>
    <n v="606467.52"/>
  </r>
  <r>
    <x v="1"/>
    <s v="Bosnia and Herzegovina"/>
    <s v="Clothes"/>
    <s v="Online"/>
    <s v="M"/>
    <s v="10/14/2013"/>
    <n v="919133651"/>
    <d v="2013-04-11T00:00:00"/>
    <n v="927"/>
    <n v="109.28"/>
    <n v="35.840000000000003"/>
    <n v="101302.56"/>
    <n v="33223.68"/>
    <n v="68078.880000000005"/>
  </r>
  <r>
    <x v="3"/>
    <s v="Afghanistan"/>
    <s v="Clothes"/>
    <s v="Offline"/>
    <s v="M"/>
    <s v="8/27/2016"/>
    <n v="579814469"/>
    <d v="2016-05-10T00:00:00"/>
    <n v="8841"/>
    <n v="109.28"/>
    <n v="35.840000000000003"/>
    <n v="966144.48"/>
    <n v="316861.44"/>
    <n v="649283.04"/>
  </r>
  <r>
    <x v="5"/>
    <s v="Ethiopia"/>
    <s v="Baby Food"/>
    <s v="Online"/>
    <s v="M"/>
    <s v="4/13/2015"/>
    <n v="192993152"/>
    <d v="2015-07-05T00:00:00"/>
    <n v="9817"/>
    <n v="255.28"/>
    <n v="159.41999999999999"/>
    <n v="2506083.7599999998"/>
    <n v="1565026.14"/>
    <n v="941057.62"/>
  </r>
  <r>
    <x v="3"/>
    <s v="Turkey"/>
    <s v="Office Supplies"/>
    <s v="Offline"/>
    <s v="C"/>
    <s v="9/25/2013"/>
    <n v="557156026"/>
    <s v="10/15/2013"/>
    <n v="3704"/>
    <n v="651.21"/>
    <n v="524.96"/>
    <n v="2412081.84"/>
    <n v="1944451.84"/>
    <n v="467630"/>
  </r>
  <r>
    <x v="3"/>
    <s v="Oman"/>
    <s v="Cosmetics"/>
    <s v="Online"/>
    <s v="M"/>
    <d v="2013-12-05T00:00:00"/>
    <n v="741101920"/>
    <s v="5/17/2013"/>
    <n v="7382"/>
    <n v="437.2"/>
    <n v="263.33"/>
    <n v="3227410.4"/>
    <n v="1943902.06"/>
    <n v="1283508.3400000001"/>
  </r>
  <r>
    <x v="2"/>
    <s v="Malaysia"/>
    <s v="Cereal"/>
    <s v="Offline"/>
    <s v="L"/>
    <s v="7/31/2016"/>
    <n v="333942162"/>
    <s v="8/25/2016"/>
    <n v="9762"/>
    <n v="205.7"/>
    <n v="117.11"/>
    <n v="2008043.4"/>
    <n v="1143227.82"/>
    <n v="864815.58"/>
  </r>
  <r>
    <x v="0"/>
    <s v="Saint Lucia"/>
    <s v="Cosmetics"/>
    <s v="Offline"/>
    <s v="H"/>
    <d v="2015-06-07T00:00:00"/>
    <n v="795100581"/>
    <s v="7/16/2015"/>
    <n v="6786"/>
    <n v="437.2"/>
    <n v="263.33"/>
    <n v="2966839.2"/>
    <n v="1786957.38"/>
    <n v="1179881.82"/>
  </r>
  <r>
    <x v="0"/>
    <s v="Saint Vincent and the Grenadines"/>
    <s v="Baby Food"/>
    <s v="Online"/>
    <s v="L"/>
    <s v="11/28/2010"/>
    <n v="504313504"/>
    <d v="2010-03-12T00:00:00"/>
    <n v="6428"/>
    <n v="255.28"/>
    <n v="159.41999999999999"/>
    <n v="1640939.84"/>
    <n v="1024751.76"/>
    <n v="616188.07999999996"/>
  </r>
  <r>
    <x v="3"/>
    <s v="Lebanon"/>
    <s v="Meat"/>
    <s v="Offline"/>
    <s v="H"/>
    <s v="12/17/2015"/>
    <n v="611629760"/>
    <s v="1/31/2016"/>
    <n v="3693"/>
    <n v="421.89"/>
    <n v="364.69"/>
    <n v="1558039.77"/>
    <n v="1346800.17"/>
    <n v="211239.6"/>
  </r>
  <r>
    <x v="1"/>
    <s v="Austria"/>
    <s v="Cereal"/>
    <s v="Offline"/>
    <s v="C"/>
    <s v="8/13/2014"/>
    <n v="987410676"/>
    <d v="2014-06-09T00:00:00"/>
    <n v="5616"/>
    <n v="205.7"/>
    <n v="117.11"/>
    <n v="1155211.2"/>
    <n v="657689.76"/>
    <n v="497521.44"/>
  </r>
  <r>
    <x v="1"/>
    <s v="Bulgaria"/>
    <s v="Office Supplies"/>
    <s v="Online"/>
    <s v="L"/>
    <s v="10/31/2010"/>
    <n v="672330081"/>
    <s v="11/29/2010"/>
    <n v="6266"/>
    <n v="651.21"/>
    <n v="524.96"/>
    <n v="4080481.86"/>
    <n v="3289399.36"/>
    <n v="791082.5"/>
  </r>
  <r>
    <x v="6"/>
    <s v="Mexico"/>
    <s v="Beverages"/>
    <s v="Online"/>
    <s v="C"/>
    <s v="3/13/2017"/>
    <n v="127374303"/>
    <s v="3/20/2017"/>
    <n v="1742"/>
    <n v="47.45"/>
    <n v="31.79"/>
    <n v="82657.899999999994"/>
    <n v="55378.18"/>
    <n v="27279.72"/>
  </r>
  <r>
    <x v="0"/>
    <s v="Trinidad and Tobago"/>
    <s v="Baby Food"/>
    <s v="Offline"/>
    <s v="C"/>
    <s v="4/16/2013"/>
    <n v="783842170"/>
    <d v="2013-01-06T00:00:00"/>
    <n v="5172"/>
    <n v="255.28"/>
    <n v="159.41999999999999"/>
    <n v="1320308.1599999999"/>
    <n v="824520.24"/>
    <n v="495787.92"/>
  </r>
  <r>
    <x v="3"/>
    <s v="Libya"/>
    <s v="Beverages"/>
    <s v="Offline"/>
    <s v="L"/>
    <s v="1/18/2010"/>
    <n v="993345010"/>
    <d v="2010-03-03T00:00:00"/>
    <n v="1718"/>
    <n v="47.45"/>
    <n v="31.79"/>
    <n v="81519.100000000006"/>
    <n v="54615.22"/>
    <n v="26903.88"/>
  </r>
  <r>
    <x v="3"/>
    <s v="Algeria"/>
    <s v="Baby Food"/>
    <s v="Offline"/>
    <s v="M"/>
    <d v="2015-05-09T00:00:00"/>
    <n v="977806651"/>
    <s v="10/14/2015"/>
    <n v="3572"/>
    <n v="255.28"/>
    <n v="159.41999999999999"/>
    <n v="911860.16"/>
    <n v="569448.24"/>
    <n v="342411.92"/>
  </r>
  <r>
    <x v="1"/>
    <s v="Estonia"/>
    <s v="Fruits"/>
    <s v="Online"/>
    <s v="L"/>
    <s v="9/28/2016"/>
    <n v="579463422"/>
    <d v="2016-01-11T00:00:00"/>
    <n v="4958"/>
    <n v="9.33"/>
    <n v="6.92"/>
    <n v="46258.14"/>
    <n v="34309.360000000001"/>
    <n v="11948.78"/>
  </r>
  <r>
    <x v="4"/>
    <s v="Tuvalu"/>
    <s v="Beverages"/>
    <s v="Offline"/>
    <s v="L"/>
    <s v="3/22/2012"/>
    <n v="610864150"/>
    <d v="2012-07-04T00:00:00"/>
    <n v="7132"/>
    <n v="47.45"/>
    <n v="31.79"/>
    <n v="338413.4"/>
    <n v="226726.28"/>
    <n v="111687.12"/>
  </r>
  <r>
    <x v="3"/>
    <s v="Saudi Arabia"/>
    <s v="Snacks"/>
    <s v="Offline"/>
    <s v="L"/>
    <s v="4/25/2017"/>
    <n v="604870164"/>
    <d v="2017-05-06T00:00:00"/>
    <n v="3378"/>
    <n v="152.58000000000001"/>
    <n v="97.44"/>
    <n v="515415.24"/>
    <n v="329152.32"/>
    <n v="186262.92"/>
  </r>
  <r>
    <x v="0"/>
    <s v="Cuba"/>
    <s v="Cereal"/>
    <s v="Online"/>
    <s v="H"/>
    <s v="3/13/2014"/>
    <n v="164655292"/>
    <d v="2014-01-05T00:00:00"/>
    <n v="4015"/>
    <n v="205.7"/>
    <n v="117.11"/>
    <n v="825885.5"/>
    <n v="470196.65"/>
    <n v="355688.85"/>
  </r>
  <r>
    <x v="1"/>
    <s v="Montenegro"/>
    <s v="Fruits"/>
    <s v="Offline"/>
    <s v="L"/>
    <s v="5/29/2016"/>
    <n v="313705861"/>
    <d v="2016-10-07T00:00:00"/>
    <n v="1390"/>
    <n v="9.33"/>
    <n v="6.92"/>
    <n v="12968.7"/>
    <n v="9618.7999999999993"/>
    <n v="3349.9"/>
  </r>
  <r>
    <x v="0"/>
    <s v="Guatemala"/>
    <s v="Office Supplies"/>
    <s v="Online"/>
    <s v="M"/>
    <s v="1/17/2012"/>
    <n v="345820701"/>
    <d v="2012-01-02T00:00:00"/>
    <n v="4885"/>
    <n v="651.21"/>
    <n v="524.96"/>
    <n v="3181160.85"/>
    <n v="2564429.6"/>
    <n v="616731.25"/>
  </r>
  <r>
    <x v="5"/>
    <s v="Guinea"/>
    <s v="Baby Food"/>
    <s v="Online"/>
    <s v="M"/>
    <s v="12/27/2012"/>
    <n v="975111138"/>
    <s v="1/21/2013"/>
    <n v="5910"/>
    <n v="255.28"/>
    <n v="159.41999999999999"/>
    <n v="1508704.8"/>
    <n v="942172.2"/>
    <n v="566532.6"/>
  </r>
  <r>
    <x v="4"/>
    <s v="Vanuatu"/>
    <s v="Snacks"/>
    <s v="Online"/>
    <s v="C"/>
    <d v="2013-01-04T00:00:00"/>
    <n v="286001002"/>
    <s v="4/15/2013"/>
    <n v="2907"/>
    <n v="152.58000000000001"/>
    <n v="97.44"/>
    <n v="443550.06"/>
    <n v="283258.08"/>
    <n v="160291.98000000001"/>
  </r>
  <r>
    <x v="3"/>
    <s v="United Arab Emirates"/>
    <s v="Cosmetics"/>
    <s v="Offline"/>
    <s v="H"/>
    <s v="6/26/2015"/>
    <n v="483226621"/>
    <d v="2015-06-08T00:00:00"/>
    <n v="6350"/>
    <n v="437.2"/>
    <n v="263.33"/>
    <n v="2776220"/>
    <n v="1672145.5"/>
    <n v="1104074.5"/>
  </r>
  <r>
    <x v="4"/>
    <s v="Australia"/>
    <s v="Clothes"/>
    <s v="Offline"/>
    <s v="M"/>
    <s v="1/17/2012"/>
    <n v="241836822"/>
    <s v="1/17/2012"/>
    <n v="3744"/>
    <n v="109.28"/>
    <n v="35.840000000000003"/>
    <n v="409144.32000000001"/>
    <n v="134184.95999999999"/>
    <n v="274959.35999999999"/>
  </r>
  <r>
    <x v="3"/>
    <s v="Oman"/>
    <s v="Clothes"/>
    <s v="Online"/>
    <s v="H"/>
    <d v="2011-03-07T00:00:00"/>
    <n v="557192933"/>
    <d v="2011-05-07T00:00:00"/>
    <n v="4626"/>
    <n v="109.28"/>
    <n v="35.840000000000003"/>
    <n v="505529.28"/>
    <n v="165795.84"/>
    <n v="339733.44"/>
  </r>
  <r>
    <x v="5"/>
    <s v="Malawi"/>
    <s v="Meat"/>
    <s v="Online"/>
    <s v="L"/>
    <s v="2/17/2012"/>
    <n v="694968783"/>
    <d v="2012-02-04T00:00:00"/>
    <n v="5562"/>
    <n v="421.89"/>
    <n v="364.69"/>
    <n v="2346552.1800000002"/>
    <n v="2028405.78"/>
    <n v="318146.40000000002"/>
  </r>
  <r>
    <x v="3"/>
    <s v="Lebanon"/>
    <s v="Fruits"/>
    <s v="Online"/>
    <s v="H"/>
    <d v="2013-05-04T00:00:00"/>
    <n v="441150701"/>
    <d v="2013-12-05T00:00:00"/>
    <n v="5150"/>
    <n v="9.33"/>
    <n v="6.92"/>
    <n v="48049.5"/>
    <n v="35638"/>
    <n v="12411.5"/>
  </r>
  <r>
    <x v="1"/>
    <s v="Czech Republic"/>
    <s v="Cereal"/>
    <s v="Online"/>
    <s v="M"/>
    <d v="2011-08-07T00:00:00"/>
    <n v="552037513"/>
    <d v="2011-05-08T00:00:00"/>
    <n v="9022"/>
    <n v="205.7"/>
    <n v="117.11"/>
    <n v="1855825.4"/>
    <n v="1056566.42"/>
    <n v="799258.98"/>
  </r>
  <r>
    <x v="4"/>
    <s v="Vanuatu"/>
    <s v="Cosmetics"/>
    <s v="Offline"/>
    <s v="C"/>
    <s v="2/24/2012"/>
    <n v="504240548"/>
    <s v="3/27/2012"/>
    <n v="4838"/>
    <n v="437.2"/>
    <n v="263.33"/>
    <n v="2115173.6"/>
    <n v="1273990.54"/>
    <n v="841183.06"/>
  </r>
  <r>
    <x v="1"/>
    <s v="Luxembourg"/>
    <s v="Vegetables"/>
    <s v="Offline"/>
    <s v="L"/>
    <s v="2/13/2010"/>
    <n v="744683635"/>
    <d v="2010-01-04T00:00:00"/>
    <n v="7291"/>
    <n v="154.06"/>
    <n v="90.93"/>
    <n v="1123251.46"/>
    <n v="662970.63"/>
    <n v="460280.83"/>
  </r>
  <r>
    <x v="5"/>
    <s v="Benin"/>
    <s v="Personal Care"/>
    <s v="Online"/>
    <s v="L"/>
    <d v="2016-07-08T00:00:00"/>
    <n v="440603101"/>
    <s v="9/15/2016"/>
    <n v="3104"/>
    <n v="81.73"/>
    <n v="56.67"/>
    <n v="253689.92"/>
    <n v="175903.68"/>
    <n v="77786.240000000005"/>
  </r>
  <r>
    <x v="3"/>
    <s v="Somalia"/>
    <s v="Clothes"/>
    <s v="Offline"/>
    <s v="L"/>
    <s v="4/26/2017"/>
    <n v="629547774"/>
    <d v="2017-03-05T00:00:00"/>
    <n v="6031"/>
    <n v="109.28"/>
    <n v="35.840000000000003"/>
    <n v="659067.68000000005"/>
    <n v="216151.04000000001"/>
    <n v="442916.64"/>
  </r>
  <r>
    <x v="1"/>
    <s v="Switzerland"/>
    <s v="Meat"/>
    <s v="Online"/>
    <s v="L"/>
    <s v="3/21/2014"/>
    <n v="169378983"/>
    <d v="2014-10-04T00:00:00"/>
    <n v="1860"/>
    <n v="421.89"/>
    <n v="364.69"/>
    <n v="784715.4"/>
    <n v="678323.4"/>
    <n v="106392"/>
  </r>
  <r>
    <x v="3"/>
    <s v="Saudi Arabia"/>
    <s v="Personal Care"/>
    <s v="Offline"/>
    <s v="L"/>
    <d v="2014-02-02T00:00:00"/>
    <n v="688270556"/>
    <d v="2014-04-03T00:00:00"/>
    <n v="3407"/>
    <n v="81.73"/>
    <n v="56.67"/>
    <n v="278454.11"/>
    <n v="193074.69"/>
    <n v="85379.42"/>
  </r>
  <r>
    <x v="2"/>
    <s v="Laos"/>
    <s v="Meat"/>
    <s v="Online"/>
    <s v="L"/>
    <s v="3/21/2017"/>
    <n v="734708821"/>
    <s v="3/24/2017"/>
    <n v="5522"/>
    <n v="421.89"/>
    <n v="364.69"/>
    <n v="2329676.58"/>
    <n v="2013818.18"/>
    <n v="315858.40000000002"/>
  </r>
  <r>
    <x v="2"/>
    <s v="Kyrgyzstan"/>
    <s v="Snacks"/>
    <s v="Online"/>
    <s v="C"/>
    <d v="2013-06-08T00:00:00"/>
    <n v="727492606"/>
    <s v="9/22/2013"/>
    <n v="84"/>
    <n v="152.58000000000001"/>
    <n v="97.44"/>
    <n v="12816.72"/>
    <n v="8184.96"/>
    <n v="4631.76"/>
  </r>
  <r>
    <x v="3"/>
    <s v="Algeria"/>
    <s v="Baby Food"/>
    <s v="Offline"/>
    <s v="M"/>
    <s v="12/30/2016"/>
    <n v="705733239"/>
    <s v="1/25/2017"/>
    <n v="1003"/>
    <n v="255.28"/>
    <n v="159.41999999999999"/>
    <n v="256045.84"/>
    <n v="159898.26"/>
    <n v="96147.58"/>
  </r>
  <r>
    <x v="5"/>
    <s v="Angola"/>
    <s v="Office Supplies"/>
    <s v="Offline"/>
    <s v="C"/>
    <d v="2015-03-10T00:00:00"/>
    <n v="778854548"/>
    <d v="2015-03-10T00:00:00"/>
    <n v="9224"/>
    <n v="651.21"/>
    <n v="524.96"/>
    <n v="6006761.04"/>
    <n v="4842231.04"/>
    <n v="1164530"/>
  </r>
  <r>
    <x v="5"/>
    <s v="Mauritania"/>
    <s v="Cosmetics"/>
    <s v="Offline"/>
    <s v="M"/>
    <s v="5/30/2014"/>
    <n v="676592862"/>
    <d v="2014-09-07T00:00:00"/>
    <n v="7718"/>
    <n v="437.2"/>
    <n v="263.33"/>
    <n v="3374309.6"/>
    <n v="2032380.94"/>
    <n v="1341928.6599999999"/>
  </r>
  <r>
    <x v="3"/>
    <s v="Lebanon"/>
    <s v="Household"/>
    <s v="Offline"/>
    <s v="M"/>
    <s v="10/15/2014"/>
    <n v="198997008"/>
    <s v="10/16/2014"/>
    <n v="6492"/>
    <n v="668.27"/>
    <n v="502.54"/>
    <n v="4338408.84"/>
    <n v="3262489.68"/>
    <n v="1075919.1599999999"/>
  </r>
  <r>
    <x v="1"/>
    <s v="Finland"/>
    <s v="Beverages"/>
    <s v="Online"/>
    <s v="H"/>
    <s v="3/16/2012"/>
    <n v="566428315"/>
    <s v="3/23/2012"/>
    <n v="7581"/>
    <n v="47.45"/>
    <n v="31.79"/>
    <n v="359718.45"/>
    <n v="240999.99"/>
    <n v="118718.46"/>
  </r>
  <r>
    <x v="2"/>
    <s v="Taiwan"/>
    <s v="Baby Food"/>
    <s v="Online"/>
    <s v="M"/>
    <s v="5/27/2014"/>
    <n v="369560611"/>
    <s v="6/13/2014"/>
    <n v="52"/>
    <n v="255.28"/>
    <n v="159.41999999999999"/>
    <n v="13274.56"/>
    <n v="8289.84"/>
    <n v="4984.72"/>
  </r>
  <r>
    <x v="1"/>
    <s v="Belgium"/>
    <s v="Snacks"/>
    <s v="Online"/>
    <s v="M"/>
    <d v="2015-12-01T00:00:00"/>
    <n v="519380223"/>
    <s v="1/17/2015"/>
    <n v="5005"/>
    <n v="152.58000000000001"/>
    <n v="97.44"/>
    <n v="763662.9"/>
    <n v="487687.2"/>
    <n v="275975.7"/>
  </r>
  <r>
    <x v="2"/>
    <s v="Laos"/>
    <s v="Office Supplies"/>
    <s v="Online"/>
    <s v="H"/>
    <d v="2012-10-08T00:00:00"/>
    <n v="197185981"/>
    <d v="2012-11-09T00:00:00"/>
    <n v="568"/>
    <n v="651.21"/>
    <n v="524.96"/>
    <n v="369887.28"/>
    <n v="298177.28000000003"/>
    <n v="71710"/>
  </r>
  <r>
    <x v="1"/>
    <s v="San Marino"/>
    <s v="Office Supplies"/>
    <s v="Online"/>
    <s v="H"/>
    <s v="4/13/2014"/>
    <n v="904589211"/>
    <d v="2014-04-05T00:00:00"/>
    <n v="6905"/>
    <n v="651.21"/>
    <n v="524.96"/>
    <n v="4496605.05"/>
    <n v="3624848.8"/>
    <n v="871756.25"/>
  </r>
  <r>
    <x v="4"/>
    <s v="Tuvalu"/>
    <s v="Household"/>
    <s v="Offline"/>
    <s v="H"/>
    <s v="11/23/2016"/>
    <n v="613513743"/>
    <s v="12/31/2016"/>
    <n v="1205"/>
    <n v="668.27"/>
    <n v="502.54"/>
    <n v="805265.35"/>
    <n v="605560.69999999995"/>
    <n v="199704.65"/>
  </r>
  <r>
    <x v="4"/>
    <s v="Kiribati"/>
    <s v="Clothes"/>
    <s v="Offline"/>
    <s v="M"/>
    <s v="10/22/2010"/>
    <n v="516195905"/>
    <s v="10/29/2010"/>
    <n v="2694"/>
    <n v="109.28"/>
    <n v="35.840000000000003"/>
    <n v="294400.32"/>
    <n v="96552.960000000006"/>
    <n v="197847.36"/>
  </r>
  <r>
    <x v="2"/>
    <s v="Kyrgyzstan"/>
    <s v="Vegetables"/>
    <s v="Offline"/>
    <s v="H"/>
    <d v="2013-03-12T00:00:00"/>
    <n v="975184524"/>
    <s v="1/17/2014"/>
    <n v="7626"/>
    <n v="154.06"/>
    <n v="90.93"/>
    <n v="1174861.56"/>
    <n v="693432.18"/>
    <n v="481429.38"/>
  </r>
  <r>
    <x v="4"/>
    <s v="Samoa "/>
    <s v="Clothes"/>
    <s v="Online"/>
    <s v="M"/>
    <d v="2014-08-12T00:00:00"/>
    <n v="173340928"/>
    <d v="2015-03-01T00:00:00"/>
    <n v="4287"/>
    <n v="109.28"/>
    <n v="35.840000000000003"/>
    <n v="468483.36"/>
    <n v="153646.07999999999"/>
    <n v="314837.28000000003"/>
  </r>
  <r>
    <x v="5"/>
    <s v="Central African Republic"/>
    <s v="Personal Care"/>
    <s v="Offline"/>
    <s v="H"/>
    <s v="12/16/2014"/>
    <n v="863838946"/>
    <d v="2015-05-01T00:00:00"/>
    <n v="7995"/>
    <n v="81.73"/>
    <n v="56.67"/>
    <n v="653431.35"/>
    <n v="453076.65"/>
    <n v="200354.7"/>
  </r>
  <r>
    <x v="2"/>
    <s v="Uzbekistan"/>
    <s v="Cereal"/>
    <s v="Offline"/>
    <s v="L"/>
    <d v="2016-02-03T00:00:00"/>
    <n v="920164906"/>
    <d v="2016-06-03T00:00:00"/>
    <n v="6099"/>
    <n v="205.7"/>
    <n v="117.11"/>
    <n v="1254564.3"/>
    <n v="714253.89"/>
    <n v="540310.41"/>
  </r>
  <r>
    <x v="0"/>
    <s v="Dominica"/>
    <s v="Meat"/>
    <s v="Online"/>
    <s v="M"/>
    <d v="2010-12-06T00:00:00"/>
    <n v="986117637"/>
    <s v="7/30/2010"/>
    <n v="2977"/>
    <n v="421.89"/>
    <n v="364.69"/>
    <n v="1255966.53"/>
    <n v="1085682.1299999999"/>
    <n v="170284.4"/>
  </r>
  <r>
    <x v="3"/>
    <s v="Qatar"/>
    <s v="Cereal"/>
    <s v="Online"/>
    <s v="L"/>
    <s v="6/18/2013"/>
    <n v="425808465"/>
    <s v="7/18/2013"/>
    <n v="5042"/>
    <n v="205.7"/>
    <n v="117.11"/>
    <n v="1037139.4"/>
    <n v="590468.62"/>
    <n v="446670.78"/>
  </r>
  <r>
    <x v="0"/>
    <s v="Saint Lucia"/>
    <s v="Beverages"/>
    <s v="Online"/>
    <s v="L"/>
    <d v="2015-12-06T00:00:00"/>
    <n v="473661220"/>
    <d v="2015-03-07T00:00:00"/>
    <n v="5736"/>
    <n v="47.45"/>
    <n v="31.79"/>
    <n v="272173.2"/>
    <n v="182347.44"/>
    <n v="89825.76"/>
  </r>
  <r>
    <x v="1"/>
    <s v="Bosnia and Herzegovina"/>
    <s v="Baby Food"/>
    <s v="Online"/>
    <s v="C"/>
    <d v="2015-04-04T00:00:00"/>
    <n v="184412229"/>
    <d v="2015-07-04T00:00:00"/>
    <n v="531"/>
    <n v="255.28"/>
    <n v="159.41999999999999"/>
    <n v="135553.68"/>
    <n v="84652.02"/>
    <n v="50901.66"/>
  </r>
  <r>
    <x v="2"/>
    <s v="South Korea"/>
    <s v="Vegetables"/>
    <s v="Offline"/>
    <s v="H"/>
    <d v="2016-12-08T00:00:00"/>
    <n v="483110320"/>
    <s v="9/30/2016"/>
    <n v="1934"/>
    <n v="154.06"/>
    <n v="90.93"/>
    <n v="297952.03999999998"/>
    <n v="175858.62"/>
    <n v="122093.42"/>
  </r>
  <r>
    <x v="0"/>
    <s v="Trinidad and Tobago"/>
    <s v="Household"/>
    <s v="Online"/>
    <s v="H"/>
    <s v="9/22/2016"/>
    <n v="115116822"/>
    <d v="2016-01-11T00:00:00"/>
    <n v="4481"/>
    <n v="668.27"/>
    <n v="502.54"/>
    <n v="2994517.87"/>
    <n v="2251881.7400000002"/>
    <n v="742636.13"/>
  </r>
  <r>
    <x v="3"/>
    <s v="Somalia"/>
    <s v="Baby Food"/>
    <s v="Online"/>
    <s v="M"/>
    <s v="1/29/2010"/>
    <n v="596105563"/>
    <s v="3/20/2010"/>
    <n v="9738"/>
    <n v="255.28"/>
    <n v="159.41999999999999"/>
    <n v="2485916.64"/>
    <n v="1552431.96"/>
    <n v="933484.68"/>
  </r>
  <r>
    <x v="5"/>
    <s v="Nigeria"/>
    <s v="Snacks"/>
    <s v="Online"/>
    <s v="C"/>
    <d v="2014-10-12T00:00:00"/>
    <n v="362062871"/>
    <s v="12/23/2014"/>
    <n v="1304"/>
    <n v="152.58000000000001"/>
    <n v="97.44"/>
    <n v="198964.32"/>
    <n v="127061.75999999999"/>
    <n v="71902.559999999998"/>
  </r>
  <r>
    <x v="5"/>
    <s v="South Africa"/>
    <s v="Beverages"/>
    <s v="Online"/>
    <s v="H"/>
    <s v="7/28/2016"/>
    <n v="619287574"/>
    <d v="2016-02-08T00:00:00"/>
    <n v="9810"/>
    <n v="47.45"/>
    <n v="31.79"/>
    <n v="465484.5"/>
    <n v="311859.90000000002"/>
    <n v="153624.6"/>
  </r>
  <r>
    <x v="0"/>
    <s v="Saint Vincent and the Grenadines"/>
    <s v="Clothes"/>
    <s v="Offline"/>
    <s v="H"/>
    <d v="2016-10-06T00:00:00"/>
    <n v="394391000"/>
    <s v="6/23/2016"/>
    <n v="7916"/>
    <n v="109.28"/>
    <n v="35.840000000000003"/>
    <n v="865060.48"/>
    <n v="283709.44"/>
    <n v="581351.04"/>
  </r>
  <r>
    <x v="5"/>
    <s v="Sudan"/>
    <s v="Beverages"/>
    <s v="Online"/>
    <s v="M"/>
    <s v="4/16/2013"/>
    <n v="584296977"/>
    <s v="4/28/2013"/>
    <n v="5315"/>
    <n v="47.45"/>
    <n v="31.79"/>
    <n v="252196.75"/>
    <n v="168963.85"/>
    <n v="83232.899999999994"/>
  </r>
  <r>
    <x v="3"/>
    <s v="Algeria"/>
    <s v="Clothes"/>
    <s v="Offline"/>
    <s v="M"/>
    <d v="2014-05-07T00:00:00"/>
    <n v="806241834"/>
    <s v="8/15/2014"/>
    <n v="3730"/>
    <n v="109.28"/>
    <n v="35.840000000000003"/>
    <n v="407614.4"/>
    <n v="133683.20000000001"/>
    <n v="273931.2"/>
  </r>
  <r>
    <x v="1"/>
    <s v="Netherlands"/>
    <s v="Meat"/>
    <s v="Offline"/>
    <s v="M"/>
    <d v="2017-08-03T00:00:00"/>
    <n v="747774398"/>
    <d v="2017-03-04T00:00:00"/>
    <n v="1916"/>
    <n v="421.89"/>
    <n v="364.69"/>
    <n v="808341.24"/>
    <n v="698746.04"/>
    <n v="109595.2"/>
  </r>
  <r>
    <x v="0"/>
    <s v="Panama"/>
    <s v="Meat"/>
    <s v="Online"/>
    <s v="H"/>
    <s v="11/24/2011"/>
    <n v="616755998"/>
    <d v="2011-03-12T00:00:00"/>
    <n v="660"/>
    <n v="421.89"/>
    <n v="364.69"/>
    <n v="278447.40000000002"/>
    <n v="240695.4"/>
    <n v="37752"/>
  </r>
  <r>
    <x v="4"/>
    <s v="Solomon Islands"/>
    <s v="Baby Food"/>
    <s v="Offline"/>
    <s v="C"/>
    <s v="10/20/2016"/>
    <n v="691360461"/>
    <d v="2016-07-11T00:00:00"/>
    <n v="7779"/>
    <n v="255.28"/>
    <n v="159.41999999999999"/>
    <n v="1985823.12"/>
    <n v="1240128.18"/>
    <n v="745694.94"/>
  </r>
  <r>
    <x v="0"/>
    <s v="Saint Vincent and the Grenadines"/>
    <s v="Beverages"/>
    <s v="Online"/>
    <s v="C"/>
    <d v="2013-01-04T00:00:00"/>
    <n v="870074117"/>
    <s v="5/16/2013"/>
    <n v="3121"/>
    <n v="47.45"/>
    <n v="31.79"/>
    <n v="148091.45000000001"/>
    <n v="99216.59"/>
    <n v="48874.86"/>
  </r>
  <r>
    <x v="3"/>
    <s v="Iran"/>
    <s v="Office Supplies"/>
    <s v="Online"/>
    <s v="H"/>
    <d v="2010-01-03T00:00:00"/>
    <n v="221695792"/>
    <s v="3/20/2010"/>
    <n v="3566"/>
    <n v="651.21"/>
    <n v="524.96"/>
    <n v="2322214.86"/>
    <n v="1872007.36"/>
    <n v="450207.5"/>
  </r>
  <r>
    <x v="4"/>
    <s v="Vanuatu"/>
    <s v="Fruits"/>
    <s v="Online"/>
    <s v="M"/>
    <s v="7/13/2017"/>
    <n v="135336816"/>
    <s v="8/17/2017"/>
    <n v="8026"/>
    <n v="9.33"/>
    <n v="6.92"/>
    <n v="74882.58"/>
    <n v="55539.92"/>
    <n v="19342.66"/>
  </r>
  <r>
    <x v="4"/>
    <s v="Federated States of Micronesia"/>
    <s v="Office Supplies"/>
    <s v="Online"/>
    <s v="L"/>
    <s v="4/29/2012"/>
    <n v="270421016"/>
    <s v="5/23/2012"/>
    <n v="2443"/>
    <n v="651.21"/>
    <n v="524.96"/>
    <n v="1590906.03"/>
    <n v="1282477.28"/>
    <n v="308428.75"/>
  </r>
  <r>
    <x v="5"/>
    <s v="Equatorial Guinea"/>
    <s v="Household"/>
    <s v="Online"/>
    <s v="H"/>
    <s v="6/16/2010"/>
    <n v="806684720"/>
    <s v="7/18/2010"/>
    <n v="4790"/>
    <n v="668.27"/>
    <n v="502.54"/>
    <n v="3201013.3"/>
    <n v="2407166.6"/>
    <n v="793846.7"/>
  </r>
  <r>
    <x v="1"/>
    <s v="Russia"/>
    <s v="Household"/>
    <s v="Online"/>
    <s v="M"/>
    <d v="2017-10-07T00:00:00"/>
    <n v="194176757"/>
    <s v="8/20/2017"/>
    <n v="72"/>
    <n v="668.27"/>
    <n v="502.54"/>
    <n v="48115.44"/>
    <n v="36182.879999999997"/>
    <n v="11932.56"/>
  </r>
  <r>
    <x v="3"/>
    <s v="Azerbaijan"/>
    <s v="Baby Food"/>
    <s v="Offline"/>
    <s v="H"/>
    <s v="6/28/2017"/>
    <n v="103258454"/>
    <s v="8/15/2017"/>
    <n v="5326"/>
    <n v="255.28"/>
    <n v="159.41999999999999"/>
    <n v="1359621.28"/>
    <n v="849070.92"/>
    <n v="510550.36"/>
  </r>
  <r>
    <x v="3"/>
    <s v="Iraq"/>
    <s v="Office Supplies"/>
    <s v="Online"/>
    <s v="H"/>
    <s v="4/21/2014"/>
    <n v="474603641"/>
    <s v="5/30/2014"/>
    <n v="4619"/>
    <n v="651.21"/>
    <n v="524.96"/>
    <n v="3007938.99"/>
    <n v="2424790.2400000002"/>
    <n v="583148.75"/>
  </r>
  <r>
    <x v="5"/>
    <s v="Mauritius "/>
    <s v="Cereal"/>
    <s v="Online"/>
    <s v="H"/>
    <s v="12/26/2012"/>
    <n v="869198644"/>
    <d v="2013-05-01T00:00:00"/>
    <n v="4049"/>
    <n v="205.7"/>
    <n v="117.11"/>
    <n v="832879.3"/>
    <n v="474178.39"/>
    <n v="358700.91"/>
  </r>
  <r>
    <x v="5"/>
    <s v="Eritrea"/>
    <s v="Household"/>
    <s v="Online"/>
    <s v="H"/>
    <d v="2015-01-11T00:00:00"/>
    <n v="918342292"/>
    <s v="12/21/2015"/>
    <n v="6747"/>
    <n v="668.27"/>
    <n v="502.54"/>
    <n v="4508817.6900000004"/>
    <n v="3390637.38"/>
    <n v="1118180.31"/>
  </r>
  <r>
    <x v="1"/>
    <s v="Ukraine"/>
    <s v="Cosmetics"/>
    <s v="Online"/>
    <s v="H"/>
    <s v="1/22/2011"/>
    <n v="773645913"/>
    <s v="1/28/2011"/>
    <n v="7873"/>
    <n v="437.2"/>
    <n v="263.33"/>
    <n v="3442075.6"/>
    <n v="2073197.09"/>
    <n v="1368878.51"/>
  </r>
  <r>
    <x v="2"/>
    <s v="Myanmar"/>
    <s v="Cosmetics"/>
    <s v="Online"/>
    <s v="C"/>
    <s v="6/13/2014"/>
    <n v="657033336"/>
    <d v="2014-02-07T00:00:00"/>
    <n v="9620"/>
    <n v="437.2"/>
    <n v="263.33"/>
    <n v="4205864"/>
    <n v="2533234.6"/>
    <n v="1672629.4"/>
  </r>
  <r>
    <x v="1"/>
    <s v="Bosnia and Herzegovina"/>
    <s v="Meat"/>
    <s v="Online"/>
    <s v="H"/>
    <s v="7/24/2012"/>
    <n v="410740888"/>
    <d v="2012-01-09T00:00:00"/>
    <n v="6211"/>
    <n v="421.89"/>
    <n v="364.69"/>
    <n v="2620358.79"/>
    <n v="2265089.59"/>
    <n v="355269.2"/>
  </r>
  <r>
    <x v="1"/>
    <s v="Latvia"/>
    <s v="Meat"/>
    <s v="Offline"/>
    <s v="M"/>
    <s v="12/15/2011"/>
    <n v="847317397"/>
    <s v="12/18/2011"/>
    <n v="8902"/>
    <n v="421.89"/>
    <n v="364.69"/>
    <n v="3755664.78"/>
    <n v="3246470.38"/>
    <n v="509194.4"/>
  </r>
  <r>
    <x v="1"/>
    <s v="Serbia"/>
    <s v="Beverages"/>
    <s v="Online"/>
    <s v="L"/>
    <d v="2012-03-09T00:00:00"/>
    <n v="599624192"/>
    <s v="9/21/2012"/>
    <n v="978"/>
    <n v="47.45"/>
    <n v="31.79"/>
    <n v="46406.1"/>
    <n v="31090.62"/>
    <n v="15315.48"/>
  </r>
  <r>
    <x v="2"/>
    <s v="Mongolia"/>
    <s v="Beverages"/>
    <s v="Offline"/>
    <s v="H"/>
    <s v="1/19/2012"/>
    <n v="170835101"/>
    <d v="2012-12-02T00:00:00"/>
    <n v="2758"/>
    <n v="47.45"/>
    <n v="31.79"/>
    <n v="130867.1"/>
    <n v="87676.82"/>
    <n v="43190.28"/>
  </r>
  <r>
    <x v="0"/>
    <s v="Grenada"/>
    <s v="Cereal"/>
    <s v="Online"/>
    <s v="H"/>
    <s v="1/17/2016"/>
    <n v="584436452"/>
    <d v="2016-09-02T00:00:00"/>
    <n v="6588"/>
    <n v="205.7"/>
    <n v="117.11"/>
    <n v="1355151.6"/>
    <n v="771520.68"/>
    <n v="583630.92000000004"/>
  </r>
  <r>
    <x v="5"/>
    <s v="Namibia"/>
    <s v="Office Supplies"/>
    <s v="Online"/>
    <s v="H"/>
    <d v="2012-02-10T00:00:00"/>
    <n v="234227073"/>
    <d v="2012-12-10T00:00:00"/>
    <n v="1851"/>
    <n v="651.21"/>
    <n v="524.96"/>
    <n v="1205389.71"/>
    <n v="971700.96"/>
    <n v="233688.75"/>
  </r>
  <r>
    <x v="1"/>
    <s v="Portugal"/>
    <s v="Office Supplies"/>
    <s v="Online"/>
    <s v="M"/>
    <s v="1/21/2014"/>
    <n v="734318292"/>
    <d v="2014-04-03T00:00:00"/>
    <n v="9956"/>
    <n v="651.21"/>
    <n v="524.96"/>
    <n v="6483446.7599999998"/>
    <n v="5226501.76"/>
    <n v="1256945"/>
  </r>
  <r>
    <x v="0"/>
    <s v="Barbados"/>
    <s v="Snacks"/>
    <s v="Online"/>
    <s v="H"/>
    <s v="12/21/2013"/>
    <n v="169133937"/>
    <s v="12/31/2013"/>
    <n v="9345"/>
    <n v="152.58000000000001"/>
    <n v="97.44"/>
    <n v="1425860.1"/>
    <n v="910576.8"/>
    <n v="515283.3"/>
  </r>
  <r>
    <x v="2"/>
    <s v="Sri Lanka"/>
    <s v="Cereal"/>
    <s v="Online"/>
    <s v="C"/>
    <s v="2/24/2015"/>
    <n v="743410336"/>
    <s v="3/20/2015"/>
    <n v="494"/>
    <n v="205.7"/>
    <n v="117.11"/>
    <n v="101615.8"/>
    <n v="57852.34"/>
    <n v="43763.46"/>
  </r>
  <r>
    <x v="1"/>
    <s v="Poland"/>
    <s v="Household"/>
    <s v="Offline"/>
    <s v="L"/>
    <d v="2017-07-07T00:00:00"/>
    <n v="232196319"/>
    <d v="2017-04-08T00:00:00"/>
    <n v="905"/>
    <n v="668.27"/>
    <n v="502.54"/>
    <n v="604784.35"/>
    <n v="454798.7"/>
    <n v="149985.65"/>
  </r>
  <r>
    <x v="5"/>
    <s v="Senegal"/>
    <s v="Beverages"/>
    <s v="Offline"/>
    <s v="L"/>
    <s v="6/30/2014"/>
    <n v="530853211"/>
    <d v="2014-02-08T00:00:00"/>
    <n v="117"/>
    <n v="47.45"/>
    <n v="31.79"/>
    <n v="5551.65"/>
    <n v="3719.43"/>
    <n v="1832.22"/>
  </r>
  <r>
    <x v="4"/>
    <s v="Kiribati"/>
    <s v="Fruits"/>
    <s v="Online"/>
    <s v="L"/>
    <d v="2011-07-12T00:00:00"/>
    <n v="905054843"/>
    <d v="2012-12-01T00:00:00"/>
    <n v="4695"/>
    <n v="9.33"/>
    <n v="6.92"/>
    <n v="43804.35"/>
    <n v="32489.4"/>
    <n v="11314.95"/>
  </r>
  <r>
    <x v="3"/>
    <s v="Somalia"/>
    <s v="Household"/>
    <s v="Offline"/>
    <s v="C"/>
    <s v="9/27/2016"/>
    <n v="240787541"/>
    <s v="11/13/2016"/>
    <n v="3239"/>
    <n v="668.27"/>
    <n v="502.54"/>
    <n v="2164526.5299999998"/>
    <n v="1627727.06"/>
    <n v="536799.47"/>
  </r>
  <r>
    <x v="5"/>
    <s v="Burundi"/>
    <s v="Meat"/>
    <s v="Online"/>
    <s v="L"/>
    <s v="5/22/2010"/>
    <n v="194350135"/>
    <d v="2010-05-06T00:00:00"/>
    <n v="1379"/>
    <n v="421.89"/>
    <n v="364.69"/>
    <n v="581786.31000000006"/>
    <n v="502907.51"/>
    <n v="78878.8"/>
  </r>
  <r>
    <x v="2"/>
    <s v="Malaysia"/>
    <s v="Household"/>
    <s v="Online"/>
    <s v="L"/>
    <d v="2013-12-04T00:00:00"/>
    <n v="242353951"/>
    <s v="4/13/2013"/>
    <n v="6775"/>
    <n v="668.27"/>
    <n v="502.54"/>
    <n v="4527529.25"/>
    <n v="3404708.5"/>
    <n v="1122820.75"/>
  </r>
  <r>
    <x v="0"/>
    <s v="Haiti"/>
    <s v="Vegetables"/>
    <s v="Offline"/>
    <s v="C"/>
    <s v="10/17/2012"/>
    <n v="831722819"/>
    <s v="10/26/2012"/>
    <n v="4120"/>
    <n v="154.06"/>
    <n v="90.93"/>
    <n v="634727.19999999995"/>
    <n v="374631.6"/>
    <n v="260095.6"/>
  </r>
  <r>
    <x v="1"/>
    <s v="Liechtenstein"/>
    <s v="Cosmetics"/>
    <s v="Online"/>
    <s v="L"/>
    <s v="7/15/2012"/>
    <n v="229693067"/>
    <s v="7/15/2012"/>
    <n v="138"/>
    <n v="437.2"/>
    <n v="263.33"/>
    <n v="60333.599999999999"/>
    <n v="36339.54"/>
    <n v="23994.06"/>
  </r>
  <r>
    <x v="5"/>
    <s v="Zambia"/>
    <s v="Cereal"/>
    <s v="Offline"/>
    <s v="H"/>
    <s v="5/19/2013"/>
    <n v="373813521"/>
    <s v="6/15/2013"/>
    <n v="8583"/>
    <n v="205.7"/>
    <n v="117.11"/>
    <n v="1765523.1"/>
    <n v="1005155.13"/>
    <n v="760367.97"/>
  </r>
  <r>
    <x v="1"/>
    <s v="United Kingdom"/>
    <s v="Beverages"/>
    <s v="Online"/>
    <s v="C"/>
    <d v="2017-08-04T00:00:00"/>
    <n v="121945512"/>
    <d v="2017-12-04T00:00:00"/>
    <n v="5242"/>
    <n v="47.45"/>
    <n v="31.79"/>
    <n v="248732.9"/>
    <n v="166643.18"/>
    <n v="82089.72"/>
  </r>
  <r>
    <x v="4"/>
    <s v="Vanuatu"/>
    <s v="Fruits"/>
    <s v="Offline"/>
    <s v="L"/>
    <d v="2015-06-11T00:00:00"/>
    <n v="202262866"/>
    <s v="12/14/2015"/>
    <n v="2932"/>
    <n v="9.33"/>
    <n v="6.92"/>
    <n v="27355.56"/>
    <n v="20289.439999999999"/>
    <n v="7066.12"/>
  </r>
  <r>
    <x v="4"/>
    <s v="Tuvalu"/>
    <s v="Personal Care"/>
    <s v="Offline"/>
    <s v="M"/>
    <s v="12/21/2016"/>
    <n v="963251912"/>
    <d v="2017-01-02T00:00:00"/>
    <n v="6501"/>
    <n v="81.73"/>
    <n v="56.67"/>
    <n v="531326.73"/>
    <n v="368411.67"/>
    <n v="162915.06"/>
  </r>
  <r>
    <x v="0"/>
    <s v="Antigua and Barbuda "/>
    <s v="Household"/>
    <s v="Online"/>
    <s v="M"/>
    <s v="8/21/2010"/>
    <n v="123711478"/>
    <s v="9/13/2010"/>
    <n v="7830"/>
    <n v="668.27"/>
    <n v="502.54"/>
    <n v="5232554.0999999996"/>
    <n v="3934888.2"/>
    <n v="1297665.8999999999"/>
  </r>
  <r>
    <x v="0"/>
    <s v="Haiti"/>
    <s v="Clothes"/>
    <s v="Offline"/>
    <s v="L"/>
    <d v="2010-12-08T00:00:00"/>
    <n v="422752892"/>
    <d v="2010-12-08T00:00:00"/>
    <n v="830"/>
    <n v="109.28"/>
    <n v="35.840000000000003"/>
    <n v="90702.399999999994"/>
    <n v="29747.200000000001"/>
    <n v="60955.199999999997"/>
  </r>
  <r>
    <x v="1"/>
    <s v="Slovenia"/>
    <s v="Fruits"/>
    <s v="Online"/>
    <s v="H"/>
    <s v="10/22/2012"/>
    <n v="169799983"/>
    <s v="11/20/2012"/>
    <n v="6443"/>
    <n v="9.33"/>
    <n v="6.92"/>
    <n v="60113.19"/>
    <n v="44585.56"/>
    <n v="15527.63"/>
  </r>
  <r>
    <x v="1"/>
    <s v="Malta"/>
    <s v="Vegetables"/>
    <s v="Online"/>
    <s v="M"/>
    <d v="2014-11-03T00:00:00"/>
    <n v="894589078"/>
    <d v="2014-10-04T00:00:00"/>
    <n v="7643"/>
    <n v="154.06"/>
    <n v="90.93"/>
    <n v="1177480.58"/>
    <n v="694977.99"/>
    <n v="482502.59"/>
  </r>
  <r>
    <x v="2"/>
    <s v="Bhutan"/>
    <s v="Office Supplies"/>
    <s v="Offline"/>
    <s v="M"/>
    <d v="2016-03-08T00:00:00"/>
    <n v="597169005"/>
    <s v="8/14/2016"/>
    <n v="4434"/>
    <n v="651.21"/>
    <n v="524.96"/>
    <n v="2887465.14"/>
    <n v="2327672.64"/>
    <n v="559792.5"/>
  </r>
  <r>
    <x v="5"/>
    <s v="Eritrea"/>
    <s v="Office Supplies"/>
    <s v="Offline"/>
    <s v="H"/>
    <s v="4/26/2015"/>
    <n v="497901093"/>
    <d v="2015-11-06T00:00:00"/>
    <n v="8853"/>
    <n v="651.21"/>
    <n v="524.96"/>
    <n v="5765162.1299999999"/>
    <n v="4647470.88"/>
    <n v="1117691.25"/>
  </r>
  <r>
    <x v="1"/>
    <s v="Ukraine"/>
    <s v="Personal Care"/>
    <s v="Online"/>
    <s v="M"/>
    <s v="7/16/2010"/>
    <n v="987459170"/>
    <s v="8/27/2010"/>
    <n v="9967"/>
    <n v="81.73"/>
    <n v="56.67"/>
    <n v="814602.91"/>
    <n v="564829.89"/>
    <n v="249773.02"/>
  </r>
  <r>
    <x v="2"/>
    <s v="Singapore"/>
    <s v="Personal Care"/>
    <s v="Offline"/>
    <s v="M"/>
    <s v="1/22/2011"/>
    <n v="276829564"/>
    <s v="2/13/2011"/>
    <n v="8875"/>
    <n v="81.73"/>
    <n v="56.67"/>
    <n v="725353.75"/>
    <n v="502946.25"/>
    <n v="222407.5"/>
  </r>
  <r>
    <x v="5"/>
    <s v="Cameroon"/>
    <s v="Household"/>
    <s v="Offline"/>
    <s v="H"/>
    <s v="5/22/2015"/>
    <n v="247311103"/>
    <d v="2015-11-07T00:00:00"/>
    <n v="3706"/>
    <n v="668.27"/>
    <n v="502.54"/>
    <n v="2476608.62"/>
    <n v="1862413.24"/>
    <n v="614195.38"/>
  </r>
  <r>
    <x v="1"/>
    <s v="Cyprus"/>
    <s v="Fruits"/>
    <s v="Offline"/>
    <s v="M"/>
    <d v="2015-12-07T00:00:00"/>
    <n v="600515115"/>
    <s v="8/30/2015"/>
    <n v="4622"/>
    <n v="9.33"/>
    <n v="6.92"/>
    <n v="43123.26"/>
    <n v="31984.240000000002"/>
    <n v="11139.02"/>
  </r>
  <r>
    <x v="1"/>
    <s v="Poland"/>
    <s v="Office Supplies"/>
    <s v="Offline"/>
    <s v="M"/>
    <s v="11/27/2015"/>
    <n v="208365428"/>
    <s v="12/29/2015"/>
    <n v="8815"/>
    <n v="651.21"/>
    <n v="524.96"/>
    <n v="5740416.1500000004"/>
    <n v="4627522.4000000004"/>
    <n v="1112893.75"/>
  </r>
  <r>
    <x v="1"/>
    <s v="Monaco"/>
    <s v="Personal Care"/>
    <s v="Online"/>
    <s v="L"/>
    <d v="2014-08-06T00:00:00"/>
    <n v="263098371"/>
    <d v="2014-04-07T00:00:00"/>
    <n v="5509"/>
    <n v="81.73"/>
    <n v="56.67"/>
    <n v="450250.57"/>
    <n v="312195.03000000003"/>
    <n v="138055.54"/>
  </r>
  <r>
    <x v="4"/>
    <s v="Vanuatu"/>
    <s v="Office Supplies"/>
    <s v="Online"/>
    <s v="L"/>
    <s v="11/21/2013"/>
    <n v="227262771"/>
    <d v="2014-06-01T00:00:00"/>
    <n v="959"/>
    <n v="651.21"/>
    <n v="524.96"/>
    <n v="624510.39"/>
    <n v="503436.64"/>
    <n v="121073.75"/>
  </r>
  <r>
    <x v="5"/>
    <s v="Gabon"/>
    <s v="Office Supplies"/>
    <s v="Offline"/>
    <s v="H"/>
    <s v="7/14/2010"/>
    <n v="983719956"/>
    <d v="2010-01-08T00:00:00"/>
    <n v="3450"/>
    <n v="651.21"/>
    <n v="524.96"/>
    <n v="2246674.5"/>
    <n v="1811112"/>
    <n v="435562.5"/>
  </r>
  <r>
    <x v="5"/>
    <s v="Djibouti"/>
    <s v="Baby Food"/>
    <s v="Offline"/>
    <s v="H"/>
    <s v="1/17/2013"/>
    <n v="785643756"/>
    <s v="1/26/2013"/>
    <n v="8301"/>
    <n v="255.28"/>
    <n v="159.41999999999999"/>
    <n v="2119079.2799999998"/>
    <n v="1323345.42"/>
    <n v="795733.86"/>
  </r>
  <r>
    <x v="5"/>
    <s v="Namibia"/>
    <s v="Office Supplies"/>
    <s v="Online"/>
    <s v="C"/>
    <s v="1/15/2016"/>
    <n v="206520497"/>
    <d v="2016-05-03T00:00:00"/>
    <n v="2859"/>
    <n v="651.21"/>
    <n v="524.96"/>
    <n v="1861809.39"/>
    <n v="1500860.64"/>
    <n v="360948.75"/>
  </r>
  <r>
    <x v="1"/>
    <s v="Estonia"/>
    <s v="Cosmetics"/>
    <s v="Online"/>
    <s v="C"/>
    <s v="5/23/2011"/>
    <n v="790149009"/>
    <s v="5/29/2011"/>
    <n v="1505"/>
    <n v="437.2"/>
    <n v="263.33"/>
    <n v="657986"/>
    <n v="396311.65"/>
    <n v="261674.35"/>
  </r>
  <r>
    <x v="1"/>
    <s v="Norway"/>
    <s v="Cereal"/>
    <s v="Online"/>
    <s v="M"/>
    <d v="2014-08-10T00:00:00"/>
    <n v="100640618"/>
    <s v="10/18/2014"/>
    <n v="650"/>
    <n v="205.7"/>
    <n v="117.11"/>
    <n v="133705"/>
    <n v="76121.5"/>
    <n v="57583.5"/>
  </r>
  <r>
    <x v="5"/>
    <s v="Ethiopia"/>
    <s v="Personal Care"/>
    <s v="Online"/>
    <s v="L"/>
    <s v="5/27/2016"/>
    <n v="272419154"/>
    <s v="6/27/2016"/>
    <n v="3736"/>
    <n v="81.73"/>
    <n v="56.67"/>
    <n v="305343.28000000003"/>
    <n v="211719.12"/>
    <n v="93624.16"/>
  </r>
  <r>
    <x v="5"/>
    <s v="Burundi"/>
    <s v="Meat"/>
    <s v="Offline"/>
    <s v="M"/>
    <s v="2/27/2015"/>
    <n v="360220944"/>
    <s v="2/27/2015"/>
    <n v="6237"/>
    <n v="421.89"/>
    <n v="364.69"/>
    <n v="2631327.9300000002"/>
    <n v="2274571.5299999998"/>
    <n v="356756.4"/>
  </r>
  <r>
    <x v="2"/>
    <s v="Thailand"/>
    <s v="Beverages"/>
    <s v="Offline"/>
    <s v="C"/>
    <d v="2014-01-10T00:00:00"/>
    <n v="389094817"/>
    <d v="2014-11-11T00:00:00"/>
    <n v="658"/>
    <n v="47.45"/>
    <n v="31.79"/>
    <n v="31222.1"/>
    <n v="20917.82"/>
    <n v="10304.280000000001"/>
  </r>
  <r>
    <x v="5"/>
    <s v="Mauritius "/>
    <s v="Meat"/>
    <s v="Offline"/>
    <s v="L"/>
    <s v="5/19/2012"/>
    <n v="904402101"/>
    <s v="6/23/2012"/>
    <n v="1534"/>
    <n v="421.89"/>
    <n v="364.69"/>
    <n v="647179.26"/>
    <n v="559434.46"/>
    <n v="87744.8"/>
  </r>
  <r>
    <x v="5"/>
    <s v="Uganda"/>
    <s v="Vegetables"/>
    <s v="Online"/>
    <s v="H"/>
    <s v="2/13/2010"/>
    <n v="721816623"/>
    <s v="2/17/2010"/>
    <n v="434"/>
    <n v="154.06"/>
    <n v="90.93"/>
    <n v="66862.039999999994"/>
    <n v="39463.620000000003"/>
    <n v="27398.42"/>
  </r>
  <r>
    <x v="1"/>
    <s v="Luxembourg"/>
    <s v="Snacks"/>
    <s v="Online"/>
    <s v="H"/>
    <d v="2011-01-02T00:00:00"/>
    <n v="977324712"/>
    <d v="2011-10-03T00:00:00"/>
    <n v="955"/>
    <n v="152.58000000000001"/>
    <n v="97.44"/>
    <n v="145713.9"/>
    <n v="93055.2"/>
    <n v="52658.7"/>
  </r>
  <r>
    <x v="5"/>
    <s v="The Gambia"/>
    <s v="Beverages"/>
    <s v="Online"/>
    <s v="C"/>
    <d v="2015-07-09T00:00:00"/>
    <n v="177225196"/>
    <d v="2015-12-09T00:00:00"/>
    <n v="3729"/>
    <n v="47.45"/>
    <n v="31.79"/>
    <n v="176941.05"/>
    <n v="118544.91"/>
    <n v="58396.14"/>
  </r>
  <r>
    <x v="3"/>
    <s v="United Arab Emirates"/>
    <s v="Beverages"/>
    <s v="Online"/>
    <s v="M"/>
    <s v="3/27/2010"/>
    <n v="948129403"/>
    <s v="5/14/2010"/>
    <n v="1415"/>
    <n v="47.45"/>
    <n v="31.79"/>
    <n v="67141.75"/>
    <n v="44982.85"/>
    <n v="22158.9"/>
  </r>
  <r>
    <x v="0"/>
    <s v="Haiti"/>
    <s v="Meat"/>
    <s v="Offline"/>
    <s v="M"/>
    <s v="3/15/2016"/>
    <n v="586961162"/>
    <s v="4/22/2016"/>
    <n v="3706"/>
    <n v="421.89"/>
    <n v="364.69"/>
    <n v="1563524.34"/>
    <n v="1351541.14"/>
    <n v="211983.2"/>
  </r>
  <r>
    <x v="1"/>
    <s v="Luxembourg"/>
    <s v="Snacks"/>
    <s v="Online"/>
    <s v="H"/>
    <d v="2010-07-09T00:00:00"/>
    <n v="510956799"/>
    <s v="9/23/2010"/>
    <n v="2326"/>
    <n v="152.58000000000001"/>
    <n v="97.44"/>
    <n v="354901.08"/>
    <n v="226645.44"/>
    <n v="128255.64"/>
  </r>
  <r>
    <x v="0"/>
    <s v="Saint Lucia"/>
    <s v="Meat"/>
    <s v="Online"/>
    <s v="L"/>
    <s v="6/26/2013"/>
    <n v="407665145"/>
    <d v="2013-05-07T00:00:00"/>
    <n v="6030"/>
    <n v="421.89"/>
    <n v="364.69"/>
    <n v="2543996.7000000002"/>
    <n v="2199080.7000000002"/>
    <n v="344916"/>
  </r>
  <r>
    <x v="3"/>
    <s v="Iraq"/>
    <s v="Meat"/>
    <s v="Online"/>
    <s v="C"/>
    <d v="2015-09-03T00:00:00"/>
    <n v="484947526"/>
    <s v="3/16/2015"/>
    <n v="5604"/>
    <n v="421.89"/>
    <n v="364.69"/>
    <n v="2364271.56"/>
    <n v="2043722.76"/>
    <n v="320548.8"/>
  </r>
  <r>
    <x v="1"/>
    <s v="Armenia"/>
    <s v="Fruits"/>
    <s v="Online"/>
    <s v="M"/>
    <s v="3/23/2011"/>
    <n v="120977771"/>
    <d v="2011-02-05T00:00:00"/>
    <n v="8866"/>
    <n v="9.33"/>
    <n v="6.92"/>
    <n v="82719.78"/>
    <n v="61352.72"/>
    <n v="21367.06"/>
  </r>
  <r>
    <x v="2"/>
    <s v="Singapore"/>
    <s v="Personal Care"/>
    <s v="Offline"/>
    <s v="M"/>
    <s v="3/29/2013"/>
    <n v="114242208"/>
    <s v="5/15/2013"/>
    <n v="5663"/>
    <n v="81.73"/>
    <n v="56.67"/>
    <n v="462836.99"/>
    <n v="320922.21000000002"/>
    <n v="141914.78"/>
  </r>
  <r>
    <x v="3"/>
    <s v="Jordan"/>
    <s v="Clothes"/>
    <s v="Online"/>
    <s v="M"/>
    <d v="2015-05-01T00:00:00"/>
    <n v="433539664"/>
    <s v="1/15/2015"/>
    <n v="2876"/>
    <n v="109.28"/>
    <n v="35.840000000000003"/>
    <n v="314289.28000000003"/>
    <n v="103075.84"/>
    <n v="211213.44"/>
  </r>
  <r>
    <x v="4"/>
    <s v="Tonga"/>
    <s v="Meat"/>
    <s v="Online"/>
    <s v="M"/>
    <s v="5/21/2011"/>
    <n v="667981469"/>
    <d v="2011-12-06T00:00:00"/>
    <n v="9416"/>
    <n v="421.89"/>
    <n v="364.69"/>
    <n v="3972516.24"/>
    <n v="3433921.04"/>
    <n v="538595.19999999995"/>
  </r>
  <r>
    <x v="1"/>
    <s v="Bulgaria"/>
    <s v="Snacks"/>
    <s v="Offline"/>
    <s v="L"/>
    <d v="2017-11-03T00:00:00"/>
    <n v="476991450"/>
    <s v="3/27/2017"/>
    <n v="1225"/>
    <n v="152.58000000000001"/>
    <n v="97.44"/>
    <n v="186910.5"/>
    <n v="119364"/>
    <n v="67546.5"/>
  </r>
  <r>
    <x v="5"/>
    <s v="Sudan"/>
    <s v="Office Supplies"/>
    <s v="Online"/>
    <s v="C"/>
    <s v="6/23/2010"/>
    <n v="940305936"/>
    <s v="7/29/2010"/>
    <n v="6277"/>
    <n v="651.21"/>
    <n v="524.96"/>
    <n v="4087645.17"/>
    <n v="3295173.92"/>
    <n v="792471.25"/>
  </r>
  <r>
    <x v="5"/>
    <s v="Mali"/>
    <s v="Baby Food"/>
    <s v="Online"/>
    <s v="H"/>
    <s v="12/28/2011"/>
    <n v="507973754"/>
    <d v="2012-12-01T00:00:00"/>
    <n v="9577"/>
    <n v="255.28"/>
    <n v="159.41999999999999"/>
    <n v="2444816.56"/>
    <n v="1526765.34"/>
    <n v="918051.22"/>
  </r>
  <r>
    <x v="2"/>
    <s v="Myanmar"/>
    <s v="Cosmetics"/>
    <s v="Online"/>
    <s v="L"/>
    <d v="2013-06-04T00:00:00"/>
    <n v="850356233"/>
    <s v="5/26/2013"/>
    <n v="8161"/>
    <n v="437.2"/>
    <n v="263.33"/>
    <n v="3567989.2"/>
    <n v="2149036.13"/>
    <n v="1418953.07"/>
  </r>
  <r>
    <x v="2"/>
    <s v="Sri Lanka"/>
    <s v="Meat"/>
    <s v="Offline"/>
    <s v="L"/>
    <d v="2010-05-09T00:00:00"/>
    <n v="108127200"/>
    <d v="2010-01-10T00:00:00"/>
    <n v="6096"/>
    <n v="421.89"/>
    <n v="364.69"/>
    <n v="2571841.44"/>
    <n v="2223150.2400000002"/>
    <n v="348691.20000000001"/>
  </r>
  <r>
    <x v="3"/>
    <s v="Azerbaijan"/>
    <s v="Office Supplies"/>
    <s v="Online"/>
    <s v="C"/>
    <s v="10/27/2016"/>
    <n v="542272984"/>
    <d v="2016-08-12T00:00:00"/>
    <n v="9481"/>
    <n v="651.21"/>
    <n v="524.96"/>
    <n v="6174122.0099999998"/>
    <n v="4977145.76"/>
    <n v="1196976.25"/>
  </r>
  <r>
    <x v="5"/>
    <s v="Tanzania"/>
    <s v="Office Supplies"/>
    <s v="Offline"/>
    <s v="C"/>
    <d v="2011-11-04T00:00:00"/>
    <n v="884092414"/>
    <s v="5/13/2011"/>
    <n v="1447"/>
    <n v="651.21"/>
    <n v="524.96"/>
    <n v="942300.87"/>
    <n v="759617.12"/>
    <n v="182683.75"/>
  </r>
  <r>
    <x v="5"/>
    <s v="Swaziland"/>
    <s v="Household"/>
    <s v="Offline"/>
    <s v="C"/>
    <s v="7/17/2012"/>
    <n v="385196816"/>
    <d v="2012-03-09T00:00:00"/>
    <n v="7153"/>
    <n v="668.27"/>
    <n v="502.54"/>
    <n v="4780135.3099999996"/>
    <n v="3594668.62"/>
    <n v="1185466.69"/>
  </r>
  <r>
    <x v="2"/>
    <s v="Myanmar"/>
    <s v="Meat"/>
    <s v="Online"/>
    <s v="L"/>
    <d v="2013-09-09T00:00:00"/>
    <n v="167510020"/>
    <d v="2013-06-10T00:00:00"/>
    <n v="8792"/>
    <n v="421.89"/>
    <n v="364.69"/>
    <n v="3709256.88"/>
    <n v="3206354.48"/>
    <n v="502902.4"/>
  </r>
  <r>
    <x v="1"/>
    <s v="Denmark"/>
    <s v="Beverages"/>
    <s v="Online"/>
    <s v="H"/>
    <d v="2016-05-06T00:00:00"/>
    <n v="973268353"/>
    <s v="6/26/2016"/>
    <n v="589"/>
    <n v="47.45"/>
    <n v="31.79"/>
    <n v="27948.05"/>
    <n v="18724.310000000001"/>
    <n v="9223.74"/>
  </r>
  <r>
    <x v="5"/>
    <s v="Seychelles "/>
    <s v="Fruits"/>
    <s v="Offline"/>
    <s v="M"/>
    <s v="2/28/2012"/>
    <n v="915020644"/>
    <s v="3/18/2012"/>
    <n v="3797"/>
    <n v="9.33"/>
    <n v="6.92"/>
    <n v="35426.01"/>
    <n v="26275.24"/>
    <n v="9150.77"/>
  </r>
  <r>
    <x v="5"/>
    <s v="Madagascar"/>
    <s v="Cosmetics"/>
    <s v="Offline"/>
    <s v="C"/>
    <s v="1/31/2016"/>
    <n v="425628221"/>
    <s v="2/24/2016"/>
    <n v="1704"/>
    <n v="437.2"/>
    <n v="263.33"/>
    <n v="744988.8"/>
    <n v="448714.32"/>
    <n v="296274.48"/>
  </r>
  <r>
    <x v="0"/>
    <s v="Saint Lucia"/>
    <s v="Beverages"/>
    <s v="Online"/>
    <s v="L"/>
    <s v="5/18/2010"/>
    <n v="908264911"/>
    <s v="6/14/2010"/>
    <n v="4626"/>
    <n v="47.45"/>
    <n v="31.79"/>
    <n v="219503.7"/>
    <n v="147060.54"/>
    <n v="72443.16"/>
  </r>
  <r>
    <x v="5"/>
    <s v="Mauritius "/>
    <s v="Cereal"/>
    <s v="Online"/>
    <s v="C"/>
    <s v="2/25/2016"/>
    <n v="686417043"/>
    <s v="3/29/2016"/>
    <n v="4912"/>
    <n v="205.7"/>
    <n v="117.11"/>
    <n v="1010398.4"/>
    <n v="575244.31999999995"/>
    <n v="435154.08"/>
  </r>
  <r>
    <x v="2"/>
    <s v="Taiwan"/>
    <s v="Household"/>
    <s v="Online"/>
    <s v="H"/>
    <d v="2013-07-12T00:00:00"/>
    <n v="853883445"/>
    <d v="2014-10-01T00:00:00"/>
    <n v="1941"/>
    <n v="668.27"/>
    <n v="502.54"/>
    <n v="1297112.07"/>
    <n v="975430.14"/>
    <n v="321681.93"/>
  </r>
  <r>
    <x v="3"/>
    <s v="Morocco"/>
    <s v="Cereal"/>
    <s v="Online"/>
    <s v="C"/>
    <d v="2015-08-08T00:00:00"/>
    <n v="324775445"/>
    <s v="9/14/2015"/>
    <n v="7126"/>
    <n v="205.7"/>
    <n v="117.11"/>
    <n v="1465818.2"/>
    <n v="834525.86"/>
    <n v="631292.34"/>
  </r>
  <r>
    <x v="3"/>
    <s v="Jordan"/>
    <s v="Cereal"/>
    <s v="Online"/>
    <s v="C"/>
    <d v="2015-03-03T00:00:00"/>
    <n v="783516871"/>
    <d v="2015-06-04T00:00:00"/>
    <n v="8909"/>
    <n v="205.7"/>
    <n v="117.11"/>
    <n v="1832581.3"/>
    <n v="1043332.99"/>
    <n v="789248.31"/>
  </r>
  <r>
    <x v="2"/>
    <s v="China"/>
    <s v="Cosmetics"/>
    <s v="Offline"/>
    <s v="H"/>
    <s v="4/15/2015"/>
    <n v="834844052"/>
    <s v="5/20/2015"/>
    <n v="7762"/>
    <n v="437.2"/>
    <n v="263.33"/>
    <n v="3393546.4"/>
    <n v="2043967.46"/>
    <n v="1349578.94"/>
  </r>
  <r>
    <x v="2"/>
    <s v="South Korea"/>
    <s v="Snacks"/>
    <s v="Offline"/>
    <s v="H"/>
    <s v="11/20/2015"/>
    <n v="953805816"/>
    <s v="12/25/2015"/>
    <n v="1191"/>
    <n v="152.58000000000001"/>
    <n v="97.44"/>
    <n v="181722.78"/>
    <n v="116051.04"/>
    <n v="65671.740000000005"/>
  </r>
  <r>
    <x v="6"/>
    <s v="United States of America"/>
    <s v="Office Supplies"/>
    <s v="Online"/>
    <s v="L"/>
    <s v="5/22/2010"/>
    <n v="335763490"/>
    <d v="2010-04-07T00:00:00"/>
    <n v="8733"/>
    <n v="651.21"/>
    <n v="524.96"/>
    <n v="5687016.9299999997"/>
    <n v="4584475.68"/>
    <n v="1102541.25"/>
  </r>
  <r>
    <x v="2"/>
    <s v="Uzbekistan"/>
    <s v="Cosmetics"/>
    <s v="Online"/>
    <s v="H"/>
    <s v="3/18/2012"/>
    <n v="946390902"/>
    <s v="3/23/2012"/>
    <n v="6954"/>
    <n v="437.2"/>
    <n v="263.33"/>
    <n v="3040288.8"/>
    <n v="1831196.82"/>
    <n v="1209091.98"/>
  </r>
  <r>
    <x v="1"/>
    <s v="Finland"/>
    <s v="Vegetables"/>
    <s v="Offline"/>
    <s v="L"/>
    <s v="2/14/2013"/>
    <n v="771674382"/>
    <s v="3/21/2013"/>
    <n v="4453"/>
    <n v="154.06"/>
    <n v="90.93"/>
    <n v="686029.18"/>
    <n v="404911.29"/>
    <n v="281117.89"/>
  </r>
  <r>
    <x v="2"/>
    <s v="Philippines"/>
    <s v="Cereal"/>
    <s v="Online"/>
    <s v="C"/>
    <s v="4/23/2017"/>
    <n v="567912757"/>
    <s v="5/22/2017"/>
    <n v="6860"/>
    <n v="205.7"/>
    <n v="117.11"/>
    <n v="1411102"/>
    <n v="803374.6"/>
    <n v="607727.4"/>
  </r>
  <r>
    <x v="3"/>
    <s v="Libya"/>
    <s v="Office Supplies"/>
    <s v="Offline"/>
    <s v="L"/>
    <s v="11/18/2014"/>
    <n v="711717355"/>
    <s v="11/18/2014"/>
    <n v="1836"/>
    <n v="651.21"/>
    <n v="524.96"/>
    <n v="1195621.56"/>
    <n v="963826.56"/>
    <n v="231795"/>
  </r>
  <r>
    <x v="5"/>
    <s v="South Sudan"/>
    <s v="Office Supplies"/>
    <s v="Online"/>
    <s v="L"/>
    <d v="2015-11-12T00:00:00"/>
    <n v="750012004"/>
    <s v="1/30/2016"/>
    <n v="4074"/>
    <n v="651.21"/>
    <n v="524.96"/>
    <n v="2653029.54"/>
    <n v="2138687.04"/>
    <n v="514342.5"/>
  </r>
  <r>
    <x v="3"/>
    <s v="Kuwait"/>
    <s v="Snacks"/>
    <s v="Online"/>
    <s v="C"/>
    <d v="2016-09-07T00:00:00"/>
    <n v="750033032"/>
    <s v="8/18/2016"/>
    <n v="297"/>
    <n v="152.58000000000001"/>
    <n v="97.44"/>
    <n v="45316.26"/>
    <n v="28939.68"/>
    <n v="16376.58"/>
  </r>
  <r>
    <x v="0"/>
    <s v="Saint Lucia"/>
    <s v="Household"/>
    <s v="Offline"/>
    <s v="H"/>
    <s v="6/28/2017"/>
    <n v="849329268"/>
    <s v="7/22/2017"/>
    <n v="4259"/>
    <n v="668.27"/>
    <n v="502.54"/>
    <n v="2846161.93"/>
    <n v="2140317.86"/>
    <n v="705844.07"/>
  </r>
  <r>
    <x v="0"/>
    <s v="Grenada"/>
    <s v="Meat"/>
    <s v="Online"/>
    <s v="M"/>
    <s v="3/22/2013"/>
    <n v="805762040"/>
    <d v="2013-08-04T00:00:00"/>
    <n v="1748"/>
    <n v="421.89"/>
    <n v="364.69"/>
    <n v="737463.72"/>
    <n v="637478.12"/>
    <n v="99985.600000000006"/>
  </r>
  <r>
    <x v="5"/>
    <s v="Namibia"/>
    <s v="Cereal"/>
    <s v="Online"/>
    <s v="H"/>
    <d v="2010-04-07T00:00:00"/>
    <n v="447505176"/>
    <s v="7/27/2010"/>
    <n v="5581"/>
    <n v="205.7"/>
    <n v="117.11"/>
    <n v="1148011.7"/>
    <n v="653590.91"/>
    <n v="494420.79"/>
  </r>
  <r>
    <x v="4"/>
    <s v="Solomon Islands"/>
    <s v="Beverages"/>
    <s v="Offline"/>
    <s v="L"/>
    <s v="3/14/2017"/>
    <n v="123045003"/>
    <s v="3/22/2017"/>
    <n v="606"/>
    <n v="47.45"/>
    <n v="31.79"/>
    <n v="28754.7"/>
    <n v="19264.740000000002"/>
    <n v="9489.9599999999991"/>
  </r>
  <r>
    <x v="2"/>
    <s v="Philippines"/>
    <s v="Household"/>
    <s v="Offline"/>
    <s v="H"/>
    <s v="9/21/2015"/>
    <n v="251180350"/>
    <s v="10/20/2015"/>
    <n v="8702"/>
    <n v="668.27"/>
    <n v="502.54"/>
    <n v="5815285.54"/>
    <n v="4373103.08"/>
    <n v="1442182.46"/>
  </r>
  <r>
    <x v="2"/>
    <s v="Turkmenistan"/>
    <s v="Household"/>
    <s v="Online"/>
    <s v="M"/>
    <d v="2012-10-04T00:00:00"/>
    <n v="871022546"/>
    <d v="2012-11-04T00:00:00"/>
    <n v="3782"/>
    <n v="668.27"/>
    <n v="502.54"/>
    <n v="2527397.14"/>
    <n v="1900606.28"/>
    <n v="626790.86"/>
  </r>
  <r>
    <x v="1"/>
    <s v="Kosovo"/>
    <s v="Fruits"/>
    <s v="Online"/>
    <s v="L"/>
    <d v="2010-02-05T00:00:00"/>
    <n v="291995418"/>
    <d v="2010-06-06T00:00:00"/>
    <n v="6788"/>
    <n v="9.33"/>
    <n v="6.92"/>
    <n v="63332.04"/>
    <n v="46972.959999999999"/>
    <n v="16359.08"/>
  </r>
  <r>
    <x v="2"/>
    <s v="Singapore"/>
    <s v="Clothes"/>
    <s v="Online"/>
    <s v="C"/>
    <s v="6/13/2014"/>
    <n v="943835294"/>
    <d v="2014-01-08T00:00:00"/>
    <n v="692"/>
    <n v="109.28"/>
    <n v="35.840000000000003"/>
    <n v="75621.759999999995"/>
    <n v="24801.279999999999"/>
    <n v="50820.480000000003"/>
  </r>
  <r>
    <x v="5"/>
    <s v="South Africa"/>
    <s v="Office Supplies"/>
    <s v="Offline"/>
    <s v="L"/>
    <s v="4/18/2011"/>
    <n v="826591002"/>
    <s v="4/18/2011"/>
    <n v="5501"/>
    <n v="651.21"/>
    <n v="524.96"/>
    <n v="3582306.21"/>
    <n v="2887804.96"/>
    <n v="694501.25"/>
  </r>
  <r>
    <x v="3"/>
    <s v="Lebanon"/>
    <s v="Cosmetics"/>
    <s v="Online"/>
    <s v="M"/>
    <d v="2011-01-05T00:00:00"/>
    <n v="260623872"/>
    <d v="2011-12-05T00:00:00"/>
    <n v="3250"/>
    <n v="437.2"/>
    <n v="263.33"/>
    <n v="1420900"/>
    <n v="855822.5"/>
    <n v="565077.5"/>
  </r>
  <r>
    <x v="4"/>
    <s v="Samoa "/>
    <s v="Vegetables"/>
    <s v="Online"/>
    <s v="L"/>
    <s v="9/21/2014"/>
    <n v="536607730"/>
    <d v="2014-03-11T00:00:00"/>
    <n v="3007"/>
    <n v="154.06"/>
    <n v="90.93"/>
    <n v="463258.42"/>
    <n v="273426.51"/>
    <n v="189831.91"/>
  </r>
  <r>
    <x v="4"/>
    <s v="Samoa "/>
    <s v="Personal Care"/>
    <s v="Offline"/>
    <s v="L"/>
    <s v="2/17/2015"/>
    <n v="765528905"/>
    <d v="2015-06-03T00:00:00"/>
    <n v="5870"/>
    <n v="81.73"/>
    <n v="56.67"/>
    <n v="479755.1"/>
    <n v="332652.90000000002"/>
    <n v="147102.20000000001"/>
  </r>
  <r>
    <x v="1"/>
    <s v="Hungary"/>
    <s v="Baby Food"/>
    <s v="Online"/>
    <s v="M"/>
    <s v="1/25/2011"/>
    <n v="128686225"/>
    <s v="3/13/2011"/>
    <n v="9968"/>
    <n v="255.28"/>
    <n v="159.41999999999999"/>
    <n v="2544631.04"/>
    <n v="1589098.56"/>
    <n v="955532.48"/>
  </r>
  <r>
    <x v="3"/>
    <s v="Pakistan"/>
    <s v="Vegetables"/>
    <s v="Offline"/>
    <s v="L"/>
    <d v="2017-01-04T00:00:00"/>
    <n v="127691018"/>
    <d v="2017-05-04T00:00:00"/>
    <n v="5465"/>
    <n v="154.06"/>
    <n v="90.93"/>
    <n v="841937.9"/>
    <n v="496932.45"/>
    <n v="345005.45"/>
  </r>
  <r>
    <x v="4"/>
    <s v="Tonga"/>
    <s v="Vegetables"/>
    <s v="Offline"/>
    <s v="C"/>
    <s v="5/21/2015"/>
    <n v="534467113"/>
    <s v="5/25/2015"/>
    <n v="9550"/>
    <n v="154.06"/>
    <n v="90.93"/>
    <n v="1471273"/>
    <n v="868381.5"/>
    <n v="602891.5"/>
  </r>
  <r>
    <x v="4"/>
    <s v="Vanuatu"/>
    <s v="Personal Care"/>
    <s v="Online"/>
    <s v="H"/>
    <s v="12/18/2010"/>
    <n v="741250836"/>
    <d v="2011-10-01T00:00:00"/>
    <n v="1450"/>
    <n v="81.73"/>
    <n v="56.67"/>
    <n v="118508.5"/>
    <n v="82171.5"/>
    <n v="36337"/>
  </r>
  <r>
    <x v="4"/>
    <s v="Vanuatu"/>
    <s v="Snacks"/>
    <s v="Online"/>
    <s v="M"/>
    <d v="2014-02-05T00:00:00"/>
    <n v="210591018"/>
    <s v="5/27/2014"/>
    <n v="7417"/>
    <n v="152.58000000000001"/>
    <n v="97.44"/>
    <n v="1131685.8600000001"/>
    <n v="722712.48"/>
    <n v="408973.38"/>
  </r>
  <r>
    <x v="0"/>
    <s v="Grenada"/>
    <s v="Vegetables"/>
    <s v="Online"/>
    <s v="C"/>
    <d v="2014-06-03T00:00:00"/>
    <n v="725348985"/>
    <s v="4/13/2014"/>
    <n v="5738"/>
    <n v="154.06"/>
    <n v="90.93"/>
    <n v="883996.28"/>
    <n v="521756.34"/>
    <n v="362239.94"/>
  </r>
  <r>
    <x v="5"/>
    <s v="Mozambique"/>
    <s v="Household"/>
    <s v="Offline"/>
    <s v="H"/>
    <d v="2011-11-08T00:00:00"/>
    <n v="538698565"/>
    <d v="2011-07-09T00:00:00"/>
    <n v="1731"/>
    <n v="668.27"/>
    <n v="502.54"/>
    <n v="1156775.3700000001"/>
    <n v="869896.74"/>
    <n v="286878.63"/>
  </r>
  <r>
    <x v="0"/>
    <s v="Cuba"/>
    <s v="Cereal"/>
    <s v="Offline"/>
    <s v="H"/>
    <s v="5/20/2016"/>
    <n v="224126088"/>
    <d v="2016-12-06T00:00:00"/>
    <n v="2745"/>
    <n v="205.7"/>
    <n v="117.11"/>
    <n v="564646.5"/>
    <n v="321466.95"/>
    <n v="243179.55"/>
  </r>
  <r>
    <x v="3"/>
    <s v="Algeria"/>
    <s v="Beverages"/>
    <s v="Online"/>
    <s v="M"/>
    <s v="10/22/2012"/>
    <n v="425430381"/>
    <d v="2012-05-12T00:00:00"/>
    <n v="3159"/>
    <n v="47.45"/>
    <n v="31.79"/>
    <n v="149894.54999999999"/>
    <n v="100424.61"/>
    <n v="49469.94"/>
  </r>
  <r>
    <x v="5"/>
    <s v="Equatorial Guinea"/>
    <s v="Vegetables"/>
    <s v="Offline"/>
    <s v="M"/>
    <s v="7/20/2016"/>
    <n v="506722772"/>
    <d v="2016-08-08T00:00:00"/>
    <n v="9383"/>
    <n v="154.06"/>
    <n v="90.93"/>
    <n v="1445544.98"/>
    <n v="853196.19"/>
    <n v="592348.79"/>
  </r>
  <r>
    <x v="5"/>
    <s v="Uganda"/>
    <s v="Office Supplies"/>
    <s v="Offline"/>
    <s v="C"/>
    <d v="2010-07-04T00:00:00"/>
    <n v="802427089"/>
    <s v="4/26/2010"/>
    <n v="4862"/>
    <n v="651.21"/>
    <n v="524.96"/>
    <n v="3166183.02"/>
    <n v="2552355.52"/>
    <n v="613827.5"/>
  </r>
  <r>
    <x v="2"/>
    <s v="Thailand"/>
    <s v="Cosmetics"/>
    <s v="Offline"/>
    <s v="H"/>
    <s v="7/14/2015"/>
    <n v="367279660"/>
    <d v="2015-09-08T00:00:00"/>
    <n v="5068"/>
    <n v="437.2"/>
    <n v="263.33"/>
    <n v="2215729.6"/>
    <n v="1334556.44"/>
    <n v="881173.16"/>
  </r>
  <r>
    <x v="3"/>
    <s v="Turkey"/>
    <s v="Personal Care"/>
    <s v="Offline"/>
    <s v="H"/>
    <d v="2013-10-05T00:00:00"/>
    <n v="126329314"/>
    <s v="5/21/2013"/>
    <n v="2506"/>
    <n v="81.73"/>
    <n v="56.67"/>
    <n v="204815.38"/>
    <n v="142015.01999999999"/>
    <n v="62800.36"/>
  </r>
  <r>
    <x v="2"/>
    <s v="Kazakhstan"/>
    <s v="Personal Care"/>
    <s v="Offline"/>
    <s v="H"/>
    <d v="2016-01-02T00:00:00"/>
    <n v="624937379"/>
    <d v="2016-08-02T00:00:00"/>
    <n v="1713"/>
    <n v="81.73"/>
    <n v="56.67"/>
    <n v="140003.49"/>
    <n v="97075.71"/>
    <n v="42927.78"/>
  </r>
  <r>
    <x v="0"/>
    <s v="Nicaragua"/>
    <s v="Snacks"/>
    <s v="Offline"/>
    <s v="H"/>
    <s v="8/20/2010"/>
    <n v="678777682"/>
    <s v="9/28/2010"/>
    <n v="4255"/>
    <n v="152.58000000000001"/>
    <n v="97.44"/>
    <n v="649227.9"/>
    <n v="414607.2"/>
    <n v="234620.7"/>
  </r>
  <r>
    <x v="2"/>
    <s v="Kazakhstan"/>
    <s v="Cereal"/>
    <s v="Online"/>
    <s v="L"/>
    <d v="2015-12-04T00:00:00"/>
    <n v="523836553"/>
    <s v="5/22/2015"/>
    <n v="3732"/>
    <n v="205.7"/>
    <n v="117.11"/>
    <n v="767672.4"/>
    <n v="437054.52"/>
    <n v="330617.88"/>
  </r>
  <r>
    <x v="5"/>
    <s v="Chad"/>
    <s v="Cereal"/>
    <s v="Offline"/>
    <s v="C"/>
    <d v="2015-08-04T00:00:00"/>
    <n v="466412818"/>
    <d v="2015-12-05T00:00:00"/>
    <n v="772"/>
    <n v="205.7"/>
    <n v="117.11"/>
    <n v="158800.4"/>
    <n v="90408.92"/>
    <n v="68391.48"/>
  </r>
  <r>
    <x v="4"/>
    <s v="East Timor"/>
    <s v="Fruits"/>
    <s v="Online"/>
    <s v="H"/>
    <s v="1/27/2012"/>
    <n v="433117806"/>
    <d v="2012-06-02T00:00:00"/>
    <n v="8039"/>
    <n v="9.33"/>
    <n v="6.92"/>
    <n v="75003.87"/>
    <n v="55629.88"/>
    <n v="19373.990000000002"/>
  </r>
  <r>
    <x v="1"/>
    <s v="Lithuania"/>
    <s v="Cosmetics"/>
    <s v="Offline"/>
    <s v="L"/>
    <d v="2012-06-01T00:00:00"/>
    <n v="420875346"/>
    <s v="2/18/2012"/>
    <n v="5223"/>
    <n v="437.2"/>
    <n v="263.33"/>
    <n v="2283495.6"/>
    <n v="1375372.59"/>
    <n v="908123.01"/>
  </r>
  <r>
    <x v="5"/>
    <s v="Eritrea"/>
    <s v="Cosmetics"/>
    <s v="Online"/>
    <s v="C"/>
    <s v="11/26/2014"/>
    <n v="946921765"/>
    <s v="12/16/2014"/>
    <n v="4048"/>
    <n v="437.2"/>
    <n v="263.33"/>
    <n v="1769785.6"/>
    <n v="1065959.8400000001"/>
    <n v="703825.76"/>
  </r>
  <r>
    <x v="5"/>
    <s v="Zambia"/>
    <s v="Household"/>
    <s v="Offline"/>
    <s v="H"/>
    <d v="2010-04-04T00:00:00"/>
    <n v="798805892"/>
    <s v="4/25/2010"/>
    <n v="3270"/>
    <n v="668.27"/>
    <n v="502.54"/>
    <n v="2185242.9"/>
    <n v="1643305.8"/>
    <n v="541937.1"/>
  </r>
  <r>
    <x v="5"/>
    <s v="Liberia"/>
    <s v="Household"/>
    <s v="Offline"/>
    <s v="M"/>
    <s v="5/17/2011"/>
    <n v="184389054"/>
    <s v="6/20/2011"/>
    <n v="3674"/>
    <n v="668.27"/>
    <n v="502.54"/>
    <n v="2455223.98"/>
    <n v="1846331.96"/>
    <n v="608892.02"/>
  </r>
  <r>
    <x v="0"/>
    <s v="Saint Kitts and Nevis "/>
    <s v="Household"/>
    <s v="Offline"/>
    <s v="M"/>
    <d v="2013-09-09T00:00:00"/>
    <n v="281845080"/>
    <s v="10/18/2013"/>
    <n v="3077"/>
    <n v="668.27"/>
    <n v="502.54"/>
    <n v="2056266.79"/>
    <n v="1546315.58"/>
    <n v="509951.21"/>
  </r>
  <r>
    <x v="0"/>
    <s v="Jamaica"/>
    <s v="Meat"/>
    <s v="Online"/>
    <s v="H"/>
    <s v="9/14/2013"/>
    <n v="989660298"/>
    <d v="2013-11-10T00:00:00"/>
    <n v="1330"/>
    <n v="421.89"/>
    <n v="364.69"/>
    <n v="561113.69999999995"/>
    <n v="485037.7"/>
    <n v="76076"/>
  </r>
  <r>
    <x v="1"/>
    <s v="Albania"/>
    <s v="Vegetables"/>
    <s v="Online"/>
    <s v="C"/>
    <d v="2012-05-10T00:00:00"/>
    <n v="476633536"/>
    <d v="2012-03-11T00:00:00"/>
    <n v="5310"/>
    <n v="154.06"/>
    <n v="90.93"/>
    <n v="818058.6"/>
    <n v="482838.3"/>
    <n v="335220.3"/>
  </r>
  <r>
    <x v="2"/>
    <s v="Japan"/>
    <s v="Baby Food"/>
    <s v="Offline"/>
    <s v="C"/>
    <s v="4/13/2013"/>
    <n v="131876122"/>
    <s v="5/22/2013"/>
    <n v="3930"/>
    <n v="255.28"/>
    <n v="159.41999999999999"/>
    <n v="1003250.4"/>
    <n v="626520.6"/>
    <n v="376729.8"/>
  </r>
  <r>
    <x v="5"/>
    <s v="Equatorial Guinea"/>
    <s v="Meat"/>
    <s v="Offline"/>
    <s v="L"/>
    <s v="12/15/2014"/>
    <n v="514811885"/>
    <s v="1/21/2015"/>
    <n v="3132"/>
    <n v="421.89"/>
    <n v="364.69"/>
    <n v="1321359.48"/>
    <n v="1142209.08"/>
    <n v="179150.4"/>
  </r>
  <r>
    <x v="2"/>
    <s v="Myanmar"/>
    <s v="Office Supplies"/>
    <s v="Online"/>
    <s v="C"/>
    <s v="12/20/2010"/>
    <n v="905177152"/>
    <d v="2011-07-01T00:00:00"/>
    <n v="889"/>
    <n v="651.21"/>
    <n v="524.96"/>
    <n v="578925.68999999994"/>
    <n v="466689.44"/>
    <n v="112236.25"/>
  </r>
  <r>
    <x v="3"/>
    <s v="Libya"/>
    <s v="Personal Care"/>
    <s v="Offline"/>
    <s v="H"/>
    <d v="2014-02-07T00:00:00"/>
    <n v="653020751"/>
    <s v="7/19/2014"/>
    <n v="2207"/>
    <n v="81.73"/>
    <n v="56.67"/>
    <n v="180378.11"/>
    <n v="125070.69"/>
    <n v="55307.42"/>
  </r>
  <r>
    <x v="2"/>
    <s v="Mongolia"/>
    <s v="Meat"/>
    <s v="Online"/>
    <s v="L"/>
    <s v="1/31/2017"/>
    <n v="528704011"/>
    <d v="2017-02-03T00:00:00"/>
    <n v="4121"/>
    <n v="421.89"/>
    <n v="364.69"/>
    <n v="1738608.69"/>
    <n v="1502887.49"/>
    <n v="235721.2"/>
  </r>
  <r>
    <x v="2"/>
    <s v="Singapore"/>
    <s v="Snacks"/>
    <s v="Offline"/>
    <s v="M"/>
    <d v="2015-05-02T00:00:00"/>
    <n v="472900760"/>
    <s v="3/19/2015"/>
    <n v="699"/>
    <n v="152.58000000000001"/>
    <n v="97.44"/>
    <n v="106653.42"/>
    <n v="68110.559999999998"/>
    <n v="38542.86"/>
  </r>
  <r>
    <x v="0"/>
    <s v="The Bahamas"/>
    <s v="Baby Food"/>
    <s v="Offline"/>
    <s v="L"/>
    <s v="7/23/2013"/>
    <n v="946597325"/>
    <s v="7/23/2013"/>
    <n v="8039"/>
    <n v="255.28"/>
    <n v="159.41999999999999"/>
    <n v="2052195.92"/>
    <n v="1281577.3799999999"/>
    <n v="770618.54"/>
  </r>
  <r>
    <x v="2"/>
    <s v="Sri Lanka"/>
    <s v="Office Supplies"/>
    <s v="Offline"/>
    <s v="L"/>
    <d v="2014-06-10T00:00:00"/>
    <n v="681092536"/>
    <s v="11/18/2014"/>
    <n v="9272"/>
    <n v="651.21"/>
    <n v="524.96"/>
    <n v="6038019.1200000001"/>
    <n v="4867429.12"/>
    <n v="1170590"/>
  </r>
  <r>
    <x v="1"/>
    <s v="Cyprus"/>
    <s v="Vegetables"/>
    <s v="Offline"/>
    <s v="C"/>
    <d v="2014-02-07T00:00:00"/>
    <n v="727997720"/>
    <s v="7/19/2014"/>
    <n v="9558"/>
    <n v="154.06"/>
    <n v="90.93"/>
    <n v="1472505.48"/>
    <n v="869108.94"/>
    <n v="603396.54"/>
  </r>
  <r>
    <x v="3"/>
    <s v="Afghanistan"/>
    <s v="Baby Food"/>
    <s v="Online"/>
    <s v="C"/>
    <s v="5/29/2013"/>
    <n v="409236705"/>
    <d v="2013-11-06T00:00:00"/>
    <n v="1090"/>
    <n v="255.28"/>
    <n v="159.41999999999999"/>
    <n v="278255.2"/>
    <n v="173767.8"/>
    <n v="104487.4"/>
  </r>
  <r>
    <x v="1"/>
    <s v="Moldova "/>
    <s v="Personal Care"/>
    <s v="Online"/>
    <s v="M"/>
    <d v="2013-11-03T00:00:00"/>
    <n v="467045819"/>
    <d v="2013-12-04T00:00:00"/>
    <n v="8092"/>
    <n v="81.73"/>
    <n v="56.67"/>
    <n v="661359.16"/>
    <n v="458573.64"/>
    <n v="202785.52"/>
  </r>
  <r>
    <x v="1"/>
    <s v="Kosovo"/>
    <s v="Cosmetics"/>
    <s v="Offline"/>
    <s v="C"/>
    <d v="2012-01-11T00:00:00"/>
    <n v="813973891"/>
    <s v="11/13/2012"/>
    <n v="1818"/>
    <n v="437.2"/>
    <n v="263.33"/>
    <n v="794829.6"/>
    <n v="478733.94"/>
    <n v="316095.65999999997"/>
  </r>
  <r>
    <x v="3"/>
    <s v="Egypt"/>
    <s v="Household"/>
    <s v="Online"/>
    <s v="M"/>
    <s v="5/22/2012"/>
    <n v="982882249"/>
    <s v="5/29/2012"/>
    <n v="5554"/>
    <n v="668.27"/>
    <n v="502.54"/>
    <n v="3711571.58"/>
    <n v="2791107.16"/>
    <n v="920464.42"/>
  </r>
  <r>
    <x v="1"/>
    <s v="Albania"/>
    <s v="Cosmetics"/>
    <s v="Offline"/>
    <s v="L"/>
    <s v="9/30/2016"/>
    <n v="576944720"/>
    <d v="2016-09-10T00:00:00"/>
    <n v="9619"/>
    <n v="437.2"/>
    <n v="263.33"/>
    <n v="4205426.8"/>
    <n v="2532971.27"/>
    <n v="1672455.53"/>
  </r>
  <r>
    <x v="2"/>
    <s v="Singapore"/>
    <s v="Vegetables"/>
    <s v="Offline"/>
    <s v="C"/>
    <s v="9/25/2016"/>
    <n v="619647634"/>
    <s v="10/16/2016"/>
    <n v="6360"/>
    <n v="154.06"/>
    <n v="90.93"/>
    <n v="979821.6"/>
    <n v="578314.80000000005"/>
    <n v="401506.8"/>
  </r>
  <r>
    <x v="1"/>
    <s v="Portugal"/>
    <s v="Baby Food"/>
    <s v="Online"/>
    <s v="L"/>
    <d v="2015-03-08T00:00:00"/>
    <n v="404789817"/>
    <d v="2015-08-09T00:00:00"/>
    <n v="5157"/>
    <n v="255.28"/>
    <n v="159.41999999999999"/>
    <n v="1316478.96"/>
    <n v="822128.94"/>
    <n v="494350.02"/>
  </r>
  <r>
    <x v="2"/>
    <s v="India"/>
    <s v="Snacks"/>
    <s v="Offline"/>
    <s v="M"/>
    <s v="1/16/2010"/>
    <n v="646482598"/>
    <s v="1/25/2010"/>
    <n v="7422"/>
    <n v="152.58000000000001"/>
    <n v="97.44"/>
    <n v="1132448.76"/>
    <n v="723199.68"/>
    <n v="409249.08"/>
  </r>
  <r>
    <x v="5"/>
    <s v="Sudan"/>
    <s v="Meat"/>
    <s v="Online"/>
    <s v="C"/>
    <d v="2016-01-11T00:00:00"/>
    <n v="329149806"/>
    <d v="2016-08-12T00:00:00"/>
    <n v="1597"/>
    <n v="421.89"/>
    <n v="364.69"/>
    <n v="673758.33"/>
    <n v="582409.93000000005"/>
    <n v="91348.4"/>
  </r>
  <r>
    <x v="4"/>
    <s v="Vanuatu"/>
    <s v="Office Supplies"/>
    <s v="Offline"/>
    <s v="M"/>
    <s v="11/25/2015"/>
    <n v="757527768"/>
    <s v="12/19/2015"/>
    <n v="8155"/>
    <n v="651.21"/>
    <n v="524.96"/>
    <n v="5310617.55"/>
    <n v="4281048.8"/>
    <n v="1029568.75"/>
  </r>
  <r>
    <x v="5"/>
    <s v="Democratic Republic of the Congo"/>
    <s v="Cosmetics"/>
    <s v="Online"/>
    <s v="C"/>
    <s v="9/24/2014"/>
    <n v="606665313"/>
    <s v="10/13/2014"/>
    <n v="4602"/>
    <n v="437.2"/>
    <n v="263.33"/>
    <n v="2011994.4"/>
    <n v="1211844.6599999999"/>
    <n v="800149.74"/>
  </r>
  <r>
    <x v="1"/>
    <s v="Bosnia and Herzegovina"/>
    <s v="Baby Food"/>
    <s v="Online"/>
    <s v="C"/>
    <s v="4/30/2014"/>
    <n v="871923768"/>
    <s v="5/30/2014"/>
    <n v="474"/>
    <n v="255.28"/>
    <n v="159.41999999999999"/>
    <n v="121002.72"/>
    <n v="75565.08"/>
    <n v="45437.64"/>
  </r>
  <r>
    <x v="1"/>
    <s v="Kosovo"/>
    <s v="Vegetables"/>
    <s v="Offline"/>
    <s v="C"/>
    <s v="12/18/2012"/>
    <n v="818976962"/>
    <s v="12/21/2012"/>
    <n v="2337"/>
    <n v="154.06"/>
    <n v="90.93"/>
    <n v="360038.22"/>
    <n v="212503.41"/>
    <n v="147534.81"/>
  </r>
  <r>
    <x v="1"/>
    <s v="Switzerland"/>
    <s v="Cosmetics"/>
    <s v="Online"/>
    <s v="C"/>
    <s v="7/20/2017"/>
    <n v="233811223"/>
    <s v="7/20/2017"/>
    <n v="8792"/>
    <n v="437.2"/>
    <n v="263.33"/>
    <n v="3843862.4"/>
    <n v="2315197.36"/>
    <n v="1528665.04"/>
  </r>
  <r>
    <x v="0"/>
    <s v="Cuba"/>
    <s v="Beverages"/>
    <s v="Offline"/>
    <s v="L"/>
    <s v="2/16/2017"/>
    <n v="772725379"/>
    <d v="2017-09-03T00:00:00"/>
    <n v="5466"/>
    <n v="47.45"/>
    <n v="31.79"/>
    <n v="259361.7"/>
    <n v="173764.14"/>
    <n v="85597.56"/>
  </r>
  <r>
    <x v="1"/>
    <s v="Lithuania"/>
    <s v="Office Supplies"/>
    <s v="Offline"/>
    <s v="C"/>
    <s v="12/15/2016"/>
    <n v="112330758"/>
    <d v="2017-11-01T00:00:00"/>
    <n v="22"/>
    <n v="651.21"/>
    <n v="524.96"/>
    <n v="14326.62"/>
    <n v="11549.12"/>
    <n v="2777.5"/>
  </r>
  <r>
    <x v="3"/>
    <s v="Lebanon"/>
    <s v="Clothes"/>
    <s v="Online"/>
    <s v="M"/>
    <s v="12/28/2011"/>
    <n v="499551188"/>
    <s v="1/14/2012"/>
    <n v="7153"/>
    <n v="109.28"/>
    <n v="35.840000000000003"/>
    <n v="781679.84"/>
    <n v="256363.51999999999"/>
    <n v="525316.31999999995"/>
  </r>
  <r>
    <x v="2"/>
    <s v="North Korea"/>
    <s v="Clothes"/>
    <s v="Online"/>
    <s v="M"/>
    <s v="5/28/2013"/>
    <n v="201622998"/>
    <d v="2013-05-06T00:00:00"/>
    <n v="3581"/>
    <n v="109.28"/>
    <n v="35.840000000000003"/>
    <n v="391331.68"/>
    <n v="128343.03999999999"/>
    <n v="262988.64"/>
  </r>
  <r>
    <x v="1"/>
    <s v="Montenegro"/>
    <s v="Office Supplies"/>
    <s v="Offline"/>
    <s v="H"/>
    <d v="2014-02-07T00:00:00"/>
    <n v="256095016"/>
    <s v="8/21/2014"/>
    <n v="3061"/>
    <n v="651.21"/>
    <n v="524.96"/>
    <n v="1993353.81"/>
    <n v="1606902.56"/>
    <n v="386451.25"/>
  </r>
  <r>
    <x v="5"/>
    <s v="Eritrea"/>
    <s v="Fruits"/>
    <s v="Offline"/>
    <s v="M"/>
    <s v="3/21/2017"/>
    <n v="420828568"/>
    <s v="3/29/2017"/>
    <n v="1380"/>
    <n v="9.33"/>
    <n v="6.92"/>
    <n v="12875.4"/>
    <n v="9549.6"/>
    <n v="3325.8"/>
  </r>
  <r>
    <x v="5"/>
    <s v="Democratic Republic of the Congo"/>
    <s v="Cereal"/>
    <s v="Online"/>
    <s v="L"/>
    <s v="3/17/2013"/>
    <n v="523997485"/>
    <s v="4/23/2013"/>
    <n v="1355"/>
    <n v="205.7"/>
    <n v="117.11"/>
    <n v="278723.5"/>
    <n v="158684.04999999999"/>
    <n v="120039.45"/>
  </r>
  <r>
    <x v="2"/>
    <s v="India"/>
    <s v="Office Supplies"/>
    <s v="Online"/>
    <s v="C"/>
    <s v="4/30/2010"/>
    <n v="914088094"/>
    <d v="2010-03-05T00:00:00"/>
    <n v="7835"/>
    <n v="651.21"/>
    <n v="524.96"/>
    <n v="5102230.3499999996"/>
    <n v="4113061.6"/>
    <n v="989168.75"/>
  </r>
  <r>
    <x v="5"/>
    <s v="Republic of the Congo"/>
    <s v="Snacks"/>
    <s v="Online"/>
    <s v="M"/>
    <s v="9/16/2013"/>
    <n v="209899222"/>
    <s v="9/28/2013"/>
    <n v="2699"/>
    <n v="152.58000000000001"/>
    <n v="97.44"/>
    <n v="411813.42"/>
    <n v="262990.56"/>
    <n v="148822.85999999999"/>
  </r>
  <r>
    <x v="5"/>
    <s v="Comoros"/>
    <s v="Clothes"/>
    <s v="Offline"/>
    <s v="M"/>
    <s v="5/30/2014"/>
    <n v="250542199"/>
    <d v="2014-01-07T00:00:00"/>
    <n v="9859"/>
    <n v="109.28"/>
    <n v="35.840000000000003"/>
    <n v="1077391.52"/>
    <n v="353346.56"/>
    <n v="724044.96"/>
  </r>
  <r>
    <x v="1"/>
    <s v="France"/>
    <s v="Meat"/>
    <s v="Online"/>
    <s v="L"/>
    <s v="11/28/2015"/>
    <n v="245440852"/>
    <s v="12/17/2015"/>
    <n v="257"/>
    <n v="421.89"/>
    <n v="364.69"/>
    <n v="108425.73"/>
    <n v="93725.33"/>
    <n v="14700.4"/>
  </r>
  <r>
    <x v="5"/>
    <s v="Rwanda"/>
    <s v="Vegetables"/>
    <s v="Online"/>
    <s v="L"/>
    <d v="2015-07-03T00:00:00"/>
    <n v="824331510"/>
    <s v="4/21/2015"/>
    <n v="6867"/>
    <n v="154.06"/>
    <n v="90.93"/>
    <n v="1057930.02"/>
    <n v="624416.31000000006"/>
    <n v="433513.71"/>
  </r>
  <r>
    <x v="5"/>
    <s v="Malawi"/>
    <s v="Meat"/>
    <s v="Online"/>
    <s v="M"/>
    <s v="1/15/2014"/>
    <n v="887263000"/>
    <s v="1/31/2014"/>
    <n v="9693"/>
    <n v="421.89"/>
    <n v="364.69"/>
    <n v="4089379.77"/>
    <n v="3534940.17"/>
    <n v="554439.6"/>
  </r>
  <r>
    <x v="5"/>
    <s v="Cote d'Ivoire"/>
    <s v="Cereal"/>
    <s v="Offline"/>
    <s v="H"/>
    <s v="5/22/2015"/>
    <n v="754596650"/>
    <s v="5/27/2015"/>
    <n v="772"/>
    <n v="205.7"/>
    <n v="117.11"/>
    <n v="158800.4"/>
    <n v="90408.92"/>
    <n v="68391.48"/>
  </r>
  <r>
    <x v="1"/>
    <s v="Spain"/>
    <s v="Fruits"/>
    <s v="Online"/>
    <s v="H"/>
    <s v="10/22/2011"/>
    <n v="817006289"/>
    <s v="11/14/2011"/>
    <n v="9172"/>
    <n v="9.33"/>
    <n v="6.92"/>
    <n v="85574.76"/>
    <n v="63470.239999999998"/>
    <n v="22104.52"/>
  </r>
  <r>
    <x v="5"/>
    <s v="Uganda"/>
    <s v="Clothes"/>
    <s v="Offline"/>
    <s v="H"/>
    <d v="2012-08-02T00:00:00"/>
    <n v="185478246"/>
    <s v="3/20/2012"/>
    <n v="5989"/>
    <n v="109.28"/>
    <n v="35.840000000000003"/>
    <n v="654477.92000000004"/>
    <n v="214645.76000000001"/>
    <n v="439832.16"/>
  </r>
  <r>
    <x v="2"/>
    <s v="Taiwan"/>
    <s v="Personal Care"/>
    <s v="Offline"/>
    <s v="C"/>
    <s v="10/16/2014"/>
    <n v="741311347"/>
    <d v="2014-05-11T00:00:00"/>
    <n v="9356"/>
    <n v="81.73"/>
    <n v="56.67"/>
    <n v="764665.88"/>
    <n v="530204.52"/>
    <n v="234461.36"/>
  </r>
  <r>
    <x v="3"/>
    <s v="Israel"/>
    <s v="Personal Care"/>
    <s v="Offline"/>
    <s v="M"/>
    <s v="11/14/2011"/>
    <n v="386116921"/>
    <s v="12/22/2011"/>
    <n v="9432"/>
    <n v="81.73"/>
    <n v="56.67"/>
    <n v="770877.36"/>
    <n v="534511.43999999994"/>
    <n v="236365.92"/>
  </r>
  <r>
    <x v="0"/>
    <s v="Costa Rica"/>
    <s v="Meat"/>
    <s v="Offline"/>
    <s v="L"/>
    <d v="2015-03-05T00:00:00"/>
    <n v="691818797"/>
    <d v="2015-07-05T00:00:00"/>
    <n v="3411"/>
    <n v="421.89"/>
    <n v="364.69"/>
    <n v="1439066.79"/>
    <n v="1243957.5900000001"/>
    <n v="195109.2"/>
  </r>
  <r>
    <x v="0"/>
    <s v="Honduras"/>
    <s v="Snacks"/>
    <s v="Online"/>
    <s v="C"/>
    <s v="7/16/2015"/>
    <n v="150653302"/>
    <d v="2015-02-09T00:00:00"/>
    <n v="515"/>
    <n v="152.58000000000001"/>
    <n v="97.44"/>
    <n v="78578.7"/>
    <n v="50181.599999999999"/>
    <n v="28397.1"/>
  </r>
  <r>
    <x v="2"/>
    <s v="South Korea"/>
    <s v="Vegetables"/>
    <s v="Offline"/>
    <s v="M"/>
    <d v="2015-01-04T00:00:00"/>
    <n v="925169265"/>
    <d v="2015-03-05T00:00:00"/>
    <n v="7000"/>
    <n v="154.06"/>
    <n v="90.93"/>
    <n v="1078420"/>
    <n v="636510"/>
    <n v="441910"/>
  </r>
  <r>
    <x v="1"/>
    <s v="Sweden"/>
    <s v="Vegetables"/>
    <s v="Online"/>
    <s v="H"/>
    <s v="9/20/2010"/>
    <n v="298228013"/>
    <s v="10/25/2010"/>
    <n v="1151"/>
    <n v="154.06"/>
    <n v="90.93"/>
    <n v="177323.06"/>
    <n v="104660.43"/>
    <n v="72662.63"/>
  </r>
  <r>
    <x v="4"/>
    <s v="Tonga"/>
    <s v="Office Supplies"/>
    <s v="Online"/>
    <s v="L"/>
    <s v="8/24/2010"/>
    <n v="123003375"/>
    <s v="9/16/2010"/>
    <n v="8287"/>
    <n v="651.21"/>
    <n v="524.96"/>
    <n v="5396577.2699999996"/>
    <n v="4350343.5199999996"/>
    <n v="1046233.75"/>
  </r>
  <r>
    <x v="1"/>
    <s v="Latvia"/>
    <s v="Snacks"/>
    <s v="Online"/>
    <s v="C"/>
    <s v="3/15/2017"/>
    <n v="972981679"/>
    <d v="2017-09-04T00:00:00"/>
    <n v="5755"/>
    <n v="152.58000000000001"/>
    <n v="97.44"/>
    <n v="878097.9"/>
    <n v="560767.19999999995"/>
    <n v="317330.7"/>
  </r>
  <r>
    <x v="2"/>
    <s v="Indonesia"/>
    <s v="Beverages"/>
    <s v="Online"/>
    <s v="M"/>
    <d v="2014-12-09T00:00:00"/>
    <n v="791961753"/>
    <s v="9/21/2014"/>
    <n v="7937"/>
    <n v="47.45"/>
    <n v="31.79"/>
    <n v="376610.65"/>
    <n v="252317.23"/>
    <n v="124293.42"/>
  </r>
  <r>
    <x v="2"/>
    <s v="Myanmar"/>
    <s v="Household"/>
    <s v="Online"/>
    <s v="C"/>
    <s v="3/25/2011"/>
    <n v="744054925"/>
    <s v="3/31/2011"/>
    <n v="1242"/>
    <n v="668.27"/>
    <n v="502.54"/>
    <n v="829991.34"/>
    <n v="624154.68000000005"/>
    <n v="205836.66"/>
  </r>
  <r>
    <x v="2"/>
    <s v="Turkmenistan"/>
    <s v="Office Supplies"/>
    <s v="Offline"/>
    <s v="L"/>
    <d v="2012-03-03T00:00:00"/>
    <n v="263685023"/>
    <d v="2012-08-04T00:00:00"/>
    <n v="9113"/>
    <n v="651.21"/>
    <n v="524.96"/>
    <n v="5934476.7300000004"/>
    <n v="4783960.4800000004"/>
    <n v="1150516.25"/>
  </r>
  <r>
    <x v="0"/>
    <s v="Panama"/>
    <s v="Baby Food"/>
    <s v="Online"/>
    <s v="H"/>
    <s v="5/19/2016"/>
    <n v="205588376"/>
    <s v="6/18/2016"/>
    <n v="7024"/>
    <n v="255.28"/>
    <n v="159.41999999999999"/>
    <n v="1793086.72"/>
    <n v="1119766.08"/>
    <n v="673320.64"/>
  </r>
  <r>
    <x v="1"/>
    <s v="Norway"/>
    <s v="Personal Care"/>
    <s v="Offline"/>
    <s v="M"/>
    <d v="2012-08-06T00:00:00"/>
    <n v="594813811"/>
    <s v="6/17/2012"/>
    <n v="7480"/>
    <n v="81.73"/>
    <n v="56.67"/>
    <n v="611340.4"/>
    <n v="423891.6"/>
    <n v="187448.8"/>
  </r>
  <r>
    <x v="1"/>
    <s v="Estonia"/>
    <s v="Clothes"/>
    <s v="Online"/>
    <s v="H"/>
    <d v="2012-08-09T00:00:00"/>
    <n v="176722657"/>
    <s v="9/16/2012"/>
    <n v="5016"/>
    <n v="109.28"/>
    <n v="35.840000000000003"/>
    <n v="548148.47999999998"/>
    <n v="179773.44"/>
    <n v="368375.03999999998"/>
  </r>
  <r>
    <x v="1"/>
    <s v="Malta"/>
    <s v="Personal Care"/>
    <s v="Offline"/>
    <s v="M"/>
    <s v="8/16/2011"/>
    <n v="466988742"/>
    <s v="8/16/2011"/>
    <n v="1201"/>
    <n v="81.73"/>
    <n v="56.67"/>
    <n v="98157.73"/>
    <n v="68060.67"/>
    <n v="30097.06"/>
  </r>
  <r>
    <x v="5"/>
    <s v="Eritrea"/>
    <s v="Personal Care"/>
    <s v="Offline"/>
    <s v="L"/>
    <s v="5/14/2012"/>
    <n v="801598393"/>
    <d v="2012-02-06T00:00:00"/>
    <n v="9633"/>
    <n v="81.73"/>
    <n v="56.67"/>
    <n v="787305.09"/>
    <n v="545902.11"/>
    <n v="241402.98"/>
  </r>
  <r>
    <x v="5"/>
    <s v="Republic of the Congo"/>
    <s v="Meat"/>
    <s v="Offline"/>
    <s v="M"/>
    <s v="4/28/2015"/>
    <n v="586850440"/>
    <d v="2015-08-06T00:00:00"/>
    <n v="941"/>
    <n v="421.89"/>
    <n v="364.69"/>
    <n v="396998.49"/>
    <n v="343173.29"/>
    <n v="53825.2"/>
  </r>
  <r>
    <x v="0"/>
    <s v="Trinidad and Tobago"/>
    <s v="Snacks"/>
    <s v="Offline"/>
    <s v="H"/>
    <s v="5/21/2014"/>
    <n v="649356210"/>
    <s v="5/21/2014"/>
    <n v="7787"/>
    <n v="152.58000000000001"/>
    <n v="97.44"/>
    <n v="1188140.46"/>
    <n v="758765.28"/>
    <n v="429375.18"/>
  </r>
  <r>
    <x v="3"/>
    <s v="Yemen"/>
    <s v="Cereal"/>
    <s v="Offline"/>
    <s v="H"/>
    <s v="11/15/2015"/>
    <n v="986039531"/>
    <d v="2015-10-12T00:00:00"/>
    <n v="9864"/>
    <n v="205.7"/>
    <n v="117.11"/>
    <n v="2029024.8"/>
    <n v="1155173.04"/>
    <n v="873851.76"/>
  </r>
  <r>
    <x v="2"/>
    <s v="Turkmenistan"/>
    <s v="Household"/>
    <s v="Offline"/>
    <s v="H"/>
    <d v="2012-10-01T00:00:00"/>
    <n v="314136731"/>
    <d v="2012-12-01T00:00:00"/>
    <n v="8894"/>
    <n v="668.27"/>
    <n v="502.54"/>
    <n v="5943593.3799999999"/>
    <n v="4469590.76"/>
    <n v="1474002.62"/>
  </r>
  <r>
    <x v="3"/>
    <s v="Somalia"/>
    <s v="Beverages"/>
    <s v="Offline"/>
    <s v="H"/>
    <s v="1/28/2015"/>
    <n v="121196639"/>
    <d v="2015-07-02T00:00:00"/>
    <n v="3634"/>
    <n v="47.45"/>
    <n v="31.79"/>
    <n v="172433.3"/>
    <n v="115524.86"/>
    <n v="56908.44"/>
  </r>
  <r>
    <x v="1"/>
    <s v="Portugal"/>
    <s v="Cereal"/>
    <s v="Online"/>
    <s v="C"/>
    <d v="2015-11-08T00:00:00"/>
    <n v="615080583"/>
    <s v="9/19/2015"/>
    <n v="4868"/>
    <n v="205.7"/>
    <n v="117.11"/>
    <n v="1001347.6"/>
    <n v="570091.48"/>
    <n v="431256.12"/>
  </r>
  <r>
    <x v="2"/>
    <s v="Kyrgyzstan"/>
    <s v="Fruits"/>
    <s v="Offline"/>
    <s v="L"/>
    <s v="8/19/2016"/>
    <n v="273962390"/>
    <d v="2016-05-09T00:00:00"/>
    <n v="414"/>
    <n v="9.33"/>
    <n v="6.92"/>
    <n v="3862.62"/>
    <n v="2864.88"/>
    <n v="997.74"/>
  </r>
  <r>
    <x v="3"/>
    <s v="Lebanon"/>
    <s v="Personal Care"/>
    <s v="Offline"/>
    <s v="H"/>
    <s v="8/22/2014"/>
    <n v="796328389"/>
    <s v="9/27/2014"/>
    <n v="121"/>
    <n v="81.73"/>
    <n v="56.67"/>
    <n v="9889.33"/>
    <n v="6857.07"/>
    <n v="3032.26"/>
  </r>
  <r>
    <x v="1"/>
    <s v="Macedonia"/>
    <s v="Cosmetics"/>
    <s v="Online"/>
    <s v="C"/>
    <s v="12/26/2010"/>
    <n v="350977408"/>
    <s v="1/22/2011"/>
    <n v="869"/>
    <n v="437.2"/>
    <n v="263.33"/>
    <n v="379926.8"/>
    <n v="228833.77"/>
    <n v="151093.03"/>
  </r>
  <r>
    <x v="3"/>
    <s v="Algeria"/>
    <s v="Clothes"/>
    <s v="Offline"/>
    <s v="M"/>
    <s v="8/27/2015"/>
    <n v="327020776"/>
    <s v="9/29/2015"/>
    <n v="1570"/>
    <n v="109.28"/>
    <n v="35.840000000000003"/>
    <n v="171569.6"/>
    <n v="56268.800000000003"/>
    <n v="115300.8"/>
  </r>
  <r>
    <x v="3"/>
    <s v="Qatar"/>
    <s v="Vegetables"/>
    <s v="Online"/>
    <s v="H"/>
    <d v="2013-11-03T00:00:00"/>
    <n v="383882319"/>
    <s v="4/15/2013"/>
    <n v="8164"/>
    <n v="154.06"/>
    <n v="90.93"/>
    <n v="1257745.8400000001"/>
    <n v="742352.52"/>
    <n v="515393.32"/>
  </r>
  <r>
    <x v="1"/>
    <s v="Greece"/>
    <s v="Personal Care"/>
    <s v="Offline"/>
    <s v="M"/>
    <d v="2011-08-12T00:00:00"/>
    <n v="701298367"/>
    <d v="2012-06-01T00:00:00"/>
    <n v="8626"/>
    <n v="81.73"/>
    <n v="56.67"/>
    <n v="705002.98"/>
    <n v="488835.42"/>
    <n v="216167.56"/>
  </r>
  <r>
    <x v="5"/>
    <s v="Benin"/>
    <s v="Fruits"/>
    <s v="Online"/>
    <s v="M"/>
    <s v="6/27/2017"/>
    <n v="629317748"/>
    <s v="8/14/2017"/>
    <n v="7961"/>
    <n v="9.33"/>
    <n v="6.92"/>
    <n v="74276.13"/>
    <n v="55090.12"/>
    <n v="19186.009999999998"/>
  </r>
  <r>
    <x v="2"/>
    <s v="Uzbekistan"/>
    <s v="Baby Food"/>
    <s v="Offline"/>
    <s v="C"/>
    <s v="10/21/2013"/>
    <n v="938301789"/>
    <s v="11/29/2013"/>
    <n v="3205"/>
    <n v="255.28"/>
    <n v="159.41999999999999"/>
    <n v="818172.4"/>
    <n v="510941.1"/>
    <n v="307231.3"/>
  </r>
  <r>
    <x v="3"/>
    <s v="Azerbaijan"/>
    <s v="Vegetables"/>
    <s v="Online"/>
    <s v="L"/>
    <d v="2012-01-06T00:00:00"/>
    <n v="668924319"/>
    <d v="2012-07-07T00:00:00"/>
    <n v="8426"/>
    <n v="154.06"/>
    <n v="90.93"/>
    <n v="1298109.56"/>
    <n v="766176.18"/>
    <n v="531933.38"/>
  </r>
  <r>
    <x v="2"/>
    <s v="Cambodia"/>
    <s v="Clothes"/>
    <s v="Online"/>
    <s v="C"/>
    <d v="2010-08-10T00:00:00"/>
    <n v="282171666"/>
    <s v="11/15/2010"/>
    <n v="9721"/>
    <n v="109.28"/>
    <n v="35.840000000000003"/>
    <n v="1062310.8799999999"/>
    <n v="348400.64000000001"/>
    <n v="713910.24"/>
  </r>
  <r>
    <x v="1"/>
    <s v="Italy"/>
    <s v="Personal Care"/>
    <s v="Online"/>
    <s v="C"/>
    <s v="2/25/2011"/>
    <n v="309342658"/>
    <s v="3/28/2011"/>
    <n v="222"/>
    <n v="81.73"/>
    <n v="56.67"/>
    <n v="18144.060000000001"/>
    <n v="12580.74"/>
    <n v="5563.32"/>
  </r>
  <r>
    <x v="5"/>
    <s v="Mauritius "/>
    <s v="Cosmetics"/>
    <s v="Online"/>
    <s v="H"/>
    <d v="2016-05-12T00:00:00"/>
    <n v="902048623"/>
    <s v="12/20/2016"/>
    <n v="5088"/>
    <n v="437.2"/>
    <n v="263.33"/>
    <n v="2224473.6"/>
    <n v="1339823.04"/>
    <n v="884650.56"/>
  </r>
  <r>
    <x v="3"/>
    <s v="Yemen"/>
    <s v="Clothes"/>
    <s v="Online"/>
    <s v="H"/>
    <d v="2013-06-08T00:00:00"/>
    <n v="482213389"/>
    <d v="2013-03-09T00:00:00"/>
    <n v="6513"/>
    <n v="109.28"/>
    <n v="35.840000000000003"/>
    <n v="711740.64"/>
    <n v="233425.92000000001"/>
    <n v="478314.72"/>
  </r>
  <r>
    <x v="0"/>
    <s v="Cuba"/>
    <s v="Vegetables"/>
    <s v="Offline"/>
    <s v="C"/>
    <d v="2010-07-06T00:00:00"/>
    <n v="692073285"/>
    <s v="6/28/2010"/>
    <n v="8719"/>
    <n v="154.06"/>
    <n v="90.93"/>
    <n v="1343249.14"/>
    <n v="792818.67"/>
    <n v="550430.47"/>
  </r>
  <r>
    <x v="4"/>
    <s v="Tonga"/>
    <s v="Fruits"/>
    <s v="Online"/>
    <s v="L"/>
    <s v="12/27/2013"/>
    <n v="544177138"/>
    <s v="1/30/2014"/>
    <n v="2963"/>
    <n v="9.33"/>
    <n v="6.92"/>
    <n v="27644.79"/>
    <n v="20503.96"/>
    <n v="7140.83"/>
  </r>
  <r>
    <x v="0"/>
    <s v="Guatemala"/>
    <s v="Vegetables"/>
    <s v="Online"/>
    <s v="M"/>
    <s v="9/28/2016"/>
    <n v="471386277"/>
    <s v="10/17/2016"/>
    <n v="2530"/>
    <n v="154.06"/>
    <n v="90.93"/>
    <n v="389771.8"/>
    <n v="230052.9"/>
    <n v="159718.9"/>
  </r>
  <r>
    <x v="4"/>
    <s v="New Zealand"/>
    <s v="Personal Care"/>
    <s v="Online"/>
    <s v="L"/>
    <d v="2016-08-01T00:00:00"/>
    <n v="976874530"/>
    <s v="1/27/2016"/>
    <n v="7737"/>
    <n v="81.73"/>
    <n v="56.67"/>
    <n v="632345.01"/>
    <n v="438455.79"/>
    <n v="193889.22"/>
  </r>
  <r>
    <x v="1"/>
    <s v="Norway"/>
    <s v="Household"/>
    <s v="Offline"/>
    <s v="M"/>
    <s v="3/20/2010"/>
    <n v="384128224"/>
    <s v="4/26/2010"/>
    <n v="933"/>
    <n v="668.27"/>
    <n v="502.54"/>
    <n v="623495.91"/>
    <n v="468869.82"/>
    <n v="154626.09"/>
  </r>
  <r>
    <x v="5"/>
    <s v="South Africa"/>
    <s v="Personal Care"/>
    <s v="Online"/>
    <s v="H"/>
    <s v="2/21/2010"/>
    <n v="686946189"/>
    <d v="2010-08-03T00:00:00"/>
    <n v="1498"/>
    <n v="81.73"/>
    <n v="56.67"/>
    <n v="122431.54"/>
    <n v="84891.66"/>
    <n v="37539.879999999997"/>
  </r>
  <r>
    <x v="5"/>
    <s v="Zambia"/>
    <s v="Snacks"/>
    <s v="Offline"/>
    <s v="M"/>
    <s v="7/14/2012"/>
    <n v="799439752"/>
    <s v="7/24/2012"/>
    <n v="843"/>
    <n v="152.58000000000001"/>
    <n v="97.44"/>
    <n v="128624.94"/>
    <n v="82141.919999999998"/>
    <n v="46483.02"/>
  </r>
  <r>
    <x v="0"/>
    <s v="Saint Kitts and Nevis "/>
    <s v="Cereal"/>
    <s v="Online"/>
    <s v="M"/>
    <s v="5/29/2011"/>
    <n v="606032741"/>
    <s v="6/15/2011"/>
    <n v="7410"/>
    <n v="205.7"/>
    <n v="117.11"/>
    <n v="1524237"/>
    <n v="867785.1"/>
    <n v="656451.9"/>
  </r>
  <r>
    <x v="2"/>
    <s v="Indonesia"/>
    <s v="Beverages"/>
    <s v="Offline"/>
    <s v="H"/>
    <s v="12/25/2016"/>
    <n v="511461484"/>
    <d v="2017-05-02T00:00:00"/>
    <n v="1674"/>
    <n v="47.45"/>
    <n v="31.79"/>
    <n v="79431.3"/>
    <n v="53216.46"/>
    <n v="26214.84"/>
  </r>
  <r>
    <x v="1"/>
    <s v="Netherlands"/>
    <s v="Household"/>
    <s v="Offline"/>
    <s v="C"/>
    <s v="1/17/2014"/>
    <n v="990774810"/>
    <s v="2/18/2014"/>
    <n v="1138"/>
    <n v="668.27"/>
    <n v="502.54"/>
    <n v="760491.26"/>
    <n v="571890.52"/>
    <n v="188600.74"/>
  </r>
  <r>
    <x v="2"/>
    <s v="Thailand"/>
    <s v="Snacks"/>
    <s v="Offline"/>
    <s v="M"/>
    <d v="2011-02-03T00:00:00"/>
    <n v="339334046"/>
    <s v="4/16/2011"/>
    <n v="5340"/>
    <n v="152.58000000000001"/>
    <n v="97.44"/>
    <n v="814777.2"/>
    <n v="520329.6"/>
    <n v="294447.59999999998"/>
  </r>
  <r>
    <x v="5"/>
    <s v="Republic of the Congo"/>
    <s v="Personal Care"/>
    <s v="Offline"/>
    <s v="C"/>
    <d v="2014-10-03T00:00:00"/>
    <n v="522813022"/>
    <d v="2014-08-04T00:00:00"/>
    <n v="846"/>
    <n v="81.73"/>
    <n v="56.67"/>
    <n v="69143.58"/>
    <n v="47942.82"/>
    <n v="21200.76"/>
  </r>
  <r>
    <x v="5"/>
    <s v="Equatorial Guinea"/>
    <s v="Fruits"/>
    <s v="Offline"/>
    <s v="M"/>
    <s v="11/17/2014"/>
    <n v="427198064"/>
    <d v="2015-02-01T00:00:00"/>
    <n v="6255"/>
    <n v="9.33"/>
    <n v="6.92"/>
    <n v="58359.15"/>
    <n v="43284.6"/>
    <n v="15074.55"/>
  </r>
  <r>
    <x v="2"/>
    <s v="Tajikistan"/>
    <s v="Beverages"/>
    <s v="Offline"/>
    <s v="C"/>
    <d v="2017-03-06T00:00:00"/>
    <n v="808788001"/>
    <s v="7/15/2017"/>
    <n v="7197"/>
    <n v="47.45"/>
    <n v="31.79"/>
    <n v="341497.65"/>
    <n v="228792.63"/>
    <n v="112705.02"/>
  </r>
  <r>
    <x v="5"/>
    <s v="Botswana"/>
    <s v="Meat"/>
    <s v="Offline"/>
    <s v="L"/>
    <d v="2011-07-12T00:00:00"/>
    <n v="244194161"/>
    <d v="2012-07-01T00:00:00"/>
    <n v="1334"/>
    <n v="421.89"/>
    <n v="364.69"/>
    <n v="562801.26"/>
    <n v="486496.46"/>
    <n v="76304.800000000003"/>
  </r>
  <r>
    <x v="0"/>
    <s v="Dominican Republic"/>
    <s v="Fruits"/>
    <s v="Offline"/>
    <s v="L"/>
    <d v="2016-01-02T00:00:00"/>
    <n v="980340373"/>
    <s v="2/15/2016"/>
    <n v="3357"/>
    <n v="9.33"/>
    <n v="6.92"/>
    <n v="31320.81"/>
    <n v="23230.44"/>
    <n v="8090.37"/>
  </r>
  <r>
    <x v="4"/>
    <s v="Samoa "/>
    <s v="Beverages"/>
    <s v="Online"/>
    <s v="M"/>
    <d v="2010-06-10T00:00:00"/>
    <n v="384462964"/>
    <d v="2010-10-10T00:00:00"/>
    <n v="9990"/>
    <n v="47.45"/>
    <n v="31.79"/>
    <n v="474025.5"/>
    <n v="317582.09999999998"/>
    <n v="156443.4"/>
  </r>
  <r>
    <x v="1"/>
    <s v="Belgium"/>
    <s v="Vegetables"/>
    <s v="Offline"/>
    <s v="C"/>
    <s v="12/26/2011"/>
    <n v="394110763"/>
    <s v="12/29/2011"/>
    <n v="4988"/>
    <n v="154.06"/>
    <n v="90.93"/>
    <n v="768451.28"/>
    <n v="453558.84"/>
    <n v="314892.44"/>
  </r>
  <r>
    <x v="4"/>
    <s v="Federated States of Micronesia"/>
    <s v="Cosmetics"/>
    <s v="Online"/>
    <s v="L"/>
    <d v="2014-12-02T00:00:00"/>
    <n v="767145097"/>
    <d v="2014-11-03T00:00:00"/>
    <n v="4137"/>
    <n v="437.2"/>
    <n v="263.33"/>
    <n v="1808696.4"/>
    <n v="1089396.21"/>
    <n v="719300.19"/>
  </r>
  <r>
    <x v="5"/>
    <s v="Botswana"/>
    <s v="Fruits"/>
    <s v="Online"/>
    <s v="L"/>
    <s v="5/21/2016"/>
    <n v="431739795"/>
    <s v="6/19/2016"/>
    <n v="254"/>
    <n v="9.33"/>
    <n v="6.92"/>
    <n v="2369.8200000000002"/>
    <n v="1757.68"/>
    <n v="612.14"/>
  </r>
  <r>
    <x v="2"/>
    <s v="Vietnam"/>
    <s v="Cereal"/>
    <s v="Online"/>
    <s v="L"/>
    <d v="2011-02-07T00:00:00"/>
    <n v="636381185"/>
    <s v="7/28/2011"/>
    <n v="8189"/>
    <n v="205.7"/>
    <n v="117.11"/>
    <n v="1684477.3"/>
    <n v="959013.79"/>
    <n v="725463.51"/>
  </r>
  <r>
    <x v="1"/>
    <s v="Kosovo"/>
    <s v="Fruits"/>
    <s v="Online"/>
    <s v="C"/>
    <d v="2012-02-03T00:00:00"/>
    <n v="899868094"/>
    <s v="3/26/2012"/>
    <n v="9821"/>
    <n v="9.33"/>
    <n v="6.92"/>
    <n v="91629.93"/>
    <n v="67961.320000000007"/>
    <n v="23668.61"/>
  </r>
  <r>
    <x v="1"/>
    <s v="Germany"/>
    <s v="Baby Food"/>
    <s v="Offline"/>
    <s v="L"/>
    <d v="2017-06-01T00:00:00"/>
    <n v="361311852"/>
    <s v="2/15/2017"/>
    <n v="9061"/>
    <n v="255.28"/>
    <n v="159.41999999999999"/>
    <n v="2313092.08"/>
    <n v="1444504.62"/>
    <n v="868587.46"/>
  </r>
  <r>
    <x v="1"/>
    <s v="Hungary"/>
    <s v="Beverages"/>
    <s v="Online"/>
    <s v="L"/>
    <s v="5/20/2014"/>
    <n v="930136287"/>
    <s v="6/21/2014"/>
    <n v="6852"/>
    <n v="47.45"/>
    <n v="31.79"/>
    <n v="325127.40000000002"/>
    <n v="217825.08"/>
    <n v="107302.32"/>
  </r>
  <r>
    <x v="0"/>
    <s v="Saint Lucia"/>
    <s v="Cereal"/>
    <s v="Online"/>
    <s v="L"/>
    <s v="5/19/2016"/>
    <n v="536077725"/>
    <d v="2016-07-06T00:00:00"/>
    <n v="6167"/>
    <n v="205.7"/>
    <n v="117.11"/>
    <n v="1268551.8999999999"/>
    <n v="722217.37"/>
    <n v="546334.53"/>
  </r>
  <r>
    <x v="5"/>
    <s v="Madagascar"/>
    <s v="Snacks"/>
    <s v="Online"/>
    <s v="M"/>
    <d v="2017-06-04T00:00:00"/>
    <n v="779184997"/>
    <s v="4/17/2017"/>
    <n v="7011"/>
    <n v="152.58000000000001"/>
    <n v="97.44"/>
    <n v="1069738.3799999999"/>
    <n v="683151.84"/>
    <n v="386586.54"/>
  </r>
  <r>
    <x v="1"/>
    <s v="Bulgaria"/>
    <s v="Cosmetics"/>
    <s v="Online"/>
    <s v="C"/>
    <d v="2012-05-05T00:00:00"/>
    <n v="179819428"/>
    <d v="2012-02-06T00:00:00"/>
    <n v="1420"/>
    <n v="437.2"/>
    <n v="263.33"/>
    <n v="620824"/>
    <n v="373928.6"/>
    <n v="246895.4"/>
  </r>
  <r>
    <x v="2"/>
    <s v="Myanmar"/>
    <s v="Vegetables"/>
    <s v="Online"/>
    <s v="H"/>
    <d v="2016-07-12T00:00:00"/>
    <n v="928654849"/>
    <d v="2017-07-01T00:00:00"/>
    <n v="8461"/>
    <n v="154.06"/>
    <n v="90.93"/>
    <n v="1303501.6599999999"/>
    <n v="769358.73"/>
    <n v="534142.93000000005"/>
  </r>
  <r>
    <x v="5"/>
    <s v="Togo"/>
    <s v="Baby Food"/>
    <s v="Offline"/>
    <s v="H"/>
    <s v="2/14/2017"/>
    <n v="336677587"/>
    <s v="3/28/2017"/>
    <n v="9234"/>
    <n v="255.28"/>
    <n v="159.41999999999999"/>
    <n v="2357255.52"/>
    <n v="1472084.28"/>
    <n v="885171.24"/>
  </r>
  <r>
    <x v="4"/>
    <s v="Australia"/>
    <s v="Vegetables"/>
    <s v="Online"/>
    <s v="C"/>
    <d v="2011-02-06T00:00:00"/>
    <n v="285186469"/>
    <s v="6/25/2011"/>
    <n v="1869"/>
    <n v="154.06"/>
    <n v="90.93"/>
    <n v="287938.14"/>
    <n v="169948.17"/>
    <n v="117989.97"/>
  </r>
  <r>
    <x v="3"/>
    <s v="Morocco"/>
    <s v="Baby Food"/>
    <s v="Offline"/>
    <s v="M"/>
    <s v="7/15/2014"/>
    <n v="475792825"/>
    <d v="2014-03-09T00:00:00"/>
    <n v="6525"/>
    <n v="255.28"/>
    <n v="159.41999999999999"/>
    <n v="1665702"/>
    <n v="1040215.5"/>
    <n v="625486.5"/>
  </r>
  <r>
    <x v="3"/>
    <s v="Qatar"/>
    <s v="Clothes"/>
    <s v="Offline"/>
    <s v="L"/>
    <d v="2015-06-10T00:00:00"/>
    <n v="680420482"/>
    <d v="2015-08-11T00:00:00"/>
    <n v="396"/>
    <n v="109.28"/>
    <n v="35.840000000000003"/>
    <n v="43274.879999999997"/>
    <n v="14192.64"/>
    <n v="29082.240000000002"/>
  </r>
  <r>
    <x v="1"/>
    <s v="Bosnia and Herzegovina"/>
    <s v="Fruits"/>
    <s v="Online"/>
    <s v="H"/>
    <d v="2013-05-01T00:00:00"/>
    <n v="291305768"/>
    <d v="2013-06-01T00:00:00"/>
    <n v="2705"/>
    <n v="9.33"/>
    <n v="6.92"/>
    <n v="25237.65"/>
    <n v="18718.599999999999"/>
    <n v="6519.05"/>
  </r>
  <r>
    <x v="3"/>
    <s v="Iraq"/>
    <s v="Baby Food"/>
    <s v="Offline"/>
    <s v="L"/>
    <s v="8/19/2016"/>
    <n v="570997512"/>
    <d v="2016-06-09T00:00:00"/>
    <n v="9707"/>
    <n v="255.28"/>
    <n v="159.41999999999999"/>
    <n v="2478002.96"/>
    <n v="1547489.94"/>
    <n v="930513.02"/>
  </r>
  <r>
    <x v="1"/>
    <s v="Russia"/>
    <s v="Personal Care"/>
    <s v="Online"/>
    <s v="L"/>
    <s v="4/24/2015"/>
    <n v="602357041"/>
    <d v="2015-05-05T00:00:00"/>
    <n v="9689"/>
    <n v="81.73"/>
    <n v="56.67"/>
    <n v="791881.97"/>
    <n v="549075.63"/>
    <n v="242806.34"/>
  </r>
  <r>
    <x v="3"/>
    <s v="Lebanon"/>
    <s v="Meat"/>
    <s v="Online"/>
    <s v="M"/>
    <s v="2/26/2010"/>
    <n v="438558185"/>
    <s v="4/14/2010"/>
    <n v="7967"/>
    <n v="421.89"/>
    <n v="364.69"/>
    <n v="3361197.63"/>
    <n v="2905485.23"/>
    <n v="455712.4"/>
  </r>
  <r>
    <x v="1"/>
    <s v="Albania"/>
    <s v="Snacks"/>
    <s v="Online"/>
    <s v="H"/>
    <d v="2010-02-12T00:00:00"/>
    <n v="653087270"/>
    <d v="2010-07-12T00:00:00"/>
    <n v="1891"/>
    <n v="152.58000000000001"/>
    <n v="97.44"/>
    <n v="288528.78000000003"/>
    <n v="184259.04"/>
    <n v="104269.74"/>
  </r>
  <r>
    <x v="4"/>
    <s v="Samoa "/>
    <s v="Cereal"/>
    <s v="Offline"/>
    <s v="C"/>
    <s v="1/23/2017"/>
    <n v="989743125"/>
    <s v="1/25/2017"/>
    <n v="5840"/>
    <n v="205.7"/>
    <n v="117.11"/>
    <n v="1201288"/>
    <n v="683922.4"/>
    <n v="517365.6"/>
  </r>
  <r>
    <x v="1"/>
    <s v="Slovenia"/>
    <s v="Fruits"/>
    <s v="Offline"/>
    <s v="M"/>
    <s v="12/15/2013"/>
    <n v="812637078"/>
    <d v="2014-05-01T00:00:00"/>
    <n v="6225"/>
    <n v="9.33"/>
    <n v="6.92"/>
    <n v="58079.25"/>
    <n v="43077"/>
    <n v="15002.25"/>
  </r>
  <r>
    <x v="1"/>
    <s v="Macedonia"/>
    <s v="Personal Care"/>
    <s v="Online"/>
    <s v="L"/>
    <s v="7/19/2014"/>
    <n v="456192958"/>
    <s v="8/18/2014"/>
    <n v="6489"/>
    <n v="81.73"/>
    <n v="56.67"/>
    <n v="530345.97"/>
    <n v="367731.63"/>
    <n v="162614.34"/>
  </r>
  <r>
    <x v="3"/>
    <s v="Lebanon"/>
    <s v="Cereal"/>
    <s v="Online"/>
    <s v="L"/>
    <s v="2/17/2010"/>
    <n v="775147092"/>
    <s v="2/28/2010"/>
    <n v="2105"/>
    <n v="205.7"/>
    <n v="117.11"/>
    <n v="432998.5"/>
    <n v="246516.55"/>
    <n v="186481.95"/>
  </r>
  <r>
    <x v="5"/>
    <s v="Comoros"/>
    <s v="Household"/>
    <s v="Offline"/>
    <s v="M"/>
    <s v="12/28/2011"/>
    <n v="894548308"/>
    <d v="2012-02-02T00:00:00"/>
    <n v="5578"/>
    <n v="668.27"/>
    <n v="502.54"/>
    <n v="3727610.06"/>
    <n v="2803168.12"/>
    <n v="924441.94"/>
  </r>
  <r>
    <x v="5"/>
    <s v="Cameroon"/>
    <s v="Cosmetics"/>
    <s v="Offline"/>
    <s v="H"/>
    <d v="2017-03-05T00:00:00"/>
    <n v="459757936"/>
    <d v="2017-10-06T00:00:00"/>
    <n v="1445"/>
    <n v="437.2"/>
    <n v="263.33"/>
    <n v="631754"/>
    <n v="380511.85"/>
    <n v="251242.15"/>
  </r>
  <r>
    <x v="1"/>
    <s v="Albania"/>
    <s v="Meat"/>
    <s v="Offline"/>
    <s v="H"/>
    <s v="1/31/2013"/>
    <n v="986449801"/>
    <s v="3/13/2013"/>
    <n v="1272"/>
    <n v="421.89"/>
    <n v="364.69"/>
    <n v="536644.07999999996"/>
    <n v="463885.68"/>
    <n v="72758.399999999994"/>
  </r>
  <r>
    <x v="1"/>
    <s v="Sweden"/>
    <s v="Cosmetics"/>
    <s v="Online"/>
    <s v="L"/>
    <d v="2017-03-07T00:00:00"/>
    <n v="910610234"/>
    <s v="7/31/2017"/>
    <n v="8659"/>
    <n v="437.2"/>
    <n v="263.33"/>
    <n v="3785714.8"/>
    <n v="2280174.4700000002"/>
    <n v="1505540.33"/>
  </r>
  <r>
    <x v="5"/>
    <s v="Liberia"/>
    <s v="Cereal"/>
    <s v="Offline"/>
    <s v="H"/>
    <d v="2015-08-11T00:00:00"/>
    <n v="538538062"/>
    <d v="2015-03-12T00:00:00"/>
    <n v="4235"/>
    <n v="205.7"/>
    <n v="117.11"/>
    <n v="871139.5"/>
    <n v="495960.85"/>
    <n v="375178.65"/>
  </r>
  <r>
    <x v="1"/>
    <s v="Norway"/>
    <s v="Meat"/>
    <s v="Online"/>
    <s v="M"/>
    <d v="2017-03-03T00:00:00"/>
    <n v="696844613"/>
    <s v="3/22/2017"/>
    <n v="661"/>
    <n v="421.89"/>
    <n v="364.69"/>
    <n v="278869.28999999998"/>
    <n v="241060.09"/>
    <n v="37809.199999999997"/>
  </r>
  <r>
    <x v="3"/>
    <s v="Israel"/>
    <s v="Fruits"/>
    <s v="Online"/>
    <s v="H"/>
    <s v="8/18/2012"/>
    <n v="482453715"/>
    <s v="9/22/2012"/>
    <n v="7630"/>
    <n v="9.33"/>
    <n v="6.92"/>
    <n v="71187.899999999994"/>
    <n v="52799.6"/>
    <n v="18388.3"/>
  </r>
  <r>
    <x v="0"/>
    <s v="Cuba"/>
    <s v="Office Supplies"/>
    <s v="Offline"/>
    <s v="L"/>
    <d v="2017-11-03T00:00:00"/>
    <n v="412601697"/>
    <s v="3/23/2017"/>
    <n v="6866"/>
    <n v="651.21"/>
    <n v="524.96"/>
    <n v="4471207.8600000003"/>
    <n v="3604375.36"/>
    <n v="866832.5"/>
  </r>
  <r>
    <x v="0"/>
    <s v="Nicaragua"/>
    <s v="Meat"/>
    <s v="Offline"/>
    <s v="M"/>
    <s v="10/17/2012"/>
    <n v="174837386"/>
    <s v="11/14/2012"/>
    <n v="7123"/>
    <n v="421.89"/>
    <n v="364.69"/>
    <n v="3005122.47"/>
    <n v="2597686.87"/>
    <n v="407435.6"/>
  </r>
  <r>
    <x v="3"/>
    <s v="Kuwait"/>
    <s v="Personal Care"/>
    <s v="Offline"/>
    <s v="L"/>
    <s v="9/29/2012"/>
    <n v="877022111"/>
    <s v="10/21/2012"/>
    <n v="9187"/>
    <n v="81.73"/>
    <n v="56.67"/>
    <n v="750853.51"/>
    <n v="520627.29"/>
    <n v="230226.22"/>
  </r>
  <r>
    <x v="6"/>
    <s v="United States of America"/>
    <s v="Cereal"/>
    <s v="Offline"/>
    <s v="M"/>
    <s v="6/22/2012"/>
    <n v="997329699"/>
    <s v="7/15/2012"/>
    <n v="876"/>
    <n v="205.7"/>
    <n v="117.11"/>
    <n v="180193.2"/>
    <n v="102588.36"/>
    <n v="77604.84"/>
  </r>
  <r>
    <x v="5"/>
    <s v="Rwanda"/>
    <s v="Snacks"/>
    <s v="Offline"/>
    <s v="M"/>
    <s v="1/19/2016"/>
    <n v="434246480"/>
    <d v="2016-11-02T00:00:00"/>
    <n v="2038"/>
    <n v="152.58000000000001"/>
    <n v="97.44"/>
    <n v="310958.03999999998"/>
    <n v="198582.72"/>
    <n v="112375.32"/>
  </r>
  <r>
    <x v="0"/>
    <s v="Jamaica"/>
    <s v="Cereal"/>
    <s v="Online"/>
    <s v="C"/>
    <d v="2017-03-04T00:00:00"/>
    <n v="956571280"/>
    <d v="2017-05-04T00:00:00"/>
    <n v="9554"/>
    <n v="205.7"/>
    <n v="117.11"/>
    <n v="1965257.8"/>
    <n v="1118868.94"/>
    <n v="846388.86"/>
  </r>
  <r>
    <x v="1"/>
    <s v="Czech Republic"/>
    <s v="Personal Care"/>
    <s v="Online"/>
    <s v="M"/>
    <d v="2010-04-12T00:00:00"/>
    <n v="353415429"/>
    <d v="2010-08-12T00:00:00"/>
    <n v="2334"/>
    <n v="81.73"/>
    <n v="56.67"/>
    <n v="190757.82"/>
    <n v="132267.78"/>
    <n v="58490.04"/>
  </r>
  <r>
    <x v="5"/>
    <s v="Kenya"/>
    <s v="Vegetables"/>
    <s v="Online"/>
    <s v="H"/>
    <s v="11/27/2011"/>
    <n v="984202754"/>
    <d v="2011-08-12T00:00:00"/>
    <n v="6321"/>
    <n v="154.06"/>
    <n v="90.93"/>
    <n v="973813.26"/>
    <n v="574768.53"/>
    <n v="399044.73"/>
  </r>
  <r>
    <x v="5"/>
    <s v="Central African Republic"/>
    <s v="Beverages"/>
    <s v="Offline"/>
    <s v="H"/>
    <s v="5/16/2013"/>
    <n v="328669583"/>
    <d v="2013-02-06T00:00:00"/>
    <n v="9488"/>
    <n v="47.45"/>
    <n v="31.79"/>
    <n v="450205.6"/>
    <n v="301623.52"/>
    <n v="148582.07999999999"/>
  </r>
  <r>
    <x v="3"/>
    <s v="Jordan"/>
    <s v="Cosmetics"/>
    <s v="Offline"/>
    <s v="C"/>
    <s v="5/16/2013"/>
    <n v="436864745"/>
    <s v="5/22/2013"/>
    <n v="6841"/>
    <n v="437.2"/>
    <n v="263.33"/>
    <n v="2990885.2"/>
    <n v="1801440.53"/>
    <n v="1189444.67"/>
  </r>
  <r>
    <x v="3"/>
    <s v="Tunisia "/>
    <s v="Household"/>
    <s v="Offline"/>
    <s v="M"/>
    <d v="2011-01-01T00:00:00"/>
    <n v="279149568"/>
    <s v="1/26/2011"/>
    <n v="5415"/>
    <n v="668.27"/>
    <n v="502.54"/>
    <n v="3618682.05"/>
    <n v="2721254.1"/>
    <n v="897427.95"/>
  </r>
  <r>
    <x v="1"/>
    <s v="Andorra"/>
    <s v="Cereal"/>
    <s v="Online"/>
    <s v="H"/>
    <s v="3/19/2010"/>
    <n v="696197879"/>
    <s v="3/26/2010"/>
    <n v="9278"/>
    <n v="205.7"/>
    <n v="117.11"/>
    <n v="1908484.6"/>
    <n v="1086546.58"/>
    <n v="821938.02"/>
  </r>
  <r>
    <x v="6"/>
    <s v="United States of America"/>
    <s v="Household"/>
    <s v="Offline"/>
    <s v="M"/>
    <d v="2016-09-01T00:00:00"/>
    <n v="348996007"/>
    <d v="2016-12-01T00:00:00"/>
    <n v="4529"/>
    <n v="668.27"/>
    <n v="502.54"/>
    <n v="3026594.83"/>
    <n v="2276003.66"/>
    <n v="750591.17"/>
  </r>
  <r>
    <x v="5"/>
    <s v="Cote d'Ivoire"/>
    <s v="Beverages"/>
    <s v="Offline"/>
    <s v="L"/>
    <d v="2015-03-08T00:00:00"/>
    <n v="668842780"/>
    <s v="9/20/2015"/>
    <n v="4297"/>
    <n v="47.45"/>
    <n v="31.79"/>
    <n v="203892.65"/>
    <n v="136601.63"/>
    <n v="67291.02"/>
  </r>
  <r>
    <x v="1"/>
    <s v="Iceland"/>
    <s v="Cosmetics"/>
    <s v="Online"/>
    <s v="C"/>
    <d v="2012-05-04T00:00:00"/>
    <n v="907349526"/>
    <s v="5/16/2012"/>
    <n v="3743"/>
    <n v="437.2"/>
    <n v="263.33"/>
    <n v="1636439.6"/>
    <n v="985644.19"/>
    <n v="650795.41"/>
  </r>
  <r>
    <x v="1"/>
    <s v="Poland"/>
    <s v="Personal Care"/>
    <s v="Offline"/>
    <s v="C"/>
    <d v="2014-05-04T00:00:00"/>
    <n v="386440074"/>
    <s v="4/25/2014"/>
    <n v="5060"/>
    <n v="81.73"/>
    <n v="56.67"/>
    <n v="413553.8"/>
    <n v="286750.2"/>
    <n v="126803.6"/>
  </r>
  <r>
    <x v="5"/>
    <s v="Madagascar"/>
    <s v="Vegetables"/>
    <s v="Offline"/>
    <s v="C"/>
    <s v="9/19/2015"/>
    <n v="748350751"/>
    <s v="10/27/2015"/>
    <n v="2472"/>
    <n v="154.06"/>
    <n v="90.93"/>
    <n v="380836.32"/>
    <n v="224778.96"/>
    <n v="156057.35999999999"/>
  </r>
  <r>
    <x v="0"/>
    <s v="Saint Kitts and Nevis "/>
    <s v="Personal Care"/>
    <s v="Online"/>
    <s v="L"/>
    <d v="2015-12-08T00:00:00"/>
    <n v="105630385"/>
    <s v="9/15/2015"/>
    <n v="7233"/>
    <n v="81.73"/>
    <n v="56.67"/>
    <n v="591153.09"/>
    <n v="409894.11"/>
    <n v="181258.98"/>
  </r>
  <r>
    <x v="2"/>
    <s v="Sri Lanka"/>
    <s v="Cosmetics"/>
    <s v="Offline"/>
    <s v="L"/>
    <s v="12/30/2013"/>
    <n v="691140305"/>
    <d v="2014-08-01T00:00:00"/>
    <n v="2630"/>
    <n v="437.2"/>
    <n v="263.33"/>
    <n v="1149836"/>
    <n v="692557.9"/>
    <n v="457278.1"/>
  </r>
  <r>
    <x v="5"/>
    <s v="Comoros"/>
    <s v="Cosmetics"/>
    <s v="Offline"/>
    <s v="H"/>
    <d v="2015-08-10T00:00:00"/>
    <n v="308054339"/>
    <s v="10/15/2015"/>
    <n v="8980"/>
    <n v="437.2"/>
    <n v="263.33"/>
    <n v="3926056"/>
    <n v="2364703.4"/>
    <n v="1561352.6"/>
  </r>
  <r>
    <x v="5"/>
    <s v="Senegal"/>
    <s v="Fruits"/>
    <s v="Offline"/>
    <s v="H"/>
    <s v="9/29/2011"/>
    <n v="879858815"/>
    <s v="10/30/2011"/>
    <n v="8631"/>
    <n v="9.33"/>
    <n v="6.92"/>
    <n v="80527.23"/>
    <n v="59726.52"/>
    <n v="20800.71"/>
  </r>
  <r>
    <x v="1"/>
    <s v="Finland"/>
    <s v="Vegetables"/>
    <s v="Online"/>
    <s v="H"/>
    <s v="9/28/2012"/>
    <n v="800352561"/>
    <s v="10/21/2012"/>
    <n v="963"/>
    <n v="154.06"/>
    <n v="90.93"/>
    <n v="148359.78"/>
    <n v="87565.59"/>
    <n v="60794.19"/>
  </r>
  <r>
    <x v="5"/>
    <s v="Sao Tome and Principe"/>
    <s v="Baby Food"/>
    <s v="Online"/>
    <s v="L"/>
    <d v="2015-01-07T00:00:00"/>
    <n v="783646905"/>
    <d v="2015-10-08T00:00:00"/>
    <n v="7388"/>
    <n v="255.28"/>
    <n v="159.41999999999999"/>
    <n v="1886008.64"/>
    <n v="1177794.96"/>
    <n v="708213.68"/>
  </r>
  <r>
    <x v="1"/>
    <s v="Poland"/>
    <s v="Beverages"/>
    <s v="Offline"/>
    <s v="C"/>
    <d v="2014-08-01T00:00:00"/>
    <n v="714165675"/>
    <d v="2014-02-02T00:00:00"/>
    <n v="6348"/>
    <n v="47.45"/>
    <n v="31.79"/>
    <n v="301212.59999999998"/>
    <n v="201802.92"/>
    <n v="99409.68"/>
  </r>
  <r>
    <x v="2"/>
    <s v="Turkmenistan"/>
    <s v="Meat"/>
    <s v="Offline"/>
    <s v="H"/>
    <s v="12/20/2010"/>
    <n v="996645200"/>
    <s v="1/27/2011"/>
    <n v="8317"/>
    <n v="421.89"/>
    <n v="364.69"/>
    <n v="3508859.13"/>
    <n v="3033126.73"/>
    <n v="475732.4"/>
  </r>
  <r>
    <x v="3"/>
    <s v="Saudi Arabia"/>
    <s v="Office Supplies"/>
    <s v="Offline"/>
    <s v="M"/>
    <d v="2013-02-11T00:00:00"/>
    <n v="306134307"/>
    <s v="11/24/2013"/>
    <n v="799"/>
    <n v="651.21"/>
    <n v="524.96"/>
    <n v="520316.79"/>
    <n v="419443.04"/>
    <n v="100873.75"/>
  </r>
  <r>
    <x v="2"/>
    <s v="Brunei"/>
    <s v="Snacks"/>
    <s v="Offline"/>
    <s v="M"/>
    <s v="1/20/2016"/>
    <n v="537994325"/>
    <s v="2/28/2016"/>
    <n v="3331"/>
    <n v="152.58000000000001"/>
    <n v="97.44"/>
    <n v="508243.98"/>
    <n v="324572.64"/>
    <n v="183671.34"/>
  </r>
  <r>
    <x v="2"/>
    <s v="Philippines"/>
    <s v="Cereal"/>
    <s v="Online"/>
    <s v="M"/>
    <s v="11/20/2015"/>
    <n v="957899081"/>
    <s v="12/23/2015"/>
    <n v="2480"/>
    <n v="205.7"/>
    <n v="117.11"/>
    <n v="510136"/>
    <n v="290432.8"/>
    <n v="219703.2"/>
  </r>
  <r>
    <x v="2"/>
    <s v="India"/>
    <s v="Office Supplies"/>
    <s v="Online"/>
    <s v="M"/>
    <d v="2012-04-09T00:00:00"/>
    <n v="451834905"/>
    <s v="9/21/2012"/>
    <n v="6844"/>
    <n v="651.21"/>
    <n v="524.96"/>
    <n v="4456881.24"/>
    <n v="3592826.24"/>
    <n v="864055"/>
  </r>
  <r>
    <x v="5"/>
    <s v="Cote d'Ivoire"/>
    <s v="Baby Food"/>
    <s v="Online"/>
    <s v="H"/>
    <s v="8/13/2010"/>
    <n v="676100623"/>
    <s v="9/23/2010"/>
    <n v="2054"/>
    <n v="255.28"/>
    <n v="159.41999999999999"/>
    <n v="524345.12"/>
    <n v="327448.68"/>
    <n v="196896.44"/>
  </r>
  <r>
    <x v="4"/>
    <s v="Vanuatu"/>
    <s v="Snacks"/>
    <s v="Offline"/>
    <s v="M"/>
    <s v="12/15/2014"/>
    <n v="207307565"/>
    <s v="12/29/2014"/>
    <n v="5770"/>
    <n v="152.58000000000001"/>
    <n v="97.44"/>
    <n v="880386.6"/>
    <n v="562228.80000000005"/>
    <n v="318157.8"/>
  </r>
  <r>
    <x v="2"/>
    <s v="Japan"/>
    <s v="Baby Food"/>
    <s v="Offline"/>
    <s v="H"/>
    <s v="1/29/2013"/>
    <n v="392379558"/>
    <d v="2013-09-03T00:00:00"/>
    <n v="2685"/>
    <n v="255.28"/>
    <n v="159.41999999999999"/>
    <n v="685426.8"/>
    <n v="428042.7"/>
    <n v="257384.1"/>
  </r>
  <r>
    <x v="4"/>
    <s v="Nauru"/>
    <s v="Cosmetics"/>
    <s v="Online"/>
    <s v="M"/>
    <d v="2016-01-03T00:00:00"/>
    <n v="398552930"/>
    <s v="3/29/2016"/>
    <n v="9524"/>
    <n v="437.2"/>
    <n v="263.33"/>
    <n v="4163892.8"/>
    <n v="2507954.92"/>
    <n v="1655937.88"/>
  </r>
  <r>
    <x v="3"/>
    <s v="Pakistan"/>
    <s v="Office Supplies"/>
    <s v="Offline"/>
    <s v="L"/>
    <d v="2017-06-07T00:00:00"/>
    <n v="363376510"/>
    <d v="2017-10-08T00:00:00"/>
    <n v="39"/>
    <n v="651.21"/>
    <n v="524.96"/>
    <n v="25397.19"/>
    <n v="20473.439999999999"/>
    <n v="4923.75"/>
  </r>
  <r>
    <x v="3"/>
    <s v="Morocco"/>
    <s v="Vegetables"/>
    <s v="Offline"/>
    <s v="H"/>
    <s v="6/29/2011"/>
    <n v="944711625"/>
    <s v="7/23/2011"/>
    <n v="18"/>
    <n v="154.06"/>
    <n v="90.93"/>
    <n v="2773.08"/>
    <n v="1636.74"/>
    <n v="1136.3399999999999"/>
  </r>
  <r>
    <x v="5"/>
    <s v="Cameroon"/>
    <s v="Household"/>
    <s v="Online"/>
    <s v="C"/>
    <s v="6/18/2012"/>
    <n v="170732104"/>
    <d v="2012-07-08T00:00:00"/>
    <n v="2279"/>
    <n v="668.27"/>
    <n v="502.54"/>
    <n v="1522987.33"/>
    <n v="1145288.6599999999"/>
    <n v="377698.67"/>
  </r>
  <r>
    <x v="1"/>
    <s v="Croatia"/>
    <s v="Beverages"/>
    <s v="Offline"/>
    <s v="L"/>
    <s v="2/22/2013"/>
    <n v="189924275"/>
    <s v="3/21/2013"/>
    <n v="1668"/>
    <n v="47.45"/>
    <n v="31.79"/>
    <n v="79146.600000000006"/>
    <n v="53025.72"/>
    <n v="26120.880000000001"/>
  </r>
  <r>
    <x v="2"/>
    <s v="Thailand"/>
    <s v="Clothes"/>
    <s v="Offline"/>
    <s v="L"/>
    <d v="2011-06-02T00:00:00"/>
    <n v="521086966"/>
    <s v="2/19/2011"/>
    <n v="68"/>
    <n v="109.28"/>
    <n v="35.840000000000003"/>
    <n v="7431.04"/>
    <n v="2437.12"/>
    <n v="4993.92"/>
  </r>
  <r>
    <x v="2"/>
    <s v="Kyrgyzstan"/>
    <s v="Meat"/>
    <s v="Online"/>
    <s v="M"/>
    <d v="2012-11-07T00:00:00"/>
    <n v="303331506"/>
    <d v="2012-06-08T00:00:00"/>
    <n v="1388"/>
    <n v="421.89"/>
    <n v="364.69"/>
    <n v="585583.31999999995"/>
    <n v="506189.72"/>
    <n v="79393.600000000006"/>
  </r>
  <r>
    <x v="1"/>
    <s v="Poland"/>
    <s v="Meat"/>
    <s v="Online"/>
    <s v="H"/>
    <s v="4/30/2013"/>
    <n v="546081721"/>
    <s v="5/22/2013"/>
    <n v="6571"/>
    <n v="421.89"/>
    <n v="364.69"/>
    <n v="2772239.19"/>
    <n v="2396377.9900000002"/>
    <n v="375861.2"/>
  </r>
  <r>
    <x v="1"/>
    <s v="Switzerland"/>
    <s v="Baby Food"/>
    <s v="Online"/>
    <s v="C"/>
    <s v="6/26/2010"/>
    <n v="979073941"/>
    <s v="7/18/2010"/>
    <n v="8591"/>
    <n v="255.28"/>
    <n v="159.41999999999999"/>
    <n v="2193110.48"/>
    <n v="1369577.22"/>
    <n v="823533.26"/>
  </r>
  <r>
    <x v="5"/>
    <s v="Sao Tome and Principe"/>
    <s v="Vegetables"/>
    <s v="Offline"/>
    <s v="L"/>
    <s v="5/21/2013"/>
    <n v="502356994"/>
    <s v="6/24/2013"/>
    <n v="7453"/>
    <n v="154.06"/>
    <n v="90.93"/>
    <n v="1148209.18"/>
    <n v="677701.29"/>
    <n v="470507.89"/>
  </r>
  <r>
    <x v="4"/>
    <s v="New Zealand"/>
    <s v="Meat"/>
    <s v="Online"/>
    <s v="H"/>
    <d v="2017-07-05T00:00:00"/>
    <n v="336292207"/>
    <d v="2017-05-06T00:00:00"/>
    <n v="5192"/>
    <n v="421.89"/>
    <n v="364.69"/>
    <n v="2190452.88"/>
    <n v="1893470.48"/>
    <n v="296982.40000000002"/>
  </r>
  <r>
    <x v="5"/>
    <s v="Equatorial Guinea"/>
    <s v="Personal Care"/>
    <s v="Online"/>
    <s v="H"/>
    <s v="12/19/2014"/>
    <n v="871553409"/>
    <d v="2015-05-01T00:00:00"/>
    <n v="876"/>
    <n v="81.73"/>
    <n v="56.67"/>
    <n v="71595.48"/>
    <n v="49642.92"/>
    <n v="21952.560000000001"/>
  </r>
  <r>
    <x v="4"/>
    <s v="New Zealand"/>
    <s v="Personal Care"/>
    <s v="Offline"/>
    <s v="H"/>
    <s v="1/16/2015"/>
    <n v="319126927"/>
    <d v="2015-06-02T00:00:00"/>
    <n v="5604"/>
    <n v="81.73"/>
    <n v="56.67"/>
    <n v="458014.92"/>
    <n v="317578.68"/>
    <n v="140436.24"/>
  </r>
  <r>
    <x v="5"/>
    <s v="Liberia"/>
    <s v="Vegetables"/>
    <s v="Online"/>
    <s v="H"/>
    <d v="2016-02-02T00:00:00"/>
    <n v="560311591"/>
    <d v="2016-05-02T00:00:00"/>
    <n v="7506"/>
    <n v="154.06"/>
    <n v="90.93"/>
    <n v="1156374.3600000001"/>
    <n v="682520.58"/>
    <n v="473853.78"/>
  </r>
  <r>
    <x v="1"/>
    <s v="Bosnia and Herzegovina"/>
    <s v="Personal Care"/>
    <s v="Offline"/>
    <s v="L"/>
    <d v="2010-07-02T00:00:00"/>
    <n v="396718728"/>
    <s v="3/18/2010"/>
    <n v="6742"/>
    <n v="81.73"/>
    <n v="56.67"/>
    <n v="551023.66"/>
    <n v="382069.14"/>
    <n v="168954.52"/>
  </r>
  <r>
    <x v="4"/>
    <s v="Marshall Islands"/>
    <s v="Fruits"/>
    <s v="Online"/>
    <s v="H"/>
    <s v="8/30/2016"/>
    <n v="500272166"/>
    <d v="2016-09-10T00:00:00"/>
    <n v="506"/>
    <n v="9.33"/>
    <n v="6.92"/>
    <n v="4720.9799999999996"/>
    <n v="3501.52"/>
    <n v="1219.46"/>
  </r>
  <r>
    <x v="2"/>
    <s v="South Korea"/>
    <s v="Snacks"/>
    <s v="Online"/>
    <s v="L"/>
    <s v="12/18/2010"/>
    <n v="263208234"/>
    <s v="1/20/2011"/>
    <n v="8020"/>
    <n v="152.58000000000001"/>
    <n v="97.44"/>
    <n v="1223691.6000000001"/>
    <n v="781468.8"/>
    <n v="442222.8"/>
  </r>
  <r>
    <x v="1"/>
    <s v="Hungary"/>
    <s v="Beverages"/>
    <s v="Offline"/>
    <s v="M"/>
    <d v="2010-03-12T00:00:00"/>
    <n v="948075759"/>
    <d v="2011-04-01T00:00:00"/>
    <n v="5540"/>
    <n v="47.45"/>
    <n v="31.79"/>
    <n v="262873"/>
    <n v="176116.6"/>
    <n v="86756.4"/>
  </r>
  <r>
    <x v="1"/>
    <s v="Sweden"/>
    <s v="Cereal"/>
    <s v="Offline"/>
    <s v="L"/>
    <s v="10/19/2012"/>
    <n v="737736070"/>
    <d v="2012-03-11T00:00:00"/>
    <n v="1352"/>
    <n v="205.7"/>
    <n v="117.11"/>
    <n v="278106.40000000002"/>
    <n v="158332.72"/>
    <n v="119773.68"/>
  </r>
  <r>
    <x v="1"/>
    <s v="Slovakia"/>
    <s v="Household"/>
    <s v="Offline"/>
    <s v="L"/>
    <s v="2/20/2010"/>
    <n v="585362994"/>
    <d v="2010-11-04T00:00:00"/>
    <n v="773"/>
    <n v="668.27"/>
    <n v="502.54"/>
    <n v="516572.71"/>
    <n v="388463.42"/>
    <n v="128109.29"/>
  </r>
  <r>
    <x v="3"/>
    <s v="Morocco"/>
    <s v="Baby Food"/>
    <s v="Offline"/>
    <s v="M"/>
    <d v="2012-07-09T00:00:00"/>
    <n v="164442861"/>
    <s v="9/20/2012"/>
    <n v="1152"/>
    <n v="255.28"/>
    <n v="159.41999999999999"/>
    <n v="294082.56"/>
    <n v="183651.84"/>
    <n v="110430.72"/>
  </r>
  <r>
    <x v="4"/>
    <s v="Samoa "/>
    <s v="Office Supplies"/>
    <s v="Online"/>
    <s v="M"/>
    <s v="4/29/2012"/>
    <n v="118774497"/>
    <s v="5/24/2012"/>
    <n v="6868"/>
    <n v="651.21"/>
    <n v="524.96"/>
    <n v="4472510.28"/>
    <n v="3605425.28"/>
    <n v="867085"/>
  </r>
  <r>
    <x v="4"/>
    <s v="Papua New Guinea"/>
    <s v="Baby Food"/>
    <s v="Online"/>
    <s v="M"/>
    <s v="2/26/2017"/>
    <n v="712469232"/>
    <d v="2017-12-03T00:00:00"/>
    <n v="4333"/>
    <n v="255.28"/>
    <n v="159.41999999999999"/>
    <n v="1106128.24"/>
    <n v="690766.86"/>
    <n v="415361.38"/>
  </r>
  <r>
    <x v="5"/>
    <s v="Ghana"/>
    <s v="Baby Food"/>
    <s v="Offline"/>
    <s v="C"/>
    <s v="5/26/2017"/>
    <n v="479950892"/>
    <s v="5/28/2017"/>
    <n v="6989"/>
    <n v="255.28"/>
    <n v="159.41999999999999"/>
    <n v="1784151.92"/>
    <n v="1114186.3799999999"/>
    <n v="669965.54"/>
  </r>
  <r>
    <x v="5"/>
    <s v="Niger"/>
    <s v="Vegetables"/>
    <s v="Online"/>
    <s v="H"/>
    <d v="2011-04-12T00:00:00"/>
    <n v="275955808"/>
    <s v="12/25/2011"/>
    <n v="311"/>
    <n v="154.06"/>
    <n v="90.93"/>
    <n v="47912.66"/>
    <n v="28279.23"/>
    <n v="19633.43"/>
  </r>
  <r>
    <x v="2"/>
    <s v="India"/>
    <s v="Baby Food"/>
    <s v="Offline"/>
    <s v="M"/>
    <d v="2012-07-01T00:00:00"/>
    <n v="125532805"/>
    <s v="2/17/2012"/>
    <n v="6802"/>
    <n v="255.28"/>
    <n v="159.41999999999999"/>
    <n v="1736414.56"/>
    <n v="1084374.8400000001"/>
    <n v="652039.72"/>
  </r>
  <r>
    <x v="2"/>
    <s v="Philippines"/>
    <s v="Clothes"/>
    <s v="Online"/>
    <s v="C"/>
    <s v="11/20/2014"/>
    <n v="574043214"/>
    <d v="2015-05-01T00:00:00"/>
    <n v="998"/>
    <n v="109.28"/>
    <n v="35.840000000000003"/>
    <n v="109061.44"/>
    <n v="35768.32"/>
    <n v="73293.119999999995"/>
  </r>
  <r>
    <x v="3"/>
    <s v="Jordan"/>
    <s v="Personal Care"/>
    <s v="Online"/>
    <s v="H"/>
    <d v="2015-08-01T00:00:00"/>
    <n v="437160861"/>
    <s v="1/16/2015"/>
    <n v="4468"/>
    <n v="81.73"/>
    <n v="56.67"/>
    <n v="365169.64"/>
    <n v="253201.56"/>
    <n v="111968.08"/>
  </r>
  <r>
    <x v="1"/>
    <s v="Czech Republic"/>
    <s v="Baby Food"/>
    <s v="Offline"/>
    <s v="H"/>
    <s v="7/18/2015"/>
    <n v="850872075"/>
    <d v="2015-01-08T00:00:00"/>
    <n v="810"/>
    <n v="255.28"/>
    <n v="159.41999999999999"/>
    <n v="206776.8"/>
    <n v="129130.2"/>
    <n v="77646.600000000006"/>
  </r>
  <r>
    <x v="4"/>
    <s v="East Timor"/>
    <s v="Snacks"/>
    <s v="Offline"/>
    <s v="H"/>
    <d v="2016-08-11T00:00:00"/>
    <n v="321475684"/>
    <s v="12/16/2016"/>
    <n v="654"/>
    <n v="152.58000000000001"/>
    <n v="97.44"/>
    <n v="99787.32"/>
    <n v="63725.760000000002"/>
    <n v="36061.56"/>
  </r>
  <r>
    <x v="1"/>
    <s v="Bosnia and Herzegovina"/>
    <s v="Office Supplies"/>
    <s v="Offline"/>
    <s v="C"/>
    <d v="2012-08-11T00:00:00"/>
    <n v="575583016"/>
    <s v="11/24/2012"/>
    <n v="6660"/>
    <n v="651.21"/>
    <n v="524.96"/>
    <n v="4337058.5999999996"/>
    <n v="3496233.6"/>
    <n v="840825"/>
  </r>
  <r>
    <x v="3"/>
    <s v="Bahrain"/>
    <s v="Meat"/>
    <s v="Offline"/>
    <s v="M"/>
    <d v="2017-08-06T00:00:00"/>
    <n v="710117900"/>
    <d v="2017-02-07T00:00:00"/>
    <n v="8522"/>
    <n v="421.89"/>
    <n v="364.69"/>
    <n v="3595346.58"/>
    <n v="3107888.18"/>
    <n v="487458.4"/>
  </r>
  <r>
    <x v="2"/>
    <s v="Nepal"/>
    <s v="Fruits"/>
    <s v="Offline"/>
    <s v="L"/>
    <d v="2015-05-04T00:00:00"/>
    <n v="342316663"/>
    <d v="2015-05-04T00:00:00"/>
    <n v="7962"/>
    <n v="9.33"/>
    <n v="6.92"/>
    <n v="74285.460000000006"/>
    <n v="55097.04"/>
    <n v="19188.419999999998"/>
  </r>
  <r>
    <x v="2"/>
    <s v="Maldives"/>
    <s v="Cosmetics"/>
    <s v="Offline"/>
    <s v="C"/>
    <s v="12/27/2010"/>
    <n v="959728133"/>
    <s v="1/20/2011"/>
    <n v="3737"/>
    <n v="437.2"/>
    <n v="263.33"/>
    <n v="1633816.4"/>
    <n v="984064.21"/>
    <n v="649752.18999999994"/>
  </r>
  <r>
    <x v="4"/>
    <s v="Tuvalu"/>
    <s v="Vegetables"/>
    <s v="Offline"/>
    <s v="C"/>
    <d v="2010-10-05T00:00:00"/>
    <n v="970213639"/>
    <d v="2010-12-06T00:00:00"/>
    <n v="6631"/>
    <n v="154.06"/>
    <n v="90.93"/>
    <n v="1021571.86"/>
    <n v="602956.82999999996"/>
    <n v="418615.03"/>
  </r>
  <r>
    <x v="2"/>
    <s v="Philippines"/>
    <s v="Cereal"/>
    <s v="Offline"/>
    <s v="M"/>
    <d v="2016-11-05T00:00:00"/>
    <n v="651947009"/>
    <s v="5/18/2016"/>
    <n v="4463"/>
    <n v="205.7"/>
    <n v="117.11"/>
    <n v="918039.1"/>
    <n v="522661.93"/>
    <n v="395377.17"/>
  </r>
  <r>
    <x v="6"/>
    <s v="United States of America"/>
    <s v="Vegetables"/>
    <s v="Offline"/>
    <s v="H"/>
    <d v="2010-12-05T00:00:00"/>
    <n v="803414571"/>
    <s v="6/19/2010"/>
    <n v="7080"/>
    <n v="154.06"/>
    <n v="90.93"/>
    <n v="1090744.8"/>
    <n v="643784.4"/>
    <n v="446960.4"/>
  </r>
  <r>
    <x v="5"/>
    <s v="Tanzania"/>
    <s v="Fruits"/>
    <s v="Offline"/>
    <s v="M"/>
    <d v="2016-03-06T00:00:00"/>
    <n v="493415153"/>
    <d v="2016-09-06T00:00:00"/>
    <n v="1363"/>
    <n v="9.33"/>
    <n v="6.92"/>
    <n v="12716.79"/>
    <n v="9431.9599999999991"/>
    <n v="3284.83"/>
  </r>
  <r>
    <x v="0"/>
    <s v="Barbados"/>
    <s v="Household"/>
    <s v="Offline"/>
    <s v="L"/>
    <s v="3/30/2014"/>
    <n v="211060082"/>
    <d v="2014-03-04T00:00:00"/>
    <n v="6223"/>
    <n v="668.27"/>
    <n v="502.54"/>
    <n v="4158644.21"/>
    <n v="3127306.42"/>
    <n v="1031337.79"/>
  </r>
  <r>
    <x v="1"/>
    <s v="Kosovo"/>
    <s v="Meat"/>
    <s v="Offline"/>
    <s v="H"/>
    <d v="2011-01-02T00:00:00"/>
    <n v="515773189"/>
    <s v="2/17/2011"/>
    <n v="7603"/>
    <n v="421.89"/>
    <n v="364.69"/>
    <n v="3207629.67"/>
    <n v="2772738.07"/>
    <n v="434891.6"/>
  </r>
  <r>
    <x v="2"/>
    <s v="Nepal"/>
    <s v="Office Supplies"/>
    <s v="Offline"/>
    <s v="H"/>
    <s v="4/15/2015"/>
    <n v="687290799"/>
    <s v="5/19/2015"/>
    <n v="3475"/>
    <n v="651.21"/>
    <n v="524.96"/>
    <n v="2262954.75"/>
    <n v="1824236"/>
    <n v="438718.75"/>
  </r>
  <r>
    <x v="5"/>
    <s v="Guinea-Bissau"/>
    <s v="Fruits"/>
    <s v="Online"/>
    <s v="C"/>
    <s v="4/21/2017"/>
    <n v="975661742"/>
    <d v="2017-03-06T00:00:00"/>
    <n v="8846"/>
    <n v="9.33"/>
    <n v="6.92"/>
    <n v="82533.179999999993"/>
    <n v="61214.32"/>
    <n v="21318.86"/>
  </r>
  <r>
    <x v="1"/>
    <s v="Monaco"/>
    <s v="Personal Care"/>
    <s v="Online"/>
    <s v="H"/>
    <s v="3/29/2016"/>
    <n v="351247346"/>
    <d v="2016-08-05T00:00:00"/>
    <n v="750"/>
    <n v="81.73"/>
    <n v="56.67"/>
    <n v="61297.5"/>
    <n v="42502.5"/>
    <n v="18795"/>
  </r>
  <r>
    <x v="1"/>
    <s v="Portugal"/>
    <s v="Beverages"/>
    <s v="Offline"/>
    <s v="H"/>
    <s v="1/20/2016"/>
    <n v="554721438"/>
    <s v="1/28/2016"/>
    <n v="3256"/>
    <n v="47.45"/>
    <n v="31.79"/>
    <n v="154497.20000000001"/>
    <n v="103508.24"/>
    <n v="50988.959999999999"/>
  </r>
  <r>
    <x v="2"/>
    <s v="Turkmenistan"/>
    <s v="Clothes"/>
    <s v="Online"/>
    <s v="M"/>
    <d v="2014-07-03T00:00:00"/>
    <n v="247070348"/>
    <s v="4/23/2014"/>
    <n v="2461"/>
    <n v="109.28"/>
    <n v="35.840000000000003"/>
    <n v="268938.08"/>
    <n v="88202.240000000005"/>
    <n v="180735.84"/>
  </r>
  <r>
    <x v="2"/>
    <s v="Thailand"/>
    <s v="Meat"/>
    <s v="Online"/>
    <s v="M"/>
    <d v="2012-02-12T00:00:00"/>
    <n v="859592902"/>
    <s v="1/14/2013"/>
    <n v="1497"/>
    <n v="421.89"/>
    <n v="364.69"/>
    <n v="631569.32999999996"/>
    <n v="545940.93000000005"/>
    <n v="85628.4"/>
  </r>
  <r>
    <x v="4"/>
    <s v="Vanuatu"/>
    <s v="Vegetables"/>
    <s v="Online"/>
    <s v="L"/>
    <s v="8/22/2015"/>
    <n v="743900430"/>
    <d v="2015-06-10T00:00:00"/>
    <n v="5523"/>
    <n v="154.06"/>
    <n v="90.93"/>
    <n v="850873.38"/>
    <n v="502206.39"/>
    <n v="348666.99"/>
  </r>
  <r>
    <x v="5"/>
    <s v="Central African Republic"/>
    <s v="Household"/>
    <s v="Online"/>
    <s v="C"/>
    <s v="5/25/2015"/>
    <n v="121916759"/>
    <d v="2015-05-07T00:00:00"/>
    <n v="6733"/>
    <n v="668.27"/>
    <n v="502.54"/>
    <n v="4499461.91"/>
    <n v="3383601.82"/>
    <n v="1115860.0900000001"/>
  </r>
  <r>
    <x v="2"/>
    <s v="Maldives"/>
    <s v="Personal Care"/>
    <s v="Online"/>
    <s v="C"/>
    <s v="11/26/2013"/>
    <n v="635878217"/>
    <s v="12/30/2013"/>
    <n v="9350"/>
    <n v="81.73"/>
    <n v="56.67"/>
    <n v="764175.5"/>
    <n v="529864.5"/>
    <n v="234311"/>
  </r>
  <r>
    <x v="1"/>
    <s v="Germany"/>
    <s v="Cereal"/>
    <s v="Offline"/>
    <s v="C"/>
    <s v="2/19/2010"/>
    <n v="398333632"/>
    <d v="2010-02-03T00:00:00"/>
    <n v="4629"/>
    <n v="205.7"/>
    <n v="117.11"/>
    <n v="952185.3"/>
    <n v="542102.18999999994"/>
    <n v="410083.11"/>
  </r>
  <r>
    <x v="5"/>
    <s v="Botswana"/>
    <s v="Cosmetics"/>
    <s v="Online"/>
    <s v="H"/>
    <s v="9/22/2011"/>
    <n v="742144334"/>
    <s v="10/20/2011"/>
    <n v="5855"/>
    <n v="437.2"/>
    <n v="263.33"/>
    <n v="2559806"/>
    <n v="1541797.15"/>
    <n v="1018008.85"/>
  </r>
  <r>
    <x v="1"/>
    <s v="Vatican City"/>
    <s v="Beverages"/>
    <s v="Online"/>
    <s v="C"/>
    <s v="12/27/2015"/>
    <n v="370484149"/>
    <s v="1/19/2016"/>
    <n v="3348"/>
    <n v="47.45"/>
    <n v="31.79"/>
    <n v="158862.6"/>
    <n v="106432.92"/>
    <n v="52429.68"/>
  </r>
  <r>
    <x v="1"/>
    <s v="Denmark"/>
    <s v="Baby Food"/>
    <s v="Offline"/>
    <s v="H"/>
    <s v="9/29/2013"/>
    <n v="306839406"/>
    <d v="2013-01-10T00:00:00"/>
    <n v="9454"/>
    <n v="255.28"/>
    <n v="159.41999999999999"/>
    <n v="2413417.12"/>
    <n v="1507156.68"/>
    <n v="906260.44"/>
  </r>
  <r>
    <x v="5"/>
    <s v="South Sudan"/>
    <s v="Fruits"/>
    <s v="Online"/>
    <s v="L"/>
    <s v="10/26/2015"/>
    <n v="745008933"/>
    <d v="2015-03-11T00:00:00"/>
    <n v="3554"/>
    <n v="9.33"/>
    <n v="6.92"/>
    <n v="33158.82"/>
    <n v="24593.68"/>
    <n v="8565.14"/>
  </r>
  <r>
    <x v="5"/>
    <s v="Senegal"/>
    <s v="Vegetables"/>
    <s v="Online"/>
    <s v="M"/>
    <d v="2011-12-05T00:00:00"/>
    <n v="599104058"/>
    <s v="6/28/2011"/>
    <n v="7059"/>
    <n v="154.06"/>
    <n v="90.93"/>
    <n v="1087509.54"/>
    <n v="641874.87"/>
    <n v="445634.67"/>
  </r>
  <r>
    <x v="1"/>
    <s v="Estonia"/>
    <s v="Beverages"/>
    <s v="Offline"/>
    <s v="C"/>
    <d v="2017-09-02T00:00:00"/>
    <n v="653548610"/>
    <s v="2/21/2017"/>
    <n v="8412"/>
    <n v="47.45"/>
    <n v="31.79"/>
    <n v="399149.4"/>
    <n v="267417.48"/>
    <n v="131731.92000000001"/>
  </r>
  <r>
    <x v="1"/>
    <s v="Belarus"/>
    <s v="Vegetables"/>
    <s v="Online"/>
    <s v="L"/>
    <s v="12/31/2012"/>
    <n v="413078916"/>
    <d v="2013-11-01T00:00:00"/>
    <n v="8086"/>
    <n v="154.06"/>
    <n v="90.93"/>
    <n v="1245729.1599999999"/>
    <n v="735259.98"/>
    <n v="510469.18"/>
  </r>
  <r>
    <x v="2"/>
    <s v="Myanmar"/>
    <s v="Vegetables"/>
    <s v="Online"/>
    <s v="H"/>
    <d v="2014-06-02T00:00:00"/>
    <n v="352743804"/>
    <s v="3/19/2014"/>
    <n v="3585"/>
    <n v="154.06"/>
    <n v="90.93"/>
    <n v="552305.1"/>
    <n v="325984.05"/>
    <n v="226321.05"/>
  </r>
  <r>
    <x v="4"/>
    <s v="New Zealand"/>
    <s v="Baby Food"/>
    <s v="Online"/>
    <s v="L"/>
    <d v="2013-02-11T00:00:00"/>
    <n v="567904603"/>
    <d v="2013-12-11T00:00:00"/>
    <n v="4447"/>
    <n v="255.28"/>
    <n v="159.41999999999999"/>
    <n v="1135230.1599999999"/>
    <n v="708940.74"/>
    <n v="426289.42"/>
  </r>
  <r>
    <x v="6"/>
    <s v="United States of America"/>
    <s v="Snacks"/>
    <s v="Online"/>
    <s v="C"/>
    <s v="6/27/2010"/>
    <n v="324235141"/>
    <d v="2010-12-07T00:00:00"/>
    <n v="7238"/>
    <n v="152.58000000000001"/>
    <n v="97.44"/>
    <n v="1104374.04"/>
    <n v="705270.72"/>
    <n v="399103.32"/>
  </r>
  <r>
    <x v="1"/>
    <s v="Italy"/>
    <s v="Snacks"/>
    <s v="Online"/>
    <s v="M"/>
    <s v="12/14/2010"/>
    <n v="307721745"/>
    <d v="2011-01-01T00:00:00"/>
    <n v="558"/>
    <n v="152.58000000000001"/>
    <n v="97.44"/>
    <n v="85139.64"/>
    <n v="54371.519999999997"/>
    <n v="30768.12"/>
  </r>
  <r>
    <x v="1"/>
    <s v="Kosovo"/>
    <s v="Office Supplies"/>
    <s v="Online"/>
    <s v="C"/>
    <d v="2011-09-11T00:00:00"/>
    <n v="374663245"/>
    <s v="11/26/2011"/>
    <n v="35"/>
    <n v="651.21"/>
    <n v="524.96"/>
    <n v="22792.35"/>
    <n v="18373.599999999999"/>
    <n v="4418.75"/>
  </r>
  <r>
    <x v="1"/>
    <s v="Ireland"/>
    <s v="Vegetables"/>
    <s v="Offline"/>
    <s v="C"/>
    <s v="11/16/2010"/>
    <n v="901670968"/>
    <d v="2010-11-12T00:00:00"/>
    <n v="3331"/>
    <n v="154.06"/>
    <n v="90.93"/>
    <n v="513173.86"/>
    <n v="302887.83"/>
    <n v="210286.03"/>
  </r>
  <r>
    <x v="0"/>
    <s v="Antigua and Barbuda "/>
    <s v="Snacks"/>
    <s v="Online"/>
    <s v="H"/>
    <s v="7/20/2010"/>
    <n v="535668742"/>
    <s v="8/31/2010"/>
    <n v="5139"/>
    <n v="152.58000000000001"/>
    <n v="97.44"/>
    <n v="784108.62"/>
    <n v="500744.16"/>
    <n v="283364.46000000002"/>
  </r>
  <r>
    <x v="2"/>
    <s v="Bangladesh"/>
    <s v="Household"/>
    <s v="Offline"/>
    <s v="C"/>
    <s v="6/21/2014"/>
    <n v="243892896"/>
    <s v="7/22/2014"/>
    <n v="2183"/>
    <n v="668.27"/>
    <n v="502.54"/>
    <n v="1458833.41"/>
    <n v="1097044.82"/>
    <n v="361788.59"/>
  </r>
  <r>
    <x v="3"/>
    <s v="Lebanon"/>
    <s v="Clothes"/>
    <s v="Offline"/>
    <s v="C"/>
    <d v="2015-11-12T00:00:00"/>
    <n v="163892257"/>
    <s v="1/25/2016"/>
    <n v="8216"/>
    <n v="109.28"/>
    <n v="35.840000000000003"/>
    <n v="897844.48"/>
    <n v="294461.44"/>
    <n v="603383.04000000004"/>
  </r>
  <r>
    <x v="6"/>
    <s v="Greenland"/>
    <s v="Household"/>
    <s v="Offline"/>
    <s v="H"/>
    <s v="11/28/2016"/>
    <n v="953528153"/>
    <s v="1/16/2017"/>
    <n v="9025"/>
    <n v="668.27"/>
    <n v="502.54"/>
    <n v="6031136.75"/>
    <n v="4535423.5"/>
    <n v="1495713.25"/>
  </r>
  <r>
    <x v="5"/>
    <s v="Guinea"/>
    <s v="Fruits"/>
    <s v="Online"/>
    <s v="M"/>
    <d v="2016-03-08T00:00:00"/>
    <n v="640974414"/>
    <s v="9/20/2016"/>
    <n v="7428"/>
    <n v="9.33"/>
    <n v="6.92"/>
    <n v="69303.240000000005"/>
    <n v="51401.760000000002"/>
    <n v="17901.48"/>
  </r>
  <r>
    <x v="6"/>
    <s v="United States of America"/>
    <s v="Baby Food"/>
    <s v="Offline"/>
    <s v="C"/>
    <d v="2015-08-04T00:00:00"/>
    <n v="474717366"/>
    <s v="4/14/2015"/>
    <n v="8273"/>
    <n v="255.28"/>
    <n v="159.41999999999999"/>
    <n v="2111931.44"/>
    <n v="1318881.6599999999"/>
    <n v="793049.78"/>
  </r>
  <r>
    <x v="4"/>
    <s v="East Timor"/>
    <s v="Meat"/>
    <s v="Online"/>
    <s v="C"/>
    <d v="2010-04-07T00:00:00"/>
    <n v="873555839"/>
    <d v="2010-04-08T00:00:00"/>
    <n v="3440"/>
    <n v="421.89"/>
    <n v="364.69"/>
    <n v="1451301.6"/>
    <n v="1254533.6000000001"/>
    <n v="196768"/>
  </r>
  <r>
    <x v="5"/>
    <s v="Niger"/>
    <s v="Cereal"/>
    <s v="Online"/>
    <s v="M"/>
    <s v="1/30/2016"/>
    <n v="976601159"/>
    <d v="2016-11-03T00:00:00"/>
    <n v="6840"/>
    <n v="205.7"/>
    <n v="117.11"/>
    <n v="1406988"/>
    <n v="801032.4"/>
    <n v="605955.6"/>
  </r>
  <r>
    <x v="0"/>
    <s v="El Salvador"/>
    <s v="Fruits"/>
    <s v="Offline"/>
    <s v="C"/>
    <d v="2012-01-10T00:00:00"/>
    <n v="893277156"/>
    <d v="2012-12-11T00:00:00"/>
    <n v="9416"/>
    <n v="9.33"/>
    <n v="6.92"/>
    <n v="87851.28"/>
    <n v="65158.720000000001"/>
    <n v="22692.560000000001"/>
  </r>
  <r>
    <x v="1"/>
    <s v="Montenegro"/>
    <s v="Cosmetics"/>
    <s v="Offline"/>
    <s v="L"/>
    <s v="8/19/2012"/>
    <n v="353320157"/>
    <s v="8/22/2012"/>
    <n v="4141"/>
    <n v="437.2"/>
    <n v="263.33"/>
    <n v="1810445.2"/>
    <n v="1090449.53"/>
    <n v="719995.67"/>
  </r>
  <r>
    <x v="4"/>
    <s v="Palau"/>
    <s v="Baby Food"/>
    <s v="Offline"/>
    <s v="H"/>
    <s v="7/21/2017"/>
    <n v="956778991"/>
    <s v="8/25/2017"/>
    <n v="1020"/>
    <n v="255.28"/>
    <n v="159.41999999999999"/>
    <n v="260385.6"/>
    <n v="162608.4"/>
    <n v="97777.2"/>
  </r>
  <r>
    <x v="5"/>
    <s v="Botswana"/>
    <s v="Baby Food"/>
    <s v="Offline"/>
    <s v="L"/>
    <d v="2015-03-04T00:00:00"/>
    <n v="324014985"/>
    <d v="2015-10-04T00:00:00"/>
    <n v="2089"/>
    <n v="255.28"/>
    <n v="159.41999999999999"/>
    <n v="533279.92000000004"/>
    <n v="333028.38"/>
    <n v="200251.54"/>
  </r>
  <r>
    <x v="1"/>
    <s v="Norway"/>
    <s v="Cereal"/>
    <s v="Offline"/>
    <s v="L"/>
    <s v="6/20/2013"/>
    <n v="645701968"/>
    <s v="7/21/2013"/>
    <n v="6416"/>
    <n v="205.7"/>
    <n v="117.11"/>
    <n v="1319771.2"/>
    <n v="751377.76"/>
    <n v="568393.43999999994"/>
  </r>
  <r>
    <x v="2"/>
    <s v="Maldives"/>
    <s v="Fruits"/>
    <s v="Offline"/>
    <s v="L"/>
    <d v="2013-08-06T00:00:00"/>
    <n v="132826268"/>
    <d v="2013-07-07T00:00:00"/>
    <n v="5099"/>
    <n v="9.33"/>
    <n v="6.92"/>
    <n v="47573.67"/>
    <n v="35285.08"/>
    <n v="12288.59"/>
  </r>
  <r>
    <x v="5"/>
    <s v="Cote d'Ivoire"/>
    <s v="Meat"/>
    <s v="Offline"/>
    <s v="L"/>
    <s v="8/29/2013"/>
    <n v="666686713"/>
    <d v="2013-10-09T00:00:00"/>
    <n v="6269"/>
    <n v="421.89"/>
    <n v="364.69"/>
    <n v="2644828.41"/>
    <n v="2286241.61"/>
    <n v="358586.8"/>
  </r>
  <r>
    <x v="1"/>
    <s v="Poland"/>
    <s v="Office Supplies"/>
    <s v="Online"/>
    <s v="H"/>
    <s v="9/19/2013"/>
    <n v="148894631"/>
    <s v="9/25/2013"/>
    <n v="85"/>
    <n v="651.21"/>
    <n v="524.96"/>
    <n v="55352.85"/>
    <n v="44621.599999999999"/>
    <n v="10731.25"/>
  </r>
  <r>
    <x v="5"/>
    <s v="Democratic Republic of the Congo"/>
    <s v="Beverages"/>
    <s v="Online"/>
    <s v="L"/>
    <s v="6/18/2010"/>
    <n v="151373851"/>
    <d v="2010-12-07T00:00:00"/>
    <n v="3741"/>
    <n v="47.45"/>
    <n v="31.79"/>
    <n v="177510.45"/>
    <n v="118926.39"/>
    <n v="58584.06"/>
  </r>
  <r>
    <x v="5"/>
    <s v="Sierra Leone"/>
    <s v="Personal Care"/>
    <s v="Offline"/>
    <s v="L"/>
    <s v="12/16/2016"/>
    <n v="966360700"/>
    <s v="1/27/2017"/>
    <n v="6461"/>
    <n v="81.73"/>
    <n v="56.67"/>
    <n v="528057.53"/>
    <n v="366144.87"/>
    <n v="161912.66"/>
  </r>
  <r>
    <x v="0"/>
    <s v="Honduras"/>
    <s v="Baby Food"/>
    <s v="Online"/>
    <s v="M"/>
    <d v="2013-04-04T00:00:00"/>
    <n v="256404006"/>
    <s v="4/27/2013"/>
    <n v="4498"/>
    <n v="255.28"/>
    <n v="159.41999999999999"/>
    <n v="1148249.44"/>
    <n v="717071.16"/>
    <n v="431178.28"/>
  </r>
  <r>
    <x v="0"/>
    <s v="Grenada"/>
    <s v="Household"/>
    <s v="Online"/>
    <s v="C"/>
    <d v="2010-06-10T00:00:00"/>
    <n v="704365098"/>
    <s v="11/23/2010"/>
    <n v="6140"/>
    <n v="668.27"/>
    <n v="502.54"/>
    <n v="4103177.8"/>
    <n v="3085595.6"/>
    <n v="1017582.2"/>
  </r>
  <r>
    <x v="5"/>
    <s v="Namibia"/>
    <s v="Baby Food"/>
    <s v="Online"/>
    <s v="C"/>
    <d v="2010-05-08T00:00:00"/>
    <n v="563417804"/>
    <d v="2010-03-09T00:00:00"/>
    <n v="6703"/>
    <n v="255.28"/>
    <n v="159.41999999999999"/>
    <n v="1711141.84"/>
    <n v="1068592.26"/>
    <n v="642549.57999999996"/>
  </r>
  <r>
    <x v="3"/>
    <s v="Morocco"/>
    <s v="Vegetables"/>
    <s v="Offline"/>
    <s v="H"/>
    <d v="2014-04-12T00:00:00"/>
    <n v="407048451"/>
    <s v="1/23/2015"/>
    <n v="3537"/>
    <n v="154.06"/>
    <n v="90.93"/>
    <n v="544910.22"/>
    <n v="321619.40999999997"/>
    <n v="223290.81"/>
  </r>
  <r>
    <x v="2"/>
    <s v="Japan"/>
    <s v="Beverages"/>
    <s v="Offline"/>
    <s v="M"/>
    <s v="8/21/2015"/>
    <n v="879055869"/>
    <s v="9/14/2015"/>
    <n v="1021"/>
    <n v="47.45"/>
    <n v="31.79"/>
    <n v="48446.45"/>
    <n v="32457.59"/>
    <n v="15988.86"/>
  </r>
  <r>
    <x v="1"/>
    <s v="Sweden"/>
    <s v="Baby Food"/>
    <s v="Online"/>
    <s v="L"/>
    <d v="2013-03-04T00:00:00"/>
    <n v="443551385"/>
    <d v="2013-09-05T00:00:00"/>
    <n v="5566"/>
    <n v="255.28"/>
    <n v="159.41999999999999"/>
    <n v="1420888.48"/>
    <n v="887331.72"/>
    <n v="533556.76"/>
  </r>
  <r>
    <x v="3"/>
    <s v="Iran"/>
    <s v="Personal Care"/>
    <s v="Online"/>
    <s v="L"/>
    <s v="2/25/2013"/>
    <n v="334958827"/>
    <s v="2/28/2013"/>
    <n v="615"/>
    <n v="81.73"/>
    <n v="56.67"/>
    <n v="50263.95"/>
    <n v="34852.050000000003"/>
    <n v="15411.9"/>
  </r>
  <r>
    <x v="1"/>
    <s v="Vatican City"/>
    <s v="Clothes"/>
    <s v="Offline"/>
    <s v="H"/>
    <d v="2014-11-03T00:00:00"/>
    <n v="508014523"/>
    <s v="3/20/2014"/>
    <n v="1642"/>
    <n v="109.28"/>
    <n v="35.840000000000003"/>
    <n v="179437.76"/>
    <n v="58849.279999999999"/>
    <n v="120588.48"/>
  </r>
  <r>
    <x v="1"/>
    <s v="Lithuania"/>
    <s v="Office Supplies"/>
    <s v="Online"/>
    <s v="C"/>
    <d v="2012-08-07T00:00:00"/>
    <n v="987767302"/>
    <d v="2012-01-08T00:00:00"/>
    <n v="1150"/>
    <n v="651.21"/>
    <n v="524.96"/>
    <n v="748891.5"/>
    <n v="603704"/>
    <n v="145187.5"/>
  </r>
  <r>
    <x v="0"/>
    <s v="Costa Rica"/>
    <s v="Meat"/>
    <s v="Offline"/>
    <s v="L"/>
    <s v="11/28/2012"/>
    <n v="519578492"/>
    <s v="12/29/2012"/>
    <n v="3677"/>
    <n v="421.89"/>
    <n v="364.69"/>
    <n v="1551289.53"/>
    <n v="1340965.1299999999"/>
    <n v="210324.4"/>
  </r>
  <r>
    <x v="3"/>
    <s v="Egypt"/>
    <s v="Snacks"/>
    <s v="Offline"/>
    <s v="M"/>
    <d v="2017-06-06T00:00:00"/>
    <n v="619121921"/>
    <d v="2017-10-06T00:00:00"/>
    <n v="789"/>
    <n v="152.58000000000001"/>
    <n v="97.44"/>
    <n v="120385.62"/>
    <n v="76880.160000000003"/>
    <n v="43505.46"/>
  </r>
  <r>
    <x v="3"/>
    <s v="Libya"/>
    <s v="Baby Food"/>
    <s v="Offline"/>
    <s v="H"/>
    <s v="1/20/2014"/>
    <n v="622383916"/>
    <s v="2/18/2014"/>
    <n v="6086"/>
    <n v="255.28"/>
    <n v="159.41999999999999"/>
    <n v="1553634.08"/>
    <n v="970230.12"/>
    <n v="583403.96"/>
  </r>
  <r>
    <x v="2"/>
    <s v="Thailand"/>
    <s v="Clothes"/>
    <s v="Offline"/>
    <s v="L"/>
    <d v="2010-05-10T00:00:00"/>
    <n v="835663306"/>
    <d v="2010-03-11T00:00:00"/>
    <n v="197"/>
    <n v="109.28"/>
    <n v="35.840000000000003"/>
    <n v="21528.16"/>
    <n v="7060.48"/>
    <n v="14467.68"/>
  </r>
  <r>
    <x v="3"/>
    <s v="Pakistan"/>
    <s v="Personal Care"/>
    <s v="Online"/>
    <s v="C"/>
    <d v="2016-03-08T00:00:00"/>
    <n v="285571420"/>
    <s v="9/13/2016"/>
    <n v="5784"/>
    <n v="81.73"/>
    <n v="56.67"/>
    <n v="472726.32"/>
    <n v="327779.28000000003"/>
    <n v="144947.04"/>
  </r>
  <r>
    <x v="3"/>
    <s v="Libya"/>
    <s v="Baby Food"/>
    <s v="Online"/>
    <s v="C"/>
    <s v="2/21/2015"/>
    <n v="769032084"/>
    <d v="2015-03-04T00:00:00"/>
    <n v="2538"/>
    <n v="255.28"/>
    <n v="159.41999999999999"/>
    <n v="647900.64"/>
    <n v="404607.96"/>
    <n v="243292.68"/>
  </r>
  <r>
    <x v="5"/>
    <s v="Botswana"/>
    <s v="Vegetables"/>
    <s v="Offline"/>
    <s v="L"/>
    <s v="10/19/2013"/>
    <n v="103281629"/>
    <d v="2013-05-11T00:00:00"/>
    <n v="2184"/>
    <n v="154.06"/>
    <n v="90.93"/>
    <n v="336467.04"/>
    <n v="198591.12"/>
    <n v="137875.92000000001"/>
  </r>
  <r>
    <x v="0"/>
    <s v="El Salvador"/>
    <s v="Cereal"/>
    <s v="Online"/>
    <s v="L"/>
    <s v="3/24/2017"/>
    <n v="675868880"/>
    <d v="2017-11-05T00:00:00"/>
    <n v="3476"/>
    <n v="205.7"/>
    <n v="117.11"/>
    <n v="715013.2"/>
    <n v="407074.36"/>
    <n v="307938.84000000003"/>
  </r>
  <r>
    <x v="5"/>
    <s v="Sao Tome and Principe"/>
    <s v="Fruits"/>
    <s v="Offline"/>
    <s v="M"/>
    <d v="2016-04-01T00:00:00"/>
    <n v="894655168"/>
    <s v="1/26/2016"/>
    <n v="7200"/>
    <n v="9.33"/>
    <n v="6.92"/>
    <n v="67176"/>
    <n v="49824"/>
    <n v="17352"/>
  </r>
  <r>
    <x v="5"/>
    <s v="Comoros"/>
    <s v="Fruits"/>
    <s v="Online"/>
    <s v="M"/>
    <s v="2/23/2013"/>
    <n v="137814319"/>
    <s v="3/14/2013"/>
    <n v="1174"/>
    <n v="9.33"/>
    <n v="6.92"/>
    <n v="10953.42"/>
    <n v="8124.08"/>
    <n v="2829.34"/>
  </r>
  <r>
    <x v="1"/>
    <s v="Croatia"/>
    <s v="Baby Food"/>
    <s v="Offline"/>
    <s v="H"/>
    <s v="9/19/2012"/>
    <n v="103832662"/>
    <s v="10/20/2012"/>
    <n v="5247"/>
    <n v="255.28"/>
    <n v="159.41999999999999"/>
    <n v="1339454.1599999999"/>
    <n v="836476.74"/>
    <n v="502977.42"/>
  </r>
  <r>
    <x v="3"/>
    <s v="Pakistan"/>
    <s v="Personal Care"/>
    <s v="Offline"/>
    <s v="H"/>
    <s v="1/25/2016"/>
    <n v="761509025"/>
    <d v="2016-03-03T00:00:00"/>
    <n v="6298"/>
    <n v="81.73"/>
    <n v="56.67"/>
    <n v="514735.54"/>
    <n v="356907.66"/>
    <n v="157827.88"/>
  </r>
  <r>
    <x v="5"/>
    <s v="Sierra Leone"/>
    <s v="Beverages"/>
    <s v="Online"/>
    <s v="M"/>
    <s v="6/18/2010"/>
    <n v="799954736"/>
    <s v="7/21/2010"/>
    <n v="3238"/>
    <n v="47.45"/>
    <n v="31.79"/>
    <n v="153643.1"/>
    <n v="102936.02"/>
    <n v="50707.08"/>
  </r>
  <r>
    <x v="2"/>
    <s v="Malaysia"/>
    <s v="Snacks"/>
    <s v="Offline"/>
    <s v="L"/>
    <s v="9/29/2010"/>
    <n v="778593623"/>
    <s v="11/17/2010"/>
    <n v="2010"/>
    <n v="152.58000000000001"/>
    <n v="97.44"/>
    <n v="306685.8"/>
    <n v="195854.4"/>
    <n v="110831.4"/>
  </r>
  <r>
    <x v="0"/>
    <s v="Antigua and Barbuda "/>
    <s v="Cosmetics"/>
    <s v="Offline"/>
    <s v="M"/>
    <d v="2010-06-02T00:00:00"/>
    <n v="877162015"/>
    <d v="2010-07-03T00:00:00"/>
    <n v="588"/>
    <n v="437.2"/>
    <n v="263.33"/>
    <n v="257073.6"/>
    <n v="154838.04"/>
    <n v="102235.56"/>
  </r>
  <r>
    <x v="1"/>
    <s v="Malta"/>
    <s v="Personal Care"/>
    <s v="Online"/>
    <s v="H"/>
    <s v="2/19/2014"/>
    <n v="445708739"/>
    <s v="2/27/2014"/>
    <n v="3975"/>
    <n v="81.73"/>
    <n v="56.67"/>
    <n v="324876.75"/>
    <n v="225263.25"/>
    <n v="99613.5"/>
  </r>
  <r>
    <x v="5"/>
    <s v="Botswana"/>
    <s v="Household"/>
    <s v="Offline"/>
    <s v="M"/>
    <s v="5/20/2014"/>
    <n v="254595124"/>
    <s v="6/21/2014"/>
    <n v="9210"/>
    <n v="668.27"/>
    <n v="502.54"/>
    <n v="6154766.7000000002"/>
    <n v="4628393.4000000004"/>
    <n v="1526373.3"/>
  </r>
  <r>
    <x v="5"/>
    <s v="Chad"/>
    <s v="Baby Food"/>
    <s v="Online"/>
    <s v="H"/>
    <s v="10/16/2014"/>
    <n v="244494998"/>
    <s v="11/21/2014"/>
    <n v="358"/>
    <n v="255.28"/>
    <n v="159.41999999999999"/>
    <n v="91390.24"/>
    <n v="57072.36"/>
    <n v="34317.879999999997"/>
  </r>
  <r>
    <x v="5"/>
    <s v="Lesotho"/>
    <s v="Cereal"/>
    <s v="Online"/>
    <s v="M"/>
    <s v="10/22/2012"/>
    <n v="876394689"/>
    <d v="2012-09-11T00:00:00"/>
    <n v="3519"/>
    <n v="205.7"/>
    <n v="117.11"/>
    <n v="723858.3"/>
    <n v="412110.09"/>
    <n v="311748.21000000002"/>
  </r>
  <r>
    <x v="0"/>
    <s v="Dominican Republic"/>
    <s v="Fruits"/>
    <s v="Online"/>
    <s v="L"/>
    <s v="9/24/2010"/>
    <n v="881593024"/>
    <d v="2010-09-10T00:00:00"/>
    <n v="1822"/>
    <n v="9.33"/>
    <n v="6.92"/>
    <n v="16999.259999999998"/>
    <n v="12608.24"/>
    <n v="4391.0200000000004"/>
  </r>
  <r>
    <x v="5"/>
    <s v="Burundi"/>
    <s v="Clothes"/>
    <s v="Online"/>
    <s v="C"/>
    <d v="2011-01-12T00:00:00"/>
    <n v="411701333"/>
    <s v="12/27/2011"/>
    <n v="428"/>
    <n v="109.28"/>
    <n v="35.840000000000003"/>
    <n v="46771.839999999997"/>
    <n v="15339.52"/>
    <n v="31432.32"/>
  </r>
  <r>
    <x v="2"/>
    <s v="Brunei"/>
    <s v="Baby Food"/>
    <s v="Online"/>
    <s v="M"/>
    <d v="2017-02-01T00:00:00"/>
    <n v="588643443"/>
    <d v="2017-11-02T00:00:00"/>
    <n v="1531"/>
    <n v="255.28"/>
    <n v="159.41999999999999"/>
    <n v="390833.68"/>
    <n v="244072.02"/>
    <n v="146761.66"/>
  </r>
  <r>
    <x v="1"/>
    <s v="Macedonia"/>
    <s v="Beverages"/>
    <s v="Offline"/>
    <s v="M"/>
    <s v="7/24/2012"/>
    <n v="354655683"/>
    <s v="7/31/2012"/>
    <n v="9353"/>
    <n v="47.45"/>
    <n v="31.79"/>
    <n v="443799.85"/>
    <n v="297331.87"/>
    <n v="146467.98000000001"/>
  </r>
  <r>
    <x v="2"/>
    <s v="Uzbekistan"/>
    <s v="Clothes"/>
    <s v="Offline"/>
    <s v="L"/>
    <s v="9/16/2012"/>
    <n v="522286880"/>
    <d v="2012-03-10T00:00:00"/>
    <n v="5149"/>
    <n v="109.28"/>
    <n v="35.840000000000003"/>
    <n v="562682.72"/>
    <n v="184540.16"/>
    <n v="378142.56"/>
  </r>
  <r>
    <x v="1"/>
    <s v="Belarus"/>
    <s v="Office Supplies"/>
    <s v="Offline"/>
    <s v="C"/>
    <s v="6/30/2017"/>
    <n v="624398362"/>
    <s v="7/24/2017"/>
    <n v="2206"/>
    <n v="651.21"/>
    <n v="524.96"/>
    <n v="1436569.26"/>
    <n v="1158061.76"/>
    <n v="278507.5"/>
  </r>
  <r>
    <x v="1"/>
    <s v="Liechtenstein"/>
    <s v="Beverages"/>
    <s v="Online"/>
    <s v="C"/>
    <d v="2016-05-09T00:00:00"/>
    <n v="264163959"/>
    <s v="9/22/2016"/>
    <n v="840"/>
    <n v="47.45"/>
    <n v="31.79"/>
    <n v="39858"/>
    <n v="26703.599999999999"/>
    <n v="13154.4"/>
  </r>
  <r>
    <x v="5"/>
    <s v="Seychelles "/>
    <s v="Beverages"/>
    <s v="Offline"/>
    <s v="M"/>
    <s v="3/21/2016"/>
    <n v="465069997"/>
    <s v="3/23/2016"/>
    <n v="3402"/>
    <n v="47.45"/>
    <n v="31.79"/>
    <n v="161424.9"/>
    <n v="108149.58"/>
    <n v="53275.32"/>
  </r>
  <r>
    <x v="1"/>
    <s v="Russia"/>
    <s v="Office Supplies"/>
    <s v="Offline"/>
    <s v="H"/>
    <s v="10/16/2011"/>
    <n v="520915305"/>
    <d v="2011-07-11T00:00:00"/>
    <n v="9270"/>
    <n v="651.21"/>
    <n v="524.96"/>
    <n v="6036716.7000000002"/>
    <n v="4866379.2"/>
    <n v="1170337.5"/>
  </r>
  <r>
    <x v="4"/>
    <s v="Australia"/>
    <s v="Beverages"/>
    <s v="Offline"/>
    <s v="H"/>
    <d v="2015-09-04T00:00:00"/>
    <n v="245811212"/>
    <d v="2015-11-05T00:00:00"/>
    <n v="9855"/>
    <n v="47.45"/>
    <n v="31.79"/>
    <n v="467619.75"/>
    <n v="313290.45"/>
    <n v="154329.29999999999"/>
  </r>
  <r>
    <x v="1"/>
    <s v="Armenia"/>
    <s v="Cereal"/>
    <s v="Online"/>
    <s v="H"/>
    <d v="2013-05-02T00:00:00"/>
    <n v="424181544"/>
    <d v="2013-04-03T00:00:00"/>
    <n v="3600"/>
    <n v="205.7"/>
    <n v="117.11"/>
    <n v="740520"/>
    <n v="421596"/>
    <n v="318924"/>
  </r>
  <r>
    <x v="1"/>
    <s v="United Kingdom"/>
    <s v="Office Supplies"/>
    <s v="Online"/>
    <s v="H"/>
    <d v="2015-03-07T00:00:00"/>
    <n v="560762631"/>
    <s v="7/16/2015"/>
    <n v="979"/>
    <n v="651.21"/>
    <n v="524.96"/>
    <n v="637534.59"/>
    <n v="513935.84"/>
    <n v="123598.75"/>
  </r>
  <r>
    <x v="4"/>
    <s v="Vanuatu"/>
    <s v="Office Supplies"/>
    <s v="Offline"/>
    <s v="H"/>
    <d v="2014-02-11T00:00:00"/>
    <n v="230603301"/>
    <d v="2014-10-12T00:00:00"/>
    <n v="9496"/>
    <n v="651.21"/>
    <n v="524.96"/>
    <n v="6183890.1600000001"/>
    <n v="4985020.16"/>
    <n v="1198870"/>
  </r>
  <r>
    <x v="4"/>
    <s v="Palau"/>
    <s v="Vegetables"/>
    <s v="Online"/>
    <s v="H"/>
    <d v="2012-06-02T00:00:00"/>
    <n v="429064881"/>
    <s v="2/15/2012"/>
    <n v="8688"/>
    <n v="154.06"/>
    <n v="90.93"/>
    <n v="1338473.28"/>
    <n v="789999.84"/>
    <n v="548473.43999999994"/>
  </r>
  <r>
    <x v="2"/>
    <s v="South Korea"/>
    <s v="Household"/>
    <s v="Offline"/>
    <s v="C"/>
    <s v="2/17/2013"/>
    <n v="421821200"/>
    <s v="3/15/2013"/>
    <n v="5122"/>
    <n v="668.27"/>
    <n v="502.54"/>
    <n v="3422878.94"/>
    <n v="2574009.88"/>
    <n v="848869.06"/>
  </r>
  <r>
    <x v="5"/>
    <s v="Malawi"/>
    <s v="Office Supplies"/>
    <s v="Online"/>
    <s v="C"/>
    <d v="2017-10-04T00:00:00"/>
    <n v="894858586"/>
    <s v="5/27/2017"/>
    <n v="7396"/>
    <n v="651.21"/>
    <n v="524.96"/>
    <n v="4816349.16"/>
    <n v="3882604.16"/>
    <n v="933745"/>
  </r>
  <r>
    <x v="2"/>
    <s v="Tajikistan"/>
    <s v="Beverages"/>
    <s v="Offline"/>
    <s v="C"/>
    <s v="7/27/2013"/>
    <n v="804475867"/>
    <s v="8/18/2013"/>
    <n v="1141"/>
    <n v="47.45"/>
    <n v="31.79"/>
    <n v="54140.45"/>
    <n v="36272.39"/>
    <n v="17868.060000000001"/>
  </r>
  <r>
    <x v="5"/>
    <s v="Niger"/>
    <s v="Baby Food"/>
    <s v="Offline"/>
    <s v="M"/>
    <d v="2014-05-11T00:00:00"/>
    <n v="527284371"/>
    <s v="11/18/2014"/>
    <n v="4018"/>
    <n v="255.28"/>
    <n v="159.41999999999999"/>
    <n v="1025715.04"/>
    <n v="640549.56000000006"/>
    <n v="385165.48"/>
  </r>
  <r>
    <x v="2"/>
    <s v="Turkmenistan"/>
    <s v="Beverages"/>
    <s v="Offline"/>
    <s v="M"/>
    <s v="1/24/2016"/>
    <n v="510207927"/>
    <s v="2/15/2016"/>
    <n v="718"/>
    <n v="47.45"/>
    <n v="31.79"/>
    <n v="34069.1"/>
    <n v="22825.22"/>
    <n v="11243.88"/>
  </r>
  <r>
    <x v="2"/>
    <s v="Sri Lanka"/>
    <s v="Vegetables"/>
    <s v="Offline"/>
    <s v="C"/>
    <s v="3/31/2013"/>
    <n v="820482861"/>
    <d v="2013-11-04T00:00:00"/>
    <n v="7967"/>
    <n v="154.06"/>
    <n v="90.93"/>
    <n v="1227396.02"/>
    <n v="724439.31"/>
    <n v="502956.71"/>
  </r>
  <r>
    <x v="3"/>
    <s v="Tunisia "/>
    <s v="Cosmetics"/>
    <s v="Online"/>
    <s v="M"/>
    <d v="2014-05-11T00:00:00"/>
    <n v="695658004"/>
    <d v="2014-08-12T00:00:00"/>
    <n v="9517"/>
    <n v="437.2"/>
    <n v="263.33"/>
    <n v="4160832.4"/>
    <n v="2506111.61"/>
    <n v="1654720.79"/>
  </r>
  <r>
    <x v="4"/>
    <s v="Fiji"/>
    <s v="Cosmetics"/>
    <s v="Offline"/>
    <s v="H"/>
    <s v="3/25/2015"/>
    <n v="793594682"/>
    <s v="3/27/2015"/>
    <n v="1157"/>
    <n v="437.2"/>
    <n v="263.33"/>
    <n v="505840.4"/>
    <n v="304672.81"/>
    <n v="201167.59"/>
  </r>
  <r>
    <x v="5"/>
    <s v="Zambia"/>
    <s v="Baby Food"/>
    <s v="Online"/>
    <s v="M"/>
    <d v="2013-12-08T00:00:00"/>
    <n v="942466723"/>
    <d v="2013-04-09T00:00:00"/>
    <n v="5702"/>
    <n v="255.28"/>
    <n v="159.41999999999999"/>
    <n v="1455606.56"/>
    <n v="909012.84"/>
    <n v="546593.72"/>
  </r>
  <r>
    <x v="5"/>
    <s v="Sao Tome and Principe"/>
    <s v="Fruits"/>
    <s v="Offline"/>
    <s v="L"/>
    <s v="4/15/2010"/>
    <n v="590760457"/>
    <s v="4/28/2010"/>
    <n v="8002"/>
    <n v="9.33"/>
    <n v="6.92"/>
    <n v="74658.66"/>
    <n v="55373.84"/>
    <n v="19284.82"/>
  </r>
  <r>
    <x v="5"/>
    <s v="Liberia"/>
    <s v="Office Supplies"/>
    <s v="Offline"/>
    <s v="M"/>
    <s v="5/21/2010"/>
    <n v="157274711"/>
    <s v="6/17/2010"/>
    <n v="9937"/>
    <n v="651.21"/>
    <n v="524.96"/>
    <n v="6471073.7699999996"/>
    <n v="5216527.5199999996"/>
    <n v="1254546.25"/>
  </r>
  <r>
    <x v="5"/>
    <s v="Benin"/>
    <s v="Beverages"/>
    <s v="Offline"/>
    <s v="L"/>
    <s v="7/14/2012"/>
    <n v="581120812"/>
    <s v="8/16/2012"/>
    <n v="5417"/>
    <n v="47.45"/>
    <n v="31.79"/>
    <n v="257036.65"/>
    <n v="172206.43"/>
    <n v="84830.22"/>
  </r>
  <r>
    <x v="5"/>
    <s v="Mali"/>
    <s v="Fruits"/>
    <s v="Offline"/>
    <s v="H"/>
    <s v="8/23/2012"/>
    <n v="171722590"/>
    <s v="9/30/2012"/>
    <n v="5385"/>
    <n v="9.33"/>
    <n v="6.92"/>
    <n v="50242.05"/>
    <n v="37264.199999999997"/>
    <n v="12977.85"/>
  </r>
  <r>
    <x v="1"/>
    <s v="Moldova "/>
    <s v="Office Supplies"/>
    <s v="Offline"/>
    <s v="L"/>
    <d v="2015-04-04T00:00:00"/>
    <n v="458816373"/>
    <s v="4/16/2015"/>
    <n v="2815"/>
    <n v="651.21"/>
    <n v="524.96"/>
    <n v="1833156.15"/>
    <n v="1477762.4"/>
    <n v="355393.75"/>
  </r>
  <r>
    <x v="2"/>
    <s v="Vietnam"/>
    <s v="Beverages"/>
    <s v="Offline"/>
    <s v="H"/>
    <s v="8/16/2014"/>
    <n v="342450988"/>
    <s v="8/29/2014"/>
    <n v="7712"/>
    <n v="47.45"/>
    <n v="31.79"/>
    <n v="365934.4"/>
    <n v="245164.48"/>
    <n v="120769.92"/>
  </r>
  <r>
    <x v="1"/>
    <s v="Netherlands"/>
    <s v="Household"/>
    <s v="Offline"/>
    <s v="L"/>
    <s v="8/18/2013"/>
    <n v="142987763"/>
    <d v="2013-01-09T00:00:00"/>
    <n v="2112"/>
    <n v="668.27"/>
    <n v="502.54"/>
    <n v="1411386.24"/>
    <n v="1061364.48"/>
    <n v="350021.76"/>
  </r>
  <r>
    <x v="3"/>
    <s v="Pakistan"/>
    <s v="Clothes"/>
    <s v="Offline"/>
    <s v="L"/>
    <d v="2012-12-06T00:00:00"/>
    <n v="251100528"/>
    <d v="2012-05-07T00:00:00"/>
    <n v="5081"/>
    <n v="109.28"/>
    <n v="35.840000000000003"/>
    <n v="555251.68000000005"/>
    <n v="182103.04000000001"/>
    <n v="373148.64"/>
  </r>
  <r>
    <x v="3"/>
    <s v="Turkey"/>
    <s v="Cosmetics"/>
    <s v="Online"/>
    <s v="L"/>
    <s v="4/20/2012"/>
    <n v="677775609"/>
    <d v="2012-05-05T00:00:00"/>
    <n v="7719"/>
    <n v="437.2"/>
    <n v="263.33"/>
    <n v="3374746.8"/>
    <n v="2032644.27"/>
    <n v="1342102.53"/>
  </r>
  <r>
    <x v="5"/>
    <s v="Democratic Republic of the Congo"/>
    <s v="Snacks"/>
    <s v="Offline"/>
    <s v="M"/>
    <s v="9/15/2011"/>
    <n v="604311835"/>
    <d v="2011-04-11T00:00:00"/>
    <n v="8156"/>
    <n v="152.58000000000001"/>
    <n v="97.44"/>
    <n v="1244442.48"/>
    <n v="794720.64"/>
    <n v="449721.84"/>
  </r>
  <r>
    <x v="5"/>
    <s v="Botswana"/>
    <s v="Office Supplies"/>
    <s v="Online"/>
    <s v="H"/>
    <s v="3/26/2010"/>
    <n v="632320535"/>
    <s v="3/28/2010"/>
    <n v="6553"/>
    <n v="651.21"/>
    <n v="524.96"/>
    <n v="4267379.13"/>
    <n v="3440062.88"/>
    <n v="827316.25"/>
  </r>
  <r>
    <x v="0"/>
    <s v="Barbados"/>
    <s v="Snacks"/>
    <s v="Online"/>
    <s v="L"/>
    <s v="4/23/2012"/>
    <n v="533725535"/>
    <s v="5/30/2012"/>
    <n v="101"/>
    <n v="152.58000000000001"/>
    <n v="97.44"/>
    <n v="15410.58"/>
    <n v="9841.44"/>
    <n v="5569.14"/>
  </r>
  <r>
    <x v="5"/>
    <s v="Equatorial Guinea"/>
    <s v="Personal Care"/>
    <s v="Online"/>
    <s v="L"/>
    <d v="2015-09-11T00:00:00"/>
    <n v="600763165"/>
    <d v="2015-08-12T00:00:00"/>
    <n v="8026"/>
    <n v="81.73"/>
    <n v="56.67"/>
    <n v="655964.98"/>
    <n v="454833.42"/>
    <n v="201131.56"/>
  </r>
  <r>
    <x v="4"/>
    <s v="East Timor"/>
    <s v="Vegetables"/>
    <s v="Offline"/>
    <s v="L"/>
    <s v="1/24/2016"/>
    <n v="295982253"/>
    <d v="2016-08-03T00:00:00"/>
    <n v="6581"/>
    <n v="154.06"/>
    <n v="90.93"/>
    <n v="1013868.86"/>
    <n v="598410.32999999996"/>
    <n v="415458.53"/>
  </r>
  <r>
    <x v="5"/>
    <s v="The Gambia"/>
    <s v="Meat"/>
    <s v="Offline"/>
    <s v="M"/>
    <d v="2016-10-10T00:00:00"/>
    <n v="502244126"/>
    <s v="10/17/2016"/>
    <n v="4053"/>
    <n v="421.89"/>
    <n v="364.69"/>
    <n v="1709920.17"/>
    <n v="1478088.57"/>
    <n v="231831.6"/>
  </r>
  <r>
    <x v="3"/>
    <s v="Somalia"/>
    <s v="Personal Care"/>
    <s v="Offline"/>
    <s v="L"/>
    <d v="2011-11-07T00:00:00"/>
    <n v="372722613"/>
    <s v="8/18/2011"/>
    <n v="5759"/>
    <n v="81.73"/>
    <n v="56.67"/>
    <n v="470683.07"/>
    <n v="326362.53000000003"/>
    <n v="144320.54"/>
  </r>
  <r>
    <x v="1"/>
    <s v="Andorra"/>
    <s v="Snacks"/>
    <s v="Offline"/>
    <s v="C"/>
    <s v="1/23/2010"/>
    <n v="480904042"/>
    <d v="2010-05-02T00:00:00"/>
    <n v="9048"/>
    <n v="152.58000000000001"/>
    <n v="97.44"/>
    <n v="1380543.84"/>
    <n v="881637.12"/>
    <n v="498906.72"/>
  </r>
  <r>
    <x v="3"/>
    <s v="Egypt"/>
    <s v="Household"/>
    <s v="Offline"/>
    <s v="L"/>
    <d v="2011-06-11T00:00:00"/>
    <n v="570587241"/>
    <d v="2011-08-11T00:00:00"/>
    <n v="8299"/>
    <n v="668.27"/>
    <n v="502.54"/>
    <n v="5545972.7300000004"/>
    <n v="4170579.46"/>
    <n v="1375393.27"/>
  </r>
  <r>
    <x v="2"/>
    <s v="Singapore"/>
    <s v="Cereal"/>
    <s v="Offline"/>
    <s v="H"/>
    <s v="5/27/2017"/>
    <n v="905883538"/>
    <d v="2017-02-07T00:00:00"/>
    <n v="9925"/>
    <n v="205.7"/>
    <n v="117.11"/>
    <n v="2041572.5"/>
    <n v="1162316.75"/>
    <n v="879255.75"/>
  </r>
  <r>
    <x v="0"/>
    <s v="Saint Vincent and the Grenadines"/>
    <s v="Vegetables"/>
    <s v="Offline"/>
    <s v="L"/>
    <s v="12/13/2016"/>
    <n v="921216762"/>
    <s v="1/14/2017"/>
    <n v="7366"/>
    <n v="154.06"/>
    <n v="90.93"/>
    <n v="1134805.96"/>
    <n v="669790.38"/>
    <n v="465015.58"/>
  </r>
  <r>
    <x v="1"/>
    <s v="Armenia"/>
    <s v="Vegetables"/>
    <s v="Online"/>
    <s v="M"/>
    <d v="2016-07-12T00:00:00"/>
    <n v="571323239"/>
    <d v="2017-01-01T00:00:00"/>
    <n v="6097"/>
    <n v="154.06"/>
    <n v="90.93"/>
    <n v="939303.82"/>
    <n v="554400.21"/>
    <n v="384903.61"/>
  </r>
  <r>
    <x v="5"/>
    <s v="Senegal"/>
    <s v="Cosmetics"/>
    <s v="Online"/>
    <s v="M"/>
    <s v="6/28/2013"/>
    <n v="781251800"/>
    <d v="2013-02-08T00:00:00"/>
    <n v="8623"/>
    <n v="437.2"/>
    <n v="263.33"/>
    <n v="3769975.6"/>
    <n v="2270694.59"/>
    <n v="1499281.01"/>
  </r>
  <r>
    <x v="2"/>
    <s v="Taiwan"/>
    <s v="Meat"/>
    <s v="Offline"/>
    <s v="C"/>
    <s v="5/29/2011"/>
    <n v="296363770"/>
    <s v="7/13/2011"/>
    <n v="9480"/>
    <n v="421.89"/>
    <n v="364.69"/>
    <n v="3999517.2"/>
    <n v="3457261.2"/>
    <n v="542256"/>
  </r>
  <r>
    <x v="3"/>
    <s v="Libya"/>
    <s v="Vegetables"/>
    <s v="Online"/>
    <s v="H"/>
    <s v="9/26/2012"/>
    <n v="632332980"/>
    <s v="10/25/2012"/>
    <n v="236"/>
    <n v="154.06"/>
    <n v="90.93"/>
    <n v="36358.160000000003"/>
    <n v="21459.48"/>
    <n v="14898.68"/>
  </r>
  <r>
    <x v="3"/>
    <s v="Azerbaijan"/>
    <s v="Cosmetics"/>
    <s v="Offline"/>
    <s v="H"/>
    <s v="1/14/2013"/>
    <n v="225145757"/>
    <d v="2013-05-02T00:00:00"/>
    <n v="4487"/>
    <n v="437.2"/>
    <n v="263.33"/>
    <n v="1961716.4"/>
    <n v="1181561.71"/>
    <n v="780154.69"/>
  </r>
  <r>
    <x v="1"/>
    <s v="Italy"/>
    <s v="Snacks"/>
    <s v="Online"/>
    <s v="H"/>
    <s v="9/16/2012"/>
    <n v="281100928"/>
    <d v="2012-03-11T00:00:00"/>
    <n v="2866"/>
    <n v="152.58000000000001"/>
    <n v="97.44"/>
    <n v="437294.28"/>
    <n v="279263.03999999998"/>
    <n v="158031.24"/>
  </r>
  <r>
    <x v="3"/>
    <s v="Libya"/>
    <s v="Snacks"/>
    <s v="Online"/>
    <s v="H"/>
    <s v="3/22/2013"/>
    <n v="726809823"/>
    <d v="2013-05-05T00:00:00"/>
    <n v="8033"/>
    <n v="152.58000000000001"/>
    <n v="97.44"/>
    <n v="1225675.1399999999"/>
    <n v="782735.52"/>
    <n v="442939.62"/>
  </r>
  <r>
    <x v="1"/>
    <s v="Croatia"/>
    <s v="Household"/>
    <s v="Online"/>
    <s v="L"/>
    <s v="4/26/2013"/>
    <n v="659196269"/>
    <d v="2013-01-06T00:00:00"/>
    <n v="9680"/>
    <n v="668.27"/>
    <n v="502.54"/>
    <n v="6468853.5999999996"/>
    <n v="4864587.2"/>
    <n v="1604266.4"/>
  </r>
  <r>
    <x v="1"/>
    <s v="Bulgaria"/>
    <s v="Personal Care"/>
    <s v="Offline"/>
    <s v="H"/>
    <s v="10/24/2012"/>
    <n v="595496594"/>
    <d v="2012-04-11T00:00:00"/>
    <n v="9530"/>
    <n v="81.73"/>
    <n v="56.67"/>
    <n v="778886.9"/>
    <n v="540065.1"/>
    <n v="238821.8"/>
  </r>
  <r>
    <x v="3"/>
    <s v="Egypt"/>
    <s v="Cosmetics"/>
    <s v="Offline"/>
    <s v="C"/>
    <s v="5/14/2016"/>
    <n v="223259627"/>
    <d v="2016-03-07T00:00:00"/>
    <n v="6340"/>
    <n v="437.2"/>
    <n v="263.33"/>
    <n v="2771848"/>
    <n v="1669512.2"/>
    <n v="1102335.8"/>
  </r>
  <r>
    <x v="5"/>
    <s v="Guinea-Bissau"/>
    <s v="Vegetables"/>
    <s v="Online"/>
    <s v="H"/>
    <s v="7/25/2014"/>
    <n v="650346696"/>
    <d v="2014-03-09T00:00:00"/>
    <n v="894"/>
    <n v="154.06"/>
    <n v="90.93"/>
    <n v="137729.64000000001"/>
    <n v="81291.42"/>
    <n v="56438.22"/>
  </r>
  <r>
    <x v="1"/>
    <s v="Ireland"/>
    <s v="Personal Care"/>
    <s v="Offline"/>
    <s v="H"/>
    <s v="5/30/2010"/>
    <n v="354931628"/>
    <d v="2010-08-06T00:00:00"/>
    <n v="1011"/>
    <n v="81.73"/>
    <n v="56.67"/>
    <n v="82629.03"/>
    <n v="57293.37"/>
    <n v="25335.66"/>
  </r>
  <r>
    <x v="3"/>
    <s v="Afghanistan"/>
    <s v="Snacks"/>
    <s v="Online"/>
    <s v="M"/>
    <s v="7/19/2015"/>
    <n v="135500752"/>
    <s v="7/21/2015"/>
    <n v="6539"/>
    <n v="152.58000000000001"/>
    <n v="97.44"/>
    <n v="997720.62"/>
    <n v="637160.16"/>
    <n v="360560.46"/>
  </r>
  <r>
    <x v="0"/>
    <s v="Honduras"/>
    <s v="Cereal"/>
    <s v="Online"/>
    <s v="H"/>
    <d v="2016-07-03T00:00:00"/>
    <n v="860852897"/>
    <s v="4/25/2016"/>
    <n v="4357"/>
    <n v="205.7"/>
    <n v="117.11"/>
    <n v="896234.9"/>
    <n v="510248.27"/>
    <n v="385986.63"/>
  </r>
  <r>
    <x v="3"/>
    <s v="Qatar"/>
    <s v="Vegetables"/>
    <s v="Offline"/>
    <s v="H"/>
    <s v="9/23/2014"/>
    <n v="320099389"/>
    <d v="2014-02-11T00:00:00"/>
    <n v="3377"/>
    <n v="154.06"/>
    <n v="90.93"/>
    <n v="520260.62"/>
    <n v="307070.61"/>
    <n v="213190.01"/>
  </r>
  <r>
    <x v="5"/>
    <s v="Mali"/>
    <s v="Office Supplies"/>
    <s v="Offline"/>
    <s v="M"/>
    <s v="11/16/2010"/>
    <n v="872664058"/>
    <s v="11/25/2010"/>
    <n v="9542"/>
    <n v="651.21"/>
    <n v="524.96"/>
    <n v="6213845.8200000003"/>
    <n v="5009168.32"/>
    <n v="1204677.5"/>
  </r>
  <r>
    <x v="2"/>
    <s v="Malaysia"/>
    <s v="Cereal"/>
    <s v="Offline"/>
    <s v="H"/>
    <s v="12/16/2012"/>
    <n v="898283231"/>
    <s v="12/18/2012"/>
    <n v="825"/>
    <n v="205.7"/>
    <n v="117.11"/>
    <n v="169702.5"/>
    <n v="96615.75"/>
    <n v="73086.75"/>
  </r>
  <r>
    <x v="2"/>
    <s v="Turkmenistan"/>
    <s v="Cereal"/>
    <s v="Online"/>
    <s v="L"/>
    <d v="2011-11-06T00:00:00"/>
    <n v="647005736"/>
    <d v="2011-12-06T00:00:00"/>
    <n v="2230"/>
    <n v="205.7"/>
    <n v="117.11"/>
    <n v="458711"/>
    <n v="261155.3"/>
    <n v="197555.7"/>
  </r>
  <r>
    <x v="4"/>
    <s v="Solomon Islands"/>
    <s v="Beverages"/>
    <s v="Online"/>
    <s v="C"/>
    <s v="12/30/2012"/>
    <n v="889192903"/>
    <d v="2013-01-01T00:00:00"/>
    <n v="795"/>
    <n v="47.45"/>
    <n v="31.79"/>
    <n v="37722.75"/>
    <n v="25273.05"/>
    <n v="12449.7"/>
  </r>
  <r>
    <x v="2"/>
    <s v="Bhutan"/>
    <s v="Fruits"/>
    <s v="Online"/>
    <s v="L"/>
    <d v="2014-02-01T00:00:00"/>
    <n v="665518558"/>
    <s v="2/14/2014"/>
    <n v="585"/>
    <n v="9.33"/>
    <n v="6.92"/>
    <n v="5458.05"/>
    <n v="4048.2"/>
    <n v="1409.85"/>
  </r>
  <r>
    <x v="1"/>
    <s v="Spain"/>
    <s v="Meat"/>
    <s v="Offline"/>
    <s v="C"/>
    <s v="11/29/2011"/>
    <n v="436969029"/>
    <s v="12/17/2011"/>
    <n v="7701"/>
    <n v="421.89"/>
    <n v="364.69"/>
    <n v="3248974.89"/>
    <n v="2808477.69"/>
    <n v="440497.2"/>
  </r>
  <r>
    <x v="2"/>
    <s v="Taiwan"/>
    <s v="Cosmetics"/>
    <s v="Online"/>
    <s v="H"/>
    <d v="2016-01-08T00:00:00"/>
    <n v="734843146"/>
    <s v="8/17/2016"/>
    <n v="5272"/>
    <n v="437.2"/>
    <n v="263.33"/>
    <n v="2304918.4"/>
    <n v="1388275.76"/>
    <n v="916642.64"/>
  </r>
  <r>
    <x v="1"/>
    <s v="Moldova "/>
    <s v="Vegetables"/>
    <s v="Online"/>
    <s v="L"/>
    <s v="3/28/2016"/>
    <n v="810752236"/>
    <d v="2016-04-05T00:00:00"/>
    <n v="8458"/>
    <n v="154.06"/>
    <n v="90.93"/>
    <n v="1303039.48"/>
    <n v="769085.94"/>
    <n v="533953.54"/>
  </r>
  <r>
    <x v="1"/>
    <s v="Italy"/>
    <s v="Office Supplies"/>
    <s v="Offline"/>
    <s v="C"/>
    <d v="2011-08-07T00:00:00"/>
    <n v="886620128"/>
    <s v="7/25/2011"/>
    <n v="9453"/>
    <n v="651.21"/>
    <n v="524.96"/>
    <n v="6155888.1299999999"/>
    <n v="4962446.88"/>
    <n v="1193441.25"/>
  </r>
  <r>
    <x v="5"/>
    <s v="Mozambique"/>
    <s v="Meat"/>
    <s v="Online"/>
    <s v="M"/>
    <d v="2011-11-09T00:00:00"/>
    <n v="804683148"/>
    <s v="9/19/2011"/>
    <n v="2480"/>
    <n v="421.89"/>
    <n v="364.69"/>
    <n v="1046287.2"/>
    <n v="904431.2"/>
    <n v="141856"/>
  </r>
  <r>
    <x v="4"/>
    <s v="Solomon Islands"/>
    <s v="Household"/>
    <s v="Online"/>
    <s v="L"/>
    <d v="2015-02-10T00:00:00"/>
    <n v="477490127"/>
    <d v="2015-03-10T00:00:00"/>
    <n v="8794"/>
    <n v="668.27"/>
    <n v="502.54"/>
    <n v="5876766.3799999999"/>
    <n v="4419336.76"/>
    <n v="1457429.62"/>
  </r>
  <r>
    <x v="4"/>
    <s v="Tonga"/>
    <s v="Snacks"/>
    <s v="Online"/>
    <s v="H"/>
    <d v="2016-03-03T00:00:00"/>
    <n v="337902390"/>
    <s v="4/21/2016"/>
    <n v="1681"/>
    <n v="152.58000000000001"/>
    <n v="97.44"/>
    <n v="256486.98"/>
    <n v="163796.64000000001"/>
    <n v="92690.34"/>
  </r>
  <r>
    <x v="1"/>
    <s v="Finland"/>
    <s v="Cereal"/>
    <s v="Offline"/>
    <s v="M"/>
    <d v="2010-10-04T00:00:00"/>
    <n v="889093768"/>
    <s v="5/20/2010"/>
    <n v="1458"/>
    <n v="205.7"/>
    <n v="117.11"/>
    <n v="299910.59999999998"/>
    <n v="170746.38"/>
    <n v="129164.22"/>
  </r>
  <r>
    <x v="1"/>
    <s v="Poland"/>
    <s v="Cereal"/>
    <s v="Online"/>
    <s v="C"/>
    <d v="2011-06-08T00:00:00"/>
    <n v="454550588"/>
    <d v="2011-06-09T00:00:00"/>
    <n v="475"/>
    <n v="205.7"/>
    <n v="117.11"/>
    <n v="97707.5"/>
    <n v="55627.25"/>
    <n v="42080.25"/>
  </r>
  <r>
    <x v="2"/>
    <s v="Turkmenistan"/>
    <s v="Clothes"/>
    <s v="Offline"/>
    <s v="H"/>
    <s v="10/24/2015"/>
    <n v="128071677"/>
    <d v="2015-07-11T00:00:00"/>
    <n v="8110"/>
    <n v="109.28"/>
    <n v="35.840000000000003"/>
    <n v="886260.8"/>
    <n v="290662.40000000002"/>
    <n v="595598.4"/>
  </r>
  <r>
    <x v="2"/>
    <s v="North Korea"/>
    <s v="Personal Care"/>
    <s v="Online"/>
    <s v="M"/>
    <s v="1/30/2012"/>
    <n v="623768365"/>
    <s v="3/16/2012"/>
    <n v="5776"/>
    <n v="81.73"/>
    <n v="56.67"/>
    <n v="472072.48"/>
    <n v="327325.92"/>
    <n v="144746.56"/>
  </r>
  <r>
    <x v="1"/>
    <s v="Austria"/>
    <s v="Office Supplies"/>
    <s v="Online"/>
    <s v="L"/>
    <s v="2/18/2017"/>
    <n v="926064479"/>
    <d v="2017-10-03T00:00:00"/>
    <n v="1913"/>
    <n v="651.21"/>
    <n v="524.96"/>
    <n v="1245764.73"/>
    <n v="1004248.48"/>
    <n v="241516.25"/>
  </r>
  <r>
    <x v="5"/>
    <s v="Mali"/>
    <s v="Personal Care"/>
    <s v="Online"/>
    <s v="H"/>
    <s v="11/28/2010"/>
    <n v="539696347"/>
    <d v="2011-11-01T00:00:00"/>
    <n v="6997"/>
    <n v="81.73"/>
    <n v="56.67"/>
    <n v="571864.81000000006"/>
    <n v="396519.99"/>
    <n v="175344.82"/>
  </r>
  <r>
    <x v="4"/>
    <s v="Samoa "/>
    <s v="Household"/>
    <s v="Offline"/>
    <s v="L"/>
    <s v="1/18/2016"/>
    <n v="839712798"/>
    <s v="1/31/2016"/>
    <n v="8532"/>
    <n v="668.27"/>
    <n v="502.54"/>
    <n v="5701679.6399999997"/>
    <n v="4287671.28"/>
    <n v="1414008.36"/>
  </r>
  <r>
    <x v="2"/>
    <s v="Indonesia"/>
    <s v="Beverages"/>
    <s v="Offline"/>
    <s v="C"/>
    <s v="10/31/2010"/>
    <n v="121475160"/>
    <d v="2010-08-12T00:00:00"/>
    <n v="6054"/>
    <n v="47.45"/>
    <n v="31.79"/>
    <n v="287262.3"/>
    <n v="192456.66"/>
    <n v="94805.64"/>
  </r>
  <r>
    <x v="0"/>
    <s v="Jamaica"/>
    <s v="Clothes"/>
    <s v="Online"/>
    <s v="H"/>
    <d v="2016-01-04T00:00:00"/>
    <n v="350657260"/>
    <s v="4/15/2016"/>
    <n v="6130"/>
    <n v="109.28"/>
    <n v="35.840000000000003"/>
    <n v="669886.4"/>
    <n v="219699.20000000001"/>
    <n v="450187.2"/>
  </r>
  <r>
    <x v="1"/>
    <s v="Andorra"/>
    <s v="Fruits"/>
    <s v="Offline"/>
    <s v="C"/>
    <s v="6/29/2016"/>
    <n v="413245427"/>
    <d v="2016-02-07T00:00:00"/>
    <n v="7360"/>
    <n v="9.33"/>
    <n v="6.92"/>
    <n v="68668.800000000003"/>
    <n v="50931.199999999997"/>
    <n v="17737.599999999999"/>
  </r>
  <r>
    <x v="5"/>
    <s v="Zimbabwe"/>
    <s v="Household"/>
    <s v="Offline"/>
    <s v="M"/>
    <d v="2015-03-10T00:00:00"/>
    <n v="165538489"/>
    <d v="2015-08-10T00:00:00"/>
    <n v="5372"/>
    <n v="668.27"/>
    <n v="502.54"/>
    <n v="3589946.44"/>
    <n v="2699644.88"/>
    <n v="890301.56"/>
  </r>
  <r>
    <x v="1"/>
    <s v="Finland"/>
    <s v="Beverages"/>
    <s v="Online"/>
    <s v="H"/>
    <s v="9/18/2011"/>
    <n v="884147775"/>
    <s v="10/19/2011"/>
    <n v="7829"/>
    <n v="47.45"/>
    <n v="31.79"/>
    <n v="371486.05"/>
    <n v="248883.91"/>
    <n v="122602.14"/>
  </r>
  <r>
    <x v="5"/>
    <s v="Guinea"/>
    <s v="Cosmetics"/>
    <s v="Online"/>
    <s v="C"/>
    <s v="6/24/2014"/>
    <n v="315997111"/>
    <s v="7/25/2014"/>
    <n v="9422"/>
    <n v="437.2"/>
    <n v="263.33"/>
    <n v="4119298.4"/>
    <n v="2481095.2599999998"/>
    <n v="1638203.14"/>
  </r>
  <r>
    <x v="1"/>
    <s v="Andorra"/>
    <s v="Cosmetics"/>
    <s v="Online"/>
    <s v="C"/>
    <s v="6/30/2012"/>
    <n v="328322827"/>
    <s v="7/19/2012"/>
    <n v="6876"/>
    <n v="437.2"/>
    <n v="263.33"/>
    <n v="3006187.2"/>
    <n v="1810657.08"/>
    <n v="1195530.1200000001"/>
  </r>
  <r>
    <x v="1"/>
    <s v="Germany"/>
    <s v="Snacks"/>
    <s v="Online"/>
    <s v="H"/>
    <s v="3/22/2014"/>
    <n v="158673751"/>
    <d v="2014-10-05T00:00:00"/>
    <n v="3944"/>
    <n v="152.58000000000001"/>
    <n v="97.44"/>
    <n v="601775.52"/>
    <n v="384303.35999999999"/>
    <n v="217472.16"/>
  </r>
  <r>
    <x v="1"/>
    <s v="Italy"/>
    <s v="Snacks"/>
    <s v="Offline"/>
    <s v="L"/>
    <d v="2014-07-01T00:00:00"/>
    <n v="464911210"/>
    <d v="2014-10-02T00:00:00"/>
    <n v="6413"/>
    <n v="152.58000000000001"/>
    <n v="97.44"/>
    <n v="978495.54"/>
    <n v="624882.72"/>
    <n v="353612.82"/>
  </r>
  <r>
    <x v="2"/>
    <s v="Taiwan"/>
    <s v="Baby Food"/>
    <s v="Online"/>
    <s v="L"/>
    <d v="2011-10-02T00:00:00"/>
    <n v="175209033"/>
    <d v="2011-10-03T00:00:00"/>
    <n v="7101"/>
    <n v="255.28"/>
    <n v="159.41999999999999"/>
    <n v="1812743.28"/>
    <n v="1132041.42"/>
    <n v="680701.86"/>
  </r>
  <r>
    <x v="3"/>
    <s v="Morocco"/>
    <s v="Household"/>
    <s v="Online"/>
    <s v="L"/>
    <d v="2013-09-05T00:00:00"/>
    <n v="538053548"/>
    <s v="6/27/2013"/>
    <n v="856"/>
    <n v="668.27"/>
    <n v="502.54"/>
    <n v="572039.12"/>
    <n v="430174.24"/>
    <n v="141864.88"/>
  </r>
  <r>
    <x v="5"/>
    <s v="Republic of the Congo"/>
    <s v="Personal Care"/>
    <s v="Online"/>
    <s v="H"/>
    <s v="9/26/2010"/>
    <n v="172243583"/>
    <s v="9/27/2010"/>
    <n v="9559"/>
    <n v="81.73"/>
    <n v="56.67"/>
    <n v="781257.07"/>
    <n v="541708.53"/>
    <n v="239548.54"/>
  </r>
  <r>
    <x v="0"/>
    <s v="The Bahamas"/>
    <s v="Baby Food"/>
    <s v="Offline"/>
    <s v="H"/>
    <s v="1/13/2017"/>
    <n v="916890466"/>
    <s v="1/16/2017"/>
    <n v="7119"/>
    <n v="255.28"/>
    <n v="159.41999999999999"/>
    <n v="1817338.32"/>
    <n v="1134910.98"/>
    <n v="682427.34"/>
  </r>
  <r>
    <x v="2"/>
    <s v="Maldives"/>
    <s v="Office Supplies"/>
    <s v="Online"/>
    <s v="M"/>
    <d v="2013-04-01T00:00:00"/>
    <n v="181418025"/>
    <s v="1/17/2013"/>
    <n v="4480"/>
    <n v="651.21"/>
    <n v="524.96"/>
    <n v="2917420.8"/>
    <n v="2351820.7999999998"/>
    <n v="565600"/>
  </r>
  <r>
    <x v="1"/>
    <s v="Serbia"/>
    <s v="Beverages"/>
    <s v="Online"/>
    <s v="C"/>
    <d v="2010-12-10T00:00:00"/>
    <n v="395562589"/>
    <d v="2010-01-12T00:00:00"/>
    <n v="4615"/>
    <n v="47.45"/>
    <n v="31.79"/>
    <n v="218981.75"/>
    <n v="146710.85"/>
    <n v="72270.899999999994"/>
  </r>
  <r>
    <x v="1"/>
    <s v="Italy"/>
    <s v="Baby Food"/>
    <s v="Offline"/>
    <s v="H"/>
    <d v="2012-01-03T00:00:00"/>
    <n v="459372985"/>
    <s v="3/22/2012"/>
    <n v="7529"/>
    <n v="255.28"/>
    <n v="159.41999999999999"/>
    <n v="1922003.12"/>
    <n v="1200273.18"/>
    <n v="721729.94"/>
  </r>
  <r>
    <x v="1"/>
    <s v="Armenia"/>
    <s v="Meat"/>
    <s v="Online"/>
    <s v="L"/>
    <s v="6/25/2012"/>
    <n v="693210542"/>
    <s v="8/13/2012"/>
    <n v="5259"/>
    <n v="421.89"/>
    <n v="364.69"/>
    <n v="2218719.5099999998"/>
    <n v="1917904.71"/>
    <n v="300814.8"/>
  </r>
  <r>
    <x v="2"/>
    <s v="Kyrgyzstan"/>
    <s v="Personal Care"/>
    <s v="Offline"/>
    <s v="L"/>
    <s v="11/24/2011"/>
    <n v="587749087"/>
    <d v="2012-07-01T00:00:00"/>
    <n v="6871"/>
    <n v="81.73"/>
    <n v="56.67"/>
    <n v="561566.82999999996"/>
    <n v="389379.57"/>
    <n v="172187.26"/>
  </r>
  <r>
    <x v="1"/>
    <s v="Sweden"/>
    <s v="Fruits"/>
    <s v="Offline"/>
    <s v="L"/>
    <s v="8/22/2011"/>
    <n v="153974950"/>
    <s v="9/20/2011"/>
    <n v="3464"/>
    <n v="9.33"/>
    <n v="6.92"/>
    <n v="32319.119999999999"/>
    <n v="23970.880000000001"/>
    <n v="8348.24"/>
  </r>
  <r>
    <x v="5"/>
    <s v="Kenya"/>
    <s v="Vegetables"/>
    <s v="Online"/>
    <s v="L"/>
    <s v="3/23/2010"/>
    <n v="373186957"/>
    <d v="2010-07-04T00:00:00"/>
    <n v="3169"/>
    <n v="154.06"/>
    <n v="90.93"/>
    <n v="488216.14"/>
    <n v="288157.17"/>
    <n v="200058.97"/>
  </r>
  <r>
    <x v="4"/>
    <s v="Federated States of Micronesia"/>
    <s v="Personal Care"/>
    <s v="Offline"/>
    <s v="M"/>
    <s v="10/17/2014"/>
    <n v="946996438"/>
    <s v="11/13/2014"/>
    <n v="6145"/>
    <n v="81.73"/>
    <n v="56.67"/>
    <n v="502230.85"/>
    <n v="348237.15"/>
    <n v="153993.70000000001"/>
  </r>
  <r>
    <x v="1"/>
    <s v="Romania"/>
    <s v="Snacks"/>
    <s v="Online"/>
    <s v="H"/>
    <s v="8/18/2014"/>
    <n v="747327220"/>
    <s v="9/15/2014"/>
    <n v="9587"/>
    <n v="152.58000000000001"/>
    <n v="97.44"/>
    <n v="1462784.46"/>
    <n v="934157.28"/>
    <n v="528627.18000000005"/>
  </r>
  <r>
    <x v="5"/>
    <s v="Botswana"/>
    <s v="Household"/>
    <s v="Offline"/>
    <s v="H"/>
    <s v="3/23/2015"/>
    <n v="966415631"/>
    <d v="2015-07-05T00:00:00"/>
    <n v="2716"/>
    <n v="668.27"/>
    <n v="502.54"/>
    <n v="1815021.32"/>
    <n v="1364898.64"/>
    <n v="450122.68"/>
  </r>
  <r>
    <x v="1"/>
    <s v="Bosnia and Herzegovina"/>
    <s v="Clothes"/>
    <s v="Online"/>
    <s v="M"/>
    <d v="2011-10-10T00:00:00"/>
    <n v="166810500"/>
    <s v="11/21/2011"/>
    <n v="1789"/>
    <n v="109.28"/>
    <n v="35.840000000000003"/>
    <n v="195501.92"/>
    <n v="64117.760000000002"/>
    <n v="131384.16"/>
  </r>
  <r>
    <x v="4"/>
    <s v="Samoa "/>
    <s v="Meat"/>
    <s v="Offline"/>
    <s v="H"/>
    <d v="2015-08-09T00:00:00"/>
    <n v="131373155"/>
    <s v="10/24/2015"/>
    <n v="5091"/>
    <n v="421.89"/>
    <n v="364.69"/>
    <n v="2147841.9900000002"/>
    <n v="1856636.79"/>
    <n v="291205.2"/>
  </r>
  <r>
    <x v="5"/>
    <s v="Comoros"/>
    <s v="Vegetables"/>
    <s v="Online"/>
    <s v="L"/>
    <d v="2012-04-12T00:00:00"/>
    <n v="913277423"/>
    <s v="12/28/2012"/>
    <n v="7939"/>
    <n v="154.06"/>
    <n v="90.93"/>
    <n v="1223082.3400000001"/>
    <n v="721893.27"/>
    <n v="501189.07"/>
  </r>
  <r>
    <x v="1"/>
    <s v="Lithuania"/>
    <s v="Personal Care"/>
    <s v="Offline"/>
    <s v="M"/>
    <s v="3/31/2013"/>
    <n v="386009633"/>
    <d v="2013-05-04T00:00:00"/>
    <n v="7683"/>
    <n v="81.73"/>
    <n v="56.67"/>
    <n v="627931.59"/>
    <n v="435395.61"/>
    <n v="192535.98"/>
  </r>
  <r>
    <x v="1"/>
    <s v="Germany"/>
    <s v="Personal Care"/>
    <s v="Offline"/>
    <s v="H"/>
    <d v="2016-08-02T00:00:00"/>
    <n v="993368613"/>
    <s v="2/16/2016"/>
    <n v="8702"/>
    <n v="81.73"/>
    <n v="56.67"/>
    <n v="711214.46"/>
    <n v="493142.34"/>
    <n v="218072.12"/>
  </r>
  <r>
    <x v="5"/>
    <s v="Ghana"/>
    <s v="Office Supplies"/>
    <s v="Offline"/>
    <s v="H"/>
    <s v="6/13/2014"/>
    <n v="299465692"/>
    <s v="6/26/2014"/>
    <n v="7408"/>
    <n v="651.21"/>
    <n v="524.96"/>
    <n v="4824163.68"/>
    <n v="3888903.68"/>
    <n v="935260"/>
  </r>
  <r>
    <x v="3"/>
    <s v="Israel"/>
    <s v="Vegetables"/>
    <s v="Offline"/>
    <s v="L"/>
    <s v="8/26/2013"/>
    <n v="438724696"/>
    <d v="2013-05-10T00:00:00"/>
    <n v="7242"/>
    <n v="154.06"/>
    <n v="90.93"/>
    <n v="1115702.52"/>
    <n v="658515.06000000006"/>
    <n v="457187.46"/>
  </r>
  <r>
    <x v="2"/>
    <s v="Philippines"/>
    <s v="Cosmetics"/>
    <s v="Offline"/>
    <s v="H"/>
    <s v="7/29/2012"/>
    <n v="465881955"/>
    <s v="8/17/2012"/>
    <n v="3678"/>
    <n v="437.2"/>
    <n v="263.33"/>
    <n v="1608021.6"/>
    <n v="968527.74"/>
    <n v="639493.86"/>
  </r>
  <r>
    <x v="1"/>
    <s v="Germany"/>
    <s v="Baby Food"/>
    <s v="Online"/>
    <s v="L"/>
    <d v="2014-09-12T00:00:00"/>
    <n v="405986297"/>
    <d v="2015-02-01T00:00:00"/>
    <n v="9222"/>
    <n v="255.28"/>
    <n v="159.41999999999999"/>
    <n v="2354192.16"/>
    <n v="1470171.24"/>
    <n v="884020.92"/>
  </r>
  <r>
    <x v="5"/>
    <s v="Republic of the Congo"/>
    <s v="Household"/>
    <s v="Online"/>
    <s v="M"/>
    <s v="5/17/2010"/>
    <n v="804399049"/>
    <s v="6/23/2010"/>
    <n v="8409"/>
    <n v="668.27"/>
    <n v="502.54"/>
    <n v="5619482.4299999997"/>
    <n v="4225858.8600000003"/>
    <n v="1393623.57"/>
  </r>
  <r>
    <x v="1"/>
    <s v="Bulgaria"/>
    <s v="Beverages"/>
    <s v="Online"/>
    <s v="H"/>
    <d v="2016-04-02T00:00:00"/>
    <n v="476794040"/>
    <d v="2016-07-03T00:00:00"/>
    <n v="2807"/>
    <n v="47.45"/>
    <n v="31.79"/>
    <n v="133192.15"/>
    <n v="89234.53"/>
    <n v="43957.62"/>
  </r>
  <r>
    <x v="3"/>
    <s v="Egypt"/>
    <s v="Personal Care"/>
    <s v="Offline"/>
    <s v="L"/>
    <s v="6/30/2012"/>
    <n v="559157598"/>
    <d v="2012-12-08T00:00:00"/>
    <n v="6014"/>
    <n v="81.73"/>
    <n v="56.67"/>
    <n v="491524.22"/>
    <n v="340813.38"/>
    <n v="150710.84"/>
  </r>
  <r>
    <x v="5"/>
    <s v="Comoros"/>
    <s v="Cosmetics"/>
    <s v="Online"/>
    <s v="H"/>
    <s v="2/18/2015"/>
    <n v="457788550"/>
    <d v="2015-04-04T00:00:00"/>
    <n v="8660"/>
    <n v="437.2"/>
    <n v="263.33"/>
    <n v="3786152"/>
    <n v="2280437.7999999998"/>
    <n v="1505714.2"/>
  </r>
  <r>
    <x v="3"/>
    <s v="Tunisia "/>
    <s v="Vegetables"/>
    <s v="Online"/>
    <s v="L"/>
    <s v="4/30/2010"/>
    <n v="999298226"/>
    <s v="5/25/2010"/>
    <n v="3407"/>
    <n v="154.06"/>
    <n v="90.93"/>
    <n v="524882.42000000004"/>
    <n v="309798.51"/>
    <n v="215083.91"/>
  </r>
  <r>
    <x v="1"/>
    <s v="Serbia"/>
    <s v="Meat"/>
    <s v="Offline"/>
    <s v="C"/>
    <s v="12/21/2011"/>
    <n v="380610454"/>
    <s v="12/29/2011"/>
    <n v="9946"/>
    <n v="421.89"/>
    <n v="364.69"/>
    <n v="4196117.9400000004"/>
    <n v="3627206.74"/>
    <n v="568911.19999999995"/>
  </r>
  <r>
    <x v="2"/>
    <s v="Brunei"/>
    <s v="Baby Food"/>
    <s v="Online"/>
    <s v="C"/>
    <s v="4/19/2012"/>
    <n v="918961560"/>
    <s v="5/24/2012"/>
    <n v="2"/>
    <n v="255.28"/>
    <n v="159.41999999999999"/>
    <n v="510.56"/>
    <n v="318.83999999999997"/>
    <n v="191.72"/>
  </r>
  <r>
    <x v="5"/>
    <s v="Mauritania"/>
    <s v="Office Supplies"/>
    <s v="Online"/>
    <s v="H"/>
    <s v="12/25/2015"/>
    <n v="501900374"/>
    <s v="1/24/2016"/>
    <n v="2329"/>
    <n v="651.21"/>
    <n v="524.96"/>
    <n v="1516668.09"/>
    <n v="1222631.8400000001"/>
    <n v="294036.25"/>
  </r>
  <r>
    <x v="5"/>
    <s v="The Gambia"/>
    <s v="Household"/>
    <s v="Online"/>
    <s v="M"/>
    <d v="2013-05-08T00:00:00"/>
    <n v="237288224"/>
    <d v="2013-09-09T00:00:00"/>
    <n v="7713"/>
    <n v="668.27"/>
    <n v="502.54"/>
    <n v="5154366.51"/>
    <n v="3876091.02"/>
    <n v="1278275.49"/>
  </r>
  <r>
    <x v="2"/>
    <s v="Taiwan"/>
    <s v="Cosmetics"/>
    <s v="Online"/>
    <s v="C"/>
    <s v="9/19/2015"/>
    <n v="403298938"/>
    <s v="10/17/2015"/>
    <n v="3973"/>
    <n v="437.2"/>
    <n v="263.33"/>
    <n v="1736995.6"/>
    <n v="1046210.09"/>
    <n v="690785.51"/>
  </r>
  <r>
    <x v="2"/>
    <s v="Japan"/>
    <s v="Snacks"/>
    <s v="Offline"/>
    <s v="H"/>
    <d v="2011-12-04T00:00:00"/>
    <n v="898418843"/>
    <s v="4/14/2011"/>
    <n v="955"/>
    <n v="152.58000000000001"/>
    <n v="97.44"/>
    <n v="145713.9"/>
    <n v="93055.2"/>
    <n v="52658.7"/>
  </r>
  <r>
    <x v="2"/>
    <s v="Malaysia"/>
    <s v="Snacks"/>
    <s v="Offline"/>
    <s v="L"/>
    <d v="2016-08-10T00:00:00"/>
    <n v="791446769"/>
    <s v="11/13/2016"/>
    <n v="5541"/>
    <n v="152.58000000000001"/>
    <n v="97.44"/>
    <n v="845445.78"/>
    <n v="539915.04"/>
    <n v="305530.74"/>
  </r>
  <r>
    <x v="0"/>
    <s v="Trinidad and Tobago"/>
    <s v="Beverages"/>
    <s v="Offline"/>
    <s v="M"/>
    <s v="11/22/2011"/>
    <n v="571494042"/>
    <s v="12/16/2011"/>
    <n v="6642"/>
    <n v="47.45"/>
    <n v="31.79"/>
    <n v="315162.90000000002"/>
    <n v="211149.18"/>
    <n v="104013.72"/>
  </r>
  <r>
    <x v="0"/>
    <s v="Haiti"/>
    <s v="Cosmetics"/>
    <s v="Offline"/>
    <s v="M"/>
    <s v="6/25/2011"/>
    <n v="797984492"/>
    <s v="8/13/2011"/>
    <n v="199"/>
    <n v="437.2"/>
    <n v="263.33"/>
    <n v="87002.8"/>
    <n v="52402.67"/>
    <n v="34600.129999999997"/>
  </r>
  <r>
    <x v="0"/>
    <s v="Trinidad and Tobago"/>
    <s v="Cosmetics"/>
    <s v="Offline"/>
    <s v="C"/>
    <s v="4/16/2016"/>
    <n v="750654447"/>
    <s v="4/19/2016"/>
    <n v="4187"/>
    <n v="437.2"/>
    <n v="263.33"/>
    <n v="1830556.4"/>
    <n v="1102562.71"/>
    <n v="727993.69"/>
  </r>
  <r>
    <x v="5"/>
    <s v="Uganda"/>
    <s v="Clothes"/>
    <s v="Offline"/>
    <s v="L"/>
    <s v="10/17/2016"/>
    <n v="679552733"/>
    <d v="2016-08-11T00:00:00"/>
    <n v="3610"/>
    <n v="109.28"/>
    <n v="35.840000000000003"/>
    <n v="394500.8"/>
    <n v="129382.39999999999"/>
    <n v="265118.40000000002"/>
  </r>
  <r>
    <x v="1"/>
    <s v="France"/>
    <s v="Vegetables"/>
    <s v="Offline"/>
    <s v="L"/>
    <d v="2012-01-02T00:00:00"/>
    <n v="455040681"/>
    <d v="2012-02-02T00:00:00"/>
    <n v="5504"/>
    <n v="154.06"/>
    <n v="90.93"/>
    <n v="847946.23999999999"/>
    <n v="500478.71999999997"/>
    <n v="347467.52000000002"/>
  </r>
  <r>
    <x v="1"/>
    <s v="Iceland"/>
    <s v="Clothes"/>
    <s v="Online"/>
    <s v="M"/>
    <d v="2013-10-09T00:00:00"/>
    <n v="917792117"/>
    <d v="2013-07-10T00:00:00"/>
    <n v="3938"/>
    <n v="109.28"/>
    <n v="35.840000000000003"/>
    <n v="430344.64"/>
    <n v="141137.92000000001"/>
    <n v="289206.71999999997"/>
  </r>
  <r>
    <x v="1"/>
    <s v="Albania"/>
    <s v="Cosmetics"/>
    <s v="Offline"/>
    <s v="L"/>
    <s v="6/27/2011"/>
    <n v="728793370"/>
    <d v="2011-12-08T00:00:00"/>
    <n v="5009"/>
    <n v="437.2"/>
    <n v="263.33"/>
    <n v="2189934.7999999998"/>
    <n v="1319019.97"/>
    <n v="870914.83"/>
  </r>
  <r>
    <x v="5"/>
    <s v="Chad"/>
    <s v="Fruits"/>
    <s v="Offline"/>
    <s v="C"/>
    <d v="2015-04-05T00:00:00"/>
    <n v="419343268"/>
    <s v="6/19/2015"/>
    <n v="1847"/>
    <n v="9.33"/>
    <n v="6.92"/>
    <n v="17232.509999999998"/>
    <n v="12781.24"/>
    <n v="4451.2700000000004"/>
  </r>
  <r>
    <x v="3"/>
    <s v="Somalia"/>
    <s v="Cereal"/>
    <s v="Online"/>
    <s v="M"/>
    <s v="6/18/2013"/>
    <n v="141053140"/>
    <s v="7/13/2013"/>
    <n v="9613"/>
    <n v="205.7"/>
    <n v="117.11"/>
    <n v="1977394.1"/>
    <n v="1125778.43"/>
    <n v="851615.67"/>
  </r>
  <r>
    <x v="5"/>
    <s v="Mauritius "/>
    <s v="Cereal"/>
    <s v="Online"/>
    <s v="C"/>
    <s v="1/27/2014"/>
    <n v="115846812"/>
    <s v="2/18/2014"/>
    <n v="501"/>
    <n v="205.7"/>
    <n v="117.11"/>
    <n v="103055.7"/>
    <n v="58672.11"/>
    <n v="44383.59"/>
  </r>
  <r>
    <x v="1"/>
    <s v="Austria"/>
    <s v="Fruits"/>
    <s v="Offline"/>
    <s v="M"/>
    <s v="4/20/2011"/>
    <n v="185960614"/>
    <s v="5/28/2011"/>
    <n v="8733"/>
    <n v="9.33"/>
    <n v="6.92"/>
    <n v="81478.89"/>
    <n v="60432.36"/>
    <n v="21046.53"/>
  </r>
  <r>
    <x v="5"/>
    <s v="Swaziland"/>
    <s v="Household"/>
    <s v="Offline"/>
    <s v="C"/>
    <d v="2011-12-09T00:00:00"/>
    <n v="263943374"/>
    <s v="9/25/2011"/>
    <n v="5565"/>
    <n v="668.27"/>
    <n v="502.54"/>
    <n v="3718922.55"/>
    <n v="2796635.1"/>
    <n v="922287.45"/>
  </r>
  <r>
    <x v="5"/>
    <s v="Djibouti"/>
    <s v="Office Supplies"/>
    <s v="Offline"/>
    <s v="M"/>
    <s v="4/26/2015"/>
    <n v="782656419"/>
    <s v="4/26/2015"/>
    <n v="4282"/>
    <n v="651.21"/>
    <n v="524.96"/>
    <n v="2788481.22"/>
    <n v="2247878.7200000002"/>
    <n v="540602.5"/>
  </r>
  <r>
    <x v="1"/>
    <s v="Finland"/>
    <s v="Office Supplies"/>
    <s v="Offline"/>
    <s v="H"/>
    <s v="11/29/2011"/>
    <n v="445273578"/>
    <d v="2012-09-01T00:00:00"/>
    <n v="5201"/>
    <n v="651.21"/>
    <n v="524.96"/>
    <n v="3386943.21"/>
    <n v="2730316.96"/>
    <n v="656626.25"/>
  </r>
  <r>
    <x v="2"/>
    <s v="Taiwan"/>
    <s v="Office Supplies"/>
    <s v="Online"/>
    <s v="C"/>
    <d v="2015-07-01T00:00:00"/>
    <n v="275281178"/>
    <s v="2/14/2015"/>
    <n v="673"/>
    <n v="651.21"/>
    <n v="524.96"/>
    <n v="438264.33"/>
    <n v="353298.08"/>
    <n v="84966.25"/>
  </r>
  <r>
    <x v="5"/>
    <s v="Senegal"/>
    <s v="Fruits"/>
    <s v="Online"/>
    <s v="M"/>
    <s v="9/24/2012"/>
    <n v="466478049"/>
    <s v="10/29/2012"/>
    <n v="76"/>
    <n v="9.33"/>
    <n v="6.92"/>
    <n v="709.08"/>
    <n v="525.91999999999996"/>
    <n v="183.16"/>
  </r>
  <r>
    <x v="3"/>
    <s v="Somalia"/>
    <s v="Meat"/>
    <s v="Offline"/>
    <s v="H"/>
    <d v="2016-08-12T00:00:00"/>
    <n v="832975518"/>
    <s v="1/15/2017"/>
    <n v="4821"/>
    <n v="421.89"/>
    <n v="364.69"/>
    <n v="2033931.69"/>
    <n v="1758170.49"/>
    <n v="275761.2"/>
  </r>
  <r>
    <x v="1"/>
    <s v="Georgia"/>
    <s v="Baby Food"/>
    <s v="Online"/>
    <s v="L"/>
    <s v="1/26/2014"/>
    <n v="359197413"/>
    <d v="2014-08-03T00:00:00"/>
    <n v="3352"/>
    <n v="255.28"/>
    <n v="159.41999999999999"/>
    <n v="855698.56"/>
    <n v="534375.84"/>
    <n v="321322.71999999997"/>
  </r>
  <r>
    <x v="3"/>
    <s v="Azerbaijan"/>
    <s v="Baby Food"/>
    <s v="Online"/>
    <s v="M"/>
    <d v="2014-11-05T00:00:00"/>
    <n v="349880063"/>
    <d v="2014-12-05T00:00:00"/>
    <n v="6141"/>
    <n v="255.28"/>
    <n v="159.41999999999999"/>
    <n v="1567674.48"/>
    <n v="978998.22"/>
    <n v="588676.26"/>
  </r>
  <r>
    <x v="2"/>
    <s v="Brunei"/>
    <s v="Cosmetics"/>
    <s v="Online"/>
    <s v="M"/>
    <s v="2/27/2010"/>
    <n v="380072295"/>
    <s v="3/15/2010"/>
    <n v="693"/>
    <n v="437.2"/>
    <n v="263.33"/>
    <n v="302979.59999999998"/>
    <n v="182487.69"/>
    <n v="120491.91"/>
  </r>
  <r>
    <x v="3"/>
    <s v="Egypt"/>
    <s v="Household"/>
    <s v="Online"/>
    <s v="C"/>
    <s v="1/14/2010"/>
    <n v="545135438"/>
    <s v="2/27/2010"/>
    <n v="6545"/>
    <n v="668.27"/>
    <n v="502.54"/>
    <n v="4373827.1500000004"/>
    <n v="3289124.3"/>
    <n v="1084702.8500000001"/>
  </r>
  <r>
    <x v="3"/>
    <s v="United Arab Emirates"/>
    <s v="Baby Food"/>
    <s v="Offline"/>
    <s v="C"/>
    <d v="2012-08-04T00:00:00"/>
    <n v="110743319"/>
    <d v="2012-09-05T00:00:00"/>
    <n v="264"/>
    <n v="255.28"/>
    <n v="159.41999999999999"/>
    <n v="67393.919999999998"/>
    <n v="42086.879999999997"/>
    <n v="25307.040000000001"/>
  </r>
  <r>
    <x v="5"/>
    <s v="Mauritius "/>
    <s v="Cosmetics"/>
    <s v="Offline"/>
    <s v="C"/>
    <d v="2016-09-03T00:00:00"/>
    <n v="662882268"/>
    <s v="4/17/2016"/>
    <n v="449"/>
    <n v="437.2"/>
    <n v="263.33"/>
    <n v="196302.8"/>
    <n v="118235.17"/>
    <n v="78067.63"/>
  </r>
  <r>
    <x v="5"/>
    <s v="Guinea"/>
    <s v="Meat"/>
    <s v="Offline"/>
    <s v="C"/>
    <d v="2010-04-11T00:00:00"/>
    <n v="257851111"/>
    <s v="11/20/2010"/>
    <n v="2729"/>
    <n v="421.89"/>
    <n v="364.69"/>
    <n v="1151337.81"/>
    <n v="995239.01"/>
    <n v="156098.79999999999"/>
  </r>
  <r>
    <x v="5"/>
    <s v="Zimbabwe"/>
    <s v="Baby Food"/>
    <s v="Offline"/>
    <s v="M"/>
    <s v="8/18/2016"/>
    <n v="172261178"/>
    <s v="9/13/2016"/>
    <n v="4765"/>
    <n v="255.28"/>
    <n v="159.41999999999999"/>
    <n v="1216409.2"/>
    <n v="759636.3"/>
    <n v="456772.9"/>
  </r>
  <r>
    <x v="1"/>
    <s v="Romania"/>
    <s v="Personal Care"/>
    <s v="Offline"/>
    <s v="L"/>
    <s v="5/14/2013"/>
    <n v="853036296"/>
    <d v="2013-01-06T00:00:00"/>
    <n v="1251"/>
    <n v="81.73"/>
    <n v="56.67"/>
    <n v="102244.23"/>
    <n v="70894.17"/>
    <n v="31350.06"/>
  </r>
  <r>
    <x v="1"/>
    <s v="Switzerland"/>
    <s v="Fruits"/>
    <s v="Offline"/>
    <s v="M"/>
    <s v="3/21/2012"/>
    <n v="567412793"/>
    <s v="3/27/2012"/>
    <n v="8910"/>
    <n v="9.33"/>
    <n v="6.92"/>
    <n v="83130.3"/>
    <n v="61657.2"/>
    <n v="21473.1"/>
  </r>
  <r>
    <x v="6"/>
    <s v="Canada"/>
    <s v="Clothes"/>
    <s v="Offline"/>
    <s v="H"/>
    <s v="1/26/2014"/>
    <n v="352939498"/>
    <d v="2014-10-03T00:00:00"/>
    <n v="1495"/>
    <n v="109.28"/>
    <n v="35.840000000000003"/>
    <n v="163373.6"/>
    <n v="53580.800000000003"/>
    <n v="109792.8"/>
  </r>
  <r>
    <x v="5"/>
    <s v="Togo"/>
    <s v="Clothes"/>
    <s v="Online"/>
    <s v="M"/>
    <s v="4/14/2013"/>
    <n v="867477738"/>
    <s v="5/27/2013"/>
    <n v="4795"/>
    <n v="109.28"/>
    <n v="35.840000000000003"/>
    <n v="523997.6"/>
    <n v="171852.79999999999"/>
    <n v="352144.8"/>
  </r>
  <r>
    <x v="1"/>
    <s v="Ireland"/>
    <s v="Cosmetics"/>
    <s v="Offline"/>
    <s v="H"/>
    <s v="8/27/2016"/>
    <n v="139201343"/>
    <d v="2016-06-09T00:00:00"/>
    <n v="1625"/>
    <n v="437.2"/>
    <n v="263.33"/>
    <n v="710450"/>
    <n v="427911.25"/>
    <n v="282538.75"/>
  </r>
  <r>
    <x v="0"/>
    <s v="Panama"/>
    <s v="Fruits"/>
    <s v="Offline"/>
    <s v="C"/>
    <s v="11/22/2016"/>
    <n v="316596639"/>
    <d v="2016-04-12T00:00:00"/>
    <n v="6836"/>
    <n v="9.33"/>
    <n v="6.92"/>
    <n v="63779.88"/>
    <n v="47305.120000000003"/>
    <n v="16474.759999999998"/>
  </r>
  <r>
    <x v="5"/>
    <s v="Central African Republic"/>
    <s v="Beverages"/>
    <s v="Online"/>
    <s v="H"/>
    <s v="7/25/2011"/>
    <n v="918462455"/>
    <s v="7/28/2011"/>
    <n v="2305"/>
    <n v="47.45"/>
    <n v="31.79"/>
    <n v="109372.25"/>
    <n v="73275.95"/>
    <n v="36096.300000000003"/>
  </r>
  <r>
    <x v="1"/>
    <s v="Ukraine"/>
    <s v="Cosmetics"/>
    <s v="Online"/>
    <s v="C"/>
    <d v="2014-09-06T00:00:00"/>
    <n v="183910119"/>
    <d v="2014-11-06T00:00:00"/>
    <n v="1946"/>
    <n v="437.2"/>
    <n v="263.33"/>
    <n v="850791.2"/>
    <n v="512440.18"/>
    <n v="338351.02"/>
  </r>
  <r>
    <x v="1"/>
    <s v="Luxembourg"/>
    <s v="Clothes"/>
    <s v="Online"/>
    <s v="H"/>
    <d v="2013-07-11T00:00:00"/>
    <n v="922363460"/>
    <s v="11/23/2013"/>
    <n v="6700"/>
    <n v="109.28"/>
    <n v="35.840000000000003"/>
    <n v="732176"/>
    <n v="240128"/>
    <n v="492048"/>
  </r>
  <r>
    <x v="0"/>
    <s v="El Salvador"/>
    <s v="Household"/>
    <s v="Online"/>
    <s v="M"/>
    <d v="2014-08-05T00:00:00"/>
    <n v="163558804"/>
    <s v="5/22/2014"/>
    <n v="9540"/>
    <n v="668.27"/>
    <n v="502.54"/>
    <n v="6375295.7999999998"/>
    <n v="4794231.5999999996"/>
    <n v="1581064.2"/>
  </r>
  <r>
    <x v="5"/>
    <s v="Cameroon"/>
    <s v="Fruits"/>
    <s v="Offline"/>
    <s v="L"/>
    <d v="2010-07-03T00:00:00"/>
    <n v="407544982"/>
    <d v="2010-12-03T00:00:00"/>
    <n v="472"/>
    <n v="9.33"/>
    <n v="6.92"/>
    <n v="4403.76"/>
    <n v="3266.24"/>
    <n v="1137.52"/>
  </r>
  <r>
    <x v="3"/>
    <s v="Iraq"/>
    <s v="Meat"/>
    <s v="Online"/>
    <s v="H"/>
    <s v="10/22/2011"/>
    <n v="174683320"/>
    <d v="2011-03-11T00:00:00"/>
    <n v="1531"/>
    <n v="421.89"/>
    <n v="364.69"/>
    <n v="645913.59"/>
    <n v="558340.39"/>
    <n v="87573.2"/>
  </r>
  <r>
    <x v="4"/>
    <s v="New Zealand"/>
    <s v="Household"/>
    <s v="Offline"/>
    <s v="H"/>
    <s v="10/27/2011"/>
    <n v="755647647"/>
    <d v="2011-09-12T00:00:00"/>
    <n v="1786"/>
    <n v="668.27"/>
    <n v="502.54"/>
    <n v="1193530.22"/>
    <n v="897536.44"/>
    <n v="295993.78000000003"/>
  </r>
  <r>
    <x v="5"/>
    <s v="Mali"/>
    <s v="Meat"/>
    <s v="Online"/>
    <s v="H"/>
    <s v="6/15/2011"/>
    <n v="361424291"/>
    <d v="2011-05-07T00:00:00"/>
    <n v="2334"/>
    <n v="421.89"/>
    <n v="364.69"/>
    <n v="984691.26"/>
    <n v="851186.46"/>
    <n v="133504.79999999999"/>
  </r>
  <r>
    <x v="5"/>
    <s v="Togo"/>
    <s v="Baby Food"/>
    <s v="Online"/>
    <s v="H"/>
    <s v="10/14/2016"/>
    <n v="873312079"/>
    <s v="10/22/2016"/>
    <n v="1306"/>
    <n v="255.28"/>
    <n v="159.41999999999999"/>
    <n v="333395.68"/>
    <n v="208202.52"/>
    <n v="125193.16"/>
  </r>
  <r>
    <x v="1"/>
    <s v="Austria"/>
    <s v="Beverages"/>
    <s v="Offline"/>
    <s v="C"/>
    <d v="2012-02-04T00:00:00"/>
    <n v="192922341"/>
    <d v="2012-01-05T00:00:00"/>
    <n v="8863"/>
    <n v="47.45"/>
    <n v="31.79"/>
    <n v="420549.35"/>
    <n v="281754.77"/>
    <n v="138794.57999999999"/>
  </r>
  <r>
    <x v="1"/>
    <s v="Monaco"/>
    <s v="Cereal"/>
    <s v="Online"/>
    <s v="L"/>
    <d v="2017-03-06T00:00:00"/>
    <n v="792178905"/>
    <s v="7/21/2017"/>
    <n v="2197"/>
    <n v="205.7"/>
    <n v="117.11"/>
    <n v="451922.9"/>
    <n v="257290.67"/>
    <n v="194632.23"/>
  </r>
  <r>
    <x v="5"/>
    <s v="Botswana"/>
    <s v="Baby Food"/>
    <s v="Online"/>
    <s v="C"/>
    <s v="1/24/2015"/>
    <n v="263318097"/>
    <d v="2015-04-03T00:00:00"/>
    <n v="531"/>
    <n v="255.28"/>
    <n v="159.41999999999999"/>
    <n v="135553.68"/>
    <n v="84652.02"/>
    <n v="50901.66"/>
  </r>
  <r>
    <x v="5"/>
    <s v="Equatorial Guinea"/>
    <s v="Office Supplies"/>
    <s v="Online"/>
    <s v="H"/>
    <d v="2015-12-07T00:00:00"/>
    <n v="768888747"/>
    <s v="7/29/2015"/>
    <n v="122"/>
    <n v="651.21"/>
    <n v="524.96"/>
    <n v="79447.62"/>
    <n v="64045.120000000003"/>
    <n v="15402.5"/>
  </r>
  <r>
    <x v="3"/>
    <s v="Turkey"/>
    <s v="Household"/>
    <s v="Offline"/>
    <s v="H"/>
    <s v="1/25/2015"/>
    <n v="491752183"/>
    <d v="2015-06-02T00:00:00"/>
    <n v="9254"/>
    <n v="668.27"/>
    <n v="502.54"/>
    <n v="6184170.5800000001"/>
    <n v="4650505.16"/>
    <n v="1533665.42"/>
  </r>
  <r>
    <x v="3"/>
    <s v="Somalia"/>
    <s v="Fruits"/>
    <s v="Offline"/>
    <s v="H"/>
    <s v="10/20/2014"/>
    <n v="385082232"/>
    <s v="11/28/2014"/>
    <n v="3245"/>
    <n v="9.33"/>
    <n v="6.92"/>
    <n v="30275.85"/>
    <n v="22455.4"/>
    <n v="7820.45"/>
  </r>
  <r>
    <x v="0"/>
    <s v="El Salvador"/>
    <s v="Meat"/>
    <s v="Offline"/>
    <s v="C"/>
    <s v="11/26/2016"/>
    <n v="122365224"/>
    <s v="12/22/2016"/>
    <n v="9444"/>
    <n v="421.89"/>
    <n v="364.69"/>
    <n v="3984329.16"/>
    <n v="3444132.36"/>
    <n v="540196.80000000005"/>
  </r>
  <r>
    <x v="0"/>
    <s v="Haiti"/>
    <s v="Household"/>
    <s v="Online"/>
    <s v="H"/>
    <d v="2013-06-04T00:00:00"/>
    <n v="347399985"/>
    <s v="5/19/2013"/>
    <n v="2231"/>
    <n v="668.27"/>
    <n v="502.54"/>
    <n v="1490910.37"/>
    <n v="1121166.74"/>
    <n v="369743.63"/>
  </r>
  <r>
    <x v="1"/>
    <s v="Serbia"/>
    <s v="Beverages"/>
    <s v="Online"/>
    <s v="M"/>
    <s v="12/20/2011"/>
    <n v="424297845"/>
    <d v="2012-08-01T00:00:00"/>
    <n v="8016"/>
    <n v="47.45"/>
    <n v="31.79"/>
    <n v="380359.2"/>
    <n v="254828.64"/>
    <n v="125530.56"/>
  </r>
  <r>
    <x v="5"/>
    <s v="Lesotho"/>
    <s v="Office Supplies"/>
    <s v="Offline"/>
    <s v="M"/>
    <s v="10/28/2010"/>
    <n v="687482631"/>
    <s v="11/21/2010"/>
    <n v="243"/>
    <n v="651.21"/>
    <n v="524.96"/>
    <n v="158244.03"/>
    <n v="127565.28"/>
    <n v="30678.75"/>
  </r>
  <r>
    <x v="4"/>
    <s v="Solomon Islands"/>
    <s v="Cosmetics"/>
    <s v="Offline"/>
    <s v="H"/>
    <d v="2016-06-04T00:00:00"/>
    <n v="191690671"/>
    <s v="5/18/2016"/>
    <n v="4384"/>
    <n v="437.2"/>
    <n v="263.33"/>
    <n v="1916684.8"/>
    <n v="1154438.72"/>
    <n v="762246.08"/>
  </r>
  <r>
    <x v="4"/>
    <s v="Fiji"/>
    <s v="Cereal"/>
    <s v="Online"/>
    <s v="C"/>
    <d v="2016-09-11T00:00:00"/>
    <n v="761970794"/>
    <s v="12/20/2016"/>
    <n v="2945"/>
    <n v="205.7"/>
    <n v="117.11"/>
    <n v="605786.5"/>
    <n v="344888.95"/>
    <n v="260897.55"/>
  </r>
  <r>
    <x v="1"/>
    <s v="Ireland"/>
    <s v="Baby Food"/>
    <s v="Online"/>
    <s v="H"/>
    <s v="5/23/2017"/>
    <n v="243684327"/>
    <s v="5/30/2017"/>
    <n v="462"/>
    <n v="255.28"/>
    <n v="159.41999999999999"/>
    <n v="117939.36"/>
    <n v="73652.039999999994"/>
    <n v="44287.32"/>
  </r>
  <r>
    <x v="1"/>
    <s v="San Marino"/>
    <s v="Clothes"/>
    <s v="Offline"/>
    <s v="M"/>
    <d v="2012-07-05T00:00:00"/>
    <n v="152505099"/>
    <s v="5/19/2012"/>
    <n v="8503"/>
    <n v="109.28"/>
    <n v="35.840000000000003"/>
    <n v="929207.84"/>
    <n v="304747.52000000002"/>
    <n v="624460.31999999995"/>
  </r>
  <r>
    <x v="3"/>
    <s v="Somalia"/>
    <s v="Cereal"/>
    <s v="Online"/>
    <s v="M"/>
    <d v="2012-04-06T00:00:00"/>
    <n v="724419438"/>
    <s v="7/16/2012"/>
    <n v="665"/>
    <n v="205.7"/>
    <n v="117.11"/>
    <n v="136790.5"/>
    <n v="77878.149999999994"/>
    <n v="58912.35"/>
  </r>
  <r>
    <x v="2"/>
    <s v="Nepal"/>
    <s v="Household"/>
    <s v="Offline"/>
    <s v="M"/>
    <s v="6/16/2010"/>
    <n v="465726172"/>
    <d v="2010-06-07T00:00:00"/>
    <n v="7579"/>
    <n v="668.27"/>
    <n v="502.54"/>
    <n v="5064818.33"/>
    <n v="3808750.66"/>
    <n v="1256067.67"/>
  </r>
  <r>
    <x v="1"/>
    <s v="Georgia"/>
    <s v="Baby Food"/>
    <s v="Online"/>
    <s v="L"/>
    <s v="6/24/2015"/>
    <n v="203036630"/>
    <s v="7/28/2015"/>
    <n v="1905"/>
    <n v="255.28"/>
    <n v="159.41999999999999"/>
    <n v="486308.4"/>
    <n v="303695.09999999998"/>
    <n v="182613.3"/>
  </r>
  <r>
    <x v="5"/>
    <s v="Republic of the Congo"/>
    <s v="Meat"/>
    <s v="Online"/>
    <s v="M"/>
    <d v="2011-04-02T00:00:00"/>
    <n v="833274638"/>
    <s v="2/13/2011"/>
    <n v="3337"/>
    <n v="421.89"/>
    <n v="364.69"/>
    <n v="1407846.93"/>
    <n v="1216970.53"/>
    <n v="190876.4"/>
  </r>
  <r>
    <x v="5"/>
    <s v="Guinea-Bissau"/>
    <s v="Household"/>
    <s v="Offline"/>
    <s v="H"/>
    <d v="2012-05-04T00:00:00"/>
    <n v="173676526"/>
    <d v="2012-10-05T00:00:00"/>
    <n v="3598"/>
    <n v="668.27"/>
    <n v="502.54"/>
    <n v="2404435.46"/>
    <n v="1808138.92"/>
    <n v="596296.54"/>
  </r>
  <r>
    <x v="1"/>
    <s v="Ukraine"/>
    <s v="Snacks"/>
    <s v="Offline"/>
    <s v="C"/>
    <s v="1/25/2016"/>
    <n v="611791121"/>
    <d v="2016-03-03T00:00:00"/>
    <n v="1443"/>
    <n v="152.58000000000001"/>
    <n v="97.44"/>
    <n v="220172.94"/>
    <n v="140605.92000000001"/>
    <n v="79567.02"/>
  </r>
  <r>
    <x v="5"/>
    <s v="Mali"/>
    <s v="Cosmetics"/>
    <s v="Offline"/>
    <s v="C"/>
    <d v="2013-04-02T00:00:00"/>
    <n v="555479753"/>
    <d v="2013-12-02T00:00:00"/>
    <n v="7658"/>
    <n v="437.2"/>
    <n v="263.33"/>
    <n v="3348077.6"/>
    <n v="2016581.14"/>
    <n v="1331496.46"/>
  </r>
  <r>
    <x v="5"/>
    <s v="Zimbabwe"/>
    <s v="Beverages"/>
    <s v="Offline"/>
    <s v="H"/>
    <d v="2013-04-12T00:00:00"/>
    <n v="282916247"/>
    <s v="12/29/2013"/>
    <n v="59"/>
    <n v="47.45"/>
    <n v="31.79"/>
    <n v="2799.55"/>
    <n v="1875.61"/>
    <n v="923.94"/>
  </r>
  <r>
    <x v="4"/>
    <s v="Vanuatu"/>
    <s v="Cereal"/>
    <s v="Online"/>
    <s v="C"/>
    <s v="1/20/2015"/>
    <n v="592586934"/>
    <s v="2/19/2015"/>
    <n v="8497"/>
    <n v="205.7"/>
    <n v="117.11"/>
    <n v="1747832.9"/>
    <n v="995083.67"/>
    <n v="752749.23"/>
  </r>
  <r>
    <x v="0"/>
    <s v="Dominican Republic"/>
    <s v="Clothes"/>
    <s v="Online"/>
    <s v="M"/>
    <d v="2010-05-04T00:00:00"/>
    <n v="553290641"/>
    <d v="2010-07-04T00:00:00"/>
    <n v="9851"/>
    <n v="109.28"/>
    <n v="35.840000000000003"/>
    <n v="1076517.28"/>
    <n v="353059.84000000003"/>
    <n v="723457.44"/>
  </r>
  <r>
    <x v="2"/>
    <s v="Vietnam"/>
    <s v="Clothes"/>
    <s v="Online"/>
    <s v="C"/>
    <d v="2017-06-02T00:00:00"/>
    <n v="654138696"/>
    <s v="3/16/2017"/>
    <n v="3031"/>
    <n v="109.28"/>
    <n v="35.840000000000003"/>
    <n v="331227.68"/>
    <n v="108631.03999999999"/>
    <n v="222596.64"/>
  </r>
  <r>
    <x v="1"/>
    <s v="San Marino"/>
    <s v="Cereal"/>
    <s v="Offline"/>
    <s v="C"/>
    <s v="7/22/2012"/>
    <n v="554554927"/>
    <d v="2012-06-08T00:00:00"/>
    <n v="3981"/>
    <n v="205.7"/>
    <n v="117.11"/>
    <n v="818891.7"/>
    <n v="466214.91"/>
    <n v="352676.79"/>
  </r>
  <r>
    <x v="1"/>
    <s v="Bosnia and Herzegovina"/>
    <s v="Office Supplies"/>
    <s v="Offline"/>
    <s v="H"/>
    <d v="2012-11-07T00:00:00"/>
    <n v="434275662"/>
    <s v="8/13/2012"/>
    <n v="674"/>
    <n v="651.21"/>
    <n v="524.96"/>
    <n v="438915.54"/>
    <n v="353823.04"/>
    <n v="85092.5"/>
  </r>
  <r>
    <x v="5"/>
    <s v="Equatorial Guinea"/>
    <s v="Personal Care"/>
    <s v="Online"/>
    <s v="L"/>
    <s v="1/17/2015"/>
    <n v="543349730"/>
    <d v="2015-07-02T00:00:00"/>
    <n v="8115"/>
    <n v="81.73"/>
    <n v="56.67"/>
    <n v="663238.94999999995"/>
    <n v="459877.05"/>
    <n v="203361.9"/>
  </r>
  <r>
    <x v="5"/>
    <s v="Guinea-Bissau"/>
    <s v="Baby Food"/>
    <s v="Offline"/>
    <s v="C"/>
    <s v="8/24/2011"/>
    <n v="752138459"/>
    <s v="9/22/2011"/>
    <n v="3339"/>
    <n v="255.28"/>
    <n v="159.41999999999999"/>
    <n v="852379.92"/>
    <n v="532303.38"/>
    <n v="320076.53999999998"/>
  </r>
  <r>
    <x v="5"/>
    <s v="Mali"/>
    <s v="Vegetables"/>
    <s v="Online"/>
    <s v="L"/>
    <d v="2013-07-11T00:00:00"/>
    <n v="101315677"/>
    <s v="12/17/2013"/>
    <n v="415"/>
    <n v="154.06"/>
    <n v="90.93"/>
    <n v="63934.9"/>
    <n v="37735.949999999997"/>
    <n v="26198.95"/>
  </r>
  <r>
    <x v="2"/>
    <s v="Sri Lanka"/>
    <s v="Cereal"/>
    <s v="Online"/>
    <s v="C"/>
    <s v="7/15/2011"/>
    <n v="851867711"/>
    <s v="7/17/2011"/>
    <n v="5441"/>
    <n v="205.7"/>
    <n v="117.11"/>
    <n v="1119213.7"/>
    <n v="637195.51"/>
    <n v="482018.19"/>
  </r>
  <r>
    <x v="1"/>
    <s v="Germany"/>
    <s v="Personal Care"/>
    <s v="Offline"/>
    <s v="H"/>
    <s v="7/27/2014"/>
    <n v="835093390"/>
    <s v="7/29/2014"/>
    <n v="1547"/>
    <n v="81.73"/>
    <n v="56.67"/>
    <n v="126436.31"/>
    <n v="87668.49"/>
    <n v="38767.82"/>
  </r>
  <r>
    <x v="2"/>
    <s v="Sri Lanka"/>
    <s v="Cereal"/>
    <s v="Online"/>
    <s v="L"/>
    <s v="2/28/2011"/>
    <n v="202604043"/>
    <d v="2011-10-04T00:00:00"/>
    <n v="3893"/>
    <n v="205.7"/>
    <n v="117.11"/>
    <n v="800790.1"/>
    <n v="455909.23"/>
    <n v="344880.87"/>
  </r>
  <r>
    <x v="1"/>
    <s v="Croatia"/>
    <s v="Beverages"/>
    <s v="Online"/>
    <s v="M"/>
    <d v="2017-06-02T00:00:00"/>
    <n v="976323497"/>
    <d v="2017-10-02T00:00:00"/>
    <n v="4674"/>
    <n v="47.45"/>
    <n v="31.79"/>
    <n v="221781.3"/>
    <n v="148586.46"/>
    <n v="73194.84"/>
  </r>
  <r>
    <x v="5"/>
    <s v="Mauritius "/>
    <s v="Cosmetics"/>
    <s v="Online"/>
    <s v="C"/>
    <s v="5/18/2011"/>
    <n v="298488080"/>
    <d v="2011-03-07T00:00:00"/>
    <n v="8111"/>
    <n v="437.2"/>
    <n v="263.33"/>
    <n v="3546129.2"/>
    <n v="2135869.63"/>
    <n v="1410259.57"/>
  </r>
  <r>
    <x v="5"/>
    <s v="Senegal"/>
    <s v="Beverages"/>
    <s v="Online"/>
    <s v="M"/>
    <d v="2015-09-09T00:00:00"/>
    <n v="781646621"/>
    <d v="2015-12-09T00:00:00"/>
    <n v="5460"/>
    <n v="47.45"/>
    <n v="31.79"/>
    <n v="259077"/>
    <n v="173573.4"/>
    <n v="85503.6"/>
  </r>
  <r>
    <x v="6"/>
    <s v="United States of America"/>
    <s v="Fruits"/>
    <s v="Online"/>
    <s v="M"/>
    <d v="2014-09-12T00:00:00"/>
    <n v="158660447"/>
    <d v="2015-09-01T00:00:00"/>
    <n v="7"/>
    <n v="9.33"/>
    <n v="6.92"/>
    <n v="65.31"/>
    <n v="48.44"/>
    <n v="16.87"/>
  </r>
  <r>
    <x v="1"/>
    <s v="Lithuania"/>
    <s v="Beverages"/>
    <s v="Online"/>
    <s v="H"/>
    <d v="2014-09-01T00:00:00"/>
    <n v="732703387"/>
    <s v="1/28/2014"/>
    <n v="2069"/>
    <n v="47.45"/>
    <n v="31.79"/>
    <n v="98174.05"/>
    <n v="65773.509999999995"/>
    <n v="32400.54"/>
  </r>
  <r>
    <x v="5"/>
    <s v="Nigeria"/>
    <s v="Beverages"/>
    <s v="Offline"/>
    <s v="H"/>
    <d v="2011-04-05T00:00:00"/>
    <n v="827261769"/>
    <s v="5/26/2011"/>
    <n v="3996"/>
    <n v="47.45"/>
    <n v="31.79"/>
    <n v="189610.2"/>
    <n v="127032.84"/>
    <n v="62577.36"/>
  </r>
  <r>
    <x v="0"/>
    <s v="Saint Kitts and Nevis "/>
    <s v="Beverages"/>
    <s v="Online"/>
    <s v="C"/>
    <s v="2/15/2010"/>
    <n v="636134421"/>
    <s v="3/20/2010"/>
    <n v="5166"/>
    <n v="47.45"/>
    <n v="31.79"/>
    <n v="245126.7"/>
    <n v="164227.14000000001"/>
    <n v="80899.56"/>
  </r>
  <r>
    <x v="1"/>
    <s v="Slovenia"/>
    <s v="Household"/>
    <s v="Online"/>
    <s v="C"/>
    <d v="2014-10-09T00:00:00"/>
    <n v="873432672"/>
    <s v="9/17/2014"/>
    <n v="6992"/>
    <n v="668.27"/>
    <n v="502.54"/>
    <n v="4672543.84"/>
    <n v="3513759.68"/>
    <n v="1158784.1599999999"/>
  </r>
  <r>
    <x v="1"/>
    <s v="Serbia"/>
    <s v="Clothes"/>
    <s v="Online"/>
    <s v="C"/>
    <s v="6/25/2011"/>
    <n v="523580348"/>
    <d v="2011-04-08T00:00:00"/>
    <n v="7915"/>
    <n v="109.28"/>
    <n v="35.840000000000003"/>
    <n v="864951.2"/>
    <n v="283673.59999999998"/>
    <n v="581277.6"/>
  </r>
  <r>
    <x v="0"/>
    <s v="Belize"/>
    <s v="Personal Care"/>
    <s v="Online"/>
    <s v="H"/>
    <s v="9/17/2010"/>
    <n v="891313779"/>
    <s v="10/25/2010"/>
    <n v="8409"/>
    <n v="81.73"/>
    <n v="56.67"/>
    <n v="687267.57"/>
    <n v="476538.03"/>
    <n v="210729.54"/>
  </r>
  <r>
    <x v="2"/>
    <s v="Taiwan"/>
    <s v="Clothes"/>
    <s v="Offline"/>
    <s v="M"/>
    <s v="4/25/2012"/>
    <n v="651681792"/>
    <d v="2012-12-06T00:00:00"/>
    <n v="5979"/>
    <n v="109.28"/>
    <n v="35.840000000000003"/>
    <n v="653385.12"/>
    <n v="214287.35999999999"/>
    <n v="439097.76"/>
  </r>
  <r>
    <x v="1"/>
    <s v="Greece"/>
    <s v="Personal Care"/>
    <s v="Online"/>
    <s v="M"/>
    <s v="4/16/2017"/>
    <n v="800045716"/>
    <s v="5/14/2017"/>
    <n v="161"/>
    <n v="81.73"/>
    <n v="56.67"/>
    <n v="13158.53"/>
    <n v="9123.8700000000008"/>
    <n v="4034.66"/>
  </r>
  <r>
    <x v="4"/>
    <s v="New Zealand"/>
    <s v="Office Supplies"/>
    <s v="Online"/>
    <s v="L"/>
    <d v="2016-01-05T00:00:00"/>
    <n v="602079379"/>
    <s v="5/26/2016"/>
    <n v="7523"/>
    <n v="651.21"/>
    <n v="524.96"/>
    <n v="4899052.83"/>
    <n v="3949274.08"/>
    <n v="949778.75"/>
  </r>
  <r>
    <x v="1"/>
    <s v="Malta"/>
    <s v="Vegetables"/>
    <s v="Online"/>
    <s v="M"/>
    <d v="2016-10-05T00:00:00"/>
    <n v="743769109"/>
    <d v="2016-11-05T00:00:00"/>
    <n v="6662"/>
    <n v="154.06"/>
    <n v="90.93"/>
    <n v="1026347.72"/>
    <n v="605775.66"/>
    <n v="420572.06"/>
  </r>
  <r>
    <x v="5"/>
    <s v="Cameroon"/>
    <s v="Household"/>
    <s v="Online"/>
    <s v="C"/>
    <s v="12/22/2013"/>
    <n v="181413733"/>
    <s v="12/27/2013"/>
    <n v="3210"/>
    <n v="668.27"/>
    <n v="502.54"/>
    <n v="2145146.7000000002"/>
    <n v="1613153.4"/>
    <n v="531993.30000000005"/>
  </r>
  <r>
    <x v="0"/>
    <s v="Antigua and Barbuda "/>
    <s v="Fruits"/>
    <s v="Online"/>
    <s v="C"/>
    <d v="2014-12-06T00:00:00"/>
    <n v="191624581"/>
    <d v="2014-01-08T00:00:00"/>
    <n v="4827"/>
    <n v="9.33"/>
    <n v="6.92"/>
    <n v="45035.91"/>
    <n v="33402.839999999997"/>
    <n v="11633.07"/>
  </r>
  <r>
    <x v="3"/>
    <s v="Qatar"/>
    <s v="Fruits"/>
    <s v="Offline"/>
    <s v="L"/>
    <s v="9/22/2012"/>
    <n v="321325480"/>
    <s v="10/25/2012"/>
    <n v="6205"/>
    <n v="9.33"/>
    <n v="6.92"/>
    <n v="57892.65"/>
    <n v="42938.6"/>
    <n v="14954.05"/>
  </r>
  <r>
    <x v="5"/>
    <s v="Mali"/>
    <s v="Office Supplies"/>
    <s v="Online"/>
    <s v="H"/>
    <d v="2012-01-06T00:00:00"/>
    <n v="637752759"/>
    <s v="6/22/2012"/>
    <n v="4069"/>
    <n v="651.21"/>
    <n v="524.96"/>
    <n v="2649773.4900000002"/>
    <n v="2136062.2400000002"/>
    <n v="513711.25"/>
  </r>
  <r>
    <x v="5"/>
    <s v="Ghana"/>
    <s v="Clothes"/>
    <s v="Online"/>
    <s v="L"/>
    <s v="5/24/2014"/>
    <n v="378455245"/>
    <d v="2014-08-06T00:00:00"/>
    <n v="2172"/>
    <n v="109.28"/>
    <n v="35.840000000000003"/>
    <n v="237356.16"/>
    <n v="77844.479999999996"/>
    <n v="159511.67999999999"/>
  </r>
  <r>
    <x v="1"/>
    <s v="San Marino"/>
    <s v="Snacks"/>
    <s v="Offline"/>
    <s v="L"/>
    <d v="2013-09-01T00:00:00"/>
    <n v="201294267"/>
    <d v="2013-09-02T00:00:00"/>
    <n v="6302"/>
    <n v="152.58000000000001"/>
    <n v="97.44"/>
    <n v="961559.16"/>
    <n v="614066.88"/>
    <n v="347492.28"/>
  </r>
  <r>
    <x v="5"/>
    <s v="Comoros"/>
    <s v="Meat"/>
    <s v="Offline"/>
    <s v="C"/>
    <d v="2015-06-02T00:00:00"/>
    <n v="834443652"/>
    <s v="2/27/2015"/>
    <n v="9275"/>
    <n v="421.89"/>
    <n v="364.69"/>
    <n v="3913029.75"/>
    <n v="3382499.75"/>
    <n v="530530"/>
  </r>
  <r>
    <x v="2"/>
    <s v="Tajikistan"/>
    <s v="Cereal"/>
    <s v="Online"/>
    <s v="M"/>
    <d v="2013-02-05T00:00:00"/>
    <n v="826389729"/>
    <d v="2013-05-05T00:00:00"/>
    <n v="5940"/>
    <n v="205.7"/>
    <n v="117.11"/>
    <n v="1221858"/>
    <n v="695633.4"/>
    <n v="526224.6"/>
  </r>
  <r>
    <x v="5"/>
    <s v="Gabon"/>
    <s v="Vegetables"/>
    <s v="Offline"/>
    <s v="M"/>
    <d v="2012-11-11T00:00:00"/>
    <n v="595931327"/>
    <s v="12/15/2012"/>
    <n v="8177"/>
    <n v="154.06"/>
    <n v="90.93"/>
    <n v="1259748.6200000001"/>
    <n v="743534.61"/>
    <n v="516214.01"/>
  </r>
  <r>
    <x v="6"/>
    <s v="Greenland"/>
    <s v="Personal Care"/>
    <s v="Offline"/>
    <s v="H"/>
    <s v="4/24/2012"/>
    <n v="182179772"/>
    <s v="5/23/2012"/>
    <n v="9898"/>
    <n v="81.73"/>
    <n v="56.67"/>
    <n v="808963.54"/>
    <n v="560919.66"/>
    <n v="248043.88"/>
  </r>
  <r>
    <x v="5"/>
    <s v="Mali"/>
    <s v="Fruits"/>
    <s v="Offline"/>
    <s v="M"/>
    <d v="2015-02-03T00:00:00"/>
    <n v="594558894"/>
    <s v="4/19/2015"/>
    <n v="2044"/>
    <n v="9.33"/>
    <n v="6.92"/>
    <n v="19070.52"/>
    <n v="14144.48"/>
    <n v="4926.04"/>
  </r>
  <r>
    <x v="5"/>
    <s v="Guinea-Bissau"/>
    <s v="Meat"/>
    <s v="Online"/>
    <s v="M"/>
    <s v="10/26/2010"/>
    <n v="662805020"/>
    <d v="2010-02-11T00:00:00"/>
    <n v="7589"/>
    <n v="421.89"/>
    <n v="364.69"/>
    <n v="3201723.21"/>
    <n v="2767632.41"/>
    <n v="434090.8"/>
  </r>
  <r>
    <x v="2"/>
    <s v="South Korea"/>
    <s v="Household"/>
    <s v="Offline"/>
    <s v="L"/>
    <s v="3/29/2016"/>
    <n v="186966979"/>
    <s v="4/17/2016"/>
    <n v="6539"/>
    <n v="668.27"/>
    <n v="502.54"/>
    <n v="4369817.53"/>
    <n v="3286109.06"/>
    <n v="1083708.47"/>
  </r>
  <r>
    <x v="2"/>
    <s v="Vietnam"/>
    <s v="Clothes"/>
    <s v="Online"/>
    <s v="C"/>
    <d v="2011-09-08T00:00:00"/>
    <n v="387406098"/>
    <d v="2011-11-08T00:00:00"/>
    <n v="928"/>
    <n v="109.28"/>
    <n v="35.840000000000003"/>
    <n v="101411.84"/>
    <n v="33259.519999999997"/>
    <n v="68152.320000000007"/>
  </r>
  <r>
    <x v="4"/>
    <s v="Australia"/>
    <s v="Beverages"/>
    <s v="Online"/>
    <s v="C"/>
    <s v="3/20/2012"/>
    <n v="754796206"/>
    <d v="2012-08-04T00:00:00"/>
    <n v="9826"/>
    <n v="47.45"/>
    <n v="31.79"/>
    <n v="466243.7"/>
    <n v="312368.53999999998"/>
    <n v="153875.16"/>
  </r>
  <r>
    <x v="3"/>
    <s v="Iraq"/>
    <s v="Beverages"/>
    <s v="Offline"/>
    <s v="C"/>
    <s v="9/27/2011"/>
    <n v="400123631"/>
    <d v="2011-07-11T00:00:00"/>
    <n v="4329"/>
    <n v="47.45"/>
    <n v="31.79"/>
    <n v="205411.05"/>
    <n v="137618.91"/>
    <n v="67792.14"/>
  </r>
  <r>
    <x v="2"/>
    <s v="Mongolia"/>
    <s v="Beverages"/>
    <s v="Online"/>
    <s v="C"/>
    <d v="2016-02-04T00:00:00"/>
    <n v="304687201"/>
    <d v="2016-01-05T00:00:00"/>
    <n v="2569"/>
    <n v="47.45"/>
    <n v="31.79"/>
    <n v="121899.05"/>
    <n v="81668.509999999995"/>
    <n v="40230.54"/>
  </r>
  <r>
    <x v="5"/>
    <s v="Cape Verde"/>
    <s v="Meat"/>
    <s v="Offline"/>
    <s v="L"/>
    <d v="2010-10-03T00:00:00"/>
    <n v="170098245"/>
    <s v="3/19/2010"/>
    <n v="4705"/>
    <n v="421.89"/>
    <n v="364.69"/>
    <n v="1984992.45"/>
    <n v="1715866.45"/>
    <n v="269126"/>
  </r>
  <r>
    <x v="1"/>
    <s v="Portugal"/>
    <s v="Meat"/>
    <s v="Online"/>
    <s v="L"/>
    <d v="2013-11-02T00:00:00"/>
    <n v="668280589"/>
    <s v="3/28/2013"/>
    <n v="7932"/>
    <n v="421.89"/>
    <n v="364.69"/>
    <n v="3346431.48"/>
    <n v="2892721.08"/>
    <n v="453710.4"/>
  </r>
  <r>
    <x v="5"/>
    <s v="Djibouti"/>
    <s v="Personal Care"/>
    <s v="Offline"/>
    <s v="C"/>
    <s v="5/20/2015"/>
    <n v="291470563"/>
    <s v="5/30/2015"/>
    <n v="1472"/>
    <n v="81.73"/>
    <n v="56.67"/>
    <n v="120306.56"/>
    <n v="83418.240000000005"/>
    <n v="36888.32"/>
  </r>
  <r>
    <x v="3"/>
    <s v="Somalia"/>
    <s v="Fruits"/>
    <s v="Offline"/>
    <s v="M"/>
    <d v="2012-07-03T00:00:00"/>
    <n v="302216994"/>
    <s v="3/29/2012"/>
    <n v="1579"/>
    <n v="9.33"/>
    <n v="6.92"/>
    <n v="14732.07"/>
    <n v="10926.68"/>
    <n v="3805.39"/>
  </r>
  <r>
    <x v="0"/>
    <s v="Grenada"/>
    <s v="Cereal"/>
    <s v="Offline"/>
    <s v="L"/>
    <d v="2014-04-12T00:00:00"/>
    <n v="683381211"/>
    <d v="2014-11-12T00:00:00"/>
    <n v="6542"/>
    <n v="205.7"/>
    <n v="117.11"/>
    <n v="1345689.4"/>
    <n v="766133.62"/>
    <n v="579555.78"/>
  </r>
  <r>
    <x v="5"/>
    <s v="Niger"/>
    <s v="Office Supplies"/>
    <s v="Online"/>
    <s v="L"/>
    <s v="2/24/2017"/>
    <n v="588137042"/>
    <s v="3/28/2017"/>
    <n v="1675"/>
    <n v="651.21"/>
    <n v="524.96"/>
    <n v="1090776.75"/>
    <n v="879308"/>
    <n v="211468.75"/>
  </r>
  <r>
    <x v="5"/>
    <s v="Rwanda"/>
    <s v="Personal Care"/>
    <s v="Offline"/>
    <s v="C"/>
    <s v="6/18/2013"/>
    <n v="589970815"/>
    <s v="7/13/2013"/>
    <n v="4329"/>
    <n v="81.73"/>
    <n v="56.67"/>
    <n v="353809.17"/>
    <n v="245324.43"/>
    <n v="108484.74"/>
  </r>
  <r>
    <x v="4"/>
    <s v="Fiji"/>
    <s v="Baby Food"/>
    <s v="Offline"/>
    <s v="M"/>
    <s v="11/23/2010"/>
    <n v="432681357"/>
    <s v="11/28/2010"/>
    <n v="8884"/>
    <n v="255.28"/>
    <n v="159.41999999999999"/>
    <n v="2267907.52"/>
    <n v="1416287.28"/>
    <n v="851620.24"/>
  </r>
  <r>
    <x v="1"/>
    <s v="Albania"/>
    <s v="Household"/>
    <s v="Online"/>
    <s v="C"/>
    <s v="7/14/2017"/>
    <n v="380379998"/>
    <s v="7/16/2017"/>
    <n v="1749"/>
    <n v="668.27"/>
    <n v="502.54"/>
    <n v="1168804.23"/>
    <n v="878942.46"/>
    <n v="289861.77"/>
  </r>
  <r>
    <x v="1"/>
    <s v="Netherlands"/>
    <s v="Clothes"/>
    <s v="Online"/>
    <s v="H"/>
    <s v="1/16/2016"/>
    <n v="767490565"/>
    <s v="2/23/2016"/>
    <n v="6368"/>
    <n v="109.28"/>
    <n v="35.840000000000003"/>
    <n v="695895.04000000004"/>
    <n v="228229.12"/>
    <n v="467665.91999999998"/>
  </r>
  <r>
    <x v="4"/>
    <s v="East Timor"/>
    <s v="Vegetables"/>
    <s v="Online"/>
    <s v="M"/>
    <d v="2012-06-11T00:00:00"/>
    <n v="648749387"/>
    <s v="12/18/2012"/>
    <n v="8215"/>
    <n v="154.06"/>
    <n v="90.93"/>
    <n v="1265602.8999999999"/>
    <n v="746989.95"/>
    <n v="518612.95"/>
  </r>
  <r>
    <x v="0"/>
    <s v="Barbados"/>
    <s v="Fruits"/>
    <s v="Online"/>
    <s v="L"/>
    <d v="2011-05-09T00:00:00"/>
    <n v="949205291"/>
    <d v="2011-11-10T00:00:00"/>
    <n v="9794"/>
    <n v="9.33"/>
    <n v="6.92"/>
    <n v="91378.02"/>
    <n v="67774.48"/>
    <n v="23603.54"/>
  </r>
  <r>
    <x v="2"/>
    <s v="Sri Lanka"/>
    <s v="Meat"/>
    <s v="Offline"/>
    <s v="H"/>
    <s v="4/22/2017"/>
    <n v="414219605"/>
    <s v="4/27/2017"/>
    <n v="5641"/>
    <n v="421.89"/>
    <n v="364.69"/>
    <n v="2379881.4900000002"/>
    <n v="2057216.29"/>
    <n v="322665.2"/>
  </r>
  <r>
    <x v="5"/>
    <s v="Chad"/>
    <s v="Snacks"/>
    <s v="Offline"/>
    <s v="C"/>
    <s v="8/25/2016"/>
    <n v="559466159"/>
    <s v="9/15/2016"/>
    <n v="7324"/>
    <n v="152.58000000000001"/>
    <n v="97.44"/>
    <n v="1117495.92"/>
    <n v="713650.56"/>
    <n v="403845.36"/>
  </r>
  <r>
    <x v="1"/>
    <s v="Iceland"/>
    <s v="Snacks"/>
    <s v="Offline"/>
    <s v="L"/>
    <s v="10/30/2012"/>
    <n v="720931279"/>
    <s v="11/18/2012"/>
    <n v="8441"/>
    <n v="152.58000000000001"/>
    <n v="97.44"/>
    <n v="1287927.78"/>
    <n v="822491.04"/>
    <n v="465436.74"/>
  </r>
  <r>
    <x v="6"/>
    <s v="Mexico"/>
    <s v="Office Supplies"/>
    <s v="Offline"/>
    <s v="H"/>
    <s v="10/29/2013"/>
    <n v="304913794"/>
    <s v="11/21/2013"/>
    <n v="9623"/>
    <n v="651.21"/>
    <n v="524.96"/>
    <n v="6266593.8300000001"/>
    <n v="5051690.08"/>
    <n v="1214903.75"/>
  </r>
  <r>
    <x v="1"/>
    <s v="United Kingdom"/>
    <s v="Snacks"/>
    <s v="Online"/>
    <s v="L"/>
    <s v="7/13/2013"/>
    <n v="138025033"/>
    <d v="2013-03-08T00:00:00"/>
    <n v="3529"/>
    <n v="152.58000000000001"/>
    <n v="97.44"/>
    <n v="538454.81999999995"/>
    <n v="343865.76"/>
    <n v="194589.06"/>
  </r>
  <r>
    <x v="2"/>
    <s v="Brunei"/>
    <s v="Clothes"/>
    <s v="Offline"/>
    <s v="H"/>
    <d v="2010-10-09T00:00:00"/>
    <n v="217188823"/>
    <s v="10/19/2010"/>
    <n v="9854"/>
    <n v="109.28"/>
    <n v="35.840000000000003"/>
    <n v="1076845.1200000001"/>
    <n v="353167.35999999999"/>
    <n v="723677.76"/>
  </r>
  <r>
    <x v="0"/>
    <s v="Grenada"/>
    <s v="Meat"/>
    <s v="Online"/>
    <s v="M"/>
    <d v="2012-10-09T00:00:00"/>
    <n v="159641492"/>
    <s v="9/24/2012"/>
    <n v="320"/>
    <n v="421.89"/>
    <n v="364.69"/>
    <n v="135004.79999999999"/>
    <n v="116700.8"/>
    <n v="18304"/>
  </r>
  <r>
    <x v="1"/>
    <s v="Andorra"/>
    <s v="Meat"/>
    <s v="Offline"/>
    <s v="H"/>
    <s v="8/16/2016"/>
    <n v="552931869"/>
    <d v="2016-09-09T00:00:00"/>
    <n v="3682"/>
    <n v="421.89"/>
    <n v="364.69"/>
    <n v="1553398.98"/>
    <n v="1342788.58"/>
    <n v="210610.4"/>
  </r>
  <r>
    <x v="5"/>
    <s v="Zimbabwe"/>
    <s v="Snacks"/>
    <s v="Offline"/>
    <s v="L"/>
    <s v="1/26/2013"/>
    <n v="704921281"/>
    <d v="2013-05-02T00:00:00"/>
    <n v="727"/>
    <n v="152.58000000000001"/>
    <n v="97.44"/>
    <n v="110925.66"/>
    <n v="70838.880000000005"/>
    <n v="40086.78"/>
  </r>
  <r>
    <x v="5"/>
    <s v="Guinea-Bissau"/>
    <s v="Snacks"/>
    <s v="Online"/>
    <s v="L"/>
    <d v="2012-09-08T00:00:00"/>
    <n v="893783557"/>
    <s v="9/28/2012"/>
    <n v="9271"/>
    <n v="152.58000000000001"/>
    <n v="97.44"/>
    <n v="1414569.18"/>
    <n v="903366.24"/>
    <n v="511202.94"/>
  </r>
  <r>
    <x v="2"/>
    <s v="Brunei"/>
    <s v="Office Supplies"/>
    <s v="Online"/>
    <s v="H"/>
    <s v="9/25/2011"/>
    <n v="118005025"/>
    <s v="10/30/2011"/>
    <n v="9164"/>
    <n v="651.21"/>
    <n v="524.96"/>
    <n v="5967688.4400000004"/>
    <n v="4810733.4400000004"/>
    <n v="1156955"/>
  </r>
  <r>
    <x v="3"/>
    <s v="Iran"/>
    <s v="Snacks"/>
    <s v="Offline"/>
    <s v="M"/>
    <s v="10/18/2011"/>
    <n v="146384513"/>
    <d v="2011-04-12T00:00:00"/>
    <n v="7285"/>
    <n v="152.58000000000001"/>
    <n v="97.44"/>
    <n v="1111545.3"/>
    <n v="709850.4"/>
    <n v="401694.9"/>
  </r>
  <r>
    <x v="5"/>
    <s v="Cape Verde"/>
    <s v="Clothes"/>
    <s v="Online"/>
    <s v="C"/>
    <s v="3/20/2015"/>
    <n v="568033349"/>
    <s v="4/17/2015"/>
    <n v="2546"/>
    <n v="109.28"/>
    <n v="35.840000000000003"/>
    <n v="278226.88"/>
    <n v="91248.639999999999"/>
    <n v="186978.24"/>
  </r>
  <r>
    <x v="1"/>
    <s v="Liechtenstein"/>
    <s v="Fruits"/>
    <s v="Online"/>
    <s v="L"/>
    <d v="2014-08-02T00:00:00"/>
    <n v="142375361"/>
    <s v="2/19/2014"/>
    <n v="888"/>
    <n v="9.33"/>
    <n v="6.92"/>
    <n v="8285.0400000000009"/>
    <n v="6144.96"/>
    <n v="2140.08"/>
  </r>
  <r>
    <x v="2"/>
    <s v="Brunei"/>
    <s v="Beverages"/>
    <s v="Online"/>
    <s v="C"/>
    <s v="10/21/2016"/>
    <n v="849146878"/>
    <s v="11/30/2016"/>
    <n v="286"/>
    <n v="47.45"/>
    <n v="31.79"/>
    <n v="13570.7"/>
    <n v="9091.94"/>
    <n v="4478.76"/>
  </r>
  <r>
    <x v="0"/>
    <s v="Panama"/>
    <s v="Personal Care"/>
    <s v="Online"/>
    <s v="H"/>
    <d v="2013-09-10T00:00:00"/>
    <n v="238396728"/>
    <s v="11/27/2013"/>
    <n v="5744"/>
    <n v="81.73"/>
    <n v="56.67"/>
    <n v="469457.12"/>
    <n v="325512.48"/>
    <n v="143944.64000000001"/>
  </r>
  <r>
    <x v="3"/>
    <s v="Yemen"/>
    <s v="Snacks"/>
    <s v="Online"/>
    <s v="H"/>
    <d v="2011-06-09T00:00:00"/>
    <n v="880486238"/>
    <d v="2011-10-10T00:00:00"/>
    <n v="4299"/>
    <n v="152.58000000000001"/>
    <n v="97.44"/>
    <n v="655941.42000000004"/>
    <n v="418894.56"/>
    <n v="237046.86"/>
  </r>
  <r>
    <x v="1"/>
    <s v="Belgium"/>
    <s v="Cosmetics"/>
    <s v="Offline"/>
    <s v="C"/>
    <s v="6/27/2014"/>
    <n v="916089236"/>
    <s v="7/28/2014"/>
    <n v="17"/>
    <n v="437.2"/>
    <n v="263.33"/>
    <n v="7432.4"/>
    <n v="4476.6099999999997"/>
    <n v="2955.79"/>
  </r>
  <r>
    <x v="2"/>
    <s v="Brunei"/>
    <s v="Cereal"/>
    <s v="Online"/>
    <s v="H"/>
    <s v="1/22/2012"/>
    <n v="806192052"/>
    <s v="2/28/2012"/>
    <n v="8998"/>
    <n v="205.7"/>
    <n v="117.11"/>
    <n v="1850888.6"/>
    <n v="1053755.78"/>
    <n v="797132.82"/>
  </r>
  <r>
    <x v="2"/>
    <s v="Malaysia"/>
    <s v="Cereal"/>
    <s v="Online"/>
    <s v="M"/>
    <d v="2014-09-04T00:00:00"/>
    <n v="182093513"/>
    <s v="5/17/2014"/>
    <n v="4372"/>
    <n v="205.7"/>
    <n v="117.11"/>
    <n v="899320.4"/>
    <n v="512004.92"/>
    <n v="387315.48"/>
  </r>
  <r>
    <x v="2"/>
    <s v="Japan"/>
    <s v="Fruits"/>
    <s v="Offline"/>
    <s v="H"/>
    <s v="11/26/2016"/>
    <n v="995404946"/>
    <s v="12/31/2016"/>
    <n v="1299"/>
    <n v="9.33"/>
    <n v="6.92"/>
    <n v="12119.67"/>
    <n v="8989.08"/>
    <n v="3130.59"/>
  </r>
  <r>
    <x v="5"/>
    <s v="South Sudan"/>
    <s v="Beverages"/>
    <s v="Online"/>
    <s v="C"/>
    <d v="2013-12-01T00:00:00"/>
    <n v="768050181"/>
    <s v="1/28/2013"/>
    <n v="1971"/>
    <n v="47.45"/>
    <n v="31.79"/>
    <n v="93523.95"/>
    <n v="62658.09"/>
    <n v="30865.86"/>
  </r>
  <r>
    <x v="1"/>
    <s v="Luxembourg"/>
    <s v="Fruits"/>
    <s v="Offline"/>
    <s v="L"/>
    <d v="2011-06-12T00:00:00"/>
    <n v="242265546"/>
    <d v="2012-07-01T00:00:00"/>
    <n v="614"/>
    <n v="9.33"/>
    <n v="6.92"/>
    <n v="5728.62"/>
    <n v="4248.88"/>
    <n v="1479.74"/>
  </r>
  <r>
    <x v="5"/>
    <s v="Swaziland"/>
    <s v="Office Supplies"/>
    <s v="Offline"/>
    <s v="M"/>
    <s v="7/31/2012"/>
    <n v="230599868"/>
    <s v="8/22/2012"/>
    <n v="8480"/>
    <n v="651.21"/>
    <n v="524.96"/>
    <n v="5522260.7999999998"/>
    <n v="4451660.8"/>
    <n v="1070600"/>
  </r>
  <r>
    <x v="1"/>
    <s v="Malta"/>
    <s v="Cosmetics"/>
    <s v="Online"/>
    <s v="M"/>
    <d v="2015-12-01T00:00:00"/>
    <n v="265914475"/>
    <s v="2/21/2015"/>
    <n v="8857"/>
    <n v="437.2"/>
    <n v="263.33"/>
    <n v="3872280.4"/>
    <n v="2332313.81"/>
    <n v="1539966.59"/>
  </r>
  <r>
    <x v="6"/>
    <s v="Canada"/>
    <s v="Household"/>
    <s v="Offline"/>
    <s v="M"/>
    <d v="2016-10-08T00:00:00"/>
    <n v="851383197"/>
    <d v="2016-05-09T00:00:00"/>
    <n v="2062"/>
    <n v="668.27"/>
    <n v="502.54"/>
    <n v="1377972.74"/>
    <n v="1036237.48"/>
    <n v="341735.26"/>
  </r>
  <r>
    <x v="0"/>
    <s v="Jamaica"/>
    <s v="Personal Care"/>
    <s v="Offline"/>
    <s v="L"/>
    <s v="9/16/2015"/>
    <n v="310492360"/>
    <s v="10/21/2015"/>
    <n v="444"/>
    <n v="81.73"/>
    <n v="56.67"/>
    <n v="36288.120000000003"/>
    <n v="25161.48"/>
    <n v="11126.64"/>
  </r>
  <r>
    <x v="1"/>
    <s v="Slovakia"/>
    <s v="Snacks"/>
    <s v="Online"/>
    <s v="L"/>
    <s v="7/26/2015"/>
    <n v="637040793"/>
    <d v="2015-04-08T00:00:00"/>
    <n v="3382"/>
    <n v="152.58000000000001"/>
    <n v="97.44"/>
    <n v="516025.56"/>
    <n v="329542.08"/>
    <n v="186483.48"/>
  </r>
  <r>
    <x v="5"/>
    <s v="Mauritania"/>
    <s v="Beverages"/>
    <s v="Online"/>
    <s v="H"/>
    <d v="2012-03-12T00:00:00"/>
    <n v="745139825"/>
    <d v="2012-08-12T00:00:00"/>
    <n v="2288"/>
    <n v="47.45"/>
    <n v="31.79"/>
    <n v="108565.6"/>
    <n v="72735.520000000004"/>
    <n v="35830.080000000002"/>
  </r>
  <r>
    <x v="5"/>
    <s v="Burkina Faso"/>
    <s v="Household"/>
    <s v="Online"/>
    <s v="M"/>
    <d v="2016-07-12T00:00:00"/>
    <n v="519213283"/>
    <s v="12/24/2016"/>
    <n v="5603"/>
    <n v="668.27"/>
    <n v="502.54"/>
    <n v="3744316.81"/>
    <n v="2815731.62"/>
    <n v="928585.19"/>
  </r>
  <r>
    <x v="2"/>
    <s v="Kazakhstan"/>
    <s v="Vegetables"/>
    <s v="Online"/>
    <s v="C"/>
    <d v="2015-09-02T00:00:00"/>
    <n v="363997495"/>
    <d v="2015-11-02T00:00:00"/>
    <n v="3802"/>
    <n v="154.06"/>
    <n v="90.93"/>
    <n v="585736.12"/>
    <n v="345715.86"/>
    <n v="240020.26"/>
  </r>
  <r>
    <x v="1"/>
    <s v="Andorra"/>
    <s v="Personal Care"/>
    <s v="Offline"/>
    <s v="L"/>
    <d v="2014-12-12T00:00:00"/>
    <n v="754541289"/>
    <s v="12/19/2014"/>
    <n v="4390"/>
    <n v="81.73"/>
    <n v="56.67"/>
    <n v="358794.7"/>
    <n v="248781.3"/>
    <n v="110013.4"/>
  </r>
  <r>
    <x v="0"/>
    <s v="Jamaica"/>
    <s v="Household"/>
    <s v="Online"/>
    <s v="H"/>
    <d v="2017-11-06T00:00:00"/>
    <n v="886205995"/>
    <s v="7/21/2017"/>
    <n v="6902"/>
    <n v="668.27"/>
    <n v="502.54"/>
    <n v="4612399.54"/>
    <n v="3468531.08"/>
    <n v="1143868.46"/>
  </r>
  <r>
    <x v="5"/>
    <s v="Republic of the Congo"/>
    <s v="Baby Food"/>
    <s v="Online"/>
    <s v="C"/>
    <s v="4/19/2013"/>
    <n v="924665439"/>
    <d v="2013-07-06T00:00:00"/>
    <n v="7906"/>
    <n v="255.28"/>
    <n v="159.41999999999999"/>
    <n v="2018243.68"/>
    <n v="1260374.52"/>
    <n v="757869.16"/>
  </r>
  <r>
    <x v="2"/>
    <s v="Myanmar"/>
    <s v="Household"/>
    <s v="Online"/>
    <s v="H"/>
    <s v="12/30/2016"/>
    <n v="655905950"/>
    <d v="2017-11-02T00:00:00"/>
    <n v="6001"/>
    <n v="668.27"/>
    <n v="502.54"/>
    <n v="4010288.27"/>
    <n v="3015742.54"/>
    <n v="994545.73"/>
  </r>
  <r>
    <x v="5"/>
    <s v="Benin"/>
    <s v="Beverages"/>
    <s v="Offline"/>
    <s v="H"/>
    <d v="2010-03-01T00:00:00"/>
    <n v="836226356"/>
    <s v="1/26/2010"/>
    <n v="6816"/>
    <n v="47.45"/>
    <n v="31.79"/>
    <n v="323419.2"/>
    <n v="216680.64"/>
    <n v="106738.56"/>
  </r>
  <r>
    <x v="3"/>
    <s v="Turkey"/>
    <s v="Household"/>
    <s v="Offline"/>
    <s v="C"/>
    <s v="9/25/2012"/>
    <n v="942237985"/>
    <s v="9/25/2012"/>
    <n v="8013"/>
    <n v="668.27"/>
    <n v="502.54"/>
    <n v="5354847.51"/>
    <n v="4026853.02"/>
    <n v="1327994.49"/>
  </r>
  <r>
    <x v="2"/>
    <s v="South Korea"/>
    <s v="Cereal"/>
    <s v="Online"/>
    <s v="H"/>
    <s v="7/24/2012"/>
    <n v="520864665"/>
    <s v="8/20/2012"/>
    <n v="4284"/>
    <n v="205.7"/>
    <n v="117.11"/>
    <n v="881218.8"/>
    <n v="501699.24"/>
    <n v="379519.56"/>
  </r>
  <r>
    <x v="3"/>
    <s v="Bahrain"/>
    <s v="Snacks"/>
    <s v="Offline"/>
    <s v="H"/>
    <d v="2013-01-02T00:00:00"/>
    <n v="539342725"/>
    <s v="2/15/2013"/>
    <n v="2353"/>
    <n v="152.58000000000001"/>
    <n v="97.44"/>
    <n v="359020.74"/>
    <n v="229276.32"/>
    <n v="129744.42"/>
  </r>
  <r>
    <x v="2"/>
    <s v="Kyrgyzstan"/>
    <s v="Baby Food"/>
    <s v="Offline"/>
    <s v="M"/>
    <d v="2015-11-03T00:00:00"/>
    <n v="235220992"/>
    <s v="3/26/2015"/>
    <n v="5974"/>
    <n v="255.28"/>
    <n v="159.41999999999999"/>
    <n v="1525042.72"/>
    <n v="952375.08"/>
    <n v="572667.64"/>
  </r>
  <r>
    <x v="2"/>
    <s v="Tajikistan"/>
    <s v="Cereal"/>
    <s v="Online"/>
    <s v="C"/>
    <s v="3/27/2013"/>
    <n v="266360795"/>
    <s v="5/13/2013"/>
    <n v="933"/>
    <n v="205.7"/>
    <n v="117.11"/>
    <n v="191918.1"/>
    <n v="109263.63"/>
    <n v="82654.47"/>
  </r>
  <r>
    <x v="2"/>
    <s v="Singapore"/>
    <s v="Baby Food"/>
    <s v="Online"/>
    <s v="H"/>
    <d v="2014-06-01T00:00:00"/>
    <n v="460935962"/>
    <s v="1/16/2014"/>
    <n v="49"/>
    <n v="255.28"/>
    <n v="159.41999999999999"/>
    <n v="12508.72"/>
    <n v="7811.58"/>
    <n v="4697.1400000000003"/>
  </r>
  <r>
    <x v="5"/>
    <s v="Botswana"/>
    <s v="Cereal"/>
    <s v="Online"/>
    <s v="M"/>
    <s v="3/31/2010"/>
    <n v="267432820"/>
    <s v="4/24/2010"/>
    <n v="8169"/>
    <n v="205.7"/>
    <n v="117.11"/>
    <n v="1680363.3"/>
    <n v="956671.59"/>
    <n v="723691.71"/>
  </r>
  <r>
    <x v="5"/>
    <s v="Seychelles "/>
    <s v="Cereal"/>
    <s v="Offline"/>
    <s v="H"/>
    <s v="8/20/2014"/>
    <n v="104650199"/>
    <d v="2014-01-10T00:00:00"/>
    <n v="7174"/>
    <n v="205.7"/>
    <n v="117.11"/>
    <n v="1475691.8"/>
    <n v="840147.14"/>
    <n v="635544.66"/>
  </r>
  <r>
    <x v="0"/>
    <s v="Honduras"/>
    <s v="Cosmetics"/>
    <s v="Online"/>
    <s v="L"/>
    <s v="8/30/2010"/>
    <n v="911699426"/>
    <d v="2010-03-10T00:00:00"/>
    <n v="975"/>
    <n v="437.2"/>
    <n v="263.33"/>
    <n v="426270"/>
    <n v="256746.75"/>
    <n v="169523.25"/>
  </r>
  <r>
    <x v="3"/>
    <s v="Yemen"/>
    <s v="Baby Food"/>
    <s v="Offline"/>
    <s v="L"/>
    <s v="12/14/2016"/>
    <n v="998004329"/>
    <s v="12/20/2016"/>
    <n v="514"/>
    <n v="255.28"/>
    <n v="159.41999999999999"/>
    <n v="131213.92000000001"/>
    <n v="81941.88"/>
    <n v="49272.04"/>
  </r>
  <r>
    <x v="2"/>
    <s v="Cambodia"/>
    <s v="Personal Care"/>
    <s v="Online"/>
    <s v="L"/>
    <d v="2015-03-05T00:00:00"/>
    <n v="993301236"/>
    <d v="2015-01-06T00:00:00"/>
    <n v="8764"/>
    <n v="81.73"/>
    <n v="56.67"/>
    <n v="716281.72"/>
    <n v="496655.88"/>
    <n v="219625.84"/>
  </r>
  <r>
    <x v="1"/>
    <s v="Serbia"/>
    <s v="Vegetables"/>
    <s v="Offline"/>
    <s v="L"/>
    <s v="3/16/2015"/>
    <n v="697638976"/>
    <s v="3/26/2015"/>
    <n v="5731"/>
    <n v="154.06"/>
    <n v="90.93"/>
    <n v="882917.86"/>
    <n v="521119.83"/>
    <n v="361798.03"/>
  </r>
  <r>
    <x v="3"/>
    <s v="Bahrain"/>
    <s v="Cosmetics"/>
    <s v="Online"/>
    <s v="C"/>
    <s v="11/16/2011"/>
    <n v="431378877"/>
    <d v="2011-08-12T00:00:00"/>
    <n v="3451"/>
    <n v="437.2"/>
    <n v="263.33"/>
    <n v="1508777.2"/>
    <n v="908751.83"/>
    <n v="600025.37"/>
  </r>
  <r>
    <x v="4"/>
    <s v="Federated States of Micronesia"/>
    <s v="Vegetables"/>
    <s v="Offline"/>
    <s v="C"/>
    <d v="2013-01-02T00:00:00"/>
    <n v="585194766"/>
    <s v="2/25/2013"/>
    <n v="990"/>
    <n v="154.06"/>
    <n v="90.93"/>
    <n v="152519.4"/>
    <n v="90020.7"/>
    <n v="62498.7"/>
  </r>
  <r>
    <x v="0"/>
    <s v="Haiti"/>
    <s v="Personal Care"/>
    <s v="Offline"/>
    <s v="C"/>
    <d v="2012-01-07T00:00:00"/>
    <n v="270072972"/>
    <d v="2012-09-08T00:00:00"/>
    <n v="9449"/>
    <n v="81.73"/>
    <n v="56.67"/>
    <n v="772266.77"/>
    <n v="535474.82999999996"/>
    <n v="236791.94"/>
  </r>
  <r>
    <x v="1"/>
    <s v="Czech Republic"/>
    <s v="Baby Food"/>
    <s v="Online"/>
    <s v="C"/>
    <d v="2016-10-03T00:00:00"/>
    <n v="467312324"/>
    <d v="2016-08-04T00:00:00"/>
    <n v="6956"/>
    <n v="255.28"/>
    <n v="159.41999999999999"/>
    <n v="1775727.68"/>
    <n v="1108925.52"/>
    <n v="666802.16"/>
  </r>
  <r>
    <x v="3"/>
    <s v="Azerbaijan"/>
    <s v="Fruits"/>
    <s v="Offline"/>
    <s v="C"/>
    <d v="2016-02-03T00:00:00"/>
    <n v="878524148"/>
    <s v="3/20/2016"/>
    <n v="3673"/>
    <n v="9.33"/>
    <n v="6.92"/>
    <n v="34269.089999999997"/>
    <n v="25417.16"/>
    <n v="8851.93"/>
  </r>
  <r>
    <x v="0"/>
    <s v="Antigua and Barbuda "/>
    <s v="Cosmetics"/>
    <s v="Online"/>
    <s v="C"/>
    <d v="2016-08-11T00:00:00"/>
    <n v="375632274"/>
    <s v="11/28/2016"/>
    <n v="6792"/>
    <n v="437.2"/>
    <n v="263.33"/>
    <n v="2969462.4"/>
    <n v="1788537.36"/>
    <n v="1180925.04"/>
  </r>
  <r>
    <x v="5"/>
    <s v="Senegal"/>
    <s v="Fruits"/>
    <s v="Offline"/>
    <s v="M"/>
    <d v="2016-03-03T00:00:00"/>
    <n v="150873029"/>
    <s v="3/13/2016"/>
    <n v="5537"/>
    <n v="9.33"/>
    <n v="6.92"/>
    <n v="51660.21"/>
    <n v="38316.04"/>
    <n v="13344.17"/>
  </r>
  <r>
    <x v="5"/>
    <s v="Malawi"/>
    <s v="Vegetables"/>
    <s v="Offline"/>
    <s v="C"/>
    <s v="11/18/2016"/>
    <n v="566795241"/>
    <s v="11/22/2016"/>
    <n v="6162"/>
    <n v="154.06"/>
    <n v="90.93"/>
    <n v="949317.72"/>
    <n v="560310.66"/>
    <n v="389007.06"/>
  </r>
  <r>
    <x v="2"/>
    <s v="Bhutan"/>
    <s v="Personal Care"/>
    <s v="Online"/>
    <s v="M"/>
    <d v="2015-04-04T00:00:00"/>
    <n v="706260240"/>
    <d v="2015-04-05T00:00:00"/>
    <n v="6954"/>
    <n v="81.73"/>
    <n v="56.67"/>
    <n v="568350.42000000004"/>
    <n v="394083.18"/>
    <n v="174267.24"/>
  </r>
  <r>
    <x v="1"/>
    <s v="Slovenia"/>
    <s v="Clothes"/>
    <s v="Online"/>
    <s v="L"/>
    <s v="5/26/2012"/>
    <n v="622441852"/>
    <s v="5/28/2012"/>
    <n v="3231"/>
    <n v="109.28"/>
    <n v="35.840000000000003"/>
    <n v="353083.68"/>
    <n v="115799.03999999999"/>
    <n v="237284.64"/>
  </r>
  <r>
    <x v="3"/>
    <s v="Azerbaijan"/>
    <s v="Beverages"/>
    <s v="Offline"/>
    <s v="H"/>
    <s v="6/30/2010"/>
    <n v="888826406"/>
    <d v="2010-01-07T00:00:00"/>
    <n v="2340"/>
    <n v="47.45"/>
    <n v="31.79"/>
    <n v="111033"/>
    <n v="74388.600000000006"/>
    <n v="36644.400000000001"/>
  </r>
  <r>
    <x v="1"/>
    <s v="Bulgaria"/>
    <s v="Meat"/>
    <s v="Online"/>
    <s v="C"/>
    <s v="7/27/2016"/>
    <n v="349212729"/>
    <d v="2016-11-09T00:00:00"/>
    <n v="8662"/>
    <n v="421.89"/>
    <n v="364.69"/>
    <n v="3654411.18"/>
    <n v="3158944.78"/>
    <n v="495466.4"/>
  </r>
  <r>
    <x v="2"/>
    <s v="Tajikistan"/>
    <s v="Meat"/>
    <s v="Offline"/>
    <s v="L"/>
    <d v="2016-01-01T00:00:00"/>
    <n v="167712152"/>
    <s v="1/16/2016"/>
    <n v="8607"/>
    <n v="421.89"/>
    <n v="364.69"/>
    <n v="3631207.23"/>
    <n v="3138886.83"/>
    <n v="492320.4"/>
  </r>
  <r>
    <x v="3"/>
    <s v="Egypt"/>
    <s v="Fruits"/>
    <s v="Offline"/>
    <s v="M"/>
    <s v="2/28/2014"/>
    <n v="678748500"/>
    <s v="3/29/2014"/>
    <n v="5619"/>
    <n v="9.33"/>
    <n v="6.92"/>
    <n v="52425.27"/>
    <n v="38883.480000000003"/>
    <n v="13541.79"/>
  </r>
  <r>
    <x v="4"/>
    <s v="Fiji"/>
    <s v="Household"/>
    <s v="Online"/>
    <s v="C"/>
    <s v="6/26/2017"/>
    <n v="937058103"/>
    <s v="7/16/2017"/>
    <n v="5171"/>
    <n v="668.27"/>
    <n v="502.54"/>
    <n v="3455624.17"/>
    <n v="2598634.34"/>
    <n v="856989.83"/>
  </r>
  <r>
    <x v="3"/>
    <s v="Turkey"/>
    <s v="Clothes"/>
    <s v="Online"/>
    <s v="M"/>
    <s v="7/19/2014"/>
    <n v="967689788"/>
    <s v="7/28/2014"/>
    <n v="9767"/>
    <n v="109.28"/>
    <n v="35.840000000000003"/>
    <n v="1067337.76"/>
    <n v="350049.28000000003"/>
    <n v="717288.48"/>
  </r>
  <r>
    <x v="5"/>
    <s v="Togo"/>
    <s v="Cosmetics"/>
    <s v="Offline"/>
    <s v="L"/>
    <s v="2/14/2010"/>
    <n v="416004884"/>
    <s v="3/17/2010"/>
    <n v="3945"/>
    <n v="437.2"/>
    <n v="263.33"/>
    <n v="1724754"/>
    <n v="1038836.85"/>
    <n v="685917.15"/>
  </r>
  <r>
    <x v="4"/>
    <s v="Tuvalu"/>
    <s v="Baby Food"/>
    <s v="Offline"/>
    <s v="C"/>
    <d v="2013-07-11T00:00:00"/>
    <n v="797677218"/>
    <s v="11/14/2013"/>
    <n v="9270"/>
    <n v="255.28"/>
    <n v="159.41999999999999"/>
    <n v="2366445.6"/>
    <n v="1477823.4"/>
    <n v="888622.2"/>
  </r>
  <r>
    <x v="0"/>
    <s v="Belize"/>
    <s v="Snacks"/>
    <s v="Online"/>
    <s v="C"/>
    <s v="9/16/2013"/>
    <n v="548693120"/>
    <d v="2013-10-10T00:00:00"/>
    <n v="9342"/>
    <n v="152.58000000000001"/>
    <n v="97.44"/>
    <n v="1425402.36"/>
    <n v="910284.48"/>
    <n v="515117.88"/>
  </r>
  <r>
    <x v="2"/>
    <s v="South Korea"/>
    <s v="Fruits"/>
    <s v="Online"/>
    <s v="H"/>
    <d v="2010-04-02T00:00:00"/>
    <n v="875351417"/>
    <d v="2010-08-02T00:00:00"/>
    <n v="4791"/>
    <n v="9.33"/>
    <n v="6.92"/>
    <n v="44700.03"/>
    <n v="33153.72"/>
    <n v="11546.31"/>
  </r>
  <r>
    <x v="5"/>
    <s v="Gabon"/>
    <s v="Snacks"/>
    <s v="Online"/>
    <s v="H"/>
    <s v="1/22/2012"/>
    <n v="804263436"/>
    <s v="2/28/2012"/>
    <n v="8278"/>
    <n v="152.58000000000001"/>
    <n v="97.44"/>
    <n v="1263057.24"/>
    <n v="806608.32"/>
    <n v="456448.92"/>
  </r>
  <r>
    <x v="1"/>
    <s v="Hungary"/>
    <s v="Cosmetics"/>
    <s v="Online"/>
    <s v="H"/>
    <d v="2010-06-10T00:00:00"/>
    <n v="332353007"/>
    <s v="11/22/2010"/>
    <n v="9495"/>
    <n v="437.2"/>
    <n v="263.33"/>
    <n v="4151214"/>
    <n v="2500318.35"/>
    <n v="1650895.65"/>
  </r>
  <r>
    <x v="1"/>
    <s v="Slovakia"/>
    <s v="Meat"/>
    <s v="Offline"/>
    <s v="H"/>
    <d v="2013-08-08T00:00:00"/>
    <n v="876856458"/>
    <s v="8/29/2013"/>
    <n v="166"/>
    <n v="421.89"/>
    <n v="364.69"/>
    <n v="70033.740000000005"/>
    <n v="60538.54"/>
    <n v="9495.2000000000007"/>
  </r>
  <r>
    <x v="2"/>
    <s v="Singapore"/>
    <s v="Vegetables"/>
    <s v="Online"/>
    <s v="M"/>
    <d v="2010-01-02T00:00:00"/>
    <n v="325322616"/>
    <d v="2010-12-03T00:00:00"/>
    <n v="9046"/>
    <n v="154.06"/>
    <n v="90.93"/>
    <n v="1393626.76"/>
    <n v="822552.78"/>
    <n v="571073.98"/>
  </r>
  <r>
    <x v="2"/>
    <s v="Myanmar"/>
    <s v="Household"/>
    <s v="Online"/>
    <s v="L"/>
    <d v="2013-08-07T00:00:00"/>
    <n v="685612809"/>
    <s v="8/17/2013"/>
    <n v="6921"/>
    <n v="668.27"/>
    <n v="502.54"/>
    <n v="4625096.67"/>
    <n v="3478079.34"/>
    <n v="1147017.33"/>
  </r>
  <r>
    <x v="5"/>
    <s v="Central African Republic"/>
    <s v="Beverages"/>
    <s v="Offline"/>
    <s v="M"/>
    <d v="2011-05-10T00:00:00"/>
    <n v="435900866"/>
    <d v="2011-07-10T00:00:00"/>
    <n v="1608"/>
    <n v="47.45"/>
    <n v="31.79"/>
    <n v="76299.600000000006"/>
    <n v="51118.32"/>
    <n v="25181.279999999999"/>
  </r>
  <r>
    <x v="2"/>
    <s v="Nepal"/>
    <s v="Baby Food"/>
    <s v="Online"/>
    <s v="C"/>
    <s v="6/15/2016"/>
    <n v="374673116"/>
    <d v="2016-04-07T00:00:00"/>
    <n v="2956"/>
    <n v="255.28"/>
    <n v="159.41999999999999"/>
    <n v="754607.68"/>
    <n v="471245.52"/>
    <n v="283362.15999999997"/>
  </r>
  <r>
    <x v="5"/>
    <s v="Mauritius "/>
    <s v="Cereal"/>
    <s v="Offline"/>
    <s v="L"/>
    <s v="10/21/2013"/>
    <n v="470728385"/>
    <d v="2013-09-11T00:00:00"/>
    <n v="7845"/>
    <n v="205.7"/>
    <n v="117.11"/>
    <n v="1613716.5"/>
    <n v="918727.95"/>
    <n v="694988.55"/>
  </r>
  <r>
    <x v="1"/>
    <s v="Bulgaria"/>
    <s v="Beverages"/>
    <s v="Offline"/>
    <s v="C"/>
    <s v="10/19/2013"/>
    <n v="313178002"/>
    <d v="2013-06-12T00:00:00"/>
    <n v="5185"/>
    <n v="47.45"/>
    <n v="31.79"/>
    <n v="246028.25"/>
    <n v="164831.15"/>
    <n v="81197.100000000006"/>
  </r>
  <r>
    <x v="1"/>
    <s v="Kosovo"/>
    <s v="Personal Care"/>
    <s v="Online"/>
    <s v="L"/>
    <s v="2/17/2016"/>
    <n v="461445796"/>
    <s v="3/22/2016"/>
    <n v="920"/>
    <n v="81.73"/>
    <n v="56.67"/>
    <n v="75191.600000000006"/>
    <n v="52136.4"/>
    <n v="23055.200000000001"/>
  </r>
  <r>
    <x v="5"/>
    <s v="Lesotho"/>
    <s v="Personal Care"/>
    <s v="Online"/>
    <s v="L"/>
    <s v="12/26/2013"/>
    <n v="195268094"/>
    <s v="1/21/2014"/>
    <n v="3023"/>
    <n v="81.73"/>
    <n v="56.67"/>
    <n v="247069.79"/>
    <n v="171313.41"/>
    <n v="75756.38"/>
  </r>
  <r>
    <x v="0"/>
    <s v="El Salvador"/>
    <s v="Snacks"/>
    <s v="Offline"/>
    <s v="C"/>
    <s v="12/20/2012"/>
    <n v="664693725"/>
    <s v="12/24/2012"/>
    <n v="6499"/>
    <n v="152.58000000000001"/>
    <n v="97.44"/>
    <n v="991617.42"/>
    <n v="633262.56000000006"/>
    <n v="358354.86"/>
  </r>
  <r>
    <x v="5"/>
    <s v="Mozambique"/>
    <s v="Snacks"/>
    <s v="Online"/>
    <s v="C"/>
    <d v="2012-09-03T00:00:00"/>
    <n v="840084016"/>
    <s v="3/26/2012"/>
    <n v="8384"/>
    <n v="152.58000000000001"/>
    <n v="97.44"/>
    <n v="1279230.72"/>
    <n v="816936.95999999996"/>
    <n v="462293.76000000001"/>
  </r>
  <r>
    <x v="5"/>
    <s v="Senegal"/>
    <s v="Cosmetics"/>
    <s v="Offline"/>
    <s v="L"/>
    <d v="2015-05-08T00:00:00"/>
    <n v="662112796"/>
    <s v="9/24/2015"/>
    <n v="2745"/>
    <n v="437.2"/>
    <n v="263.33"/>
    <n v="1200114"/>
    <n v="722840.85"/>
    <n v="477273.15"/>
  </r>
  <r>
    <x v="4"/>
    <s v="Samoa "/>
    <s v="Vegetables"/>
    <s v="Online"/>
    <s v="C"/>
    <s v="1/20/2013"/>
    <n v="591766393"/>
    <d v="2013-10-03T00:00:00"/>
    <n v="5681"/>
    <n v="154.06"/>
    <n v="90.93"/>
    <n v="875214.86"/>
    <n v="516573.33"/>
    <n v="358641.53"/>
  </r>
  <r>
    <x v="5"/>
    <s v="Sao Tome and Principe"/>
    <s v="Clothes"/>
    <s v="Online"/>
    <s v="H"/>
    <d v="2014-11-06T00:00:00"/>
    <n v="260343635"/>
    <d v="2014-12-06T00:00:00"/>
    <n v="322"/>
    <n v="109.28"/>
    <n v="35.840000000000003"/>
    <n v="35188.160000000003"/>
    <n v="11540.48"/>
    <n v="23647.68"/>
  </r>
  <r>
    <x v="2"/>
    <s v="Japan"/>
    <s v="Meat"/>
    <s v="Offline"/>
    <s v="C"/>
    <s v="7/20/2015"/>
    <n v="719455850"/>
    <s v="7/27/2015"/>
    <n v="1829"/>
    <n v="421.89"/>
    <n v="364.69"/>
    <n v="771636.81"/>
    <n v="667018.01"/>
    <n v="104618.8"/>
  </r>
  <r>
    <x v="1"/>
    <s v="Spain"/>
    <s v="Cosmetics"/>
    <s v="Offline"/>
    <s v="C"/>
    <d v="2017-03-01T00:00:00"/>
    <n v="391026866"/>
    <d v="2017-08-01T00:00:00"/>
    <n v="2394"/>
    <n v="437.2"/>
    <n v="263.33"/>
    <n v="1046656.8"/>
    <n v="630412.02"/>
    <n v="416244.78"/>
  </r>
  <r>
    <x v="2"/>
    <s v="Laos"/>
    <s v="Personal Care"/>
    <s v="Offline"/>
    <s v="L"/>
    <s v="12/15/2012"/>
    <n v="917293012"/>
    <s v="1/30/2013"/>
    <n v="6241"/>
    <n v="81.73"/>
    <n v="56.67"/>
    <n v="510076.93"/>
    <n v="353677.47"/>
    <n v="156399.46"/>
  </r>
  <r>
    <x v="4"/>
    <s v="Solomon Islands"/>
    <s v="Baby Food"/>
    <s v="Offline"/>
    <s v="L"/>
    <d v="2017-08-07T00:00:00"/>
    <n v="410803115"/>
    <s v="7/27/2017"/>
    <n v="4626"/>
    <n v="255.28"/>
    <n v="159.41999999999999"/>
    <n v="1180925.28"/>
    <n v="737476.92"/>
    <n v="443448.36"/>
  </r>
  <r>
    <x v="1"/>
    <s v="Germany"/>
    <s v="Vegetables"/>
    <s v="Offline"/>
    <s v="C"/>
    <d v="2015-07-08T00:00:00"/>
    <n v="204418504"/>
    <d v="2015-03-09T00:00:00"/>
    <n v="833"/>
    <n v="154.06"/>
    <n v="90.93"/>
    <n v="128331.98"/>
    <n v="75744.69"/>
    <n v="52587.29"/>
  </r>
  <r>
    <x v="5"/>
    <s v="Democratic Republic of the Congo"/>
    <s v="Personal Care"/>
    <s v="Online"/>
    <s v="C"/>
    <d v="2012-05-02T00:00:00"/>
    <n v="801313006"/>
    <s v="2/15/2012"/>
    <n v="5180"/>
    <n v="81.73"/>
    <n v="56.67"/>
    <n v="423361.4"/>
    <n v="293550.59999999998"/>
    <n v="129810.8"/>
  </r>
  <r>
    <x v="1"/>
    <s v="Romania"/>
    <s v="Meat"/>
    <s v="Offline"/>
    <s v="L"/>
    <s v="12/22/2012"/>
    <n v="524972951"/>
    <s v="1/17/2013"/>
    <n v="17"/>
    <n v="421.89"/>
    <n v="364.69"/>
    <n v="7172.13"/>
    <n v="6199.73"/>
    <n v="972.4"/>
  </r>
  <r>
    <x v="1"/>
    <s v="Latvia"/>
    <s v="Beverages"/>
    <s v="Online"/>
    <s v="C"/>
    <s v="11/27/2013"/>
    <n v="469197165"/>
    <d v="2013-11-12T00:00:00"/>
    <n v="4723"/>
    <n v="47.45"/>
    <n v="31.79"/>
    <n v="224106.35"/>
    <n v="150144.17000000001"/>
    <n v="73962.179999999993"/>
  </r>
  <r>
    <x v="3"/>
    <s v="Jordan"/>
    <s v="Office Supplies"/>
    <s v="Offline"/>
    <s v="L"/>
    <s v="8/17/2011"/>
    <n v="448096978"/>
    <s v="9/18/2011"/>
    <n v="708"/>
    <n v="651.21"/>
    <n v="524.96"/>
    <n v="461056.68"/>
    <n v="371671.68"/>
    <n v="89385"/>
  </r>
  <r>
    <x v="4"/>
    <s v="Fiji"/>
    <s v="Clothes"/>
    <s v="Online"/>
    <s v="H"/>
    <s v="4/17/2015"/>
    <n v="346096217"/>
    <d v="2015-10-05T00:00:00"/>
    <n v="6417"/>
    <n v="109.28"/>
    <n v="35.840000000000003"/>
    <n v="701249.76"/>
    <n v="229985.28"/>
    <n v="471264.48"/>
  </r>
  <r>
    <x v="0"/>
    <s v="Cuba"/>
    <s v="Fruits"/>
    <s v="Online"/>
    <s v="H"/>
    <s v="5/28/2012"/>
    <n v="567931210"/>
    <d v="2012-12-07T00:00:00"/>
    <n v="2321"/>
    <n v="9.33"/>
    <n v="6.92"/>
    <n v="21654.93"/>
    <n v="16061.32"/>
    <n v="5593.61"/>
  </r>
  <r>
    <x v="1"/>
    <s v="Sweden"/>
    <s v="Household"/>
    <s v="Offline"/>
    <s v="H"/>
    <s v="6/23/2010"/>
    <n v="688650786"/>
    <d v="2010-07-08T00:00:00"/>
    <n v="5926"/>
    <n v="668.27"/>
    <n v="502.54"/>
    <n v="3960168.02"/>
    <n v="2978052.04"/>
    <n v="982115.98"/>
  </r>
  <r>
    <x v="4"/>
    <s v="Marshall Islands"/>
    <s v="Baby Food"/>
    <s v="Online"/>
    <s v="M"/>
    <s v="6/30/2010"/>
    <n v="803616273"/>
    <s v="7/30/2010"/>
    <n v="6768"/>
    <n v="255.28"/>
    <n v="159.41999999999999"/>
    <n v="1727735.04"/>
    <n v="1078954.56"/>
    <n v="648780.48"/>
  </r>
  <r>
    <x v="6"/>
    <s v="Greenland"/>
    <s v="Snacks"/>
    <s v="Offline"/>
    <s v="M"/>
    <s v="9/26/2010"/>
    <n v="178501498"/>
    <s v="11/15/2010"/>
    <n v="1415"/>
    <n v="152.58000000000001"/>
    <n v="97.44"/>
    <n v="215900.7"/>
    <n v="137877.6"/>
    <n v="78023.100000000006"/>
  </r>
  <r>
    <x v="5"/>
    <s v="Mauritius "/>
    <s v="Cosmetics"/>
    <s v="Offline"/>
    <s v="H"/>
    <s v="7/16/2010"/>
    <n v="399292790"/>
    <s v="7/28/2010"/>
    <n v="8465"/>
    <n v="437.2"/>
    <n v="263.33"/>
    <n v="3700898"/>
    <n v="2229088.4500000002"/>
    <n v="1471809.55"/>
  </r>
  <r>
    <x v="5"/>
    <s v="Comoros"/>
    <s v="Office Supplies"/>
    <s v="Online"/>
    <s v="L"/>
    <d v="2014-02-02T00:00:00"/>
    <n v="422288978"/>
    <s v="2/21/2014"/>
    <n v="3548"/>
    <n v="651.21"/>
    <n v="524.96"/>
    <n v="2310493.08"/>
    <n v="1862558.08"/>
    <n v="447935"/>
  </r>
  <r>
    <x v="2"/>
    <s v="Cambodia"/>
    <s v="Vegetables"/>
    <s v="Offline"/>
    <s v="C"/>
    <d v="2011-01-07T00:00:00"/>
    <n v="624101388"/>
    <s v="7/31/2011"/>
    <n v="4324"/>
    <n v="154.06"/>
    <n v="90.93"/>
    <n v="666155.43999999994"/>
    <n v="393181.32"/>
    <n v="272974.12"/>
  </r>
  <r>
    <x v="4"/>
    <s v="Marshall Islands"/>
    <s v="Cereal"/>
    <s v="Online"/>
    <s v="C"/>
    <s v="11/14/2012"/>
    <n v="551653850"/>
    <d v="2013-01-01T00:00:00"/>
    <n v="5488"/>
    <n v="205.7"/>
    <n v="117.11"/>
    <n v="1128881.6000000001"/>
    <n v="642699.68000000005"/>
    <n v="486181.92"/>
  </r>
  <r>
    <x v="0"/>
    <s v="Dominica"/>
    <s v="Meat"/>
    <s v="Online"/>
    <s v="L"/>
    <s v="3/26/2014"/>
    <n v="272182691"/>
    <s v="4/30/2014"/>
    <n v="3762"/>
    <n v="421.89"/>
    <n v="364.69"/>
    <n v="1587150.18"/>
    <n v="1371963.78"/>
    <n v="215186.4"/>
  </r>
  <r>
    <x v="1"/>
    <s v="Macedonia"/>
    <s v="Office Supplies"/>
    <s v="Online"/>
    <s v="M"/>
    <s v="6/17/2016"/>
    <n v="823236739"/>
    <d v="2016-01-08T00:00:00"/>
    <n v="2900"/>
    <n v="651.21"/>
    <n v="524.96"/>
    <n v="1888509"/>
    <n v="1522384"/>
    <n v="366125"/>
  </r>
  <r>
    <x v="5"/>
    <s v="Mozambique"/>
    <s v="Personal Care"/>
    <s v="Offline"/>
    <s v="L"/>
    <d v="2013-02-12T00:00:00"/>
    <n v="162677323"/>
    <d v="2014-11-01T00:00:00"/>
    <n v="8690"/>
    <n v="81.73"/>
    <n v="56.67"/>
    <n v="710233.7"/>
    <n v="492462.3"/>
    <n v="217771.4"/>
  </r>
  <r>
    <x v="0"/>
    <s v="The Bahamas"/>
    <s v="Household"/>
    <s v="Online"/>
    <s v="M"/>
    <s v="5/29/2013"/>
    <n v="818678271"/>
    <s v="6/25/2013"/>
    <n v="3948"/>
    <n v="668.27"/>
    <n v="502.54"/>
    <n v="2638329.96"/>
    <n v="1984027.92"/>
    <n v="654302.04"/>
  </r>
  <r>
    <x v="1"/>
    <s v="Armenia"/>
    <s v="Fruits"/>
    <s v="Offline"/>
    <s v="L"/>
    <s v="3/17/2015"/>
    <n v="439725911"/>
    <d v="2015-07-04T00:00:00"/>
    <n v="3524"/>
    <n v="9.33"/>
    <n v="6.92"/>
    <n v="32878.92"/>
    <n v="24386.080000000002"/>
    <n v="8492.84"/>
  </r>
  <r>
    <x v="2"/>
    <s v="Japan"/>
    <s v="Beverages"/>
    <s v="Offline"/>
    <s v="H"/>
    <s v="11/17/2016"/>
    <n v="344619071"/>
    <s v="12/16/2016"/>
    <n v="9296"/>
    <n v="47.45"/>
    <n v="31.79"/>
    <n v="441095.2"/>
    <n v="295519.84000000003"/>
    <n v="145575.35999999999"/>
  </r>
  <r>
    <x v="5"/>
    <s v="Ghana"/>
    <s v="Baby Food"/>
    <s v="Offline"/>
    <s v="M"/>
    <s v="1/20/2017"/>
    <n v="572469079"/>
    <d v="2017-06-02T00:00:00"/>
    <n v="5177"/>
    <n v="255.28"/>
    <n v="159.41999999999999"/>
    <n v="1321584.56"/>
    <n v="825317.34"/>
    <n v="496267.22"/>
  </r>
  <r>
    <x v="5"/>
    <s v="Lesotho"/>
    <s v="Beverages"/>
    <s v="Offline"/>
    <s v="M"/>
    <s v="8/22/2011"/>
    <n v="332699763"/>
    <d v="2011-05-10T00:00:00"/>
    <n v="2108"/>
    <n v="47.45"/>
    <n v="31.79"/>
    <n v="100024.6"/>
    <n v="67013.320000000007"/>
    <n v="33011.279999999999"/>
  </r>
  <r>
    <x v="1"/>
    <s v="Cyprus"/>
    <s v="Snacks"/>
    <s v="Online"/>
    <s v="H"/>
    <d v="2012-01-10T00:00:00"/>
    <n v="255047452"/>
    <s v="10/30/2012"/>
    <n v="3064"/>
    <n v="152.58000000000001"/>
    <n v="97.44"/>
    <n v="467505.12"/>
    <n v="298556.15999999997"/>
    <n v="168948.96"/>
  </r>
  <r>
    <x v="4"/>
    <s v="Samoa "/>
    <s v="Cosmetics"/>
    <s v="Online"/>
    <s v="H"/>
    <s v="8/22/2014"/>
    <n v="139560973"/>
    <s v="9/21/2014"/>
    <n v="8048"/>
    <n v="437.2"/>
    <n v="263.33"/>
    <n v="3518585.6"/>
    <n v="2119279.84"/>
    <n v="1399305.76"/>
  </r>
  <r>
    <x v="3"/>
    <s v="Tunisia "/>
    <s v="Clothes"/>
    <s v="Online"/>
    <s v="M"/>
    <s v="8/14/2012"/>
    <n v="306601655"/>
    <d v="2012-02-09T00:00:00"/>
    <n v="9098"/>
    <n v="109.28"/>
    <n v="35.840000000000003"/>
    <n v="994229.44"/>
    <n v="326072.32000000001"/>
    <n v="668157.12"/>
  </r>
  <r>
    <x v="2"/>
    <s v="Indonesia"/>
    <s v="Beverages"/>
    <s v="Offline"/>
    <s v="M"/>
    <d v="2014-06-06T00:00:00"/>
    <n v="246843326"/>
    <d v="2014-12-06T00:00:00"/>
    <n v="5280"/>
    <n v="47.45"/>
    <n v="31.79"/>
    <n v="250536"/>
    <n v="167851.2"/>
    <n v="82684.800000000003"/>
  </r>
  <r>
    <x v="2"/>
    <s v="Singapore"/>
    <s v="Office Supplies"/>
    <s v="Online"/>
    <s v="M"/>
    <s v="9/24/2013"/>
    <n v="871272313"/>
    <d v="2013-09-10T00:00:00"/>
    <n v="7694"/>
    <n v="651.21"/>
    <n v="524.96"/>
    <n v="5010409.74"/>
    <n v="4039042.24"/>
    <n v="971367.5"/>
  </r>
  <r>
    <x v="0"/>
    <s v="Panama"/>
    <s v="Fruits"/>
    <s v="Online"/>
    <s v="M"/>
    <d v="2016-08-08T00:00:00"/>
    <n v="461187446"/>
    <s v="8/14/2016"/>
    <n v="4469"/>
    <n v="9.33"/>
    <n v="6.92"/>
    <n v="41695.769999999997"/>
    <n v="30925.48"/>
    <n v="10770.29"/>
  </r>
  <r>
    <x v="5"/>
    <s v="Burundi"/>
    <s v="Cosmetics"/>
    <s v="Offline"/>
    <s v="M"/>
    <s v="1/18/2015"/>
    <n v="518200051"/>
    <s v="1/22/2015"/>
    <n v="5766"/>
    <n v="437.2"/>
    <n v="263.33"/>
    <n v="2520895.2000000002"/>
    <n v="1518360.78"/>
    <n v="1002534.42"/>
  </r>
  <r>
    <x v="5"/>
    <s v="Chad"/>
    <s v="Beverages"/>
    <s v="Offline"/>
    <s v="M"/>
    <s v="6/30/2013"/>
    <n v="814233958"/>
    <s v="7/23/2013"/>
    <n v="8777"/>
    <n v="47.45"/>
    <n v="31.79"/>
    <n v="416468.65"/>
    <n v="279020.83"/>
    <n v="137447.82"/>
  </r>
  <r>
    <x v="2"/>
    <s v="Japan"/>
    <s v="Cosmetics"/>
    <s v="Offline"/>
    <s v="H"/>
    <d v="2017-07-06T00:00:00"/>
    <n v="741525495"/>
    <s v="7/16/2017"/>
    <n v="2727"/>
    <n v="437.2"/>
    <n v="263.33"/>
    <n v="1192244.3999999999"/>
    <n v="718100.91"/>
    <n v="474143.49"/>
  </r>
  <r>
    <x v="1"/>
    <s v="Malta"/>
    <s v="Meat"/>
    <s v="Offline"/>
    <s v="C"/>
    <s v="6/26/2014"/>
    <n v="662623488"/>
    <d v="2014-11-07T00:00:00"/>
    <n v="3870"/>
    <n v="421.89"/>
    <n v="364.69"/>
    <n v="1632714.3"/>
    <n v="1411350.3"/>
    <n v="221364"/>
  </r>
  <r>
    <x v="1"/>
    <s v="San Marino"/>
    <s v="Vegetables"/>
    <s v="Offline"/>
    <s v="M"/>
    <s v="1/22/2016"/>
    <n v="560389268"/>
    <s v="2/22/2016"/>
    <n v="492"/>
    <n v="154.06"/>
    <n v="90.93"/>
    <n v="75797.52"/>
    <n v="44737.56"/>
    <n v="31059.96"/>
  </r>
  <r>
    <x v="3"/>
    <s v="Morocco"/>
    <s v="Fruits"/>
    <s v="Offline"/>
    <s v="C"/>
    <d v="2015-12-09T00:00:00"/>
    <n v="487996661"/>
    <s v="9/13/2015"/>
    <n v="7911"/>
    <n v="9.33"/>
    <n v="6.92"/>
    <n v="73809.63"/>
    <n v="54744.12"/>
    <n v="19065.509999999998"/>
  </r>
  <r>
    <x v="6"/>
    <s v="Greenland"/>
    <s v="Vegetables"/>
    <s v="Online"/>
    <s v="L"/>
    <s v="7/29/2015"/>
    <n v="118931996"/>
    <d v="2015-04-08T00:00:00"/>
    <n v="3475"/>
    <n v="154.06"/>
    <n v="90.93"/>
    <n v="535358.5"/>
    <n v="315981.75"/>
    <n v="219376.75"/>
  </r>
  <r>
    <x v="5"/>
    <s v="Ethiopia"/>
    <s v="Cosmetics"/>
    <s v="Online"/>
    <s v="L"/>
    <s v="2/24/2015"/>
    <n v="996994102"/>
    <d v="2015-10-03T00:00:00"/>
    <n v="1565"/>
    <n v="437.2"/>
    <n v="263.33"/>
    <n v="684218"/>
    <n v="412111.45"/>
    <n v="272106.55"/>
  </r>
  <r>
    <x v="2"/>
    <s v="India"/>
    <s v="Personal Care"/>
    <s v="Online"/>
    <s v="C"/>
    <d v="2014-10-12T00:00:00"/>
    <n v="686294305"/>
    <s v="12/15/2014"/>
    <n v="8591"/>
    <n v="81.73"/>
    <n v="56.67"/>
    <n v="702142.43"/>
    <n v="486851.97"/>
    <n v="215290.46"/>
  </r>
  <r>
    <x v="4"/>
    <s v="New Zealand"/>
    <s v="Baby Food"/>
    <s v="Offline"/>
    <s v="C"/>
    <d v="2012-02-10T00:00:00"/>
    <n v="421256434"/>
    <s v="11/20/2012"/>
    <n v="7995"/>
    <n v="255.28"/>
    <n v="159.41999999999999"/>
    <n v="2040963.6"/>
    <n v="1274562.8999999999"/>
    <n v="766400.7"/>
  </r>
  <r>
    <x v="2"/>
    <s v="Bangladesh"/>
    <s v="Fruits"/>
    <s v="Online"/>
    <s v="L"/>
    <d v="2015-08-01T00:00:00"/>
    <n v="156616818"/>
    <d v="2015-04-02T00:00:00"/>
    <n v="5252"/>
    <n v="9.33"/>
    <n v="6.92"/>
    <n v="49001.16"/>
    <n v="36343.839999999997"/>
    <n v="12657.32"/>
  </r>
  <r>
    <x v="2"/>
    <s v="Brunei"/>
    <s v="Vegetables"/>
    <s v="Online"/>
    <s v="C"/>
    <s v="4/25/2010"/>
    <n v="817424285"/>
    <d v="2010-06-05T00:00:00"/>
    <n v="2866"/>
    <n v="154.06"/>
    <n v="90.93"/>
    <n v="441535.96"/>
    <n v="260605.38"/>
    <n v="180930.58"/>
  </r>
  <r>
    <x v="5"/>
    <s v="Ethiopia"/>
    <s v="Cereal"/>
    <s v="Offline"/>
    <s v="M"/>
    <s v="12/27/2010"/>
    <n v="249040162"/>
    <d v="2011-01-02T00:00:00"/>
    <n v="5373"/>
    <n v="205.7"/>
    <n v="117.11"/>
    <n v="1105226.1000000001"/>
    <n v="629232.03"/>
    <n v="475994.07"/>
  </r>
  <r>
    <x v="1"/>
    <s v="France"/>
    <s v="Office Supplies"/>
    <s v="Offline"/>
    <s v="C"/>
    <d v="2011-12-07T00:00:00"/>
    <n v="867138278"/>
    <d v="2011-04-08T00:00:00"/>
    <n v="4341"/>
    <n v="651.21"/>
    <n v="524.96"/>
    <n v="2826902.61"/>
    <n v="2278851.36"/>
    <n v="548051.25"/>
  </r>
  <r>
    <x v="5"/>
    <s v="Niger"/>
    <s v="Beverages"/>
    <s v="Offline"/>
    <s v="L"/>
    <s v="1/22/2015"/>
    <n v="207704961"/>
    <s v="1/29/2015"/>
    <n v="3368"/>
    <n v="47.45"/>
    <n v="31.79"/>
    <n v="159811.6"/>
    <n v="107068.72"/>
    <n v="52742.879999999997"/>
  </r>
  <r>
    <x v="0"/>
    <s v="Nicaragua"/>
    <s v="Vegetables"/>
    <s v="Offline"/>
    <s v="H"/>
    <s v="5/31/2014"/>
    <n v="377039039"/>
    <s v="6/14/2014"/>
    <n v="3085"/>
    <n v="154.06"/>
    <n v="90.93"/>
    <n v="475275.1"/>
    <n v="280519.05"/>
    <n v="194756.05"/>
  </r>
  <r>
    <x v="2"/>
    <s v="Kazakhstan"/>
    <s v="Cereal"/>
    <s v="Offline"/>
    <s v="H"/>
    <s v="1/21/2011"/>
    <n v="401751840"/>
    <s v="2/21/2011"/>
    <n v="6152"/>
    <n v="205.7"/>
    <n v="117.11"/>
    <n v="1265466.3999999999"/>
    <n v="720460.72"/>
    <n v="545005.68000000005"/>
  </r>
  <r>
    <x v="5"/>
    <s v="Lesotho"/>
    <s v="Clothes"/>
    <s v="Offline"/>
    <s v="L"/>
    <s v="4/23/2011"/>
    <n v="278767192"/>
    <s v="5/25/2011"/>
    <n v="2262"/>
    <n v="109.28"/>
    <n v="35.840000000000003"/>
    <n v="247191.36"/>
    <n v="81070.080000000002"/>
    <n v="166121.28"/>
  </r>
  <r>
    <x v="1"/>
    <s v="Montenegro"/>
    <s v="Household"/>
    <s v="Online"/>
    <s v="H"/>
    <s v="12/25/2014"/>
    <n v="525321424"/>
    <s v="12/31/2014"/>
    <n v="3138"/>
    <n v="668.27"/>
    <n v="502.54"/>
    <n v="2097031.26"/>
    <n v="1576970.52"/>
    <n v="520060.74"/>
  </r>
  <r>
    <x v="4"/>
    <s v="Vanuatu"/>
    <s v="Vegetables"/>
    <s v="Online"/>
    <s v="H"/>
    <d v="2011-05-08T00:00:00"/>
    <n v="828963363"/>
    <d v="2011-06-09T00:00:00"/>
    <n v="7535"/>
    <n v="154.06"/>
    <n v="90.93"/>
    <n v="1160842.1000000001"/>
    <n v="685157.55"/>
    <n v="475684.55"/>
  </r>
  <r>
    <x v="1"/>
    <s v="Cyprus"/>
    <s v="Clothes"/>
    <s v="Online"/>
    <s v="H"/>
    <d v="2014-10-06T00:00:00"/>
    <n v="497554337"/>
    <s v="7/28/2014"/>
    <n v="6240"/>
    <n v="109.28"/>
    <n v="35.840000000000003"/>
    <n v="681907.19999999995"/>
    <n v="223641.60000000001"/>
    <n v="458265.59999999998"/>
  </r>
  <r>
    <x v="5"/>
    <s v="Burundi"/>
    <s v="Fruits"/>
    <s v="Offline"/>
    <s v="M"/>
    <s v="5/22/2011"/>
    <n v="709268176"/>
    <s v="6/25/2011"/>
    <n v="7070"/>
    <n v="9.33"/>
    <n v="6.92"/>
    <n v="65963.100000000006"/>
    <n v="48924.4"/>
    <n v="17038.7"/>
  </r>
  <r>
    <x v="3"/>
    <s v="Saudi Arabia"/>
    <s v="Snacks"/>
    <s v="Offline"/>
    <s v="L"/>
    <s v="1/29/2014"/>
    <n v="462591207"/>
    <d v="2014-01-03T00:00:00"/>
    <n v="9873"/>
    <n v="152.58000000000001"/>
    <n v="97.44"/>
    <n v="1506422.34"/>
    <n v="962025.12"/>
    <n v="544397.22"/>
  </r>
  <r>
    <x v="1"/>
    <s v="Vatican City"/>
    <s v="Personal Care"/>
    <s v="Offline"/>
    <s v="M"/>
    <s v="4/15/2016"/>
    <n v="626322257"/>
    <d v="2016-05-05T00:00:00"/>
    <n v="1529"/>
    <n v="81.73"/>
    <n v="56.67"/>
    <n v="124965.17"/>
    <n v="86648.43"/>
    <n v="38316.74"/>
  </r>
  <r>
    <x v="4"/>
    <s v="Tonga"/>
    <s v="Vegetables"/>
    <s v="Offline"/>
    <s v="M"/>
    <d v="2012-09-11T00:00:00"/>
    <n v="789572656"/>
    <s v="12/24/2012"/>
    <n v="950"/>
    <n v="154.06"/>
    <n v="90.93"/>
    <n v="146357"/>
    <n v="86383.5"/>
    <n v="59973.5"/>
  </r>
  <r>
    <x v="1"/>
    <s v="Netherlands"/>
    <s v="Baby Food"/>
    <s v="Offline"/>
    <s v="C"/>
    <s v="1/21/2011"/>
    <n v="611766231"/>
    <s v="2/26/2011"/>
    <n v="4077"/>
    <n v="255.28"/>
    <n v="159.41999999999999"/>
    <n v="1040776.56"/>
    <n v="649955.34"/>
    <n v="390821.22"/>
  </r>
  <r>
    <x v="0"/>
    <s v="Honduras"/>
    <s v="Office Supplies"/>
    <s v="Offline"/>
    <s v="C"/>
    <s v="8/21/2011"/>
    <n v="272639310"/>
    <s v="9/29/2011"/>
    <n v="8885"/>
    <n v="651.21"/>
    <n v="524.96"/>
    <n v="5786000.8499999996"/>
    <n v="4664269.5999999996"/>
    <n v="1121731.25"/>
  </r>
  <r>
    <x v="0"/>
    <s v="Honduras"/>
    <s v="Fruits"/>
    <s v="Online"/>
    <s v="H"/>
    <s v="8/22/2012"/>
    <n v="922240722"/>
    <s v="9/29/2012"/>
    <n v="379"/>
    <n v="9.33"/>
    <n v="6.92"/>
    <n v="3536.07"/>
    <n v="2622.68"/>
    <n v="913.39"/>
  </r>
  <r>
    <x v="1"/>
    <s v="Montenegro"/>
    <s v="Baby Food"/>
    <s v="Offline"/>
    <s v="H"/>
    <d v="2013-03-03T00:00:00"/>
    <n v="630931794"/>
    <d v="2013-01-04T00:00:00"/>
    <n v="5593"/>
    <n v="255.28"/>
    <n v="159.41999999999999"/>
    <n v="1427781.04"/>
    <n v="891636.06"/>
    <n v="536144.98"/>
  </r>
  <r>
    <x v="1"/>
    <s v="San Marino"/>
    <s v="Office Supplies"/>
    <s v="Offline"/>
    <s v="L"/>
    <d v="2017-04-03T00:00:00"/>
    <n v="239386355"/>
    <s v="4/20/2017"/>
    <n v="8597"/>
    <n v="651.21"/>
    <n v="524.96"/>
    <n v="5598452.3700000001"/>
    <n v="4513081.12"/>
    <n v="1085371.25"/>
  </r>
  <r>
    <x v="2"/>
    <s v="Bangladesh"/>
    <s v="Clothes"/>
    <s v="Online"/>
    <s v="C"/>
    <d v="2014-11-07T00:00:00"/>
    <n v="208590734"/>
    <s v="8/19/2014"/>
    <n v="5488"/>
    <n v="109.28"/>
    <n v="35.840000000000003"/>
    <n v="599728.64000000001"/>
    <n v="196689.92000000001"/>
    <n v="403038.71999999997"/>
  </r>
  <r>
    <x v="5"/>
    <s v="Cameroon"/>
    <s v="Personal Care"/>
    <s v="Offline"/>
    <s v="M"/>
    <d v="2015-03-02T00:00:00"/>
    <n v="169843757"/>
    <s v="3/19/2015"/>
    <n v="9397"/>
    <n v="81.73"/>
    <n v="56.67"/>
    <n v="768016.81"/>
    <n v="532527.99"/>
    <n v="235488.82"/>
  </r>
  <r>
    <x v="2"/>
    <s v="Philippines"/>
    <s v="Cereal"/>
    <s v="Online"/>
    <s v="H"/>
    <d v="2014-01-09T00:00:00"/>
    <n v="274756753"/>
    <d v="2014-09-09T00:00:00"/>
    <n v="5484"/>
    <n v="205.7"/>
    <n v="117.11"/>
    <n v="1128058.8"/>
    <n v="642231.24"/>
    <n v="485827.56"/>
  </r>
  <r>
    <x v="3"/>
    <s v="Iraq"/>
    <s v="Personal Care"/>
    <s v="Online"/>
    <s v="H"/>
    <s v="11/19/2013"/>
    <n v="745253551"/>
    <d v="2013-12-12T00:00:00"/>
    <n v="5942"/>
    <n v="81.73"/>
    <n v="56.67"/>
    <n v="485639.66"/>
    <n v="336733.14"/>
    <n v="148906.51999999999"/>
  </r>
  <r>
    <x v="5"/>
    <s v="Lesotho"/>
    <s v="Cereal"/>
    <s v="Online"/>
    <s v="C"/>
    <s v="6/15/2014"/>
    <n v="523570477"/>
    <s v="7/23/2014"/>
    <n v="4994"/>
    <n v="205.7"/>
    <n v="117.11"/>
    <n v="1027265.8"/>
    <n v="584847.34"/>
    <n v="442418.46"/>
  </r>
  <r>
    <x v="2"/>
    <s v="Uzbekistan"/>
    <s v="Snacks"/>
    <s v="Online"/>
    <s v="H"/>
    <d v="2015-10-05T00:00:00"/>
    <n v="422256362"/>
    <s v="6/23/2015"/>
    <n v="3896"/>
    <n v="152.58000000000001"/>
    <n v="97.44"/>
    <n v="594451.68000000005"/>
    <n v="379626.23999999999"/>
    <n v="214825.44"/>
  </r>
  <r>
    <x v="1"/>
    <s v="Germany"/>
    <s v="Household"/>
    <s v="Offline"/>
    <s v="M"/>
    <s v="8/21/2016"/>
    <n v="874172532"/>
    <d v="2016-02-10T00:00:00"/>
    <n v="5933"/>
    <n v="668.27"/>
    <n v="502.54"/>
    <n v="3964845.91"/>
    <n v="2981569.82"/>
    <n v="983276.09"/>
  </r>
  <r>
    <x v="4"/>
    <s v="Papua New Guinea"/>
    <s v="Household"/>
    <s v="Offline"/>
    <s v="C"/>
    <s v="8/18/2015"/>
    <n v="582492816"/>
    <d v="2015-11-09T00:00:00"/>
    <n v="1423"/>
    <n v="668.27"/>
    <n v="502.54"/>
    <n v="950948.21"/>
    <n v="715114.42"/>
    <n v="235833.79"/>
  </r>
  <r>
    <x v="1"/>
    <s v="Iceland"/>
    <s v="Personal Care"/>
    <s v="Offline"/>
    <s v="C"/>
    <s v="9/19/2010"/>
    <n v="570703542"/>
    <d v="2010-03-11T00:00:00"/>
    <n v="2715"/>
    <n v="81.73"/>
    <n v="56.67"/>
    <n v="221896.95"/>
    <n v="153859.04999999999"/>
    <n v="68037.899999999994"/>
  </r>
  <r>
    <x v="1"/>
    <s v="Hungary"/>
    <s v="Cosmetics"/>
    <s v="Online"/>
    <s v="M"/>
    <s v="9/20/2012"/>
    <n v="132603538"/>
    <d v="2012-06-11T00:00:00"/>
    <n v="9188"/>
    <n v="437.2"/>
    <n v="263.33"/>
    <n v="4016993.6"/>
    <n v="2419476.04"/>
    <n v="1597517.56"/>
  </r>
  <r>
    <x v="0"/>
    <s v="Panama"/>
    <s v="Cereal"/>
    <s v="Offline"/>
    <s v="M"/>
    <s v="10/20/2010"/>
    <n v="882304131"/>
    <s v="11/25/2010"/>
    <n v="2254"/>
    <n v="205.7"/>
    <n v="117.11"/>
    <n v="463647.8"/>
    <n v="263965.94"/>
    <n v="199681.86"/>
  </r>
  <r>
    <x v="3"/>
    <s v="Tunisia "/>
    <s v="Baby Food"/>
    <s v="Online"/>
    <s v="M"/>
    <s v="2/13/2014"/>
    <n v="904229152"/>
    <s v="2/19/2014"/>
    <n v="355"/>
    <n v="255.28"/>
    <n v="159.41999999999999"/>
    <n v="90624.4"/>
    <n v="56594.1"/>
    <n v="34030.300000000003"/>
  </r>
  <r>
    <x v="3"/>
    <s v="Iraq"/>
    <s v="Office Supplies"/>
    <s v="Offline"/>
    <s v="L"/>
    <d v="2010-06-03T00:00:00"/>
    <n v="603114926"/>
    <s v="3/22/2010"/>
    <n v="3964"/>
    <n v="651.21"/>
    <n v="524.96"/>
    <n v="2581396.44"/>
    <n v="2080941.44"/>
    <n v="500455"/>
  </r>
  <r>
    <x v="5"/>
    <s v="Liberia"/>
    <s v="Snacks"/>
    <s v="Online"/>
    <s v="H"/>
    <s v="1/20/2014"/>
    <n v="454010283"/>
    <s v="1/30/2014"/>
    <n v="587"/>
    <n v="152.58000000000001"/>
    <n v="97.44"/>
    <n v="89564.46"/>
    <n v="57197.279999999999"/>
    <n v="32367.18"/>
  </r>
  <r>
    <x v="1"/>
    <s v="Czech Republic"/>
    <s v="Meat"/>
    <s v="Offline"/>
    <s v="L"/>
    <d v="2011-06-08T00:00:00"/>
    <n v="552276551"/>
    <s v="9/24/2011"/>
    <n v="9759"/>
    <n v="421.89"/>
    <n v="364.69"/>
    <n v="4117224.51"/>
    <n v="3559009.71"/>
    <n v="558214.80000000005"/>
  </r>
  <r>
    <x v="1"/>
    <s v="Macedonia"/>
    <s v="Snacks"/>
    <s v="Offline"/>
    <s v="M"/>
    <s v="3/22/2016"/>
    <n v="163587558"/>
    <s v="4/19/2016"/>
    <n v="8048"/>
    <n v="152.58000000000001"/>
    <n v="97.44"/>
    <n v="1227963.8400000001"/>
    <n v="784197.12"/>
    <n v="443766.72"/>
  </r>
  <r>
    <x v="0"/>
    <s v="Haiti"/>
    <s v="Beverages"/>
    <s v="Offline"/>
    <s v="M"/>
    <s v="2/16/2012"/>
    <n v="873929631"/>
    <s v="2/25/2012"/>
    <n v="4053"/>
    <n v="47.45"/>
    <n v="31.79"/>
    <n v="192314.85"/>
    <n v="128844.87"/>
    <n v="63469.98"/>
  </r>
  <r>
    <x v="5"/>
    <s v="Mauritania"/>
    <s v="Cereal"/>
    <s v="Online"/>
    <s v="L"/>
    <s v="1/26/2011"/>
    <n v="739601600"/>
    <d v="2011-10-03T00:00:00"/>
    <n v="3404"/>
    <n v="205.7"/>
    <n v="117.11"/>
    <n v="700202.8"/>
    <n v="398642.44"/>
    <n v="301560.36"/>
  </r>
  <r>
    <x v="5"/>
    <s v="Nigeria"/>
    <s v="Cosmetics"/>
    <s v="Online"/>
    <s v="M"/>
    <s v="9/25/2010"/>
    <n v="137214791"/>
    <d v="2010-02-11T00:00:00"/>
    <n v="3761"/>
    <n v="437.2"/>
    <n v="263.33"/>
    <n v="1644309.2"/>
    <n v="990384.13"/>
    <n v="653925.06999999995"/>
  </r>
  <r>
    <x v="5"/>
    <s v="Tanzania"/>
    <s v="Fruits"/>
    <s v="Offline"/>
    <s v="C"/>
    <s v="8/26/2013"/>
    <n v="413693034"/>
    <s v="10/13/2013"/>
    <n v="9817"/>
    <n v="9.33"/>
    <n v="6.92"/>
    <n v="91592.61"/>
    <n v="67933.64"/>
    <n v="23658.97"/>
  </r>
  <r>
    <x v="2"/>
    <s v="Laos"/>
    <s v="Fruits"/>
    <s v="Offline"/>
    <s v="H"/>
    <d v="2015-07-11T00:00:00"/>
    <n v="736272656"/>
    <d v="2015-12-12T00:00:00"/>
    <n v="8296"/>
    <n v="9.33"/>
    <n v="6.92"/>
    <n v="77401.679999999993"/>
    <n v="57408.32"/>
    <n v="19993.36"/>
  </r>
  <r>
    <x v="5"/>
    <s v="Nigeria"/>
    <s v="Baby Food"/>
    <s v="Offline"/>
    <s v="L"/>
    <s v="8/18/2010"/>
    <n v="342502486"/>
    <s v="8/18/2010"/>
    <n v="2952"/>
    <n v="255.28"/>
    <n v="159.41999999999999"/>
    <n v="753586.56"/>
    <n v="470607.84"/>
    <n v="282978.71999999997"/>
  </r>
  <r>
    <x v="0"/>
    <s v="Dominica"/>
    <s v="Cosmetics"/>
    <s v="Offline"/>
    <s v="L"/>
    <s v="1/29/2015"/>
    <n v="790243852"/>
    <d v="2015-10-02T00:00:00"/>
    <n v="9572"/>
    <n v="437.2"/>
    <n v="263.33"/>
    <n v="4184878.4"/>
    <n v="2520594.7599999998"/>
    <n v="1664283.64"/>
  </r>
  <r>
    <x v="2"/>
    <s v="Malaysia"/>
    <s v="Personal Care"/>
    <s v="Online"/>
    <s v="M"/>
    <d v="2013-09-04T00:00:00"/>
    <n v="107670581"/>
    <d v="2013-01-05T00:00:00"/>
    <n v="972"/>
    <n v="81.73"/>
    <n v="56.67"/>
    <n v="79441.56"/>
    <n v="55083.24"/>
    <n v="24358.32"/>
  </r>
  <r>
    <x v="4"/>
    <s v="Nauru"/>
    <s v="Household"/>
    <s v="Online"/>
    <s v="H"/>
    <s v="1/24/2013"/>
    <n v="443269002"/>
    <s v="3/13/2013"/>
    <n v="2003"/>
    <n v="668.27"/>
    <n v="502.54"/>
    <n v="1338544.81"/>
    <n v="1006587.62"/>
    <n v="331957.19"/>
  </r>
  <r>
    <x v="1"/>
    <s v="Andorra"/>
    <s v="Baby Food"/>
    <s v="Offline"/>
    <s v="M"/>
    <d v="2012-10-01T00:00:00"/>
    <n v="415837943"/>
    <s v="2/23/2012"/>
    <n v="4543"/>
    <n v="255.28"/>
    <n v="159.41999999999999"/>
    <n v="1159737.04"/>
    <n v="724245.06"/>
    <n v="435491.98"/>
  </r>
  <r>
    <x v="4"/>
    <s v="Papua New Guinea"/>
    <s v="Beverages"/>
    <s v="Offline"/>
    <s v="L"/>
    <d v="2016-08-05T00:00:00"/>
    <n v="964488732"/>
    <d v="2016-06-06T00:00:00"/>
    <n v="2504"/>
    <n v="47.45"/>
    <n v="31.79"/>
    <n v="118814.8"/>
    <n v="79602.16"/>
    <n v="39212.639999999999"/>
  </r>
  <r>
    <x v="1"/>
    <s v="Hungary"/>
    <s v="Baby Food"/>
    <s v="Offline"/>
    <s v="H"/>
    <s v="5/17/2014"/>
    <n v="398645198"/>
    <s v="5/26/2014"/>
    <n v="6828"/>
    <n v="255.28"/>
    <n v="159.41999999999999"/>
    <n v="1743051.84"/>
    <n v="1088519.76"/>
    <n v="654532.07999999996"/>
  </r>
  <r>
    <x v="5"/>
    <s v="Burundi"/>
    <s v="Fruits"/>
    <s v="Online"/>
    <s v="C"/>
    <s v="8/23/2010"/>
    <n v="248043668"/>
    <s v="8/29/2010"/>
    <n v="488"/>
    <n v="9.33"/>
    <n v="6.92"/>
    <n v="4553.04"/>
    <n v="3376.96"/>
    <n v="1176.08"/>
  </r>
  <r>
    <x v="6"/>
    <s v="Canada"/>
    <s v="Cosmetics"/>
    <s v="Online"/>
    <s v="C"/>
    <s v="7/20/2014"/>
    <n v="312732970"/>
    <s v="8/17/2014"/>
    <n v="3490"/>
    <n v="437.2"/>
    <n v="263.33"/>
    <n v="1525828"/>
    <n v="919021.7"/>
    <n v="606806.30000000005"/>
  </r>
  <r>
    <x v="1"/>
    <s v="Latvia"/>
    <s v="Personal Care"/>
    <s v="Offline"/>
    <s v="H"/>
    <d v="2013-02-11T00:00:00"/>
    <n v="913074433"/>
    <s v="12/17/2013"/>
    <n v="7870"/>
    <n v="81.73"/>
    <n v="56.67"/>
    <n v="643215.1"/>
    <n v="445992.9"/>
    <n v="197222.2"/>
  </r>
  <r>
    <x v="3"/>
    <s v="Iraq"/>
    <s v="Household"/>
    <s v="Offline"/>
    <s v="C"/>
    <s v="3/31/2016"/>
    <n v="639741885"/>
    <s v="4/18/2016"/>
    <n v="2695"/>
    <n v="668.27"/>
    <n v="502.54"/>
    <n v="1800987.65"/>
    <n v="1354345.3"/>
    <n v="446642.35"/>
  </r>
  <r>
    <x v="5"/>
    <s v="Angola"/>
    <s v="Office Supplies"/>
    <s v="Online"/>
    <s v="C"/>
    <d v="2015-09-06T00:00:00"/>
    <n v="403721654"/>
    <s v="6/29/2015"/>
    <n v="9064"/>
    <n v="651.21"/>
    <n v="524.96"/>
    <n v="5902567.4400000004"/>
    <n v="4758237.4400000004"/>
    <n v="1144330"/>
  </r>
  <r>
    <x v="2"/>
    <s v="Bhutan"/>
    <s v="Clothes"/>
    <s v="Offline"/>
    <s v="H"/>
    <s v="6/27/2017"/>
    <n v="286312568"/>
    <d v="2017-09-07T00:00:00"/>
    <n v="5106"/>
    <n v="109.28"/>
    <n v="35.840000000000003"/>
    <n v="557983.68000000005"/>
    <n v="182999.04000000001"/>
    <n v="374984.64"/>
  </r>
  <r>
    <x v="1"/>
    <s v="Andorra"/>
    <s v="Fruits"/>
    <s v="Offline"/>
    <s v="H"/>
    <s v="5/27/2014"/>
    <n v="889125955"/>
    <s v="6/15/2014"/>
    <n v="983"/>
    <n v="9.33"/>
    <n v="6.92"/>
    <n v="9171.39"/>
    <n v="6802.36"/>
    <n v="2369.0300000000002"/>
  </r>
  <r>
    <x v="4"/>
    <s v="Australia"/>
    <s v="Beverages"/>
    <s v="Offline"/>
    <s v="M"/>
    <d v="2010-10-08T00:00:00"/>
    <n v="184085643"/>
    <s v="8/14/2010"/>
    <n v="3887"/>
    <n v="47.45"/>
    <n v="31.79"/>
    <n v="184438.15"/>
    <n v="123567.73"/>
    <n v="60870.42"/>
  </r>
  <r>
    <x v="1"/>
    <s v="Austria"/>
    <s v="Fruits"/>
    <s v="Offline"/>
    <s v="H"/>
    <d v="2011-06-08T00:00:00"/>
    <n v="263427960"/>
    <s v="9/20/2011"/>
    <n v="3042"/>
    <n v="9.33"/>
    <n v="6.92"/>
    <n v="28381.86"/>
    <n v="21050.639999999999"/>
    <n v="7331.22"/>
  </r>
  <r>
    <x v="2"/>
    <s v="Sri Lanka"/>
    <s v="Beverages"/>
    <s v="Offline"/>
    <s v="H"/>
    <s v="7/23/2012"/>
    <n v="589701735"/>
    <s v="7/26/2012"/>
    <n v="4703"/>
    <n v="47.45"/>
    <n v="31.79"/>
    <n v="223157.35"/>
    <n v="149508.37"/>
    <n v="73648.98"/>
  </r>
  <r>
    <x v="2"/>
    <s v="Bhutan"/>
    <s v="Vegetables"/>
    <s v="Offline"/>
    <s v="C"/>
    <d v="2017-03-05T00:00:00"/>
    <n v="245768296"/>
    <d v="2017-12-05T00:00:00"/>
    <n v="7155"/>
    <n v="154.06"/>
    <n v="90.93"/>
    <n v="1102299.3"/>
    <n v="650604.15"/>
    <n v="451695.15"/>
  </r>
  <r>
    <x v="4"/>
    <s v="Vanuatu"/>
    <s v="Beverages"/>
    <s v="Offline"/>
    <s v="L"/>
    <s v="11/22/2011"/>
    <n v="184801471"/>
    <s v="12/20/2011"/>
    <n v="5717"/>
    <n v="47.45"/>
    <n v="31.79"/>
    <n v="271271.65000000002"/>
    <n v="181743.43"/>
    <n v="89528.22"/>
  </r>
  <r>
    <x v="4"/>
    <s v="Solomon Islands"/>
    <s v="Baby Food"/>
    <s v="Online"/>
    <s v="M"/>
    <s v="7/21/2013"/>
    <n v="980287587"/>
    <s v="8/30/2013"/>
    <n v="7736"/>
    <n v="255.28"/>
    <n v="159.41999999999999"/>
    <n v="1974846.08"/>
    <n v="1233273.1200000001"/>
    <n v="741572.96"/>
  </r>
  <r>
    <x v="3"/>
    <s v="Tunisia "/>
    <s v="Baby Food"/>
    <s v="Online"/>
    <s v="C"/>
    <s v="3/14/2014"/>
    <n v="576025474"/>
    <s v="3/25/2014"/>
    <n v="7593"/>
    <n v="255.28"/>
    <n v="159.41999999999999"/>
    <n v="1938341.04"/>
    <n v="1210476.06"/>
    <n v="727864.98"/>
  </r>
  <r>
    <x v="2"/>
    <s v="Bangladesh"/>
    <s v="Snacks"/>
    <s v="Online"/>
    <s v="H"/>
    <d v="2014-10-05T00:00:00"/>
    <n v="136126458"/>
    <d v="2014-02-06T00:00:00"/>
    <n v="1699"/>
    <n v="152.58000000000001"/>
    <n v="97.44"/>
    <n v="259233.42"/>
    <n v="165550.56"/>
    <n v="93682.86"/>
  </r>
  <r>
    <x v="5"/>
    <s v="Mali"/>
    <s v="Beverages"/>
    <s v="Online"/>
    <s v="L"/>
    <s v="10/26/2011"/>
    <n v="895014369"/>
    <d v="2011-11-12T00:00:00"/>
    <n v="3496"/>
    <n v="47.45"/>
    <n v="31.79"/>
    <n v="165885.20000000001"/>
    <n v="111137.84"/>
    <n v="54747.360000000001"/>
  </r>
  <r>
    <x v="2"/>
    <s v="Turkmenistan"/>
    <s v="Beverages"/>
    <s v="Online"/>
    <s v="C"/>
    <d v="2013-10-01T00:00:00"/>
    <n v="107425534"/>
    <s v="1/21/2013"/>
    <n v="8458"/>
    <n v="47.45"/>
    <n v="31.79"/>
    <n v="401332.1"/>
    <n v="268879.82"/>
    <n v="132452.28"/>
  </r>
  <r>
    <x v="5"/>
    <s v="Niger"/>
    <s v="Cosmetics"/>
    <s v="Offline"/>
    <s v="M"/>
    <s v="2/15/2014"/>
    <n v="498408782"/>
    <s v="3/28/2014"/>
    <n v="9089"/>
    <n v="437.2"/>
    <n v="263.33"/>
    <n v="3973710.8"/>
    <n v="2393406.37"/>
    <n v="1580304.43"/>
  </r>
  <r>
    <x v="5"/>
    <s v="Benin"/>
    <s v="Cosmetics"/>
    <s v="Online"/>
    <s v="M"/>
    <s v="4/27/2012"/>
    <n v="813325440"/>
    <s v="5/15/2012"/>
    <n v="9927"/>
    <n v="437.2"/>
    <n v="263.33"/>
    <n v="4340084.4000000004"/>
    <n v="2614076.91"/>
    <n v="1726007.49"/>
  </r>
  <r>
    <x v="5"/>
    <s v="The Gambia"/>
    <s v="Baby Food"/>
    <s v="Offline"/>
    <s v="M"/>
    <d v="2017-01-04T00:00:00"/>
    <n v="767849338"/>
    <s v="4/17/2017"/>
    <n v="2537"/>
    <n v="255.28"/>
    <n v="159.41999999999999"/>
    <n v="647645.36"/>
    <n v="404448.54"/>
    <n v="243196.82"/>
  </r>
  <r>
    <x v="3"/>
    <s v="Algeria"/>
    <s v="Fruits"/>
    <s v="Offline"/>
    <s v="L"/>
    <s v="11/18/2016"/>
    <n v="597966802"/>
    <d v="2016-07-12T00:00:00"/>
    <n v="520"/>
    <n v="9.33"/>
    <n v="6.92"/>
    <n v="4851.6000000000004"/>
    <n v="3598.4"/>
    <n v="1253.2"/>
  </r>
  <r>
    <x v="3"/>
    <s v="United Arab Emirates"/>
    <s v="Personal Care"/>
    <s v="Online"/>
    <s v="C"/>
    <s v="8/18/2011"/>
    <n v="609976661"/>
    <s v="8/20/2011"/>
    <n v="4504"/>
    <n v="81.73"/>
    <n v="56.67"/>
    <n v="368111.92"/>
    <n v="255241.68"/>
    <n v="112870.24"/>
  </r>
  <r>
    <x v="1"/>
    <s v="Liechtenstein"/>
    <s v="Meat"/>
    <s v="Online"/>
    <s v="H"/>
    <d v="2010-12-07T00:00:00"/>
    <n v="730490243"/>
    <s v="7/14/2010"/>
    <n v="7151"/>
    <n v="421.89"/>
    <n v="364.69"/>
    <n v="3016935.39"/>
    <n v="2607898.19"/>
    <n v="409037.2"/>
  </r>
  <r>
    <x v="3"/>
    <s v="Yemen"/>
    <s v="Personal Care"/>
    <s v="Online"/>
    <s v="H"/>
    <s v="4/29/2012"/>
    <n v="956431376"/>
    <s v="6/14/2012"/>
    <n v="8153"/>
    <n v="81.73"/>
    <n v="56.67"/>
    <n v="666344.68999999994"/>
    <n v="462030.51"/>
    <n v="204314.18"/>
  </r>
  <r>
    <x v="1"/>
    <s v="Poland"/>
    <s v="Cereal"/>
    <s v="Online"/>
    <s v="L"/>
    <d v="2016-01-11T00:00:00"/>
    <n v="905036389"/>
    <s v="11/20/2016"/>
    <n v="9234"/>
    <n v="205.7"/>
    <n v="117.11"/>
    <n v="1899433.8"/>
    <n v="1081393.74"/>
    <n v="818040.06"/>
  </r>
  <r>
    <x v="4"/>
    <s v="Federated States of Micronesia"/>
    <s v="Meat"/>
    <s v="Offline"/>
    <s v="H"/>
    <s v="7/28/2013"/>
    <n v="263854110"/>
    <s v="7/30/2013"/>
    <n v="9149"/>
    <n v="421.89"/>
    <n v="364.69"/>
    <n v="3859871.61"/>
    <n v="3336548.81"/>
    <n v="523322.8"/>
  </r>
  <r>
    <x v="0"/>
    <s v="Honduras"/>
    <s v="Baby Food"/>
    <s v="Online"/>
    <s v="C"/>
    <d v="2015-02-11T00:00:00"/>
    <n v="140745866"/>
    <d v="2015-06-12T00:00:00"/>
    <n v="8684"/>
    <n v="255.28"/>
    <n v="159.41999999999999"/>
    <n v="2216851.52"/>
    <n v="1384403.28"/>
    <n v="832448.24"/>
  </r>
  <r>
    <x v="5"/>
    <s v="Djibouti"/>
    <s v="Clothes"/>
    <s v="Online"/>
    <s v="C"/>
    <s v="6/28/2011"/>
    <n v="813885486"/>
    <d v="2011-10-08T00:00:00"/>
    <n v="5656"/>
    <n v="109.28"/>
    <n v="35.840000000000003"/>
    <n v="618087.68000000005"/>
    <n v="202711.04000000001"/>
    <n v="415376.64000000001"/>
  </r>
  <r>
    <x v="1"/>
    <s v="Montenegro"/>
    <s v="Clothes"/>
    <s v="Online"/>
    <s v="C"/>
    <d v="2012-04-03T00:00:00"/>
    <n v="381759297"/>
    <s v="3/25/2012"/>
    <n v="9914"/>
    <n v="109.28"/>
    <n v="35.840000000000003"/>
    <n v="1083401.92"/>
    <n v="355317.76000000001"/>
    <n v="728084.16"/>
  </r>
  <r>
    <x v="1"/>
    <s v="Belarus"/>
    <s v="Cosmetics"/>
    <s v="Offline"/>
    <s v="M"/>
    <d v="2011-02-09T00:00:00"/>
    <n v="613166129"/>
    <s v="10/21/2011"/>
    <n v="8338"/>
    <n v="437.2"/>
    <n v="263.33"/>
    <n v="3645373.6"/>
    <n v="2195645.54"/>
    <n v="1449728.06"/>
  </r>
  <r>
    <x v="5"/>
    <s v="Democratic Republic of the Congo"/>
    <s v="Snacks"/>
    <s v="Offline"/>
    <s v="H"/>
    <s v="5/22/2012"/>
    <n v="197217309"/>
    <d v="2012-11-06T00:00:00"/>
    <n v="9839"/>
    <n v="152.58000000000001"/>
    <n v="97.44"/>
    <n v="1501234.62"/>
    <n v="958712.16"/>
    <n v="542522.46"/>
  </r>
  <r>
    <x v="0"/>
    <s v="The Bahamas"/>
    <s v="Clothes"/>
    <s v="Offline"/>
    <s v="M"/>
    <d v="2014-09-01T00:00:00"/>
    <n v="593336665"/>
    <s v="1/24/2014"/>
    <n v="359"/>
    <n v="109.28"/>
    <n v="35.840000000000003"/>
    <n v="39231.519999999997"/>
    <n v="12866.56"/>
    <n v="26364.959999999999"/>
  </r>
  <r>
    <x v="1"/>
    <s v="Ukraine"/>
    <s v="Office Supplies"/>
    <s v="Offline"/>
    <s v="M"/>
    <d v="2017-03-05T00:00:00"/>
    <n v="181260526"/>
    <d v="2017-03-06T00:00:00"/>
    <n v="7872"/>
    <n v="651.21"/>
    <n v="524.96"/>
    <n v="5126325.12"/>
    <n v="4132485.1200000001"/>
    <n v="993840"/>
  </r>
  <r>
    <x v="5"/>
    <s v="Chad"/>
    <s v="Snacks"/>
    <s v="Online"/>
    <s v="L"/>
    <s v="10/14/2012"/>
    <n v="111037719"/>
    <d v="2012-03-12T00:00:00"/>
    <n v="7383"/>
    <n v="152.58000000000001"/>
    <n v="97.44"/>
    <n v="1126498.1399999999"/>
    <n v="719399.52"/>
    <n v="407098.62"/>
  </r>
  <r>
    <x v="2"/>
    <s v="Tajikistan"/>
    <s v="Office Supplies"/>
    <s v="Online"/>
    <s v="M"/>
    <s v="8/16/2014"/>
    <n v="253029572"/>
    <d v="2014-03-09T00:00:00"/>
    <n v="5928"/>
    <n v="651.21"/>
    <n v="524.96"/>
    <n v="3860372.88"/>
    <n v="3111962.88"/>
    <n v="748410"/>
  </r>
  <r>
    <x v="3"/>
    <s v="Algeria"/>
    <s v="Clothes"/>
    <s v="Offline"/>
    <s v="H"/>
    <s v="8/27/2011"/>
    <n v="547909915"/>
    <s v="9/17/2011"/>
    <n v="7574"/>
    <n v="109.28"/>
    <n v="35.840000000000003"/>
    <n v="827686.72"/>
    <n v="271452.15999999997"/>
    <n v="556234.56000000006"/>
  </r>
  <r>
    <x v="2"/>
    <s v="Myanmar"/>
    <s v="Vegetables"/>
    <s v="Online"/>
    <s v="M"/>
    <s v="6/19/2016"/>
    <n v="556665074"/>
    <s v="6/26/2016"/>
    <n v="8421"/>
    <n v="154.06"/>
    <n v="90.93"/>
    <n v="1297339.26"/>
    <n v="765721.53"/>
    <n v="531617.73"/>
  </r>
  <r>
    <x v="0"/>
    <s v="Dominican Republic"/>
    <s v="Household"/>
    <s v="Offline"/>
    <s v="L"/>
    <s v="3/19/2016"/>
    <n v="810593879"/>
    <d v="2016-01-04T00:00:00"/>
    <n v="1597"/>
    <n v="668.27"/>
    <n v="502.54"/>
    <n v="1067227.19"/>
    <n v="802556.38"/>
    <n v="264670.81"/>
  </r>
  <r>
    <x v="3"/>
    <s v="Oman"/>
    <s v="Clothes"/>
    <s v="Offline"/>
    <s v="L"/>
    <d v="2014-04-04T00:00:00"/>
    <n v="561307656"/>
    <d v="2014-12-05T00:00:00"/>
    <n v="2264"/>
    <n v="109.28"/>
    <n v="35.840000000000003"/>
    <n v="247409.92000000001"/>
    <n v="81141.759999999995"/>
    <n v="166268.16"/>
  </r>
  <r>
    <x v="4"/>
    <s v="Fiji"/>
    <s v="Cosmetics"/>
    <s v="Offline"/>
    <s v="L"/>
    <s v="3/27/2011"/>
    <n v="930730235"/>
    <s v="4/15/2011"/>
    <n v="2614"/>
    <n v="437.2"/>
    <n v="263.33"/>
    <n v="1142840.8"/>
    <n v="688344.62"/>
    <n v="454496.18"/>
  </r>
  <r>
    <x v="0"/>
    <s v="Barbados"/>
    <s v="Clothes"/>
    <s v="Online"/>
    <s v="L"/>
    <d v="2016-04-06T00:00:00"/>
    <n v="861097943"/>
    <d v="2016-12-06T00:00:00"/>
    <n v="6872"/>
    <n v="109.28"/>
    <n v="35.840000000000003"/>
    <n v="750972.16"/>
    <n v="246292.48000000001"/>
    <n v="504679.67999999999"/>
  </r>
  <r>
    <x v="1"/>
    <s v="Georgia"/>
    <s v="Snacks"/>
    <s v="Online"/>
    <s v="C"/>
    <d v="2013-01-09T00:00:00"/>
    <n v="264959609"/>
    <s v="10/18/2013"/>
    <n v="6291"/>
    <n v="152.58000000000001"/>
    <n v="97.44"/>
    <n v="959880.78"/>
    <n v="612995.04"/>
    <n v="346885.74"/>
  </r>
  <r>
    <x v="1"/>
    <s v="Malta"/>
    <s v="Fruits"/>
    <s v="Online"/>
    <s v="L"/>
    <s v="7/31/2010"/>
    <n v="475176560"/>
    <d v="2010-04-09T00:00:00"/>
    <n v="4159"/>
    <n v="9.33"/>
    <n v="6.92"/>
    <n v="38803.47"/>
    <n v="28780.28"/>
    <n v="10023.19"/>
  </r>
  <r>
    <x v="1"/>
    <s v="Armenia"/>
    <s v="Baby Food"/>
    <s v="Offline"/>
    <s v="H"/>
    <s v="1/23/2012"/>
    <n v="194922626"/>
    <d v="2012-07-02T00:00:00"/>
    <n v="791"/>
    <n v="255.28"/>
    <n v="159.41999999999999"/>
    <n v="201926.48"/>
    <n v="126101.22"/>
    <n v="75825.259999999995"/>
  </r>
  <r>
    <x v="1"/>
    <s v="France"/>
    <s v="Snacks"/>
    <s v="Offline"/>
    <s v="M"/>
    <d v="2016-03-07T00:00:00"/>
    <n v="447684133"/>
    <s v="8/14/2016"/>
    <n v="8538"/>
    <n v="152.58000000000001"/>
    <n v="97.44"/>
    <n v="1302728.04"/>
    <n v="831942.72"/>
    <n v="470785.32"/>
  </r>
  <r>
    <x v="1"/>
    <s v="Liechtenstein"/>
    <s v="Personal Care"/>
    <s v="Online"/>
    <s v="H"/>
    <d v="2012-04-01T00:00:00"/>
    <n v="527259910"/>
    <d v="2012-11-01T00:00:00"/>
    <n v="6779"/>
    <n v="81.73"/>
    <n v="56.67"/>
    <n v="554047.67000000004"/>
    <n v="384165.93"/>
    <n v="169881.74"/>
  </r>
  <r>
    <x v="2"/>
    <s v="Uzbekistan"/>
    <s v="Beverages"/>
    <s v="Online"/>
    <s v="M"/>
    <s v="6/15/2010"/>
    <n v="247761285"/>
    <d v="2010-03-07T00:00:00"/>
    <n v="6925"/>
    <n v="47.45"/>
    <n v="31.79"/>
    <n v="328591.25"/>
    <n v="220145.75"/>
    <n v="108445.5"/>
  </r>
  <r>
    <x v="0"/>
    <s v="Nicaragua"/>
    <s v="Meat"/>
    <s v="Offline"/>
    <s v="C"/>
    <d v="2013-03-06T00:00:00"/>
    <n v="393612086"/>
    <s v="6/21/2013"/>
    <n v="7418"/>
    <n v="421.89"/>
    <n v="364.69"/>
    <n v="3129580.02"/>
    <n v="2705270.42"/>
    <n v="424309.6"/>
  </r>
  <r>
    <x v="5"/>
    <s v="Rwanda"/>
    <s v="Clothes"/>
    <s v="Offline"/>
    <s v="M"/>
    <s v="12/30/2015"/>
    <n v="469548642"/>
    <s v="1/13/2016"/>
    <n v="8732"/>
    <n v="109.28"/>
    <n v="35.840000000000003"/>
    <n v="954232.96"/>
    <n v="312954.88"/>
    <n v="641278.07999999996"/>
  </r>
  <r>
    <x v="2"/>
    <s v="Vietnam"/>
    <s v="Fruits"/>
    <s v="Online"/>
    <s v="M"/>
    <s v="7/13/2010"/>
    <n v="950619781"/>
    <s v="7/17/2010"/>
    <n v="8373"/>
    <n v="9.33"/>
    <n v="6.92"/>
    <n v="78120.09"/>
    <n v="57941.16"/>
    <n v="20178.93"/>
  </r>
  <r>
    <x v="5"/>
    <s v="Guinea"/>
    <s v="Cosmetics"/>
    <s v="Offline"/>
    <s v="M"/>
    <d v="2013-02-03T00:00:00"/>
    <n v="132186830"/>
    <s v="4/16/2013"/>
    <n v="5875"/>
    <n v="437.2"/>
    <n v="263.33"/>
    <n v="2568550"/>
    <n v="1547063.75"/>
    <n v="1021486.25"/>
  </r>
  <r>
    <x v="1"/>
    <s v="Hungary"/>
    <s v="Baby Food"/>
    <s v="Online"/>
    <s v="M"/>
    <d v="2014-10-08T00:00:00"/>
    <n v="879923617"/>
    <s v="9/15/2014"/>
    <n v="7807"/>
    <n v="255.28"/>
    <n v="159.41999999999999"/>
    <n v="1992970.96"/>
    <n v="1244591.94"/>
    <n v="748379.02"/>
  </r>
  <r>
    <x v="1"/>
    <s v="Portugal"/>
    <s v="Snacks"/>
    <s v="Offline"/>
    <s v="H"/>
    <d v="2014-09-03T00:00:00"/>
    <n v="279816472"/>
    <s v="4/14/2014"/>
    <n v="2767"/>
    <n v="152.58000000000001"/>
    <n v="97.44"/>
    <n v="422188.86"/>
    <n v="269616.48"/>
    <n v="152572.38"/>
  </r>
  <r>
    <x v="4"/>
    <s v="Solomon Islands"/>
    <s v="Beverages"/>
    <s v="Offline"/>
    <s v="C"/>
    <d v="2016-04-02T00:00:00"/>
    <n v="888164222"/>
    <s v="3/20/2016"/>
    <n v="6385"/>
    <n v="47.45"/>
    <n v="31.79"/>
    <n v="302968.25"/>
    <n v="202979.15"/>
    <n v="99989.1"/>
  </r>
  <r>
    <x v="5"/>
    <s v="Cote d'Ivoire"/>
    <s v="Cosmetics"/>
    <s v="Online"/>
    <s v="H"/>
    <d v="2010-11-06T00:00:00"/>
    <n v="381578195"/>
    <d v="2010-05-07T00:00:00"/>
    <n v="6322"/>
    <n v="437.2"/>
    <n v="263.33"/>
    <n v="2763978.4"/>
    <n v="1664772.26"/>
    <n v="1099206.1399999999"/>
  </r>
  <r>
    <x v="5"/>
    <s v="Uganda"/>
    <s v="Household"/>
    <s v="Online"/>
    <s v="M"/>
    <s v="11/27/2014"/>
    <n v="106982219"/>
    <s v="12/22/2014"/>
    <n v="7271"/>
    <n v="668.27"/>
    <n v="502.54"/>
    <n v="4858991.17"/>
    <n v="3653968.34"/>
    <n v="1205022.83"/>
  </r>
  <r>
    <x v="0"/>
    <s v="Haiti"/>
    <s v="Fruits"/>
    <s v="Offline"/>
    <s v="H"/>
    <s v="5/14/2010"/>
    <n v="131612622"/>
    <s v="5/25/2010"/>
    <n v="5954"/>
    <n v="9.33"/>
    <n v="6.92"/>
    <n v="55550.82"/>
    <n v="41201.68"/>
    <n v="14349.14"/>
  </r>
  <r>
    <x v="1"/>
    <s v="Cyprus"/>
    <s v="Snacks"/>
    <s v="Online"/>
    <s v="M"/>
    <d v="2012-05-11T00:00:00"/>
    <n v="593018233"/>
    <d v="2012-11-12T00:00:00"/>
    <n v="6128"/>
    <n v="152.58000000000001"/>
    <n v="97.44"/>
    <n v="935010.24"/>
    <n v="597112.31999999995"/>
    <n v="337897.92"/>
  </r>
  <r>
    <x v="1"/>
    <s v="Macedonia"/>
    <s v="Baby Food"/>
    <s v="Online"/>
    <s v="H"/>
    <s v="9/16/2016"/>
    <n v="349060380"/>
    <s v="9/28/2016"/>
    <n v="3578"/>
    <n v="255.28"/>
    <n v="159.41999999999999"/>
    <n v="913391.84"/>
    <n v="570404.76"/>
    <n v="342987.08"/>
  </r>
  <r>
    <x v="0"/>
    <s v="Trinidad and Tobago"/>
    <s v="Household"/>
    <s v="Online"/>
    <s v="M"/>
    <d v="2013-11-08T00:00:00"/>
    <n v="127912890"/>
    <s v="9/26/2013"/>
    <n v="1122"/>
    <n v="668.27"/>
    <n v="502.54"/>
    <n v="749798.94"/>
    <n v="563849.88"/>
    <n v="185949.06"/>
  </r>
  <r>
    <x v="5"/>
    <s v="Cape Verde"/>
    <s v="Cosmetics"/>
    <s v="Offline"/>
    <s v="C"/>
    <s v="5/27/2011"/>
    <n v="278062093"/>
    <s v="5/28/2011"/>
    <n v="3607"/>
    <n v="437.2"/>
    <n v="263.33"/>
    <n v="1576980.4"/>
    <n v="949831.31"/>
    <n v="627149.09"/>
  </r>
  <r>
    <x v="0"/>
    <s v="Costa Rica"/>
    <s v="Fruits"/>
    <s v="Offline"/>
    <s v="H"/>
    <s v="3/21/2015"/>
    <n v="318306815"/>
    <s v="4/26/2015"/>
    <n v="2915"/>
    <n v="9.33"/>
    <n v="6.92"/>
    <n v="27196.95"/>
    <n v="20171.8"/>
    <n v="7025.15"/>
  </r>
  <r>
    <x v="3"/>
    <s v="Somalia"/>
    <s v="Cereal"/>
    <s v="Online"/>
    <s v="H"/>
    <s v="2/13/2016"/>
    <n v="287758386"/>
    <d v="2016-02-03T00:00:00"/>
    <n v="2956"/>
    <n v="205.7"/>
    <n v="117.11"/>
    <n v="608049.19999999995"/>
    <n v="346177.16"/>
    <n v="261872.04"/>
  </r>
  <r>
    <x v="2"/>
    <s v="Brunei"/>
    <s v="Fruits"/>
    <s v="Offline"/>
    <s v="L"/>
    <d v="2010-03-01T00:00:00"/>
    <n v="295840632"/>
    <d v="2010-06-01T00:00:00"/>
    <n v="4672"/>
    <n v="9.33"/>
    <n v="6.92"/>
    <n v="43589.760000000002"/>
    <n v="32330.240000000002"/>
    <n v="11259.52"/>
  </r>
  <r>
    <x v="2"/>
    <s v="Taiwan"/>
    <s v="Beverages"/>
    <s v="Online"/>
    <s v="H"/>
    <s v="7/30/2016"/>
    <n v="972289884"/>
    <d v="2016-11-08T00:00:00"/>
    <n v="1038"/>
    <n v="47.45"/>
    <n v="31.79"/>
    <n v="49253.1"/>
    <n v="32998.019999999997"/>
    <n v="16255.08"/>
  </r>
  <r>
    <x v="3"/>
    <s v="Afghanistan"/>
    <s v="Vegetables"/>
    <s v="Online"/>
    <s v="C"/>
    <d v="2014-06-12T00:00:00"/>
    <n v="317154967"/>
    <d v="2014-09-12T00:00:00"/>
    <n v="2058"/>
    <n v="154.06"/>
    <n v="90.93"/>
    <n v="317055.48"/>
    <n v="187133.94"/>
    <n v="129921.54"/>
  </r>
  <r>
    <x v="0"/>
    <s v="Guatemala"/>
    <s v="Meat"/>
    <s v="Offline"/>
    <s v="H"/>
    <d v="2015-12-07T00:00:00"/>
    <n v="450797212"/>
    <s v="8/30/2015"/>
    <n v="9767"/>
    <n v="421.89"/>
    <n v="364.69"/>
    <n v="4120599.63"/>
    <n v="3561927.23"/>
    <n v="558672.4"/>
  </r>
  <r>
    <x v="1"/>
    <s v="Latvia"/>
    <s v="Household"/>
    <s v="Offline"/>
    <s v="C"/>
    <s v="12/18/2010"/>
    <n v="863890445"/>
    <s v="12/25/2010"/>
    <n v="3235"/>
    <n v="668.27"/>
    <n v="502.54"/>
    <n v="2161853.4500000002"/>
    <n v="1625716.9"/>
    <n v="536136.55000000005"/>
  </r>
  <r>
    <x v="1"/>
    <s v="Armenia"/>
    <s v="Personal Care"/>
    <s v="Online"/>
    <s v="C"/>
    <s v="1/16/2010"/>
    <n v="667420995"/>
    <s v="1/18/2010"/>
    <n v="3559"/>
    <n v="81.73"/>
    <n v="56.67"/>
    <n v="290877.07"/>
    <n v="201688.53"/>
    <n v="89188.54"/>
  </r>
  <r>
    <x v="1"/>
    <s v="Montenegro"/>
    <s v="Vegetables"/>
    <s v="Offline"/>
    <s v="H"/>
    <d v="2011-10-04T00:00:00"/>
    <n v="842687690"/>
    <s v="5/26/2011"/>
    <n v="8869"/>
    <n v="154.06"/>
    <n v="90.93"/>
    <n v="1366358.14"/>
    <n v="806458.17"/>
    <n v="559899.97"/>
  </r>
  <r>
    <x v="4"/>
    <s v="East Timor"/>
    <s v="Personal Care"/>
    <s v="Offline"/>
    <s v="H"/>
    <s v="3/25/2014"/>
    <n v="191301858"/>
    <d v="2014-06-04T00:00:00"/>
    <n v="9326"/>
    <n v="81.73"/>
    <n v="56.67"/>
    <n v="762213.98"/>
    <n v="528504.42000000004"/>
    <n v="233709.56"/>
  </r>
  <r>
    <x v="3"/>
    <s v="Lebanon"/>
    <s v="Cereal"/>
    <s v="Online"/>
    <s v="L"/>
    <d v="2015-08-10T00:00:00"/>
    <n v="285187327"/>
    <s v="10/22/2015"/>
    <n v="2123"/>
    <n v="205.7"/>
    <n v="117.11"/>
    <n v="436701.1"/>
    <n v="248624.53"/>
    <n v="188076.57"/>
  </r>
  <r>
    <x v="0"/>
    <s v="Grenada"/>
    <s v="Meat"/>
    <s v="Offline"/>
    <s v="M"/>
    <s v="10/20/2013"/>
    <n v="516580426"/>
    <s v="11/18/2013"/>
    <n v="6483"/>
    <n v="421.89"/>
    <n v="364.69"/>
    <n v="2735112.87"/>
    <n v="2364285.27"/>
    <n v="370827.6"/>
  </r>
  <r>
    <x v="5"/>
    <s v="Seychelles "/>
    <s v="Meat"/>
    <s v="Offline"/>
    <s v="L"/>
    <d v="2011-09-02T00:00:00"/>
    <n v="348029983"/>
    <d v="2011-02-03T00:00:00"/>
    <n v="8661"/>
    <n v="421.89"/>
    <n v="364.69"/>
    <n v="3653989.29"/>
    <n v="3158580.09"/>
    <n v="495409.2"/>
  </r>
  <r>
    <x v="0"/>
    <s v="Grenada"/>
    <s v="Office Supplies"/>
    <s v="Offline"/>
    <s v="L"/>
    <d v="2011-07-07T00:00:00"/>
    <n v="662397325"/>
    <s v="7/23/2011"/>
    <n v="6943"/>
    <n v="651.21"/>
    <n v="524.96"/>
    <n v="4521351.03"/>
    <n v="3644797.28"/>
    <n v="876553.75"/>
  </r>
  <r>
    <x v="5"/>
    <s v="Nigeria"/>
    <s v="Snacks"/>
    <s v="Offline"/>
    <s v="L"/>
    <s v="2/19/2016"/>
    <n v="612856280"/>
    <s v="3/24/2016"/>
    <n v="6647"/>
    <n v="152.58000000000001"/>
    <n v="97.44"/>
    <n v="1014199.26"/>
    <n v="647683.68000000005"/>
    <n v="366515.58"/>
  </r>
  <r>
    <x v="1"/>
    <s v="San Marino"/>
    <s v="Beverages"/>
    <s v="Offline"/>
    <s v="L"/>
    <d v="2012-02-01T00:00:00"/>
    <n v="772893178"/>
    <d v="2012-02-01T00:00:00"/>
    <n v="5122"/>
    <n v="47.45"/>
    <n v="31.79"/>
    <n v="243038.9"/>
    <n v="162828.38"/>
    <n v="80210.52"/>
  </r>
  <r>
    <x v="5"/>
    <s v="Mauritius "/>
    <s v="Baby Food"/>
    <s v="Online"/>
    <s v="H"/>
    <s v="9/21/2013"/>
    <n v="886306846"/>
    <s v="10/27/2013"/>
    <n v="6746"/>
    <n v="255.28"/>
    <n v="159.41999999999999"/>
    <n v="1722118.88"/>
    <n v="1075447.32"/>
    <n v="646671.56000000006"/>
  </r>
  <r>
    <x v="2"/>
    <s v="Indonesia"/>
    <s v="Vegetables"/>
    <s v="Online"/>
    <s v="C"/>
    <s v="3/29/2014"/>
    <n v="317208611"/>
    <s v="4/17/2014"/>
    <n v="7932"/>
    <n v="154.06"/>
    <n v="90.93"/>
    <n v="1222003.92"/>
    <n v="721256.76"/>
    <n v="500747.16"/>
  </r>
  <r>
    <x v="5"/>
    <s v="Republic of the Congo"/>
    <s v="Baby Food"/>
    <s v="Offline"/>
    <s v="L"/>
    <d v="2011-11-05T00:00:00"/>
    <n v="300022304"/>
    <d v="2011-02-06T00:00:00"/>
    <n v="2122"/>
    <n v="255.28"/>
    <n v="159.41999999999999"/>
    <n v="541704.16"/>
    <n v="338289.24"/>
    <n v="203414.92"/>
  </r>
  <r>
    <x v="1"/>
    <s v="Czech Republic"/>
    <s v="Snacks"/>
    <s v="Online"/>
    <s v="M"/>
    <d v="2011-05-07T00:00:00"/>
    <n v="789484250"/>
    <s v="7/30/2011"/>
    <n v="4789"/>
    <n v="152.58000000000001"/>
    <n v="97.44"/>
    <n v="730705.62"/>
    <n v="466640.16"/>
    <n v="264065.46000000002"/>
  </r>
  <r>
    <x v="5"/>
    <s v="Republic of the Congo"/>
    <s v="Cereal"/>
    <s v="Offline"/>
    <s v="M"/>
    <d v="2010-03-11T00:00:00"/>
    <n v="910643279"/>
    <s v="12/22/2010"/>
    <n v="8438"/>
    <n v="205.7"/>
    <n v="117.11"/>
    <n v="1735696.6"/>
    <n v="988174.18"/>
    <n v="747522.42"/>
  </r>
  <r>
    <x v="0"/>
    <s v="Saint Kitts and Nevis "/>
    <s v="Meat"/>
    <s v="Offline"/>
    <s v="L"/>
    <s v="2/17/2014"/>
    <n v="308860719"/>
    <s v="3/18/2014"/>
    <n v="7605"/>
    <n v="421.89"/>
    <n v="364.69"/>
    <n v="3208473.45"/>
    <n v="2773467.45"/>
    <n v="435006"/>
  </r>
  <r>
    <x v="3"/>
    <s v="Somalia"/>
    <s v="Snacks"/>
    <s v="Online"/>
    <s v="M"/>
    <s v="11/14/2015"/>
    <n v="499810397"/>
    <s v="12/21/2015"/>
    <n v="3858"/>
    <n v="152.58000000000001"/>
    <n v="97.44"/>
    <n v="588653.64"/>
    <n v="375923.52"/>
    <n v="212730.12"/>
  </r>
  <r>
    <x v="6"/>
    <s v="Greenland"/>
    <s v="Clothes"/>
    <s v="Online"/>
    <s v="C"/>
    <d v="2011-10-08T00:00:00"/>
    <n v="819478642"/>
    <s v="8/18/2011"/>
    <n v="796"/>
    <n v="109.28"/>
    <n v="35.840000000000003"/>
    <n v="86986.880000000005"/>
    <n v="28528.639999999999"/>
    <n v="58458.239999999998"/>
  </r>
  <r>
    <x v="4"/>
    <s v="Palau"/>
    <s v="Baby Food"/>
    <s v="Offline"/>
    <s v="L"/>
    <s v="11/22/2016"/>
    <n v="674164283"/>
    <d v="2016-10-12T00:00:00"/>
    <n v="9048"/>
    <n v="255.28"/>
    <n v="159.41999999999999"/>
    <n v="2309773.44"/>
    <n v="1442432.16"/>
    <n v="867341.28"/>
  </r>
  <r>
    <x v="5"/>
    <s v="Mauritius "/>
    <s v="Cereal"/>
    <s v="Offline"/>
    <s v="L"/>
    <s v="6/22/2010"/>
    <n v="890478646"/>
    <s v="6/24/2010"/>
    <n v="1275"/>
    <n v="205.7"/>
    <n v="117.11"/>
    <n v="262267.5"/>
    <n v="149315.25"/>
    <n v="112952.25"/>
  </r>
  <r>
    <x v="5"/>
    <s v="Mauritania"/>
    <s v="Meat"/>
    <s v="Online"/>
    <s v="M"/>
    <s v="10/26/2013"/>
    <n v="565345561"/>
    <d v="2013-02-12T00:00:00"/>
    <n v="7170"/>
    <n v="421.89"/>
    <n v="364.69"/>
    <n v="3024951.3"/>
    <n v="2614827.2999999998"/>
    <n v="410124"/>
  </r>
  <r>
    <x v="6"/>
    <s v="Canada"/>
    <s v="Household"/>
    <s v="Online"/>
    <s v="H"/>
    <d v="2011-04-08T00:00:00"/>
    <n v="216001355"/>
    <s v="8/15/2011"/>
    <n v="8456"/>
    <n v="668.27"/>
    <n v="502.54"/>
    <n v="5650891.1200000001"/>
    <n v="4249478.24"/>
    <n v="1401412.88"/>
  </r>
  <r>
    <x v="4"/>
    <s v="Palau"/>
    <s v="Beverages"/>
    <s v="Online"/>
    <s v="M"/>
    <d v="2016-10-01T00:00:00"/>
    <n v="429994857"/>
    <d v="2016-11-01T00:00:00"/>
    <n v="3888"/>
    <n v="47.45"/>
    <n v="31.79"/>
    <n v="184485.6"/>
    <n v="123599.52"/>
    <n v="60886.080000000002"/>
  </r>
  <r>
    <x v="4"/>
    <s v="Solomon Islands"/>
    <s v="Office Supplies"/>
    <s v="Online"/>
    <s v="C"/>
    <s v="2/17/2010"/>
    <n v="515187394"/>
    <d v="2010-06-04T00:00:00"/>
    <n v="4253"/>
    <n v="651.21"/>
    <n v="524.96"/>
    <n v="2769596.13"/>
    <n v="2232654.88"/>
    <n v="536941.25"/>
  </r>
  <r>
    <x v="5"/>
    <s v="Nigeria"/>
    <s v="Office Supplies"/>
    <s v="Online"/>
    <s v="L"/>
    <s v="1/24/2012"/>
    <n v="749752795"/>
    <s v="2/23/2012"/>
    <n v="7368"/>
    <n v="651.21"/>
    <n v="524.96"/>
    <n v="4798115.28"/>
    <n v="3867905.28"/>
    <n v="930210"/>
  </r>
  <r>
    <x v="5"/>
    <s v="Comoros"/>
    <s v="Beverages"/>
    <s v="Offline"/>
    <s v="M"/>
    <s v="9/29/2010"/>
    <n v="132177388"/>
    <d v="2010-07-11T00:00:00"/>
    <n v="3081"/>
    <n v="47.45"/>
    <n v="31.79"/>
    <n v="146193.45000000001"/>
    <n v="97944.99"/>
    <n v="48248.46"/>
  </r>
  <r>
    <x v="2"/>
    <s v="Thailand"/>
    <s v="Baby Food"/>
    <s v="Online"/>
    <s v="L"/>
    <d v="2015-06-02T00:00:00"/>
    <n v="431260001"/>
    <d v="2015-11-02T00:00:00"/>
    <n v="8273"/>
    <n v="255.28"/>
    <n v="159.41999999999999"/>
    <n v="2111931.44"/>
    <n v="1318881.6599999999"/>
    <n v="793049.78"/>
  </r>
  <r>
    <x v="1"/>
    <s v="Vatican City"/>
    <s v="Personal Care"/>
    <s v="Offline"/>
    <s v="M"/>
    <s v="5/24/2012"/>
    <n v="336111962"/>
    <s v="6/16/2012"/>
    <n v="1854"/>
    <n v="81.73"/>
    <n v="56.67"/>
    <n v="151527.42000000001"/>
    <n v="105066.18"/>
    <n v="46461.24"/>
  </r>
  <r>
    <x v="5"/>
    <s v="Equatorial Guinea"/>
    <s v="Personal Care"/>
    <s v="Online"/>
    <s v="M"/>
    <s v="6/20/2017"/>
    <n v="406157100"/>
    <s v="7/13/2017"/>
    <n v="9766"/>
    <n v="81.73"/>
    <n v="56.67"/>
    <n v="798175.18"/>
    <n v="553439.22"/>
    <n v="244735.96"/>
  </r>
  <r>
    <x v="1"/>
    <s v="San Marino"/>
    <s v="Household"/>
    <s v="Offline"/>
    <s v="H"/>
    <d v="2015-09-12T00:00:00"/>
    <n v="821131742"/>
    <d v="2015-09-12T00:00:00"/>
    <n v="9985"/>
    <n v="668.27"/>
    <n v="502.54"/>
    <n v="6672675.9500000002"/>
    <n v="5017861.9000000004"/>
    <n v="1654814.05"/>
  </r>
  <r>
    <x v="5"/>
    <s v="Sao Tome and Principe"/>
    <s v="Personal Care"/>
    <s v="Online"/>
    <s v="M"/>
    <s v="5/28/2013"/>
    <n v="931084716"/>
    <d v="2013-07-07T00:00:00"/>
    <n v="7513"/>
    <n v="81.73"/>
    <n v="56.67"/>
    <n v="614037.49"/>
    <n v="425761.71"/>
    <n v="188275.78"/>
  </r>
  <r>
    <x v="5"/>
    <s v="Seychelles "/>
    <s v="Baby Food"/>
    <s v="Offline"/>
    <s v="H"/>
    <s v="7/20/2016"/>
    <n v="606377351"/>
    <s v="8/25/2016"/>
    <n v="9388"/>
    <n v="255.28"/>
    <n v="159.41999999999999"/>
    <n v="2396568.64"/>
    <n v="1496634.96"/>
    <n v="899933.68"/>
  </r>
  <r>
    <x v="5"/>
    <s v="Togo"/>
    <s v="Vegetables"/>
    <s v="Online"/>
    <s v="L"/>
    <d v="2014-07-03T00:00:00"/>
    <n v="687683475"/>
    <d v="2014-01-04T00:00:00"/>
    <n v="9677"/>
    <n v="154.06"/>
    <n v="90.93"/>
    <n v="1490838.62"/>
    <n v="879929.61"/>
    <n v="610909.01"/>
  </r>
  <r>
    <x v="3"/>
    <s v="Somalia"/>
    <s v="Cosmetics"/>
    <s v="Offline"/>
    <s v="C"/>
    <s v="4/23/2011"/>
    <n v="735989415"/>
    <s v="4/27/2011"/>
    <n v="4478"/>
    <n v="437.2"/>
    <n v="263.33"/>
    <n v="1957781.6"/>
    <n v="1179191.74"/>
    <n v="778589.86"/>
  </r>
  <r>
    <x v="0"/>
    <s v="Antigua and Barbuda "/>
    <s v="Snacks"/>
    <s v="Offline"/>
    <s v="M"/>
    <s v="3/27/2010"/>
    <n v="382594001"/>
    <d v="2010-07-04T00:00:00"/>
    <n v="6922"/>
    <n v="152.58000000000001"/>
    <n v="97.44"/>
    <n v="1056158.76"/>
    <n v="674479.68"/>
    <n v="381679.08"/>
  </r>
  <r>
    <x v="1"/>
    <s v="Liechtenstein"/>
    <s v="Household"/>
    <s v="Online"/>
    <s v="M"/>
    <s v="4/27/2014"/>
    <n v="679108560"/>
    <d v="2014-11-06T00:00:00"/>
    <n v="2169"/>
    <n v="668.27"/>
    <n v="502.54"/>
    <n v="1449477.63"/>
    <n v="1090009.26"/>
    <n v="359468.37"/>
  </r>
  <r>
    <x v="5"/>
    <s v="Equatorial Guinea"/>
    <s v="Beverages"/>
    <s v="Online"/>
    <s v="M"/>
    <s v="8/18/2016"/>
    <n v="947456920"/>
    <s v="9/30/2016"/>
    <n v="2412"/>
    <n v="47.45"/>
    <n v="31.79"/>
    <n v="114449.4"/>
    <n v="76677.48"/>
    <n v="37771.919999999998"/>
  </r>
  <r>
    <x v="1"/>
    <s v="Lithuania"/>
    <s v="Personal Care"/>
    <s v="Offline"/>
    <s v="L"/>
    <s v="4/19/2011"/>
    <n v="129875409"/>
    <s v="4/26/2011"/>
    <n v="1875"/>
    <n v="81.73"/>
    <n v="56.67"/>
    <n v="153243.75"/>
    <n v="106256.25"/>
    <n v="46987.5"/>
  </r>
  <r>
    <x v="0"/>
    <s v="Panama"/>
    <s v="Baby Food"/>
    <s v="Offline"/>
    <s v="H"/>
    <s v="6/14/2012"/>
    <n v="838912856"/>
    <d v="2012-11-07T00:00:00"/>
    <n v="1811"/>
    <n v="255.28"/>
    <n v="159.41999999999999"/>
    <n v="462312.08"/>
    <n v="288709.62"/>
    <n v="173602.46"/>
  </r>
  <r>
    <x v="6"/>
    <s v="United States of America"/>
    <s v="Beverages"/>
    <s v="Offline"/>
    <s v="C"/>
    <s v="7/25/2012"/>
    <n v="807430589"/>
    <s v="7/30/2012"/>
    <n v="5509"/>
    <n v="47.45"/>
    <n v="31.79"/>
    <n v="261402.05"/>
    <n v="175131.11"/>
    <n v="86270.94"/>
  </r>
  <r>
    <x v="5"/>
    <s v="Angola"/>
    <s v="Office Supplies"/>
    <s v="Online"/>
    <s v="L"/>
    <s v="7/16/2016"/>
    <n v="538602435"/>
    <s v="8/19/2016"/>
    <n v="3284"/>
    <n v="651.21"/>
    <n v="524.96"/>
    <n v="2138573.64"/>
    <n v="1723968.64"/>
    <n v="414605"/>
  </r>
  <r>
    <x v="1"/>
    <s v="Ireland"/>
    <s v="Fruits"/>
    <s v="Offline"/>
    <s v="H"/>
    <d v="2015-12-03T00:00:00"/>
    <n v="155914723"/>
    <s v="3/29/2015"/>
    <n v="7486"/>
    <n v="9.33"/>
    <n v="6.92"/>
    <n v="69844.38"/>
    <n v="51803.12"/>
    <n v="18041.259999999998"/>
  </r>
  <r>
    <x v="1"/>
    <s v="Spain"/>
    <s v="Fruits"/>
    <s v="Online"/>
    <s v="H"/>
    <d v="2011-09-10T00:00:00"/>
    <n v="753166282"/>
    <s v="11/25/2011"/>
    <n v="7495"/>
    <n v="9.33"/>
    <n v="6.92"/>
    <n v="69928.350000000006"/>
    <n v="51865.4"/>
    <n v="18062.95"/>
  </r>
  <r>
    <x v="5"/>
    <s v="Chad"/>
    <s v="Baby Food"/>
    <s v="Online"/>
    <s v="C"/>
    <s v="7/30/2010"/>
    <n v="344468438"/>
    <s v="8/27/2010"/>
    <n v="4721"/>
    <n v="255.28"/>
    <n v="159.41999999999999"/>
    <n v="1205176.8799999999"/>
    <n v="752621.82"/>
    <n v="452555.06"/>
  </r>
  <r>
    <x v="2"/>
    <s v="Malaysia"/>
    <s v="Cosmetics"/>
    <s v="Offline"/>
    <s v="L"/>
    <s v="3/13/2013"/>
    <n v="614245021"/>
    <s v="3/20/2013"/>
    <n v="7606"/>
    <n v="437.2"/>
    <n v="263.33"/>
    <n v="3325343.2"/>
    <n v="2002887.98"/>
    <n v="1322455.22"/>
  </r>
  <r>
    <x v="0"/>
    <s v="Belize"/>
    <s v="Fruits"/>
    <s v="Online"/>
    <s v="L"/>
    <s v="9/18/2014"/>
    <n v="167232358"/>
    <s v="10/30/2014"/>
    <n v="6626"/>
    <n v="9.33"/>
    <n v="6.92"/>
    <n v="61820.58"/>
    <n v="45851.92"/>
    <n v="15968.66"/>
  </r>
  <r>
    <x v="0"/>
    <s v="Antigua and Barbuda "/>
    <s v="Snacks"/>
    <s v="Online"/>
    <s v="C"/>
    <s v="1/20/2015"/>
    <n v="378479278"/>
    <s v="2/15/2015"/>
    <n v="9284"/>
    <n v="152.58000000000001"/>
    <n v="97.44"/>
    <n v="1416552.72"/>
    <n v="904632.96"/>
    <n v="511919.76"/>
  </r>
  <r>
    <x v="1"/>
    <s v="Andorra"/>
    <s v="Cereal"/>
    <s v="Offline"/>
    <s v="M"/>
    <s v="3/20/2015"/>
    <n v="443347108"/>
    <d v="2015-09-04T00:00:00"/>
    <n v="5116"/>
    <n v="205.7"/>
    <n v="117.11"/>
    <n v="1052361.2"/>
    <n v="599134.76"/>
    <n v="453226.44"/>
  </r>
  <r>
    <x v="1"/>
    <s v="Iceland"/>
    <s v="Office Supplies"/>
    <s v="Online"/>
    <s v="C"/>
    <s v="6/19/2013"/>
    <n v="527509677"/>
    <d v="2013-10-07T00:00:00"/>
    <n v="691"/>
    <n v="651.21"/>
    <n v="524.96"/>
    <n v="449986.11"/>
    <n v="362747.36"/>
    <n v="87238.75"/>
  </r>
  <r>
    <x v="1"/>
    <s v="Ireland"/>
    <s v="Beverages"/>
    <s v="Offline"/>
    <s v="H"/>
    <s v="9/20/2016"/>
    <n v="416953313"/>
    <s v="10/29/2016"/>
    <n v="4606"/>
    <n v="47.45"/>
    <n v="31.79"/>
    <n v="218554.7"/>
    <n v="146424.74"/>
    <n v="72129.960000000006"/>
  </r>
  <r>
    <x v="3"/>
    <s v="Libya"/>
    <s v="Beverages"/>
    <s v="Online"/>
    <s v="M"/>
    <d v="2014-08-01T00:00:00"/>
    <n v="867976844"/>
    <d v="2014-01-02T00:00:00"/>
    <n v="2491"/>
    <n v="47.45"/>
    <n v="31.79"/>
    <n v="118197.95"/>
    <n v="79188.89"/>
    <n v="39009.06"/>
  </r>
  <r>
    <x v="5"/>
    <s v="Burkina Faso"/>
    <s v="Vegetables"/>
    <s v="Offline"/>
    <s v="M"/>
    <s v="8/16/2010"/>
    <n v="457191598"/>
    <s v="9/23/2010"/>
    <n v="2008"/>
    <n v="154.06"/>
    <n v="90.93"/>
    <n v="309352.48"/>
    <n v="182587.44"/>
    <n v="126765.04"/>
  </r>
  <r>
    <x v="4"/>
    <s v="Solomon Islands"/>
    <s v="Fruits"/>
    <s v="Offline"/>
    <s v="H"/>
    <s v="8/19/2016"/>
    <n v="531521403"/>
    <s v="9/19/2016"/>
    <n v="7850"/>
    <n v="9.33"/>
    <n v="6.92"/>
    <n v="73240.5"/>
    <n v="54322"/>
    <n v="18918.5"/>
  </r>
  <r>
    <x v="3"/>
    <s v="Oman"/>
    <s v="Office Supplies"/>
    <s v="Online"/>
    <s v="L"/>
    <d v="2012-06-12T00:00:00"/>
    <n v="258202588"/>
    <s v="12/23/2012"/>
    <n v="6738"/>
    <n v="651.21"/>
    <n v="524.96"/>
    <n v="4387852.9800000004"/>
    <n v="3537180.48"/>
    <n v="850672.5"/>
  </r>
  <r>
    <x v="5"/>
    <s v="Sierra Leone"/>
    <s v="Snacks"/>
    <s v="Online"/>
    <s v="M"/>
    <s v="7/15/2015"/>
    <n v="674783980"/>
    <d v="2015-02-09T00:00:00"/>
    <n v="2430"/>
    <n v="152.58000000000001"/>
    <n v="97.44"/>
    <n v="370769.4"/>
    <n v="236779.2"/>
    <n v="133990.20000000001"/>
  </r>
  <r>
    <x v="1"/>
    <s v="Bosnia and Herzegovina"/>
    <s v="Cereal"/>
    <s v="Online"/>
    <s v="C"/>
    <s v="3/30/2011"/>
    <n v="639126908"/>
    <d v="2011-10-05T00:00:00"/>
    <n v="710"/>
    <n v="205.7"/>
    <n v="117.11"/>
    <n v="146047"/>
    <n v="83148.100000000006"/>
    <n v="62898.9"/>
  </r>
  <r>
    <x v="1"/>
    <s v="Belarus"/>
    <s v="Beverages"/>
    <s v="Online"/>
    <s v="L"/>
    <d v="2014-03-06T00:00:00"/>
    <n v="879405200"/>
    <s v="7/20/2014"/>
    <n v="4396"/>
    <n v="47.45"/>
    <n v="31.79"/>
    <n v="208590.2"/>
    <n v="139748.84"/>
    <n v="68841.36"/>
  </r>
  <r>
    <x v="1"/>
    <s v="Slovenia"/>
    <s v="Beverages"/>
    <s v="Offline"/>
    <s v="H"/>
    <s v="3/17/2010"/>
    <n v="844105184"/>
    <s v="4/20/2010"/>
    <n v="8337"/>
    <n v="47.45"/>
    <n v="31.79"/>
    <n v="395590.65"/>
    <n v="265033.23"/>
    <n v="130557.42"/>
  </r>
  <r>
    <x v="4"/>
    <s v="Kiribati"/>
    <s v="Household"/>
    <s v="Offline"/>
    <s v="C"/>
    <s v="4/24/2011"/>
    <n v="952025687"/>
    <d v="2011-01-05T00:00:00"/>
    <n v="4412"/>
    <n v="668.27"/>
    <n v="502.54"/>
    <n v="2948407.24"/>
    <n v="2217206.48"/>
    <n v="731200.76"/>
  </r>
  <r>
    <x v="0"/>
    <s v="Costa Rica"/>
    <s v="Office Supplies"/>
    <s v="Online"/>
    <s v="C"/>
    <d v="2016-11-05T00:00:00"/>
    <n v="342278039"/>
    <s v="6/16/2016"/>
    <n v="6533"/>
    <n v="651.21"/>
    <n v="524.96"/>
    <n v="4254354.93"/>
    <n v="3429563.68"/>
    <n v="824791.25"/>
  </r>
  <r>
    <x v="5"/>
    <s v="Democratic Republic of the Congo"/>
    <s v="Clothes"/>
    <s v="Online"/>
    <s v="H"/>
    <d v="2013-09-09T00:00:00"/>
    <n v="924286067"/>
    <d v="2013-04-10T00:00:00"/>
    <n v="5642"/>
    <n v="109.28"/>
    <n v="35.840000000000003"/>
    <n v="616557.76"/>
    <n v="202209.28"/>
    <n v="414348.48"/>
  </r>
  <r>
    <x v="0"/>
    <s v="Grenada"/>
    <s v="Clothes"/>
    <s v="Offline"/>
    <s v="L"/>
    <d v="2015-01-06T00:00:00"/>
    <n v="627786099"/>
    <s v="7/18/2015"/>
    <n v="4712"/>
    <n v="109.28"/>
    <n v="35.840000000000003"/>
    <n v="514927.35999999999"/>
    <n v="168878.07999999999"/>
    <n v="346049.28000000003"/>
  </r>
  <r>
    <x v="5"/>
    <s v="Mozambique"/>
    <s v="Household"/>
    <s v="Online"/>
    <s v="M"/>
    <s v="10/15/2015"/>
    <n v="152826964"/>
    <s v="10/22/2015"/>
    <n v="3750"/>
    <n v="668.27"/>
    <n v="502.54"/>
    <n v="2506012.5"/>
    <n v="1884525"/>
    <n v="621487.5"/>
  </r>
  <r>
    <x v="5"/>
    <s v="Sudan"/>
    <s v="Household"/>
    <s v="Online"/>
    <s v="M"/>
    <s v="2/13/2010"/>
    <n v="719769990"/>
    <s v="3/15/2010"/>
    <n v="4790"/>
    <n v="668.27"/>
    <n v="502.54"/>
    <n v="3201013.3"/>
    <n v="2407166.6"/>
    <n v="793846.7"/>
  </r>
  <r>
    <x v="5"/>
    <s v="Benin"/>
    <s v="Snacks"/>
    <s v="Online"/>
    <s v="H"/>
    <s v="9/23/2013"/>
    <n v="919289004"/>
    <s v="10/17/2013"/>
    <n v="6900"/>
    <n v="152.58000000000001"/>
    <n v="97.44"/>
    <n v="1052802"/>
    <n v="672336"/>
    <n v="380466"/>
  </r>
  <r>
    <x v="4"/>
    <s v="Palau"/>
    <s v="Baby Food"/>
    <s v="Online"/>
    <s v="M"/>
    <d v="2012-10-09T00:00:00"/>
    <n v="762370336"/>
    <s v="9/23/2012"/>
    <n v="1179"/>
    <n v="255.28"/>
    <n v="159.41999999999999"/>
    <n v="300975.12"/>
    <n v="187956.18"/>
    <n v="113018.94"/>
  </r>
  <r>
    <x v="4"/>
    <s v="Fiji"/>
    <s v="Cosmetics"/>
    <s v="Online"/>
    <s v="M"/>
    <d v="2013-07-02T00:00:00"/>
    <n v="330312812"/>
    <s v="2/14/2013"/>
    <n v="5756"/>
    <n v="437.2"/>
    <n v="263.33"/>
    <n v="2516523.2000000002"/>
    <n v="1515727.48"/>
    <n v="1000795.72"/>
  </r>
  <r>
    <x v="0"/>
    <s v="Saint Lucia"/>
    <s v="Cereal"/>
    <s v="Online"/>
    <s v="L"/>
    <s v="7/13/2014"/>
    <n v="224727761"/>
    <s v="8/15/2014"/>
    <n v="793"/>
    <n v="205.7"/>
    <n v="117.11"/>
    <n v="163120.1"/>
    <n v="92868.23"/>
    <n v="70251.87"/>
  </r>
  <r>
    <x v="6"/>
    <s v="Mexico"/>
    <s v="Meat"/>
    <s v="Online"/>
    <s v="H"/>
    <s v="10/29/2013"/>
    <n v="217539012"/>
    <s v="10/31/2013"/>
    <n v="3483"/>
    <n v="421.89"/>
    <n v="364.69"/>
    <n v="1469442.87"/>
    <n v="1270215.27"/>
    <n v="199227.6"/>
  </r>
  <r>
    <x v="4"/>
    <s v="Samoa "/>
    <s v="Baby Food"/>
    <s v="Online"/>
    <s v="H"/>
    <s v="6/26/2016"/>
    <n v="600982892"/>
    <d v="2016-07-08T00:00:00"/>
    <n v="3048"/>
    <n v="255.28"/>
    <n v="159.41999999999999"/>
    <n v="778093.44"/>
    <n v="485912.16"/>
    <n v="292181.28000000003"/>
  </r>
  <r>
    <x v="5"/>
    <s v="Botswana"/>
    <s v="Vegetables"/>
    <s v="Online"/>
    <s v="M"/>
    <s v="2/16/2010"/>
    <n v="837608230"/>
    <d v="2010-03-03T00:00:00"/>
    <n v="5744"/>
    <n v="154.06"/>
    <n v="90.93"/>
    <n v="884920.64"/>
    <n v="522301.92"/>
    <n v="362618.72"/>
  </r>
  <r>
    <x v="3"/>
    <s v="Turkey"/>
    <s v="Clothes"/>
    <s v="Offline"/>
    <s v="L"/>
    <s v="9/26/2013"/>
    <n v="910276353"/>
    <s v="9/27/2013"/>
    <n v="9856"/>
    <n v="109.28"/>
    <n v="35.840000000000003"/>
    <n v="1077063.6799999999"/>
    <n v="353239.03999999998"/>
    <n v="723824.64000000001"/>
  </r>
  <r>
    <x v="5"/>
    <s v="Ethiopia"/>
    <s v="Snacks"/>
    <s v="Offline"/>
    <s v="L"/>
    <d v="2013-11-04T00:00:00"/>
    <n v="872161090"/>
    <s v="4/28/2013"/>
    <n v="703"/>
    <n v="152.58000000000001"/>
    <n v="97.44"/>
    <n v="107263.74"/>
    <n v="68500.320000000007"/>
    <n v="38763.42"/>
  </r>
  <r>
    <x v="2"/>
    <s v="Kazakhstan"/>
    <s v="Beverages"/>
    <s v="Offline"/>
    <s v="H"/>
    <d v="2010-06-12T00:00:00"/>
    <n v="396748769"/>
    <s v="1/15/2011"/>
    <n v="5632"/>
    <n v="47.45"/>
    <n v="31.79"/>
    <n v="267238.40000000002"/>
    <n v="179041.28"/>
    <n v="88197.119999999995"/>
  </r>
  <r>
    <x v="1"/>
    <s v="Netherlands"/>
    <s v="Fruits"/>
    <s v="Offline"/>
    <s v="C"/>
    <s v="9/20/2013"/>
    <n v="127838218"/>
    <s v="10/29/2013"/>
    <n v="9024"/>
    <n v="9.33"/>
    <n v="6.92"/>
    <n v="84193.919999999998"/>
    <n v="62446.080000000002"/>
    <n v="21747.84"/>
  </r>
  <r>
    <x v="2"/>
    <s v="Uzbekistan"/>
    <s v="Beverages"/>
    <s v="Online"/>
    <s v="H"/>
    <d v="2014-08-08T00:00:00"/>
    <n v="329540765"/>
    <s v="9/21/2014"/>
    <n v="7290"/>
    <n v="47.45"/>
    <n v="31.79"/>
    <n v="345910.5"/>
    <n v="231749.1"/>
    <n v="114161.4"/>
  </r>
  <r>
    <x v="5"/>
    <s v="Cameroon"/>
    <s v="Fruits"/>
    <s v="Offline"/>
    <s v="H"/>
    <s v="5/15/2011"/>
    <n v="436280238"/>
    <d v="2011-10-06T00:00:00"/>
    <n v="3872"/>
    <n v="9.33"/>
    <n v="6.92"/>
    <n v="36125.760000000002"/>
    <n v="26794.240000000002"/>
    <n v="9331.52"/>
  </r>
  <r>
    <x v="0"/>
    <s v="Cuba"/>
    <s v="Baby Food"/>
    <s v="Offline"/>
    <s v="H"/>
    <s v="6/19/2010"/>
    <n v="402792966"/>
    <d v="2010-04-07T00:00:00"/>
    <n v="4244"/>
    <n v="255.28"/>
    <n v="159.41999999999999"/>
    <n v="1083408.32"/>
    <n v="676578.48"/>
    <n v="406829.84"/>
  </r>
  <r>
    <x v="5"/>
    <s v="Angola"/>
    <s v="Vegetables"/>
    <s v="Online"/>
    <s v="M"/>
    <d v="2015-08-08T00:00:00"/>
    <n v="254127776"/>
    <d v="2015-12-09T00:00:00"/>
    <n v="911"/>
    <n v="154.06"/>
    <n v="90.93"/>
    <n v="140348.66"/>
    <n v="82837.23"/>
    <n v="57511.43"/>
  </r>
  <r>
    <x v="5"/>
    <s v="Burkina Faso"/>
    <s v="Beverages"/>
    <s v="Online"/>
    <s v="M"/>
    <s v="5/31/2016"/>
    <n v="535645997"/>
    <s v="6/18/2016"/>
    <n v="8409"/>
    <n v="47.45"/>
    <n v="31.79"/>
    <n v="399007.05"/>
    <n v="267322.11"/>
    <n v="131684.94"/>
  </r>
  <r>
    <x v="5"/>
    <s v="Kenya"/>
    <s v="Clothes"/>
    <s v="Offline"/>
    <s v="M"/>
    <s v="12/19/2014"/>
    <n v="963021457"/>
    <s v="1/25/2015"/>
    <n v="8304"/>
    <n v="109.28"/>
    <n v="35.840000000000003"/>
    <n v="907461.12"/>
    <n v="297615.35999999999"/>
    <n v="609845.76000000001"/>
  </r>
  <r>
    <x v="4"/>
    <s v="Tonga"/>
    <s v="Office Supplies"/>
    <s v="Online"/>
    <s v="L"/>
    <s v="5/18/2014"/>
    <n v="872240483"/>
    <s v="6/13/2014"/>
    <n v="4197"/>
    <n v="651.21"/>
    <n v="524.96"/>
    <n v="2733128.37"/>
    <n v="2203257.12"/>
    <n v="529871.25"/>
  </r>
  <r>
    <x v="5"/>
    <s v="Democratic Republic of the Congo"/>
    <s v="Household"/>
    <s v="Offline"/>
    <s v="C"/>
    <s v="1/21/2015"/>
    <n v="569601905"/>
    <d v="2015-02-02T00:00:00"/>
    <n v="6716"/>
    <n v="668.27"/>
    <n v="502.54"/>
    <n v="4488101.32"/>
    <n v="3375058.64"/>
    <n v="1113042.68"/>
  </r>
  <r>
    <x v="1"/>
    <s v="Belgium"/>
    <s v="Snacks"/>
    <s v="Online"/>
    <s v="M"/>
    <s v="11/22/2010"/>
    <n v="881717050"/>
    <s v="12/23/2010"/>
    <n v="8524"/>
    <n v="152.58000000000001"/>
    <n v="97.44"/>
    <n v="1300591.92"/>
    <n v="830578.56"/>
    <n v="470013.36"/>
  </r>
  <r>
    <x v="1"/>
    <s v="Macedonia"/>
    <s v="Household"/>
    <s v="Offline"/>
    <s v="L"/>
    <s v="10/13/2015"/>
    <n v="905509746"/>
    <s v="10/20/2015"/>
    <n v="9311"/>
    <n v="668.27"/>
    <n v="502.54"/>
    <n v="6222261.9699999997"/>
    <n v="4679149.9400000004"/>
    <n v="1543112.03"/>
  </r>
  <r>
    <x v="5"/>
    <s v="Botswana"/>
    <s v="Office Supplies"/>
    <s v="Online"/>
    <s v="H"/>
    <s v="5/23/2014"/>
    <n v="258216321"/>
    <s v="6/23/2014"/>
    <n v="802"/>
    <n v="651.21"/>
    <n v="524.96"/>
    <n v="522270.42"/>
    <n v="421017.92"/>
    <n v="101252.5"/>
  </r>
  <r>
    <x v="2"/>
    <s v="Japan"/>
    <s v="Meat"/>
    <s v="Offline"/>
    <s v="H"/>
    <s v="5/18/2011"/>
    <n v="427385604"/>
    <s v="6/15/2011"/>
    <n v="1752"/>
    <n v="421.89"/>
    <n v="364.69"/>
    <n v="739151.28"/>
    <n v="638936.88"/>
    <n v="100214.39999999999"/>
  </r>
  <r>
    <x v="1"/>
    <s v="Liechtenstein"/>
    <s v="Baby Food"/>
    <s v="Online"/>
    <s v="H"/>
    <s v="6/22/2012"/>
    <n v="720878922"/>
    <d v="2012-01-08T00:00:00"/>
    <n v="2948"/>
    <n v="255.28"/>
    <n v="159.41999999999999"/>
    <n v="752565.44"/>
    <n v="469970.16"/>
    <n v="282595.28000000003"/>
  </r>
  <r>
    <x v="2"/>
    <s v="Brunei"/>
    <s v="Fruits"/>
    <s v="Offline"/>
    <s v="L"/>
    <d v="2013-09-02T00:00:00"/>
    <n v="516870105"/>
    <s v="3/27/2013"/>
    <n v="2205"/>
    <n v="9.33"/>
    <n v="6.92"/>
    <n v="20572.650000000001"/>
    <n v="15258.6"/>
    <n v="5314.05"/>
  </r>
  <r>
    <x v="2"/>
    <s v="Japan"/>
    <s v="Fruits"/>
    <s v="Offline"/>
    <s v="H"/>
    <d v="2017-12-05T00:00:00"/>
    <n v="613845479"/>
    <s v="6/17/2017"/>
    <n v="9373"/>
    <n v="9.33"/>
    <n v="6.92"/>
    <n v="87450.09"/>
    <n v="64861.16"/>
    <n v="22588.93"/>
  </r>
  <r>
    <x v="2"/>
    <s v="Cambodia"/>
    <s v="Cereal"/>
    <s v="Offline"/>
    <s v="H"/>
    <d v="2011-06-06T00:00:00"/>
    <n v="980603873"/>
    <s v="7/17/2011"/>
    <n v="1332"/>
    <n v="205.7"/>
    <n v="117.11"/>
    <n v="273992.40000000002"/>
    <n v="155990.51999999999"/>
    <n v="118001.88"/>
  </r>
  <r>
    <x v="1"/>
    <s v="Italy"/>
    <s v="Personal Care"/>
    <s v="Offline"/>
    <s v="L"/>
    <s v="11/14/2012"/>
    <n v="306256616"/>
    <s v="11/18/2012"/>
    <n v="6993"/>
    <n v="81.73"/>
    <n v="56.67"/>
    <n v="571537.89"/>
    <n v="396293.31"/>
    <n v="175244.58"/>
  </r>
  <r>
    <x v="4"/>
    <s v="Samoa "/>
    <s v="Household"/>
    <s v="Offline"/>
    <s v="L"/>
    <s v="10/24/2013"/>
    <n v="950227534"/>
    <d v="2013-02-11T00:00:00"/>
    <n v="2298"/>
    <n v="668.27"/>
    <n v="502.54"/>
    <n v="1535684.46"/>
    <n v="1154836.92"/>
    <n v="380847.54"/>
  </r>
  <r>
    <x v="1"/>
    <s v="Spain"/>
    <s v="Cereal"/>
    <s v="Offline"/>
    <s v="M"/>
    <d v="2015-04-01T00:00:00"/>
    <n v="392252957"/>
    <s v="2/22/2015"/>
    <n v="5222"/>
    <n v="205.7"/>
    <n v="117.11"/>
    <n v="1074165.3999999999"/>
    <n v="611548.42000000004"/>
    <n v="462616.98"/>
  </r>
  <r>
    <x v="2"/>
    <s v="Kyrgyzstan"/>
    <s v="Personal Care"/>
    <s v="Online"/>
    <s v="M"/>
    <d v="2014-01-07T00:00:00"/>
    <n v="682381713"/>
    <d v="2014-08-07T00:00:00"/>
    <n v="768"/>
    <n v="81.73"/>
    <n v="56.67"/>
    <n v="62768.639999999999"/>
    <n v="43522.559999999998"/>
    <n v="19246.080000000002"/>
  </r>
  <r>
    <x v="5"/>
    <s v="Benin"/>
    <s v="Clothes"/>
    <s v="Online"/>
    <s v="H"/>
    <s v="5/19/2011"/>
    <n v="790975129"/>
    <s v="6/20/2011"/>
    <n v="5973"/>
    <n v="109.28"/>
    <n v="35.840000000000003"/>
    <n v="652729.43999999994"/>
    <n v="214072.32000000001"/>
    <n v="438657.12"/>
  </r>
  <r>
    <x v="5"/>
    <s v="Chad"/>
    <s v="Cosmetics"/>
    <s v="Offline"/>
    <s v="L"/>
    <d v="2017-07-03T00:00:00"/>
    <n v="658707034"/>
    <s v="3/13/2017"/>
    <n v="4904"/>
    <n v="437.2"/>
    <n v="263.33"/>
    <n v="2144028.7999999998"/>
    <n v="1291370.32"/>
    <n v="852658.48"/>
  </r>
  <r>
    <x v="1"/>
    <s v="Norway"/>
    <s v="Cosmetics"/>
    <s v="Offline"/>
    <s v="C"/>
    <s v="3/14/2014"/>
    <n v="746563756"/>
    <d v="2014-12-04T00:00:00"/>
    <n v="3661"/>
    <n v="437.2"/>
    <n v="263.33"/>
    <n v="1600589.2"/>
    <n v="964051.13"/>
    <n v="636538.06999999995"/>
  </r>
  <r>
    <x v="0"/>
    <s v="Cuba"/>
    <s v="Fruits"/>
    <s v="Offline"/>
    <s v="M"/>
    <s v="4/21/2012"/>
    <n v="685844123"/>
    <s v="5/28/2012"/>
    <n v="5372"/>
    <n v="9.33"/>
    <n v="6.92"/>
    <n v="50120.76"/>
    <n v="37174.239999999998"/>
    <n v="12946.52"/>
  </r>
  <r>
    <x v="0"/>
    <s v="Saint Vincent and the Grenadines"/>
    <s v="Clothes"/>
    <s v="Offline"/>
    <s v="M"/>
    <d v="2014-10-11T00:00:00"/>
    <n v="628159463"/>
    <d v="2014-09-12T00:00:00"/>
    <n v="5199"/>
    <n v="109.28"/>
    <n v="35.840000000000003"/>
    <n v="568146.72"/>
    <n v="186332.16"/>
    <n v="381814.56"/>
  </r>
  <r>
    <x v="0"/>
    <s v="Haiti"/>
    <s v="Snacks"/>
    <s v="Online"/>
    <s v="L"/>
    <d v="2014-05-12T00:00:00"/>
    <n v="795433604"/>
    <s v="1/19/2015"/>
    <n v="5335"/>
    <n v="152.58000000000001"/>
    <n v="97.44"/>
    <n v="814014.3"/>
    <n v="519842.4"/>
    <n v="294171.90000000002"/>
  </r>
  <r>
    <x v="1"/>
    <s v="Bulgaria"/>
    <s v="Household"/>
    <s v="Online"/>
    <s v="C"/>
    <s v="3/21/2014"/>
    <n v="129902875"/>
    <s v="4/24/2014"/>
    <n v="2"/>
    <n v="668.27"/>
    <n v="502.54"/>
    <n v="1336.54"/>
    <n v="1005.08"/>
    <n v="331.46"/>
  </r>
  <r>
    <x v="4"/>
    <s v="Samoa "/>
    <s v="Office Supplies"/>
    <s v="Offline"/>
    <s v="M"/>
    <s v="9/17/2011"/>
    <n v="344116103"/>
    <s v="10/23/2011"/>
    <n v="457"/>
    <n v="651.21"/>
    <n v="524.96"/>
    <n v="297602.96999999997"/>
    <n v="239906.72"/>
    <n v="57696.25"/>
  </r>
  <r>
    <x v="5"/>
    <s v="Equatorial Guinea"/>
    <s v="Snacks"/>
    <s v="Online"/>
    <s v="M"/>
    <d v="2015-10-01T00:00:00"/>
    <n v="970934617"/>
    <s v="1/15/2015"/>
    <n v="9984"/>
    <n v="152.58000000000001"/>
    <n v="97.44"/>
    <n v="1523358.72"/>
    <n v="972840.95999999996"/>
    <n v="550517.76000000001"/>
  </r>
  <r>
    <x v="2"/>
    <s v="Philippines"/>
    <s v="Cereal"/>
    <s v="Online"/>
    <s v="L"/>
    <d v="2013-02-12T00:00:00"/>
    <n v="713532245"/>
    <d v="2014-03-01T00:00:00"/>
    <n v="8902"/>
    <n v="205.7"/>
    <n v="117.11"/>
    <n v="1831141.4"/>
    <n v="1042513.22"/>
    <n v="788628.18"/>
  </r>
  <r>
    <x v="1"/>
    <s v="San Marino"/>
    <s v="Beverages"/>
    <s v="Offline"/>
    <s v="M"/>
    <d v="2014-10-05T00:00:00"/>
    <n v="595395314"/>
    <s v="5/30/2014"/>
    <n v="9559"/>
    <n v="47.45"/>
    <n v="31.79"/>
    <n v="453574.55"/>
    <n v="303880.61"/>
    <n v="149693.94"/>
  </r>
  <r>
    <x v="0"/>
    <s v="Trinidad and Tobago"/>
    <s v="Cereal"/>
    <s v="Offline"/>
    <s v="L"/>
    <d v="2012-02-01T00:00:00"/>
    <n v="810322654"/>
    <s v="1/15/2012"/>
    <n v="1335"/>
    <n v="205.7"/>
    <n v="117.11"/>
    <n v="274609.5"/>
    <n v="156341.85"/>
    <n v="118267.65"/>
  </r>
  <r>
    <x v="1"/>
    <s v="Denmark"/>
    <s v="Fruits"/>
    <s v="Online"/>
    <s v="L"/>
    <d v="2011-04-03T00:00:00"/>
    <n v="272425591"/>
    <s v="3/21/2011"/>
    <n v="5641"/>
    <n v="9.33"/>
    <n v="6.92"/>
    <n v="52630.53"/>
    <n v="39035.72"/>
    <n v="13594.81"/>
  </r>
  <r>
    <x v="0"/>
    <s v="Costa Rica"/>
    <s v="Cereal"/>
    <s v="Offline"/>
    <s v="L"/>
    <d v="2013-12-06T00:00:00"/>
    <n v="666127955"/>
    <d v="2013-08-07T00:00:00"/>
    <n v="920"/>
    <n v="205.7"/>
    <n v="117.11"/>
    <n v="189244"/>
    <n v="107741.2"/>
    <n v="81502.8"/>
  </r>
  <r>
    <x v="1"/>
    <s v="Germany"/>
    <s v="Baby Food"/>
    <s v="Offline"/>
    <s v="H"/>
    <s v="11/27/2013"/>
    <n v="596166074"/>
    <s v="1/13/2014"/>
    <n v="7644"/>
    <n v="255.28"/>
    <n v="159.41999999999999"/>
    <n v="1951360.32"/>
    <n v="1218606.48"/>
    <n v="732753.84"/>
  </r>
  <r>
    <x v="2"/>
    <s v="India"/>
    <s v="Personal Care"/>
    <s v="Offline"/>
    <s v="C"/>
    <s v="6/23/2012"/>
    <n v="537588775"/>
    <s v="7/19/2012"/>
    <n v="3320"/>
    <n v="81.73"/>
    <n v="56.67"/>
    <n v="271343.59999999998"/>
    <n v="188144.4"/>
    <n v="83199.199999999997"/>
  </r>
  <r>
    <x v="5"/>
    <s v="Sao Tome and Principe"/>
    <s v="Cereal"/>
    <s v="Offline"/>
    <s v="L"/>
    <s v="2/28/2010"/>
    <n v="585757386"/>
    <s v="3/23/2010"/>
    <n v="7482"/>
    <n v="205.7"/>
    <n v="117.11"/>
    <n v="1539047.4"/>
    <n v="876217.02"/>
    <n v="662830.38"/>
  </r>
  <r>
    <x v="1"/>
    <s v="Netherlands"/>
    <s v="Beverages"/>
    <s v="Offline"/>
    <s v="C"/>
    <s v="10/18/2012"/>
    <n v="906345736"/>
    <s v="11/21/2012"/>
    <n v="6699"/>
    <n v="47.45"/>
    <n v="31.79"/>
    <n v="317867.55"/>
    <n v="212961.21"/>
    <n v="104906.34"/>
  </r>
  <r>
    <x v="1"/>
    <s v="Germany"/>
    <s v="Cosmetics"/>
    <s v="Offline"/>
    <s v="M"/>
    <s v="2/26/2012"/>
    <n v="385340154"/>
    <s v="3/18/2012"/>
    <n v="9569"/>
    <n v="437.2"/>
    <n v="263.33"/>
    <n v="4183566.8"/>
    <n v="2519804.77"/>
    <n v="1663762.03"/>
  </r>
  <r>
    <x v="1"/>
    <s v="Sweden"/>
    <s v="Cosmetics"/>
    <s v="Offline"/>
    <s v="H"/>
    <d v="2012-03-06T00:00:00"/>
    <n v="679039466"/>
    <d v="2012-05-07T00:00:00"/>
    <n v="1723"/>
    <n v="437.2"/>
    <n v="263.33"/>
    <n v="753295.6"/>
    <n v="453717.59"/>
    <n v="299578.01"/>
  </r>
  <r>
    <x v="5"/>
    <s v="Cameroon"/>
    <s v="Household"/>
    <s v="Offline"/>
    <s v="L"/>
    <s v="4/13/2011"/>
    <n v="364055001"/>
    <s v="5/13/2011"/>
    <n v="820"/>
    <n v="668.27"/>
    <n v="502.54"/>
    <n v="547981.4"/>
    <n v="412082.8"/>
    <n v="135898.6"/>
  </r>
  <r>
    <x v="2"/>
    <s v="Tajikistan"/>
    <s v="Baby Food"/>
    <s v="Online"/>
    <s v="H"/>
    <d v="2011-06-04T00:00:00"/>
    <n v="787310588"/>
    <s v="4/21/2011"/>
    <n v="1554"/>
    <n v="255.28"/>
    <n v="159.41999999999999"/>
    <n v="396705.12"/>
    <n v="247738.68"/>
    <n v="148966.44"/>
  </r>
  <r>
    <x v="5"/>
    <s v="Swaziland"/>
    <s v="Clothes"/>
    <s v="Online"/>
    <s v="H"/>
    <s v="12/20/2015"/>
    <n v="216042554"/>
    <s v="12/20/2015"/>
    <n v="647"/>
    <n v="109.28"/>
    <n v="35.840000000000003"/>
    <n v="70704.160000000003"/>
    <n v="23188.48"/>
    <n v="47515.68"/>
  </r>
  <r>
    <x v="1"/>
    <s v="San Marino"/>
    <s v="Baby Food"/>
    <s v="Offline"/>
    <s v="L"/>
    <s v="2/15/2011"/>
    <n v="587799727"/>
    <s v="3/27/2011"/>
    <n v="1856"/>
    <n v="255.28"/>
    <n v="159.41999999999999"/>
    <n v="473799.67999999999"/>
    <n v="295883.52000000002"/>
    <n v="177916.16"/>
  </r>
  <r>
    <x v="3"/>
    <s v="United Arab Emirates"/>
    <s v="Fruits"/>
    <s v="Online"/>
    <s v="L"/>
    <s v="10/27/2013"/>
    <n v="760443437"/>
    <s v="12/13/2013"/>
    <n v="966"/>
    <n v="9.33"/>
    <n v="6.92"/>
    <n v="9012.7800000000007"/>
    <n v="6684.72"/>
    <n v="2328.06"/>
  </r>
  <r>
    <x v="2"/>
    <s v="Bangladesh"/>
    <s v="Office Supplies"/>
    <s v="Offline"/>
    <s v="M"/>
    <s v="9/15/2015"/>
    <n v="562147510"/>
    <d v="2015-11-10T00:00:00"/>
    <n v="795"/>
    <n v="651.21"/>
    <n v="524.96"/>
    <n v="517711.95"/>
    <n v="417343.2"/>
    <n v="100368.75"/>
  </r>
  <r>
    <x v="1"/>
    <s v="Georgia"/>
    <s v="Snacks"/>
    <s v="Offline"/>
    <s v="L"/>
    <s v="1/22/2017"/>
    <n v="341398274"/>
    <d v="2017-07-03T00:00:00"/>
    <n v="6191"/>
    <n v="152.58000000000001"/>
    <n v="97.44"/>
    <n v="944622.78"/>
    <n v="603251.04"/>
    <n v="341371.74"/>
  </r>
  <r>
    <x v="1"/>
    <s v="Greece"/>
    <s v="Fruits"/>
    <s v="Offline"/>
    <s v="H"/>
    <s v="6/14/2015"/>
    <n v="516994559"/>
    <s v="6/20/2015"/>
    <n v="9034"/>
    <n v="9.33"/>
    <n v="6.92"/>
    <n v="84287.22"/>
    <n v="62515.28"/>
    <n v="21771.94"/>
  </r>
  <r>
    <x v="4"/>
    <s v="Papua New Guinea"/>
    <s v="Beverages"/>
    <s v="Offline"/>
    <s v="C"/>
    <s v="1/27/2017"/>
    <n v="228047692"/>
    <s v="2/27/2017"/>
    <n v="3235"/>
    <n v="47.45"/>
    <n v="31.79"/>
    <n v="153500.75"/>
    <n v="102840.65"/>
    <n v="50660.1"/>
  </r>
  <r>
    <x v="1"/>
    <s v="Slovenia"/>
    <s v="Office Supplies"/>
    <s v="Online"/>
    <s v="H"/>
    <d v="2010-09-04T00:00:00"/>
    <n v="483981502"/>
    <d v="2010-04-05T00:00:00"/>
    <n v="9736"/>
    <n v="651.21"/>
    <n v="524.96"/>
    <n v="6340180.5599999996"/>
    <n v="5111010.5599999996"/>
    <n v="1229170"/>
  </r>
  <r>
    <x v="3"/>
    <s v="Azerbaijan"/>
    <s v="Clothes"/>
    <s v="Offline"/>
    <s v="M"/>
    <s v="9/22/2014"/>
    <n v="114532315"/>
    <s v="9/30/2014"/>
    <n v="1512"/>
    <n v="109.28"/>
    <n v="35.840000000000003"/>
    <n v="165231.35999999999"/>
    <n v="54190.080000000002"/>
    <n v="111041.28"/>
  </r>
  <r>
    <x v="0"/>
    <s v="Barbados"/>
    <s v="Fruits"/>
    <s v="Offline"/>
    <s v="H"/>
    <d v="2017-11-02T00:00:00"/>
    <n v="719748961"/>
    <s v="3/23/2017"/>
    <n v="8567"/>
    <n v="9.33"/>
    <n v="6.92"/>
    <n v="79930.11"/>
    <n v="59283.64"/>
    <n v="20646.47"/>
  </r>
  <r>
    <x v="3"/>
    <s v="Oman"/>
    <s v="Cereal"/>
    <s v="Online"/>
    <s v="H"/>
    <d v="2012-03-10T00:00:00"/>
    <n v="819992768"/>
    <s v="11/13/2012"/>
    <n v="2937"/>
    <n v="205.7"/>
    <n v="117.11"/>
    <n v="604140.9"/>
    <n v="343952.07"/>
    <n v="260188.83"/>
  </r>
  <r>
    <x v="2"/>
    <s v="Bhutan"/>
    <s v="Cosmetics"/>
    <s v="Offline"/>
    <s v="C"/>
    <s v="12/18/2016"/>
    <n v="805937564"/>
    <d v="2017-07-01T00:00:00"/>
    <n v="3690"/>
    <n v="437.2"/>
    <n v="263.33"/>
    <n v="1613268"/>
    <n v="971687.7"/>
    <n v="641580.30000000005"/>
  </r>
  <r>
    <x v="5"/>
    <s v="Chad"/>
    <s v="Personal Care"/>
    <s v="Online"/>
    <s v="C"/>
    <s v="10/27/2015"/>
    <n v="688569676"/>
    <s v="10/29/2015"/>
    <n v="1924"/>
    <n v="81.73"/>
    <n v="56.67"/>
    <n v="157248.51999999999"/>
    <n v="109033.08"/>
    <n v="48215.44"/>
  </r>
  <r>
    <x v="1"/>
    <s v="Slovakia"/>
    <s v="Cosmetics"/>
    <s v="Online"/>
    <s v="H"/>
    <s v="5/30/2015"/>
    <n v="549187934"/>
    <s v="7/17/2015"/>
    <n v="5769"/>
    <n v="437.2"/>
    <n v="263.33"/>
    <n v="2522206.7999999998"/>
    <n v="1519150.77"/>
    <n v="1003056.03"/>
  </r>
  <r>
    <x v="1"/>
    <s v="Macedonia"/>
    <s v="Clothes"/>
    <s v="Online"/>
    <s v="M"/>
    <s v="4/22/2015"/>
    <n v="989403665"/>
    <s v="5/25/2015"/>
    <n v="5386"/>
    <n v="109.28"/>
    <n v="35.840000000000003"/>
    <n v="588582.07999999996"/>
    <n v="193034.23999999999"/>
    <n v="395547.84"/>
  </r>
  <r>
    <x v="4"/>
    <s v="Federated States of Micronesia"/>
    <s v="Baby Food"/>
    <s v="Online"/>
    <s v="C"/>
    <d v="2012-11-05T00:00:00"/>
    <n v="881140697"/>
    <s v="5/29/2012"/>
    <n v="7968"/>
    <n v="255.28"/>
    <n v="159.41999999999999"/>
    <n v="2034071.04"/>
    <n v="1270258.56"/>
    <n v="763812.48"/>
  </r>
  <r>
    <x v="1"/>
    <s v="Lithuania"/>
    <s v="Household"/>
    <s v="Online"/>
    <s v="H"/>
    <s v="1/25/2012"/>
    <n v="516635358"/>
    <s v="2/26/2012"/>
    <n v="2738"/>
    <n v="668.27"/>
    <n v="502.54"/>
    <n v="1829723.26"/>
    <n v="1375954.52"/>
    <n v="453768.74"/>
  </r>
  <r>
    <x v="6"/>
    <s v="United States of America"/>
    <s v="Fruits"/>
    <s v="Online"/>
    <s v="M"/>
    <d v="2017-12-03T00:00:00"/>
    <n v="258436477"/>
    <s v="4/20/2017"/>
    <n v="5951"/>
    <n v="9.33"/>
    <n v="6.92"/>
    <n v="55522.83"/>
    <n v="41180.92"/>
    <n v="14341.91"/>
  </r>
  <r>
    <x v="4"/>
    <s v="Samoa "/>
    <s v="Fruits"/>
    <s v="Offline"/>
    <s v="C"/>
    <d v="2016-07-06T00:00:00"/>
    <n v="989405381"/>
    <s v="6/22/2016"/>
    <n v="5894"/>
    <n v="9.33"/>
    <n v="6.92"/>
    <n v="54991.02"/>
    <n v="40786.480000000003"/>
    <n v="14204.54"/>
  </r>
  <r>
    <x v="5"/>
    <s v="Republic of the Congo"/>
    <s v="Cosmetics"/>
    <s v="Offline"/>
    <s v="M"/>
    <s v="11/23/2010"/>
    <n v="962715899"/>
    <s v="12/21/2010"/>
    <n v="7883"/>
    <n v="437.2"/>
    <n v="263.33"/>
    <n v="3446447.6"/>
    <n v="2075830.39"/>
    <n v="1370617.21"/>
  </r>
  <r>
    <x v="5"/>
    <s v="Botswana"/>
    <s v="Cosmetics"/>
    <s v="Offline"/>
    <s v="C"/>
    <s v="4/30/2010"/>
    <n v="751854360"/>
    <d v="2010-07-05T00:00:00"/>
    <n v="9268"/>
    <n v="437.2"/>
    <n v="263.33"/>
    <n v="4051969.6"/>
    <n v="2440542.44"/>
    <n v="1611427.16"/>
  </r>
  <r>
    <x v="2"/>
    <s v="Uzbekistan"/>
    <s v="Household"/>
    <s v="Online"/>
    <s v="H"/>
    <d v="2014-11-03T00:00:00"/>
    <n v="100619590"/>
    <s v="3/31/2014"/>
    <n v="4427"/>
    <n v="668.27"/>
    <n v="502.54"/>
    <n v="2958431.29"/>
    <n v="2224744.58"/>
    <n v="733686.71"/>
  </r>
  <r>
    <x v="1"/>
    <s v="Belarus"/>
    <s v="Clothes"/>
    <s v="Offline"/>
    <s v="M"/>
    <d v="2015-08-06T00:00:00"/>
    <n v="173122918"/>
    <s v="7/25/2015"/>
    <n v="9773"/>
    <n v="109.28"/>
    <n v="35.840000000000003"/>
    <n v="1067993.44"/>
    <n v="350264.32000000001"/>
    <n v="717729.12"/>
  </r>
  <r>
    <x v="5"/>
    <s v="Cote d'Ivoire"/>
    <s v="Household"/>
    <s v="Offline"/>
    <s v="C"/>
    <d v="2011-09-11T00:00:00"/>
    <n v="403788173"/>
    <s v="11/16/2011"/>
    <n v="8748"/>
    <n v="668.27"/>
    <n v="502.54"/>
    <n v="5846025.96"/>
    <n v="4396219.92"/>
    <n v="1449806.04"/>
  </r>
  <r>
    <x v="5"/>
    <s v="Togo"/>
    <s v="Fruits"/>
    <s v="Online"/>
    <s v="M"/>
    <s v="6/19/2017"/>
    <n v="747351682"/>
    <s v="7/24/2017"/>
    <n v="6825"/>
    <n v="9.33"/>
    <n v="6.92"/>
    <n v="63677.25"/>
    <n v="47229"/>
    <n v="16448.25"/>
  </r>
  <r>
    <x v="5"/>
    <s v="Benin"/>
    <s v="Household"/>
    <s v="Online"/>
    <s v="H"/>
    <d v="2013-05-04T00:00:00"/>
    <n v="328862273"/>
    <s v="5/24/2013"/>
    <n v="6510"/>
    <n v="668.27"/>
    <n v="502.54"/>
    <n v="4350437.7"/>
    <n v="3271535.4"/>
    <n v="1078902.3"/>
  </r>
  <r>
    <x v="5"/>
    <s v="Kenya"/>
    <s v="Personal Care"/>
    <s v="Online"/>
    <s v="M"/>
    <d v="2011-07-08T00:00:00"/>
    <n v="593681275"/>
    <d v="2011-11-09T00:00:00"/>
    <n v="2337"/>
    <n v="81.73"/>
    <n v="56.67"/>
    <n v="191003.01"/>
    <n v="132437.79"/>
    <n v="58565.22"/>
  </r>
  <r>
    <x v="1"/>
    <s v="Ireland"/>
    <s v="Beverages"/>
    <s v="Online"/>
    <s v="C"/>
    <s v="7/14/2014"/>
    <n v="357482516"/>
    <s v="7/28/2014"/>
    <n v="5875"/>
    <n v="47.45"/>
    <n v="31.79"/>
    <n v="278768.75"/>
    <n v="186766.25"/>
    <n v="92002.5"/>
  </r>
  <r>
    <x v="1"/>
    <s v="Slovenia"/>
    <s v="Fruits"/>
    <s v="Online"/>
    <s v="L"/>
    <s v="1/18/2010"/>
    <n v="756252324"/>
    <d v="2010-09-02T00:00:00"/>
    <n v="723"/>
    <n v="9.33"/>
    <n v="6.92"/>
    <n v="6745.59"/>
    <n v="5003.16"/>
    <n v="1742.43"/>
  </r>
  <r>
    <x v="6"/>
    <s v="United States of America"/>
    <s v="Office Supplies"/>
    <s v="Online"/>
    <s v="M"/>
    <d v="2013-10-09T00:00:00"/>
    <n v="296289527"/>
    <s v="10/14/2013"/>
    <n v="7510"/>
    <n v="651.21"/>
    <n v="524.96"/>
    <n v="4890587.0999999996"/>
    <n v="3942449.6"/>
    <n v="948137.5"/>
  </r>
  <r>
    <x v="5"/>
    <s v="Rwanda"/>
    <s v="Snacks"/>
    <s v="Online"/>
    <s v="M"/>
    <s v="10/14/2011"/>
    <n v="704205453"/>
    <s v="11/20/2011"/>
    <n v="8897"/>
    <n v="152.58000000000001"/>
    <n v="97.44"/>
    <n v="1357504.26"/>
    <n v="866923.68"/>
    <n v="490580.58"/>
  </r>
  <r>
    <x v="2"/>
    <s v="Myanmar"/>
    <s v="Cereal"/>
    <s v="Offline"/>
    <s v="M"/>
    <s v="8/25/2010"/>
    <n v="176923930"/>
    <s v="8/30/2010"/>
    <n v="4577"/>
    <n v="205.7"/>
    <n v="117.11"/>
    <n v="941488.9"/>
    <n v="536012.47"/>
    <n v="405476.43"/>
  </r>
  <r>
    <x v="5"/>
    <s v="South Africa"/>
    <s v="Vegetables"/>
    <s v="Online"/>
    <s v="M"/>
    <d v="2010-02-02T00:00:00"/>
    <n v="131681287"/>
    <d v="2010-02-03T00:00:00"/>
    <n v="6274"/>
    <n v="154.06"/>
    <n v="90.93"/>
    <n v="966572.44"/>
    <n v="570494.81999999995"/>
    <n v="396077.62"/>
  </r>
  <r>
    <x v="3"/>
    <s v="Iraq"/>
    <s v="Fruits"/>
    <s v="Online"/>
    <s v="C"/>
    <d v="2014-11-10T00:00:00"/>
    <n v="256026351"/>
    <s v="11/13/2014"/>
    <n v="2742"/>
    <n v="9.33"/>
    <n v="6.92"/>
    <n v="25582.86"/>
    <n v="18974.64"/>
    <n v="6608.22"/>
  </r>
  <r>
    <x v="5"/>
    <s v="Sudan"/>
    <s v="Snacks"/>
    <s v="Offline"/>
    <s v="L"/>
    <s v="4/16/2015"/>
    <n v="757820451"/>
    <s v="4/26/2015"/>
    <n v="4767"/>
    <n v="152.58000000000001"/>
    <n v="97.44"/>
    <n v="727348.86"/>
    <n v="464496.48"/>
    <n v="262852.38"/>
  </r>
  <r>
    <x v="3"/>
    <s v="Tunisia "/>
    <s v="Vegetables"/>
    <s v="Offline"/>
    <s v="H"/>
    <s v="8/19/2014"/>
    <n v="115237414"/>
    <s v="9/27/2014"/>
    <n v="167"/>
    <n v="154.06"/>
    <n v="90.93"/>
    <n v="25728.02"/>
    <n v="15185.31"/>
    <n v="10542.71"/>
  </r>
  <r>
    <x v="1"/>
    <s v="Monaco"/>
    <s v="Clothes"/>
    <s v="Offline"/>
    <s v="H"/>
    <s v="11/16/2016"/>
    <n v="926763570"/>
    <s v="11/25/2016"/>
    <n v="8790"/>
    <n v="109.28"/>
    <n v="35.840000000000003"/>
    <n v="960571.2"/>
    <n v="315033.59999999998"/>
    <n v="645537.6"/>
  </r>
  <r>
    <x v="4"/>
    <s v="Samoa "/>
    <s v="Fruits"/>
    <s v="Online"/>
    <s v="H"/>
    <s v="10/21/2015"/>
    <n v="461197745"/>
    <s v="10/24/2015"/>
    <n v="7517"/>
    <n v="9.33"/>
    <n v="6.92"/>
    <n v="70133.61"/>
    <n v="52017.64"/>
    <n v="18115.97"/>
  </r>
  <r>
    <x v="1"/>
    <s v="Croatia"/>
    <s v="Household"/>
    <s v="Online"/>
    <s v="M"/>
    <s v="10/28/2013"/>
    <n v="107651269"/>
    <d v="2013-11-11T00:00:00"/>
    <n v="5258"/>
    <n v="668.27"/>
    <n v="502.54"/>
    <n v="3513763.66"/>
    <n v="2642355.3199999998"/>
    <n v="871408.34"/>
  </r>
  <r>
    <x v="1"/>
    <s v="Andorra"/>
    <s v="Beverages"/>
    <s v="Online"/>
    <s v="H"/>
    <s v="8/19/2010"/>
    <n v="425547969"/>
    <d v="2010-11-09T00:00:00"/>
    <n v="7955"/>
    <n v="47.45"/>
    <n v="31.79"/>
    <n v="377464.75"/>
    <n v="252889.45"/>
    <n v="124575.3"/>
  </r>
  <r>
    <x v="0"/>
    <s v="Cuba"/>
    <s v="Household"/>
    <s v="Offline"/>
    <s v="C"/>
    <s v="7/22/2014"/>
    <n v="694624173"/>
    <s v="8/16/2014"/>
    <n v="3584"/>
    <n v="668.27"/>
    <n v="502.54"/>
    <n v="2395079.6800000002"/>
    <n v="1801103.3600000001"/>
    <n v="593976.31999999995"/>
  </r>
  <r>
    <x v="1"/>
    <s v="Estonia"/>
    <s v="Clothes"/>
    <s v="Offline"/>
    <s v="L"/>
    <s v="1/24/2016"/>
    <n v="264928710"/>
    <s v="1/27/2016"/>
    <n v="7147"/>
    <n v="109.28"/>
    <n v="35.840000000000003"/>
    <n v="781024.16"/>
    <n v="256148.48000000001"/>
    <n v="524875.68000000005"/>
  </r>
  <r>
    <x v="6"/>
    <s v="Greenland"/>
    <s v="Household"/>
    <s v="Online"/>
    <s v="M"/>
    <d v="2014-03-04T00:00:00"/>
    <n v="806822907"/>
    <d v="2014-08-04T00:00:00"/>
    <n v="5683"/>
    <n v="668.27"/>
    <n v="502.54"/>
    <n v="3797778.41"/>
    <n v="2855934.82"/>
    <n v="941843.59"/>
  </r>
  <r>
    <x v="0"/>
    <s v="Costa Rica"/>
    <s v="Cereal"/>
    <s v="Offline"/>
    <s v="C"/>
    <s v="1/29/2013"/>
    <n v="460980594"/>
    <s v="2/13/2013"/>
    <n v="3257"/>
    <n v="205.7"/>
    <n v="117.11"/>
    <n v="669964.9"/>
    <n v="381427.27"/>
    <n v="288537.63"/>
  </r>
  <r>
    <x v="5"/>
    <s v="Cote d'Ivoire"/>
    <s v="Vegetables"/>
    <s v="Online"/>
    <s v="H"/>
    <s v="7/24/2017"/>
    <n v="588388097"/>
    <s v="8/25/2017"/>
    <n v="5968"/>
    <n v="154.06"/>
    <n v="90.93"/>
    <n v="919430.08"/>
    <n v="542670.24"/>
    <n v="376759.84"/>
  </r>
  <r>
    <x v="5"/>
    <s v="Benin"/>
    <s v="Beverages"/>
    <s v="Offline"/>
    <s v="L"/>
    <d v="2014-05-11T00:00:00"/>
    <n v="820344245"/>
    <s v="12/16/2014"/>
    <n v="6947"/>
    <n v="47.45"/>
    <n v="31.79"/>
    <n v="329635.15000000002"/>
    <n v="220845.13"/>
    <n v="108790.02"/>
  </r>
  <r>
    <x v="4"/>
    <s v="New Zealand"/>
    <s v="Baby Food"/>
    <s v="Online"/>
    <s v="L"/>
    <s v="11/14/2015"/>
    <n v="408460366"/>
    <s v="12/27/2015"/>
    <n v="1354"/>
    <n v="255.28"/>
    <n v="159.41999999999999"/>
    <n v="345649.12"/>
    <n v="215854.68"/>
    <n v="129794.44"/>
  </r>
  <r>
    <x v="6"/>
    <s v="United States of America"/>
    <s v="Baby Food"/>
    <s v="Offline"/>
    <s v="H"/>
    <d v="2013-12-09T00:00:00"/>
    <n v="474660289"/>
    <d v="2013-06-10T00:00:00"/>
    <n v="1382"/>
    <n v="255.28"/>
    <n v="159.41999999999999"/>
    <n v="352796.96"/>
    <n v="220318.44"/>
    <n v="132478.51999999999"/>
  </r>
  <r>
    <x v="1"/>
    <s v="Andorra"/>
    <s v="Beverages"/>
    <s v="Offline"/>
    <s v="L"/>
    <s v="1/13/2010"/>
    <n v="861180341"/>
    <s v="2/20/2010"/>
    <n v="1255"/>
    <n v="47.45"/>
    <n v="31.79"/>
    <n v="59549.75"/>
    <n v="39896.449999999997"/>
    <n v="19653.3"/>
  </r>
  <r>
    <x v="1"/>
    <s v="Ireland"/>
    <s v="Beverages"/>
    <s v="Offline"/>
    <s v="M"/>
    <d v="2011-10-06T00:00:00"/>
    <n v="580569350"/>
    <d v="2011-03-07T00:00:00"/>
    <n v="2227"/>
    <n v="47.45"/>
    <n v="31.79"/>
    <n v="105671.15"/>
    <n v="70796.33"/>
    <n v="34874.82"/>
  </r>
  <r>
    <x v="4"/>
    <s v="Tonga"/>
    <s v="Beverages"/>
    <s v="Offline"/>
    <s v="M"/>
    <s v="5/21/2010"/>
    <n v="965688645"/>
    <s v="6/23/2010"/>
    <n v="7585"/>
    <n v="47.45"/>
    <n v="31.79"/>
    <n v="359908.25"/>
    <n v="241127.15"/>
    <n v="118781.1"/>
  </r>
  <r>
    <x v="0"/>
    <s v="Grenada"/>
    <s v="Beverages"/>
    <s v="Offline"/>
    <s v="C"/>
    <d v="2011-10-10T00:00:00"/>
    <n v="719712054"/>
    <s v="10/17/2011"/>
    <n v="7645"/>
    <n v="47.45"/>
    <n v="31.79"/>
    <n v="362755.25"/>
    <n v="243034.55"/>
    <n v="119720.7"/>
  </r>
  <r>
    <x v="0"/>
    <s v="Panama"/>
    <s v="Household"/>
    <s v="Online"/>
    <s v="L"/>
    <s v="12/28/2013"/>
    <n v="866125905"/>
    <s v="12/29/2013"/>
    <n v="4757"/>
    <n v="668.27"/>
    <n v="502.54"/>
    <n v="3178960.39"/>
    <n v="2390582.7799999998"/>
    <n v="788377.61"/>
  </r>
  <r>
    <x v="5"/>
    <s v="South Sudan"/>
    <s v="Cereal"/>
    <s v="Offline"/>
    <s v="M"/>
    <s v="9/17/2012"/>
    <n v="698729026"/>
    <s v="9/25/2012"/>
    <n v="8301"/>
    <n v="205.7"/>
    <n v="117.11"/>
    <n v="1707515.7"/>
    <n v="972130.11"/>
    <n v="735385.59"/>
  </r>
  <r>
    <x v="2"/>
    <s v="China"/>
    <s v="Household"/>
    <s v="Online"/>
    <s v="L"/>
    <s v="3/29/2012"/>
    <n v="931632745"/>
    <d v="2012-02-05T00:00:00"/>
    <n v="9687"/>
    <n v="668.27"/>
    <n v="502.54"/>
    <n v="6473531.4900000002"/>
    <n v="4868104.9800000004"/>
    <n v="1605426.51"/>
  </r>
  <r>
    <x v="2"/>
    <s v="Vietnam"/>
    <s v="Cereal"/>
    <s v="Offline"/>
    <s v="H"/>
    <d v="2014-03-03T00:00:00"/>
    <n v="549260890"/>
    <s v="3/25/2014"/>
    <n v="7358"/>
    <n v="205.7"/>
    <n v="117.11"/>
    <n v="1513540.6"/>
    <n v="861695.38"/>
    <n v="651845.22"/>
  </r>
  <r>
    <x v="3"/>
    <s v="Libya"/>
    <s v="Beverages"/>
    <s v="Online"/>
    <s v="C"/>
    <s v="7/27/2013"/>
    <n v="856349790"/>
    <s v="8/26/2013"/>
    <n v="1788"/>
    <n v="47.45"/>
    <n v="31.79"/>
    <n v="84840.6"/>
    <n v="56840.52"/>
    <n v="28000.080000000002"/>
  </r>
  <r>
    <x v="0"/>
    <s v="Belize"/>
    <s v="Personal Care"/>
    <s v="Offline"/>
    <s v="H"/>
    <s v="5/17/2010"/>
    <n v="527948272"/>
    <s v="5/21/2010"/>
    <n v="481"/>
    <n v="81.73"/>
    <n v="56.67"/>
    <n v="39312.129999999997"/>
    <n v="27258.27"/>
    <n v="12053.86"/>
  </r>
  <r>
    <x v="1"/>
    <s v="Serbia"/>
    <s v="Vegetables"/>
    <s v="Offline"/>
    <s v="M"/>
    <s v="2/25/2013"/>
    <n v="559417665"/>
    <s v="2/28/2013"/>
    <n v="2973"/>
    <n v="154.06"/>
    <n v="90.93"/>
    <n v="458020.38"/>
    <n v="270334.89"/>
    <n v="187685.49"/>
  </r>
  <r>
    <x v="0"/>
    <s v="Cuba"/>
    <s v="Household"/>
    <s v="Online"/>
    <s v="C"/>
    <d v="2012-08-08T00:00:00"/>
    <n v="216431796"/>
    <d v="2012-03-09T00:00:00"/>
    <n v="5833"/>
    <n v="668.27"/>
    <n v="502.54"/>
    <n v="3898018.91"/>
    <n v="2931315.82"/>
    <n v="966703.09"/>
  </r>
  <r>
    <x v="1"/>
    <s v="Liechtenstein"/>
    <s v="Household"/>
    <s v="Online"/>
    <s v="C"/>
    <s v="8/21/2015"/>
    <n v="184976994"/>
    <s v="9/21/2015"/>
    <n v="7658"/>
    <n v="668.27"/>
    <n v="502.54"/>
    <n v="5117611.66"/>
    <n v="3848451.32"/>
    <n v="1269160.3400000001"/>
  </r>
  <r>
    <x v="5"/>
    <s v="Senegal"/>
    <s v="Personal Care"/>
    <s v="Offline"/>
    <s v="M"/>
    <s v="4/18/2011"/>
    <n v="321352088"/>
    <d v="2011-06-05T00:00:00"/>
    <n v="4079"/>
    <n v="81.73"/>
    <n v="56.67"/>
    <n v="333376.67"/>
    <n v="231156.93"/>
    <n v="102219.74"/>
  </r>
  <r>
    <x v="5"/>
    <s v="Ghana"/>
    <s v="Fruits"/>
    <s v="Offline"/>
    <s v="M"/>
    <s v="5/29/2012"/>
    <n v="102168405"/>
    <s v="5/29/2012"/>
    <n v="2756"/>
    <n v="9.33"/>
    <n v="6.92"/>
    <n v="25713.48"/>
    <n v="19071.52"/>
    <n v="6641.96"/>
  </r>
  <r>
    <x v="1"/>
    <s v="Cyprus"/>
    <s v="Beverages"/>
    <s v="Online"/>
    <s v="M"/>
    <d v="2013-08-12T00:00:00"/>
    <n v="874349772"/>
    <d v="2014-04-01T00:00:00"/>
    <n v="8383"/>
    <n v="47.45"/>
    <n v="31.79"/>
    <n v="397773.35"/>
    <n v="266495.57"/>
    <n v="131277.78"/>
  </r>
  <r>
    <x v="0"/>
    <s v="Jamaica"/>
    <s v="Vegetables"/>
    <s v="Online"/>
    <s v="H"/>
    <s v="11/27/2011"/>
    <n v="905132520"/>
    <d v="2011-09-12T00:00:00"/>
    <n v="7681"/>
    <n v="154.06"/>
    <n v="90.93"/>
    <n v="1183334.8600000001"/>
    <n v="698433.33"/>
    <n v="484901.53"/>
  </r>
  <r>
    <x v="3"/>
    <s v="Afghanistan"/>
    <s v="Vegetables"/>
    <s v="Offline"/>
    <s v="H"/>
    <d v="2014-05-10T00:00:00"/>
    <n v="332065474"/>
    <s v="10/13/2014"/>
    <n v="4408"/>
    <n v="154.06"/>
    <n v="90.93"/>
    <n v="679096.48"/>
    <n v="400819.44"/>
    <n v="278277.03999999998"/>
  </r>
  <r>
    <x v="1"/>
    <s v="Andorra"/>
    <s v="Household"/>
    <s v="Online"/>
    <s v="H"/>
    <s v="11/15/2016"/>
    <n v="713009965"/>
    <s v="12/16/2016"/>
    <n v="4348"/>
    <n v="668.27"/>
    <n v="502.54"/>
    <n v="2905637.96"/>
    <n v="2185043.92"/>
    <n v="720594.04"/>
  </r>
  <r>
    <x v="5"/>
    <s v="Ghana"/>
    <s v="Baby Food"/>
    <s v="Offline"/>
    <s v="M"/>
    <s v="6/18/2017"/>
    <n v="976139819"/>
    <s v="7/22/2017"/>
    <n v="319"/>
    <n v="255.28"/>
    <n v="159.41999999999999"/>
    <n v="81434.320000000007"/>
    <n v="50854.98"/>
    <n v="30579.34"/>
  </r>
  <r>
    <x v="1"/>
    <s v="Andorra"/>
    <s v="Baby Food"/>
    <s v="Online"/>
    <s v="M"/>
    <s v="10/24/2016"/>
    <n v="569941365"/>
    <s v="11/26/2016"/>
    <n v="7170"/>
    <n v="255.28"/>
    <n v="159.41999999999999"/>
    <n v="1830357.6"/>
    <n v="1143041.3999999999"/>
    <n v="687316.2"/>
  </r>
  <r>
    <x v="5"/>
    <s v="Sao Tome and Principe"/>
    <s v="Cereal"/>
    <s v="Online"/>
    <s v="C"/>
    <s v="6/27/2012"/>
    <n v="813213431"/>
    <s v="7/31/2012"/>
    <n v="6781"/>
    <n v="205.7"/>
    <n v="117.11"/>
    <n v="1394851.7"/>
    <n v="794122.91"/>
    <n v="600728.79"/>
  </r>
  <r>
    <x v="1"/>
    <s v="Malta"/>
    <s v="Household"/>
    <s v="Online"/>
    <s v="H"/>
    <d v="2010-09-09T00:00:00"/>
    <n v="845067346"/>
    <s v="9/13/2010"/>
    <n v="3062"/>
    <n v="668.27"/>
    <n v="502.54"/>
    <n v="2046242.74"/>
    <n v="1538777.48"/>
    <n v="507465.26"/>
  </r>
  <r>
    <x v="1"/>
    <s v="Czech Republic"/>
    <s v="Fruits"/>
    <s v="Offline"/>
    <s v="M"/>
    <s v="11/24/2014"/>
    <n v="774926936"/>
    <s v="11/27/2014"/>
    <n v="6956"/>
    <n v="9.33"/>
    <n v="6.92"/>
    <n v="64899.48"/>
    <n v="48135.519999999997"/>
    <n v="16763.96"/>
  </r>
  <r>
    <x v="5"/>
    <s v="Guinea"/>
    <s v="Beverages"/>
    <s v="Online"/>
    <s v="L"/>
    <d v="2014-04-07T00:00:00"/>
    <n v="332528531"/>
    <s v="8/22/2014"/>
    <n v="1437"/>
    <n v="47.45"/>
    <n v="31.79"/>
    <n v="68185.649999999994"/>
    <n v="45682.23"/>
    <n v="22503.42"/>
  </r>
  <r>
    <x v="1"/>
    <s v="Hungary"/>
    <s v="Baby Food"/>
    <s v="Online"/>
    <s v="H"/>
    <d v="2011-06-05T00:00:00"/>
    <n v="217920958"/>
    <s v="6/25/2011"/>
    <n v="6509"/>
    <n v="255.28"/>
    <n v="159.41999999999999"/>
    <n v="1661617.52"/>
    <n v="1037664.78"/>
    <n v="623952.74"/>
  </r>
  <r>
    <x v="0"/>
    <s v="Honduras"/>
    <s v="Personal Care"/>
    <s v="Offline"/>
    <s v="H"/>
    <s v="11/14/2015"/>
    <n v="751465547"/>
    <d v="2015-12-12T00:00:00"/>
    <n v="4209"/>
    <n v="81.73"/>
    <n v="56.67"/>
    <n v="344001.57"/>
    <n v="238524.03"/>
    <n v="105477.54"/>
  </r>
  <r>
    <x v="1"/>
    <s v="Lithuania"/>
    <s v="Clothes"/>
    <s v="Online"/>
    <s v="C"/>
    <d v="2013-06-02T00:00:00"/>
    <n v="523836123"/>
    <s v="3/22/2013"/>
    <n v="3605"/>
    <n v="109.28"/>
    <n v="35.840000000000003"/>
    <n v="393954.4"/>
    <n v="129203.2"/>
    <n v="264751.2"/>
  </r>
  <r>
    <x v="1"/>
    <s v="Ukraine"/>
    <s v="Vegetables"/>
    <s v="Online"/>
    <s v="C"/>
    <d v="2011-06-11T00:00:00"/>
    <n v="446019017"/>
    <s v="11/25/2011"/>
    <n v="5794"/>
    <n v="154.06"/>
    <n v="90.93"/>
    <n v="892623.64"/>
    <n v="526848.42000000004"/>
    <n v="365775.22"/>
  </r>
  <r>
    <x v="2"/>
    <s v="Sri Lanka"/>
    <s v="Office Supplies"/>
    <s v="Offline"/>
    <s v="H"/>
    <s v="8/13/2010"/>
    <n v="599313056"/>
    <s v="8/29/2010"/>
    <n v="8906"/>
    <n v="651.21"/>
    <n v="524.96"/>
    <n v="5799676.2599999998"/>
    <n v="4675293.76"/>
    <n v="1124382.5"/>
  </r>
  <r>
    <x v="3"/>
    <s v="United Arab Emirates"/>
    <s v="Personal Care"/>
    <s v="Online"/>
    <s v="M"/>
    <s v="7/20/2016"/>
    <n v="685329568"/>
    <s v="7/29/2016"/>
    <n v="3104"/>
    <n v="81.73"/>
    <n v="56.67"/>
    <n v="253689.92"/>
    <n v="175903.68"/>
    <n v="77786.240000000005"/>
  </r>
  <r>
    <x v="1"/>
    <s v="Luxembourg"/>
    <s v="Clothes"/>
    <s v="Online"/>
    <s v="H"/>
    <s v="5/14/2011"/>
    <n v="475992381"/>
    <s v="5/26/2011"/>
    <n v="5578"/>
    <n v="109.28"/>
    <n v="35.840000000000003"/>
    <n v="609563.84"/>
    <n v="199915.51999999999"/>
    <n v="409648.32"/>
  </r>
  <r>
    <x v="5"/>
    <s v="Zambia"/>
    <s v="Meat"/>
    <s v="Offline"/>
    <s v="M"/>
    <d v="2015-12-09T00:00:00"/>
    <n v="263537824"/>
    <s v="9/13/2015"/>
    <n v="5553"/>
    <n v="421.89"/>
    <n v="364.69"/>
    <n v="2342755.17"/>
    <n v="2025123.57"/>
    <n v="317631.59999999998"/>
  </r>
  <r>
    <x v="1"/>
    <s v="Serbia"/>
    <s v="Office Supplies"/>
    <s v="Offline"/>
    <s v="C"/>
    <d v="2017-01-03T00:00:00"/>
    <n v="410514724"/>
    <d v="2017-10-04T00:00:00"/>
    <n v="9284"/>
    <n v="651.21"/>
    <n v="524.96"/>
    <n v="6045833.6399999997"/>
    <n v="4873728.6399999997"/>
    <n v="1172105"/>
  </r>
  <r>
    <x v="5"/>
    <s v="The Gambia"/>
    <s v="Beverages"/>
    <s v="Offline"/>
    <s v="M"/>
    <d v="2012-12-01T00:00:00"/>
    <n v="899784409"/>
    <s v="1/18/2012"/>
    <n v="5057"/>
    <n v="47.45"/>
    <n v="31.79"/>
    <n v="239954.65"/>
    <n v="160762.03"/>
    <n v="79192.62"/>
  </r>
  <r>
    <x v="5"/>
    <s v="Ethiopia"/>
    <s v="Personal Care"/>
    <s v="Online"/>
    <s v="H"/>
    <s v="7/22/2016"/>
    <n v="884520709"/>
    <d v="2016-09-08T00:00:00"/>
    <n v="8189"/>
    <n v="81.73"/>
    <n v="56.67"/>
    <n v="669286.97"/>
    <n v="464070.63"/>
    <n v="205216.34"/>
  </r>
  <r>
    <x v="1"/>
    <s v="Germany"/>
    <s v="Personal Care"/>
    <s v="Offline"/>
    <s v="C"/>
    <s v="3/14/2010"/>
    <n v="938209950"/>
    <s v="3/16/2010"/>
    <n v="6028"/>
    <n v="81.73"/>
    <n v="56.67"/>
    <n v="492668.44"/>
    <n v="341606.76"/>
    <n v="151061.68"/>
  </r>
  <r>
    <x v="5"/>
    <s v="Swaziland"/>
    <s v="Fruits"/>
    <s v="Online"/>
    <s v="M"/>
    <s v="2/19/2015"/>
    <n v="804650962"/>
    <s v="3/20/2015"/>
    <n v="2956"/>
    <n v="9.33"/>
    <n v="6.92"/>
    <n v="27579.48"/>
    <n v="20455.52"/>
    <n v="7123.96"/>
  </r>
  <r>
    <x v="1"/>
    <s v="Ukraine"/>
    <s v="Clothes"/>
    <s v="Offline"/>
    <s v="H"/>
    <s v="9/27/2016"/>
    <n v="747955071"/>
    <s v="10/25/2016"/>
    <n v="5382"/>
    <n v="109.28"/>
    <n v="35.840000000000003"/>
    <n v="588144.96"/>
    <n v="192890.88"/>
    <n v="395254.08"/>
  </r>
  <r>
    <x v="5"/>
    <s v="Mozambique"/>
    <s v="Vegetables"/>
    <s v="Offline"/>
    <s v="C"/>
    <s v="10/24/2012"/>
    <n v="202546107"/>
    <d v="2012-10-11T00:00:00"/>
    <n v="6749"/>
    <n v="154.06"/>
    <n v="90.93"/>
    <n v="1039750.94"/>
    <n v="613686.56999999995"/>
    <n v="426064.37"/>
  </r>
  <r>
    <x v="1"/>
    <s v="Andorra"/>
    <s v="Clothes"/>
    <s v="Offline"/>
    <s v="L"/>
    <s v="5/14/2017"/>
    <n v="923160398"/>
    <s v="6/15/2017"/>
    <n v="2531"/>
    <n v="109.28"/>
    <n v="35.840000000000003"/>
    <n v="276587.68"/>
    <n v="90711.039999999994"/>
    <n v="185876.64"/>
  </r>
  <r>
    <x v="5"/>
    <s v="Equatorial Guinea"/>
    <s v="Fruits"/>
    <s v="Online"/>
    <s v="C"/>
    <s v="5/25/2011"/>
    <n v="234846770"/>
    <d v="2011-06-07T00:00:00"/>
    <n v="5233"/>
    <n v="9.33"/>
    <n v="6.92"/>
    <n v="48823.89"/>
    <n v="36212.36"/>
    <n v="12611.53"/>
  </r>
  <r>
    <x v="4"/>
    <s v="Federated States of Micronesia"/>
    <s v="Office Supplies"/>
    <s v="Offline"/>
    <s v="L"/>
    <s v="10/29/2014"/>
    <n v="482966554"/>
    <s v="11/28/2014"/>
    <n v="9391"/>
    <n v="651.21"/>
    <n v="524.96"/>
    <n v="6115513.1100000003"/>
    <n v="4929899.3600000003"/>
    <n v="1185613.75"/>
  </r>
  <r>
    <x v="2"/>
    <s v="Kazakhstan"/>
    <s v="Fruits"/>
    <s v="Online"/>
    <s v="L"/>
    <s v="7/30/2014"/>
    <n v="483193576"/>
    <s v="8/18/2014"/>
    <n v="6572"/>
    <n v="9.33"/>
    <n v="6.92"/>
    <n v="61316.76"/>
    <n v="45478.239999999998"/>
    <n v="15838.52"/>
  </r>
  <r>
    <x v="2"/>
    <s v="Laos"/>
    <s v="Vegetables"/>
    <s v="Online"/>
    <s v="C"/>
    <d v="2013-07-10T00:00:00"/>
    <n v="471514165"/>
    <s v="11/23/2013"/>
    <n v="374"/>
    <n v="154.06"/>
    <n v="90.93"/>
    <n v="57618.44"/>
    <n v="34007.82"/>
    <n v="23610.62"/>
  </r>
  <r>
    <x v="1"/>
    <s v="Monaco"/>
    <s v="Office Supplies"/>
    <s v="Online"/>
    <s v="H"/>
    <s v="10/20/2012"/>
    <n v="754227149"/>
    <s v="11/24/2012"/>
    <n v="1429"/>
    <n v="651.21"/>
    <n v="524.96"/>
    <n v="930579.09"/>
    <n v="750167.84"/>
    <n v="180411.25"/>
  </r>
  <r>
    <x v="1"/>
    <s v="Norway"/>
    <s v="Baby Food"/>
    <s v="Offline"/>
    <s v="L"/>
    <s v="2/24/2013"/>
    <n v="357943856"/>
    <s v="3/17/2013"/>
    <n v="2396"/>
    <n v="255.28"/>
    <n v="159.41999999999999"/>
    <n v="611650.88"/>
    <n v="381970.32"/>
    <n v="229680.56"/>
  </r>
  <r>
    <x v="5"/>
    <s v="Mauritius "/>
    <s v="Personal Care"/>
    <s v="Offline"/>
    <s v="H"/>
    <s v="7/23/2013"/>
    <n v="179588115"/>
    <s v="8/23/2013"/>
    <n v="2969"/>
    <n v="81.73"/>
    <n v="56.67"/>
    <n v="242656.37"/>
    <n v="168253.23"/>
    <n v="74403.14"/>
  </r>
  <r>
    <x v="2"/>
    <s v="Uzbekistan"/>
    <s v="Meat"/>
    <s v="Offline"/>
    <s v="H"/>
    <d v="2013-02-11T00:00:00"/>
    <n v="736396253"/>
    <d v="2013-05-11T00:00:00"/>
    <n v="4870"/>
    <n v="421.89"/>
    <n v="364.69"/>
    <n v="2054604.3"/>
    <n v="1776040.3"/>
    <n v="278564"/>
  </r>
  <r>
    <x v="1"/>
    <s v="Ireland"/>
    <s v="Cosmetics"/>
    <s v="Online"/>
    <s v="M"/>
    <s v="1/28/2011"/>
    <n v="815917098"/>
    <s v="2/13/2011"/>
    <n v="6856"/>
    <n v="437.2"/>
    <n v="263.33"/>
    <n v="2997443.2"/>
    <n v="1805390.48"/>
    <n v="1192052.72"/>
  </r>
  <r>
    <x v="1"/>
    <s v="Monaco"/>
    <s v="Clothes"/>
    <s v="Offline"/>
    <s v="L"/>
    <d v="2011-02-01T00:00:00"/>
    <n v="626011979"/>
    <d v="2011-11-01T00:00:00"/>
    <n v="9711"/>
    <n v="109.28"/>
    <n v="35.840000000000003"/>
    <n v="1061218.08"/>
    <n v="348042.23999999999"/>
    <n v="713175.84"/>
  </r>
  <r>
    <x v="6"/>
    <s v="United States of America"/>
    <s v="Personal Care"/>
    <s v="Offline"/>
    <s v="L"/>
    <s v="8/16/2016"/>
    <n v="444854724"/>
    <s v="8/26/2016"/>
    <n v="1253"/>
    <n v="81.73"/>
    <n v="56.67"/>
    <n v="102407.69"/>
    <n v="71007.509999999995"/>
    <n v="31400.18"/>
  </r>
  <r>
    <x v="5"/>
    <s v="Swaziland"/>
    <s v="Meat"/>
    <s v="Offline"/>
    <s v="L"/>
    <s v="11/13/2016"/>
    <n v="170931661"/>
    <s v="11/25/2016"/>
    <n v="1332"/>
    <n v="421.89"/>
    <n v="364.69"/>
    <n v="561957.48"/>
    <n v="485767.08"/>
    <n v="76190.399999999994"/>
  </r>
  <r>
    <x v="4"/>
    <s v="Tuvalu"/>
    <s v="Household"/>
    <s v="Online"/>
    <s v="M"/>
    <s v="1/29/2013"/>
    <n v="673041617"/>
    <s v="3/15/2013"/>
    <n v="6826"/>
    <n v="668.27"/>
    <n v="502.54"/>
    <n v="4561611.0199999996"/>
    <n v="3430338.04"/>
    <n v="1131272.98"/>
  </r>
  <r>
    <x v="1"/>
    <s v="Bosnia and Herzegovina"/>
    <s v="Baby Food"/>
    <s v="Online"/>
    <s v="M"/>
    <d v="2015-01-04T00:00:00"/>
    <n v="640295922"/>
    <d v="2015-03-04T00:00:00"/>
    <n v="6647"/>
    <n v="255.28"/>
    <n v="159.41999999999999"/>
    <n v="1696846.16"/>
    <n v="1059664.74"/>
    <n v="637181.42000000004"/>
  </r>
  <r>
    <x v="0"/>
    <s v="Saint Kitts and Nevis "/>
    <s v="Vegetables"/>
    <s v="Offline"/>
    <s v="H"/>
    <s v="6/30/2015"/>
    <n v="632118403"/>
    <s v="7/15/2015"/>
    <n v="6737"/>
    <n v="154.06"/>
    <n v="90.93"/>
    <n v="1037902.22"/>
    <n v="612595.41"/>
    <n v="425306.81"/>
  </r>
  <r>
    <x v="5"/>
    <s v="Cote d'Ivoire"/>
    <s v="Office Supplies"/>
    <s v="Online"/>
    <s v="L"/>
    <s v="7/29/2014"/>
    <n v="828245389"/>
    <s v="8/27/2014"/>
    <n v="5071"/>
    <n v="651.21"/>
    <n v="524.96"/>
    <n v="3302285.91"/>
    <n v="2662072.16"/>
    <n v="640213.75"/>
  </r>
  <r>
    <x v="5"/>
    <s v="Botswana"/>
    <s v="Cereal"/>
    <s v="Offline"/>
    <s v="M"/>
    <d v="2010-12-07T00:00:00"/>
    <n v="578725707"/>
    <d v="2010-09-08T00:00:00"/>
    <n v="6652"/>
    <n v="205.7"/>
    <n v="117.11"/>
    <n v="1368316.4"/>
    <n v="779015.72"/>
    <n v="589300.68000000005"/>
  </r>
  <r>
    <x v="1"/>
    <s v="Romania"/>
    <s v="Snacks"/>
    <s v="Online"/>
    <s v="C"/>
    <d v="2010-11-01T00:00:00"/>
    <n v="653920686"/>
    <s v="1/18/2010"/>
    <n v="8517"/>
    <n v="152.58000000000001"/>
    <n v="97.44"/>
    <n v="1299523.8600000001"/>
    <n v="829896.48"/>
    <n v="469627.38"/>
  </r>
  <r>
    <x v="1"/>
    <s v="Sweden"/>
    <s v="Fruits"/>
    <s v="Online"/>
    <s v="M"/>
    <d v="2017-10-01T00:00:00"/>
    <n v="994504153"/>
    <s v="1/13/2017"/>
    <n v="4734"/>
    <n v="9.33"/>
    <n v="6.92"/>
    <n v="44168.22"/>
    <n v="32759.279999999999"/>
    <n v="11408.94"/>
  </r>
  <r>
    <x v="2"/>
    <s v="Laos"/>
    <s v="Household"/>
    <s v="Online"/>
    <s v="C"/>
    <s v="10/28/2013"/>
    <n v="261462438"/>
    <d v="2013-10-11T00:00:00"/>
    <n v="1400"/>
    <n v="668.27"/>
    <n v="502.54"/>
    <n v="935578"/>
    <n v="703556"/>
    <n v="232022"/>
  </r>
  <r>
    <x v="5"/>
    <s v="Mauritius "/>
    <s v="Household"/>
    <s v="Online"/>
    <s v="M"/>
    <s v="4/15/2010"/>
    <n v="786094367"/>
    <d v="2010-08-05T00:00:00"/>
    <n v="1647"/>
    <n v="668.27"/>
    <n v="502.54"/>
    <n v="1100640.69"/>
    <n v="827683.38"/>
    <n v="272957.31"/>
  </r>
  <r>
    <x v="1"/>
    <s v="Czech Republic"/>
    <s v="Meat"/>
    <s v="Offline"/>
    <s v="M"/>
    <d v="2017-09-05T00:00:00"/>
    <n v="920011270"/>
    <d v="2017-12-06T00:00:00"/>
    <n v="634"/>
    <n v="421.89"/>
    <n v="364.69"/>
    <n v="267478.26"/>
    <n v="231213.46"/>
    <n v="36264.800000000003"/>
  </r>
  <r>
    <x v="6"/>
    <s v="Mexico"/>
    <s v="Vegetables"/>
    <s v="Offline"/>
    <s v="C"/>
    <d v="2012-09-12T00:00:00"/>
    <n v="885136973"/>
    <d v="2013-11-01T00:00:00"/>
    <n v="555"/>
    <n v="154.06"/>
    <n v="90.93"/>
    <n v="85503.3"/>
    <n v="50466.15"/>
    <n v="35037.15"/>
  </r>
  <r>
    <x v="1"/>
    <s v="Bosnia and Herzegovina"/>
    <s v="Vegetables"/>
    <s v="Online"/>
    <s v="M"/>
    <s v="11/25/2013"/>
    <n v="523707807"/>
    <s v="12/16/2013"/>
    <n v="5633"/>
    <n v="154.06"/>
    <n v="90.93"/>
    <n v="867819.98"/>
    <n v="512208.69"/>
    <n v="355611.29"/>
  </r>
  <r>
    <x v="5"/>
    <s v="Sao Tome and Principe"/>
    <s v="Household"/>
    <s v="Offline"/>
    <s v="M"/>
    <s v="8/24/2011"/>
    <n v="648272597"/>
    <d v="2011-02-10T00:00:00"/>
    <n v="7122"/>
    <n v="668.27"/>
    <n v="502.54"/>
    <n v="4759418.9400000004"/>
    <n v="3579089.88"/>
    <n v="1180329.06"/>
  </r>
  <r>
    <x v="1"/>
    <s v="Belgium"/>
    <s v="Fruits"/>
    <s v="Online"/>
    <s v="L"/>
    <s v="10/17/2013"/>
    <n v="791692674"/>
    <s v="11/24/2013"/>
    <n v="8310"/>
    <n v="9.33"/>
    <n v="6.92"/>
    <n v="77532.3"/>
    <n v="57505.2"/>
    <n v="20027.099999999999"/>
  </r>
  <r>
    <x v="3"/>
    <s v="Bahrain"/>
    <s v="Baby Food"/>
    <s v="Offline"/>
    <s v="M"/>
    <d v="2010-05-02T00:00:00"/>
    <n v="557141864"/>
    <s v="2/16/2010"/>
    <n v="9513"/>
    <n v="255.28"/>
    <n v="159.41999999999999"/>
    <n v="2428478.64"/>
    <n v="1516562.46"/>
    <n v="911916.18"/>
  </r>
  <r>
    <x v="5"/>
    <s v="Senegal"/>
    <s v="Household"/>
    <s v="Online"/>
    <s v="M"/>
    <d v="2014-06-02T00:00:00"/>
    <n v="968106496"/>
    <s v="2/17/2014"/>
    <n v="3080"/>
    <n v="668.27"/>
    <n v="502.54"/>
    <n v="2058271.6"/>
    <n v="1547823.2"/>
    <n v="510448.4"/>
  </r>
  <r>
    <x v="3"/>
    <s v="Bahrain"/>
    <s v="Fruits"/>
    <s v="Offline"/>
    <s v="M"/>
    <s v="11/22/2013"/>
    <n v="418385398"/>
    <s v="12/24/2013"/>
    <n v="8392"/>
    <n v="9.33"/>
    <n v="6.92"/>
    <n v="78297.36"/>
    <n v="58072.639999999999"/>
    <n v="20224.72"/>
  </r>
  <r>
    <x v="5"/>
    <s v="Kenya"/>
    <s v="Fruits"/>
    <s v="Online"/>
    <s v="C"/>
    <s v="10/14/2013"/>
    <n v="522089898"/>
    <d v="2013-11-11T00:00:00"/>
    <n v="6858"/>
    <n v="9.33"/>
    <n v="6.92"/>
    <n v="63985.14"/>
    <n v="47457.36"/>
    <n v="16527.78"/>
  </r>
  <r>
    <x v="5"/>
    <s v="Guinea-Bissau"/>
    <s v="Vegetables"/>
    <s v="Online"/>
    <s v="L"/>
    <s v="5/14/2015"/>
    <n v="263643825"/>
    <s v="6/29/2015"/>
    <n v="6921"/>
    <n v="154.06"/>
    <n v="90.93"/>
    <n v="1066249.26"/>
    <n v="629326.53"/>
    <n v="436922.73"/>
  </r>
  <r>
    <x v="2"/>
    <s v="Tajikistan"/>
    <s v="Baby Food"/>
    <s v="Offline"/>
    <s v="C"/>
    <s v="9/16/2013"/>
    <n v="947783505"/>
    <s v="10/27/2013"/>
    <n v="9056"/>
    <n v="255.28"/>
    <n v="159.41999999999999"/>
    <n v="2311815.6800000002"/>
    <n v="1443707.52"/>
    <n v="868108.16"/>
  </r>
  <r>
    <x v="3"/>
    <s v="Egypt"/>
    <s v="Household"/>
    <s v="Offline"/>
    <s v="L"/>
    <s v="4/26/2016"/>
    <n v="349557769"/>
    <d v="2016-06-05T00:00:00"/>
    <n v="767"/>
    <n v="668.27"/>
    <n v="502.54"/>
    <n v="512563.09"/>
    <n v="385448.18"/>
    <n v="127114.91"/>
  </r>
  <r>
    <x v="3"/>
    <s v="Iran"/>
    <s v="Clothes"/>
    <s v="Offline"/>
    <s v="H"/>
    <s v="8/14/2016"/>
    <n v="364327943"/>
    <s v="8/26/2016"/>
    <n v="1589"/>
    <n v="109.28"/>
    <n v="35.840000000000003"/>
    <n v="173645.92"/>
    <n v="56949.760000000002"/>
    <n v="116696.16"/>
  </r>
  <r>
    <x v="5"/>
    <s v="Kenya"/>
    <s v="Personal Care"/>
    <s v="Online"/>
    <s v="M"/>
    <s v="11/18/2012"/>
    <n v="257767856"/>
    <d v="2013-03-01T00:00:00"/>
    <n v="8092"/>
    <n v="81.73"/>
    <n v="56.67"/>
    <n v="661359.16"/>
    <n v="458573.64"/>
    <n v="202785.52"/>
  </r>
  <r>
    <x v="1"/>
    <s v="Sweden"/>
    <s v="Vegetables"/>
    <s v="Online"/>
    <s v="C"/>
    <d v="2012-07-01T00:00:00"/>
    <n v="715863835"/>
    <s v="1/26/2012"/>
    <n v="8872"/>
    <n v="154.06"/>
    <n v="90.93"/>
    <n v="1366820.32"/>
    <n v="806730.96"/>
    <n v="560089.36"/>
  </r>
  <r>
    <x v="1"/>
    <s v="Albania"/>
    <s v="Cosmetics"/>
    <s v="Offline"/>
    <s v="C"/>
    <s v="8/23/2010"/>
    <n v="694914710"/>
    <s v="9/25/2010"/>
    <n v="9560"/>
    <n v="437.2"/>
    <n v="263.33"/>
    <n v="4179632"/>
    <n v="2517434.7999999998"/>
    <n v="1662197.2"/>
  </r>
  <r>
    <x v="5"/>
    <s v="Togo"/>
    <s v="Baby Food"/>
    <s v="Offline"/>
    <s v="M"/>
    <d v="2014-04-01T00:00:00"/>
    <n v="571531808"/>
    <s v="2/22/2014"/>
    <n v="7818"/>
    <n v="255.28"/>
    <n v="159.41999999999999"/>
    <n v="1995779.04"/>
    <n v="1246345.56"/>
    <n v="749433.48"/>
  </r>
  <r>
    <x v="0"/>
    <s v="Dominica"/>
    <s v="Cereal"/>
    <s v="Online"/>
    <s v="C"/>
    <s v="1/31/2017"/>
    <n v="792638957"/>
    <s v="2/17/2017"/>
    <n v="8336"/>
    <n v="205.7"/>
    <n v="117.11"/>
    <n v="1714715.2"/>
    <n v="976228.96"/>
    <n v="738486.24"/>
  </r>
  <r>
    <x v="1"/>
    <s v="Macedonia"/>
    <s v="Baby Food"/>
    <s v="Online"/>
    <s v="M"/>
    <s v="11/21/2015"/>
    <n v="525472486"/>
    <s v="11/23/2015"/>
    <n v="7840"/>
    <n v="255.28"/>
    <n v="159.41999999999999"/>
    <n v="2001395.2"/>
    <n v="1249852.8"/>
    <n v="751542.4"/>
  </r>
  <r>
    <x v="5"/>
    <s v="Sudan"/>
    <s v="Snacks"/>
    <s v="Offline"/>
    <s v="H"/>
    <s v="4/19/2011"/>
    <n v="807581222"/>
    <s v="4/25/2011"/>
    <n v="85"/>
    <n v="152.58000000000001"/>
    <n v="97.44"/>
    <n v="12969.3"/>
    <n v="8282.4"/>
    <n v="4686.8999999999996"/>
  </r>
  <r>
    <x v="1"/>
    <s v="Georgia"/>
    <s v="Fruits"/>
    <s v="Online"/>
    <s v="L"/>
    <s v="10/28/2012"/>
    <n v="496826493"/>
    <d v="2012-11-12T00:00:00"/>
    <n v="855"/>
    <n v="9.33"/>
    <n v="6.92"/>
    <n v="7977.15"/>
    <n v="5916.6"/>
    <n v="2060.5500000000002"/>
  </r>
  <r>
    <x v="0"/>
    <s v="El Salvador"/>
    <s v="Snacks"/>
    <s v="Online"/>
    <s v="C"/>
    <s v="2/14/2012"/>
    <n v="321382129"/>
    <d v="2012-04-03T00:00:00"/>
    <n v="2969"/>
    <n v="152.58000000000001"/>
    <n v="97.44"/>
    <n v="453010.02"/>
    <n v="289299.36"/>
    <n v="163710.66"/>
  </r>
  <r>
    <x v="3"/>
    <s v="United Arab Emirates"/>
    <s v="Fruits"/>
    <s v="Online"/>
    <s v="M"/>
    <s v="1/15/2017"/>
    <n v="629734456"/>
    <d v="2017-06-03T00:00:00"/>
    <n v="1274"/>
    <n v="9.33"/>
    <n v="6.92"/>
    <n v="11886.42"/>
    <n v="8816.08"/>
    <n v="3070.34"/>
  </r>
  <r>
    <x v="1"/>
    <s v="Liechtenstein"/>
    <s v="Cereal"/>
    <s v="Online"/>
    <s v="L"/>
    <d v="2010-01-01T00:00:00"/>
    <n v="940682303"/>
    <d v="2010-09-02T00:00:00"/>
    <n v="7652"/>
    <n v="205.7"/>
    <n v="117.11"/>
    <n v="1574016.4"/>
    <n v="896125.72"/>
    <n v="677890.68"/>
  </r>
  <r>
    <x v="4"/>
    <s v="Marshall Islands"/>
    <s v="Personal Care"/>
    <s v="Offline"/>
    <s v="C"/>
    <d v="2012-08-05T00:00:00"/>
    <n v="393336999"/>
    <s v="5/14/2012"/>
    <n v="6014"/>
    <n v="81.73"/>
    <n v="56.67"/>
    <n v="491524.22"/>
    <n v="340813.38"/>
    <n v="150710.84"/>
  </r>
  <r>
    <x v="3"/>
    <s v="Pakistan"/>
    <s v="Fruits"/>
    <s v="Offline"/>
    <s v="C"/>
    <d v="2012-04-06T00:00:00"/>
    <n v="897122371"/>
    <s v="6/13/2012"/>
    <n v="7300"/>
    <n v="9.33"/>
    <n v="6.92"/>
    <n v="68109"/>
    <n v="50516"/>
    <n v="17593"/>
  </r>
  <r>
    <x v="1"/>
    <s v="Norway"/>
    <s v="Fruits"/>
    <s v="Offline"/>
    <s v="C"/>
    <d v="2014-06-10T00:00:00"/>
    <n v="381774747"/>
    <s v="10/23/2014"/>
    <n v="4486"/>
    <n v="9.33"/>
    <n v="6.92"/>
    <n v="41854.379999999997"/>
    <n v="31043.119999999999"/>
    <n v="10811.26"/>
  </r>
  <r>
    <x v="3"/>
    <s v="Saudi Arabia"/>
    <s v="Baby Food"/>
    <s v="Online"/>
    <s v="M"/>
    <s v="8/14/2013"/>
    <n v="447342956"/>
    <s v="9/21/2013"/>
    <n v="7576"/>
    <n v="255.28"/>
    <n v="159.41999999999999"/>
    <n v="1934001.28"/>
    <n v="1207765.92"/>
    <n v="726235.36"/>
  </r>
  <r>
    <x v="2"/>
    <s v="Maldives"/>
    <s v="Vegetables"/>
    <s v="Online"/>
    <s v="M"/>
    <s v="11/18/2011"/>
    <n v="514188325"/>
    <d v="2012-02-01T00:00:00"/>
    <n v="8607"/>
    <n v="154.06"/>
    <n v="90.93"/>
    <n v="1325994.42"/>
    <n v="782634.51"/>
    <n v="543359.91"/>
  </r>
  <r>
    <x v="5"/>
    <s v="Sierra Leone"/>
    <s v="Meat"/>
    <s v="Online"/>
    <s v="H"/>
    <s v="4/14/2017"/>
    <n v="972984683"/>
    <s v="5/30/2017"/>
    <n v="6644"/>
    <n v="421.89"/>
    <n v="364.69"/>
    <n v="2803037.16"/>
    <n v="2423000.36"/>
    <n v="380036.8"/>
  </r>
  <r>
    <x v="1"/>
    <s v="Ireland"/>
    <s v="Vegetables"/>
    <s v="Online"/>
    <s v="H"/>
    <d v="2015-02-12T00:00:00"/>
    <n v="934718358"/>
    <s v="12/16/2015"/>
    <n v="2789"/>
    <n v="154.06"/>
    <n v="90.93"/>
    <n v="429673.34"/>
    <n v="253603.77"/>
    <n v="176069.57"/>
  </r>
  <r>
    <x v="5"/>
    <s v="Madagascar"/>
    <s v="Snacks"/>
    <s v="Offline"/>
    <s v="M"/>
    <d v="2013-12-11T00:00:00"/>
    <n v="480688178"/>
    <s v="11/24/2013"/>
    <n v="5169"/>
    <n v="152.58000000000001"/>
    <n v="97.44"/>
    <n v="788686.02"/>
    <n v="503667.36"/>
    <n v="285018.65999999997"/>
  </r>
  <r>
    <x v="3"/>
    <s v="Bahrain"/>
    <s v="Household"/>
    <s v="Online"/>
    <s v="C"/>
    <s v="9/13/2010"/>
    <n v="212505471"/>
    <s v="9/28/2010"/>
    <n v="3946"/>
    <n v="668.27"/>
    <n v="502.54"/>
    <n v="2636993.42"/>
    <n v="1983022.84"/>
    <n v="653970.57999999996"/>
  </r>
  <r>
    <x v="4"/>
    <s v="Marshall Islands"/>
    <s v="Clothes"/>
    <s v="Online"/>
    <s v="M"/>
    <d v="2010-05-11T00:00:00"/>
    <n v="802094066"/>
    <d v="2010-10-12T00:00:00"/>
    <n v="6313"/>
    <n v="109.28"/>
    <n v="35.840000000000003"/>
    <n v="689884.64"/>
    <n v="226257.92000000001"/>
    <n v="463626.72"/>
  </r>
  <r>
    <x v="1"/>
    <s v="Romania"/>
    <s v="Meat"/>
    <s v="Offline"/>
    <s v="C"/>
    <s v="3/23/2012"/>
    <n v="741690289"/>
    <d v="2012-10-05T00:00:00"/>
    <n v="1494"/>
    <n v="421.89"/>
    <n v="364.69"/>
    <n v="630303.66"/>
    <n v="544846.86"/>
    <n v="85456.8"/>
  </r>
  <r>
    <x v="1"/>
    <s v="Serbia"/>
    <s v="Clothes"/>
    <s v="Offline"/>
    <s v="L"/>
    <d v="2010-12-01T00:00:00"/>
    <n v="393842971"/>
    <s v="1/31/2010"/>
    <n v="5742"/>
    <n v="109.28"/>
    <n v="35.840000000000003"/>
    <n v="627485.76"/>
    <n v="205793.28"/>
    <n v="421692.48"/>
  </r>
  <r>
    <x v="0"/>
    <s v="Grenada"/>
    <s v="Snacks"/>
    <s v="Online"/>
    <s v="M"/>
    <d v="2015-04-09T00:00:00"/>
    <n v="641413438"/>
    <s v="9/30/2015"/>
    <n v="7345"/>
    <n v="152.58000000000001"/>
    <n v="97.44"/>
    <n v="1120700.1000000001"/>
    <n v="715696.8"/>
    <n v="405003.3"/>
  </r>
  <r>
    <x v="5"/>
    <s v="Rwanda"/>
    <s v="Cosmetics"/>
    <s v="Offline"/>
    <s v="M"/>
    <s v="2/13/2015"/>
    <n v="637575519"/>
    <s v="3/21/2015"/>
    <n v="1619"/>
    <n v="437.2"/>
    <n v="263.33"/>
    <n v="707826.8"/>
    <n v="426331.27"/>
    <n v="281495.53000000003"/>
  </r>
  <r>
    <x v="2"/>
    <s v="Taiwan"/>
    <s v="Cosmetics"/>
    <s v="Offline"/>
    <s v="M"/>
    <s v="7/18/2010"/>
    <n v="955815541"/>
    <s v="8/13/2010"/>
    <n v="5914"/>
    <n v="437.2"/>
    <n v="263.33"/>
    <n v="2585600.7999999998"/>
    <n v="1557333.62"/>
    <n v="1028267.18"/>
  </r>
  <r>
    <x v="5"/>
    <s v="Chad"/>
    <s v="Cereal"/>
    <s v="Online"/>
    <s v="H"/>
    <s v="7/21/2016"/>
    <n v="439932334"/>
    <d v="2016-06-08T00:00:00"/>
    <n v="4609"/>
    <n v="205.7"/>
    <n v="117.11"/>
    <n v="948071.3"/>
    <n v="539759.99"/>
    <n v="408311.31"/>
  </r>
  <r>
    <x v="5"/>
    <s v="Malawi"/>
    <s v="Baby Food"/>
    <s v="Offline"/>
    <s v="H"/>
    <d v="2010-12-12T00:00:00"/>
    <n v="254037225"/>
    <s v="1/18/2011"/>
    <n v="4115"/>
    <n v="255.28"/>
    <n v="159.41999999999999"/>
    <n v="1050477.2"/>
    <n v="656013.30000000005"/>
    <n v="394463.9"/>
  </r>
  <r>
    <x v="4"/>
    <s v="Tonga"/>
    <s v="Cosmetics"/>
    <s v="Online"/>
    <s v="M"/>
    <s v="3/31/2014"/>
    <n v="732554042"/>
    <d v="2014-05-04T00:00:00"/>
    <n v="7875"/>
    <n v="437.2"/>
    <n v="263.33"/>
    <n v="3442950"/>
    <n v="2073723.75"/>
    <n v="1369226.25"/>
  </r>
  <r>
    <x v="5"/>
    <s v="Democratic Republic of the Congo"/>
    <s v="Office Supplies"/>
    <s v="Online"/>
    <s v="M"/>
    <d v="2010-03-03T00:00:00"/>
    <n v="930219113"/>
    <d v="2010-10-03T00:00:00"/>
    <n v="1362"/>
    <n v="651.21"/>
    <n v="524.96"/>
    <n v="886948.02"/>
    <n v="714995.52"/>
    <n v="171952.5"/>
  </r>
  <r>
    <x v="5"/>
    <s v="Sierra Leone"/>
    <s v="Beverages"/>
    <s v="Online"/>
    <s v="H"/>
    <d v="2010-01-01T00:00:00"/>
    <n v="872081267"/>
    <d v="2010-12-01T00:00:00"/>
    <n v="7081"/>
    <n v="47.45"/>
    <n v="31.79"/>
    <n v="335993.45"/>
    <n v="225104.99"/>
    <n v="110888.46"/>
  </r>
  <r>
    <x v="3"/>
    <s v="Iran"/>
    <s v="Office Supplies"/>
    <s v="Offline"/>
    <s v="H"/>
    <s v="12/16/2010"/>
    <n v="203501832"/>
    <s v="12/18/2010"/>
    <n v="9569"/>
    <n v="651.21"/>
    <n v="524.96"/>
    <n v="6231428.4900000002"/>
    <n v="5023342.24"/>
    <n v="1208086.25"/>
  </r>
  <r>
    <x v="5"/>
    <s v="Guinea-Bissau"/>
    <s v="Clothes"/>
    <s v="Online"/>
    <s v="L"/>
    <d v="2015-03-02T00:00:00"/>
    <n v="440154635"/>
    <d v="2015-06-02T00:00:00"/>
    <n v="393"/>
    <n v="109.28"/>
    <n v="35.840000000000003"/>
    <n v="42947.040000000001"/>
    <n v="14085.12"/>
    <n v="28861.919999999998"/>
  </r>
  <r>
    <x v="5"/>
    <s v="Chad"/>
    <s v="Personal Care"/>
    <s v="Online"/>
    <s v="M"/>
    <s v="5/21/2010"/>
    <n v="918026006"/>
    <d v="2010-09-07T00:00:00"/>
    <n v="3151"/>
    <n v="81.73"/>
    <n v="56.67"/>
    <n v="257531.23"/>
    <n v="178567.17"/>
    <n v="78964.06"/>
  </r>
  <r>
    <x v="1"/>
    <s v="Ireland"/>
    <s v="Household"/>
    <s v="Offline"/>
    <s v="H"/>
    <s v="5/21/2012"/>
    <n v="143414771"/>
    <d v="2012-03-06T00:00:00"/>
    <n v="8473"/>
    <n v="668.27"/>
    <n v="502.54"/>
    <n v="5662251.71"/>
    <n v="4258021.42"/>
    <n v="1404230.29"/>
  </r>
  <r>
    <x v="2"/>
    <s v="Taiwan"/>
    <s v="Vegetables"/>
    <s v="Offline"/>
    <s v="M"/>
    <s v="12/28/2014"/>
    <n v="742932260"/>
    <s v="1/30/2015"/>
    <n v="9020"/>
    <n v="154.06"/>
    <n v="90.93"/>
    <n v="1389621.2"/>
    <n v="820188.6"/>
    <n v="569432.6"/>
  </r>
  <r>
    <x v="0"/>
    <s v="Haiti"/>
    <s v="Vegetables"/>
    <s v="Offline"/>
    <s v="L"/>
    <d v="2016-10-12T00:00:00"/>
    <n v="913502299"/>
    <s v="1/14/2017"/>
    <n v="4485"/>
    <n v="154.06"/>
    <n v="90.93"/>
    <n v="690959.1"/>
    <n v="407821.05"/>
    <n v="283138.05"/>
  </r>
  <r>
    <x v="1"/>
    <s v="Portugal"/>
    <s v="Snacks"/>
    <s v="Offline"/>
    <s v="C"/>
    <s v="6/26/2010"/>
    <n v="272361218"/>
    <d v="2010-03-07T00:00:00"/>
    <n v="6592"/>
    <n v="152.58000000000001"/>
    <n v="97.44"/>
    <n v="1005807.36"/>
    <n v="642324.47999999998"/>
    <n v="363482.88"/>
  </r>
  <r>
    <x v="0"/>
    <s v="Saint Lucia"/>
    <s v="Vegetables"/>
    <s v="Offline"/>
    <s v="C"/>
    <d v="2015-04-06T00:00:00"/>
    <n v="307057845"/>
    <d v="2015-02-07T00:00:00"/>
    <n v="4095"/>
    <n v="154.06"/>
    <n v="90.93"/>
    <n v="630875.69999999995"/>
    <n v="372358.35"/>
    <n v="258517.35"/>
  </r>
  <r>
    <x v="2"/>
    <s v="Japan"/>
    <s v="Beverages"/>
    <s v="Online"/>
    <s v="C"/>
    <d v="2014-07-10T00:00:00"/>
    <n v="325453507"/>
    <d v="2014-12-11T00:00:00"/>
    <n v="7780"/>
    <n v="47.45"/>
    <n v="31.79"/>
    <n v="369161"/>
    <n v="247326.2"/>
    <n v="121834.8"/>
  </r>
  <r>
    <x v="5"/>
    <s v="Zambia"/>
    <s v="Baby Food"/>
    <s v="Online"/>
    <s v="L"/>
    <d v="2011-10-07T00:00:00"/>
    <n v="605722033"/>
    <s v="7/20/2011"/>
    <n v="5465"/>
    <n v="255.28"/>
    <n v="159.41999999999999"/>
    <n v="1395105.2"/>
    <n v="871230.3"/>
    <n v="523874.9"/>
  </r>
  <r>
    <x v="1"/>
    <s v="Lithuania"/>
    <s v="Vegetables"/>
    <s v="Online"/>
    <s v="M"/>
    <d v="2017-01-05T00:00:00"/>
    <n v="146349751"/>
    <s v="6/13/2017"/>
    <n v="6999"/>
    <n v="154.06"/>
    <n v="90.93"/>
    <n v="1078265.94"/>
    <n v="636419.06999999995"/>
    <n v="441846.87"/>
  </r>
  <r>
    <x v="2"/>
    <s v="Malaysia"/>
    <s v="Fruits"/>
    <s v="Online"/>
    <s v="C"/>
    <s v="10/30/2010"/>
    <n v="716135489"/>
    <s v="11/13/2010"/>
    <n v="9260"/>
    <n v="9.33"/>
    <n v="6.92"/>
    <n v="86395.8"/>
    <n v="64079.199999999997"/>
    <n v="22316.6"/>
  </r>
  <r>
    <x v="1"/>
    <s v="Georgia"/>
    <s v="Meat"/>
    <s v="Offline"/>
    <s v="C"/>
    <s v="2/22/2017"/>
    <n v="104190576"/>
    <d v="2017-12-03T00:00:00"/>
    <n v="1162"/>
    <n v="421.89"/>
    <n v="364.69"/>
    <n v="490236.18"/>
    <n v="423769.78"/>
    <n v="66466.399999999994"/>
  </r>
  <r>
    <x v="2"/>
    <s v="Laos"/>
    <s v="Baby Food"/>
    <s v="Offline"/>
    <s v="M"/>
    <d v="2013-04-04T00:00:00"/>
    <n v="669938838"/>
    <d v="2013-10-05T00:00:00"/>
    <n v="8645"/>
    <n v="255.28"/>
    <n v="159.41999999999999"/>
    <n v="2206895.6"/>
    <n v="1378185.9"/>
    <n v="828709.7"/>
  </r>
  <r>
    <x v="4"/>
    <s v="Kiribati"/>
    <s v="Office Supplies"/>
    <s v="Offline"/>
    <s v="L"/>
    <s v="1/26/2015"/>
    <n v="793116605"/>
    <d v="2015-07-02T00:00:00"/>
    <n v="9683"/>
    <n v="651.21"/>
    <n v="524.96"/>
    <n v="6305666.4299999997"/>
    <n v="5083187.68"/>
    <n v="1222478.75"/>
  </r>
  <r>
    <x v="2"/>
    <s v="Laos"/>
    <s v="Household"/>
    <s v="Offline"/>
    <s v="M"/>
    <s v="1/15/2013"/>
    <n v="723772704"/>
    <s v="2/15/2013"/>
    <n v="9282"/>
    <n v="668.27"/>
    <n v="502.54"/>
    <n v="6202882.1399999997"/>
    <n v="4664576.28"/>
    <n v="1538305.86"/>
  </r>
  <r>
    <x v="1"/>
    <s v="Poland"/>
    <s v="Cereal"/>
    <s v="Online"/>
    <s v="C"/>
    <d v="2013-06-11T00:00:00"/>
    <n v="332268464"/>
    <s v="12/14/2013"/>
    <n v="4477"/>
    <n v="205.7"/>
    <n v="117.11"/>
    <n v="920918.9"/>
    <n v="524301.47"/>
    <n v="396617.43"/>
  </r>
  <r>
    <x v="1"/>
    <s v="Spain"/>
    <s v="Meat"/>
    <s v="Online"/>
    <s v="M"/>
    <s v="11/15/2013"/>
    <n v="459277713"/>
    <d v="2013-04-12T00:00:00"/>
    <n v="9336"/>
    <n v="421.89"/>
    <n v="364.69"/>
    <n v="3938765.04"/>
    <n v="3404745.84"/>
    <n v="534019.19999999995"/>
  </r>
  <r>
    <x v="1"/>
    <s v="Romania"/>
    <s v="Fruits"/>
    <s v="Offline"/>
    <s v="L"/>
    <s v="7/24/2010"/>
    <n v="665786778"/>
    <s v="8/15/2010"/>
    <n v="9958"/>
    <n v="9.33"/>
    <n v="6.92"/>
    <n v="92908.14"/>
    <n v="68909.36"/>
    <n v="23998.78"/>
  </r>
  <r>
    <x v="2"/>
    <s v="Indonesia"/>
    <s v="Household"/>
    <s v="Online"/>
    <s v="M"/>
    <d v="2013-10-10T00:00:00"/>
    <n v="583094489"/>
    <s v="11/13/2013"/>
    <n v="9472"/>
    <n v="668.27"/>
    <n v="502.54"/>
    <n v="6329853.4400000004"/>
    <n v="4760058.88"/>
    <n v="1569794.56"/>
  </r>
  <r>
    <x v="5"/>
    <s v="Ghana"/>
    <s v="Cereal"/>
    <s v="Offline"/>
    <s v="M"/>
    <s v="9/27/2011"/>
    <n v="362812173"/>
    <s v="9/30/2011"/>
    <n v="3039"/>
    <n v="205.7"/>
    <n v="117.11"/>
    <n v="625122.30000000005"/>
    <n v="355897.29"/>
    <n v="269225.01"/>
  </r>
  <r>
    <x v="0"/>
    <s v="Grenada"/>
    <s v="Snacks"/>
    <s v="Online"/>
    <s v="C"/>
    <s v="8/28/2012"/>
    <n v="226863658"/>
    <s v="9/16/2012"/>
    <n v="2853"/>
    <n v="152.58000000000001"/>
    <n v="97.44"/>
    <n v="435310.74"/>
    <n v="277996.32"/>
    <n v="157314.42000000001"/>
  </r>
  <r>
    <x v="1"/>
    <s v="Latvia"/>
    <s v="Baby Food"/>
    <s v="Online"/>
    <s v="L"/>
    <d v="2010-01-09T00:00:00"/>
    <n v="917485272"/>
    <d v="2010-03-10T00:00:00"/>
    <n v="3136"/>
    <n v="255.28"/>
    <n v="159.41999999999999"/>
    <n v="800558.07999999996"/>
    <n v="499941.12"/>
    <n v="300616.96000000002"/>
  </r>
  <r>
    <x v="1"/>
    <s v="Ireland"/>
    <s v="Personal Care"/>
    <s v="Offline"/>
    <s v="L"/>
    <s v="4/28/2012"/>
    <n v="547225844"/>
    <s v="5/30/2012"/>
    <n v="5143"/>
    <n v="81.73"/>
    <n v="56.67"/>
    <n v="420337.39"/>
    <n v="291453.81"/>
    <n v="128883.58"/>
  </r>
  <r>
    <x v="5"/>
    <s v="Botswana"/>
    <s v="Household"/>
    <s v="Offline"/>
    <s v="M"/>
    <d v="2010-06-02T00:00:00"/>
    <n v="448946702"/>
    <s v="2/28/2010"/>
    <n v="2161"/>
    <n v="668.27"/>
    <n v="502.54"/>
    <n v="1444131.47"/>
    <n v="1085988.94"/>
    <n v="358142.53"/>
  </r>
  <r>
    <x v="5"/>
    <s v="Liberia"/>
    <s v="Cosmetics"/>
    <s v="Online"/>
    <s v="H"/>
    <s v="6/21/2016"/>
    <n v="225821673"/>
    <d v="2016-03-08T00:00:00"/>
    <n v="4506"/>
    <n v="437.2"/>
    <n v="263.33"/>
    <n v="1970023.2"/>
    <n v="1186564.98"/>
    <n v="783458.22"/>
  </r>
  <r>
    <x v="2"/>
    <s v="Uzbekistan"/>
    <s v="Beverages"/>
    <s v="Online"/>
    <s v="L"/>
    <d v="2014-06-09T00:00:00"/>
    <n v="901337087"/>
    <s v="10/25/2014"/>
    <n v="4529"/>
    <n v="47.45"/>
    <n v="31.79"/>
    <n v="214901.05"/>
    <n v="143976.91"/>
    <n v="70924.14"/>
  </r>
  <r>
    <x v="1"/>
    <s v="Switzerland"/>
    <s v="Household"/>
    <s v="Offline"/>
    <s v="L"/>
    <s v="7/19/2015"/>
    <n v="869291770"/>
    <s v="8/21/2015"/>
    <n v="1607"/>
    <n v="668.27"/>
    <n v="502.54"/>
    <n v="1073909.8899999999"/>
    <n v="807581.78"/>
    <n v="266328.11"/>
  </r>
  <r>
    <x v="0"/>
    <s v="El Salvador"/>
    <s v="Baby Food"/>
    <s v="Offline"/>
    <s v="L"/>
    <s v="10/20/2015"/>
    <n v="843797051"/>
    <s v="10/21/2015"/>
    <n v="7153"/>
    <n v="255.28"/>
    <n v="159.41999999999999"/>
    <n v="1826017.84"/>
    <n v="1140331.26"/>
    <n v="685686.58"/>
  </r>
  <r>
    <x v="1"/>
    <s v="Romania"/>
    <s v="Clothes"/>
    <s v="Offline"/>
    <s v="L"/>
    <d v="2017-12-01T00:00:00"/>
    <n v="709276759"/>
    <d v="2017-01-03T00:00:00"/>
    <n v="9610"/>
    <n v="109.28"/>
    <n v="35.840000000000003"/>
    <n v="1050180.8"/>
    <n v="344422.40000000002"/>
    <n v="705758.4"/>
  </r>
  <r>
    <x v="2"/>
    <s v="Nepal"/>
    <s v="Fruits"/>
    <s v="Online"/>
    <s v="M"/>
    <s v="4/27/2014"/>
    <n v="870467221"/>
    <s v="5/28/2014"/>
    <n v="9449"/>
    <n v="9.33"/>
    <n v="6.92"/>
    <n v="88159.17"/>
    <n v="65387.08"/>
    <n v="22772.09"/>
  </r>
  <r>
    <x v="5"/>
    <s v="Niger"/>
    <s v="Baby Food"/>
    <s v="Online"/>
    <s v="M"/>
    <d v="2015-01-03T00:00:00"/>
    <n v="902417266"/>
    <s v="4/15/2015"/>
    <n v="4178"/>
    <n v="255.28"/>
    <n v="159.41999999999999"/>
    <n v="1066559.8400000001"/>
    <n v="666056.76"/>
    <n v="400503.08"/>
  </r>
  <r>
    <x v="4"/>
    <s v="Kiribati"/>
    <s v="Office Supplies"/>
    <s v="Offline"/>
    <s v="M"/>
    <s v="12/26/2012"/>
    <n v="900488221"/>
    <s v="2/14/2013"/>
    <n v="3330"/>
    <n v="651.21"/>
    <n v="524.96"/>
    <n v="2168529.2999999998"/>
    <n v="1748116.8"/>
    <n v="420412.5"/>
  </r>
  <r>
    <x v="2"/>
    <s v="Indonesia"/>
    <s v="Clothes"/>
    <s v="Online"/>
    <s v="H"/>
    <s v="8/19/2013"/>
    <n v="130353915"/>
    <d v="2013-01-10T00:00:00"/>
    <n v="3475"/>
    <n v="109.28"/>
    <n v="35.840000000000003"/>
    <n v="379748"/>
    <n v="124544"/>
    <n v="255204"/>
  </r>
  <r>
    <x v="5"/>
    <s v="Botswana"/>
    <s v="Cosmetics"/>
    <s v="Offline"/>
    <s v="H"/>
    <d v="2016-11-06T00:00:00"/>
    <n v="178000676"/>
    <s v="7/16/2016"/>
    <n v="3210"/>
    <n v="437.2"/>
    <n v="263.33"/>
    <n v="1403412"/>
    <n v="845289.3"/>
    <n v="558122.69999999995"/>
  </r>
  <r>
    <x v="5"/>
    <s v="Gabon"/>
    <s v="Beverages"/>
    <s v="Online"/>
    <s v="L"/>
    <s v="6/18/2010"/>
    <n v="899727332"/>
    <s v="7/13/2010"/>
    <n v="8166"/>
    <n v="47.45"/>
    <n v="31.79"/>
    <n v="387476.7"/>
    <n v="259597.14"/>
    <n v="127879.56"/>
  </r>
  <r>
    <x v="2"/>
    <s v="Philippines"/>
    <s v="Baby Food"/>
    <s v="Offline"/>
    <s v="C"/>
    <d v="2016-01-02T00:00:00"/>
    <n v="872145211"/>
    <s v="2/26/2016"/>
    <n v="6004"/>
    <n v="255.28"/>
    <n v="159.41999999999999"/>
    <n v="1532701.12"/>
    <n v="957157.68"/>
    <n v="575543.43999999994"/>
  </r>
  <r>
    <x v="5"/>
    <s v="Zambia"/>
    <s v="Office Supplies"/>
    <s v="Online"/>
    <s v="C"/>
    <s v="2/18/2013"/>
    <n v="542178142"/>
    <s v="3/26/2013"/>
    <n v="1415"/>
    <n v="651.21"/>
    <n v="524.96"/>
    <n v="921462.15"/>
    <n v="742818.4"/>
    <n v="178643.75"/>
  </r>
  <r>
    <x v="1"/>
    <s v="Albania"/>
    <s v="Beverages"/>
    <s v="Online"/>
    <s v="C"/>
    <d v="2012-09-10T00:00:00"/>
    <n v="877062451"/>
    <s v="10/29/2012"/>
    <n v="1124"/>
    <n v="47.45"/>
    <n v="31.79"/>
    <n v="53333.8"/>
    <n v="35731.96"/>
    <n v="17601.84"/>
  </r>
  <r>
    <x v="5"/>
    <s v="Burkina Faso"/>
    <s v="Personal Care"/>
    <s v="Offline"/>
    <s v="M"/>
    <s v="11/18/2015"/>
    <n v="214346969"/>
    <s v="12/20/2015"/>
    <n v="8886"/>
    <n v="81.73"/>
    <n v="56.67"/>
    <n v="726252.78"/>
    <n v="503569.62"/>
    <n v="222683.16"/>
  </r>
  <r>
    <x v="1"/>
    <s v="Slovenia"/>
    <s v="Baby Food"/>
    <s v="Online"/>
    <s v="L"/>
    <s v="10/28/2016"/>
    <n v="111893022"/>
    <d v="2016-02-12T00:00:00"/>
    <n v="486"/>
    <n v="255.28"/>
    <n v="159.41999999999999"/>
    <n v="124066.08"/>
    <n v="77478.12"/>
    <n v="46587.96"/>
  </r>
  <r>
    <x v="1"/>
    <s v="Slovakia"/>
    <s v="Beverages"/>
    <s v="Online"/>
    <s v="M"/>
    <s v="10/29/2014"/>
    <n v="397874438"/>
    <d v="2014-01-12T00:00:00"/>
    <n v="8743"/>
    <n v="47.45"/>
    <n v="31.79"/>
    <n v="414855.35"/>
    <n v="277939.96999999997"/>
    <n v="136915.38"/>
  </r>
  <r>
    <x v="1"/>
    <s v="Bulgaria"/>
    <s v="Clothes"/>
    <s v="Offline"/>
    <s v="C"/>
    <d v="2010-02-03T00:00:00"/>
    <n v="520777547"/>
    <s v="4/15/2010"/>
    <n v="8504"/>
    <n v="109.28"/>
    <n v="35.840000000000003"/>
    <n v="929317.12"/>
    <n v="304783.35999999999"/>
    <n v="624533.76000000001"/>
  </r>
  <r>
    <x v="2"/>
    <s v="Brunei"/>
    <s v="Fruits"/>
    <s v="Offline"/>
    <s v="C"/>
    <s v="7/24/2015"/>
    <n v="899401175"/>
    <s v="8/15/2015"/>
    <n v="1649"/>
    <n v="9.33"/>
    <n v="6.92"/>
    <n v="15385.17"/>
    <n v="11411.08"/>
    <n v="3974.09"/>
  </r>
  <r>
    <x v="1"/>
    <s v="Vatican City"/>
    <s v="Household"/>
    <s v="Online"/>
    <s v="C"/>
    <s v="6/27/2014"/>
    <n v="672856652"/>
    <d v="2014-03-08T00:00:00"/>
    <n v="2091"/>
    <n v="668.27"/>
    <n v="502.54"/>
    <n v="1397352.57"/>
    <n v="1050811.1399999999"/>
    <n v="346541.43"/>
  </r>
  <r>
    <x v="3"/>
    <s v="Iraq"/>
    <s v="Meat"/>
    <s v="Offline"/>
    <s v="L"/>
    <d v="2010-04-06T00:00:00"/>
    <n v="850567805"/>
    <s v="7/18/2010"/>
    <n v="770"/>
    <n v="421.89"/>
    <n v="364.69"/>
    <n v="324855.3"/>
    <n v="280811.3"/>
    <n v="44044"/>
  </r>
  <r>
    <x v="3"/>
    <s v="Jordan"/>
    <s v="Snacks"/>
    <s v="Online"/>
    <s v="L"/>
    <s v="6/29/2015"/>
    <n v="262270963"/>
    <d v="2015-12-07T00:00:00"/>
    <n v="661"/>
    <n v="152.58000000000001"/>
    <n v="97.44"/>
    <n v="100855.38"/>
    <n v="64407.839999999997"/>
    <n v="36447.54"/>
  </r>
  <r>
    <x v="3"/>
    <s v="Bahrain"/>
    <s v="Cereal"/>
    <s v="Offline"/>
    <s v="H"/>
    <s v="5/14/2016"/>
    <n v="508014953"/>
    <s v="5/18/2016"/>
    <n v="1769"/>
    <n v="205.7"/>
    <n v="117.11"/>
    <n v="363883.3"/>
    <n v="207167.59"/>
    <n v="156715.71"/>
  </r>
  <r>
    <x v="0"/>
    <s v="Grenada"/>
    <s v="Fruits"/>
    <s v="Offline"/>
    <s v="C"/>
    <d v="2015-09-12T00:00:00"/>
    <n v="108161103"/>
    <s v="1/17/2016"/>
    <n v="6129"/>
    <n v="9.33"/>
    <n v="6.92"/>
    <n v="57183.57"/>
    <n v="42412.68"/>
    <n v="14770.89"/>
  </r>
  <r>
    <x v="1"/>
    <s v="Kosovo"/>
    <s v="Office Supplies"/>
    <s v="Online"/>
    <s v="L"/>
    <s v="5/15/2014"/>
    <n v="353383243"/>
    <d v="2014-09-06T00:00:00"/>
    <n v="2809"/>
    <n v="651.21"/>
    <n v="524.96"/>
    <n v="1829248.89"/>
    <n v="1474612.64"/>
    <n v="354636.25"/>
  </r>
  <r>
    <x v="1"/>
    <s v="Croatia"/>
    <s v="Office Supplies"/>
    <s v="Offline"/>
    <s v="L"/>
    <s v="11/21/2012"/>
    <n v="354667699"/>
    <s v="12/29/2012"/>
    <n v="2908"/>
    <n v="651.21"/>
    <n v="524.96"/>
    <n v="1893718.68"/>
    <n v="1526583.68"/>
    <n v="367135"/>
  </r>
  <r>
    <x v="6"/>
    <s v="Greenland"/>
    <s v="Vegetables"/>
    <s v="Offline"/>
    <s v="C"/>
    <d v="2010-07-01T00:00:00"/>
    <n v="193313300"/>
    <s v="2/13/2010"/>
    <n v="4556"/>
    <n v="154.06"/>
    <n v="90.93"/>
    <n v="701897.36"/>
    <n v="414277.08"/>
    <n v="287620.28000000003"/>
  </r>
  <r>
    <x v="2"/>
    <s v="Thailand"/>
    <s v="Beverages"/>
    <s v="Online"/>
    <s v="M"/>
    <s v="11/22/2012"/>
    <n v="470931375"/>
    <d v="2013-10-01T00:00:00"/>
    <n v="7914"/>
    <n v="47.45"/>
    <n v="31.79"/>
    <n v="375519.3"/>
    <n v="251586.06"/>
    <n v="123933.24"/>
  </r>
  <r>
    <x v="6"/>
    <s v="Canada"/>
    <s v="Snacks"/>
    <s v="Offline"/>
    <s v="M"/>
    <s v="10/19/2010"/>
    <n v="959445750"/>
    <s v="11/23/2010"/>
    <n v="173"/>
    <n v="152.58000000000001"/>
    <n v="97.44"/>
    <n v="26396.34"/>
    <n v="16857.12"/>
    <n v="9539.2199999999993"/>
  </r>
  <r>
    <x v="2"/>
    <s v="Nepal"/>
    <s v="Clothes"/>
    <s v="Online"/>
    <s v="C"/>
    <s v="10/19/2016"/>
    <n v="151092755"/>
    <d v="2016-11-11T00:00:00"/>
    <n v="559"/>
    <n v="109.28"/>
    <n v="35.840000000000003"/>
    <n v="61087.519999999997"/>
    <n v="20034.560000000001"/>
    <n v="41052.959999999999"/>
  </r>
  <r>
    <x v="6"/>
    <s v="Mexico"/>
    <s v="Fruits"/>
    <s v="Online"/>
    <s v="L"/>
    <d v="2010-12-12T00:00:00"/>
    <n v="208421218"/>
    <d v="2011-08-01T00:00:00"/>
    <n v="5325"/>
    <n v="9.33"/>
    <n v="6.92"/>
    <n v="49682.25"/>
    <n v="36849"/>
    <n v="12833.25"/>
  </r>
  <r>
    <x v="1"/>
    <s v="Switzerland"/>
    <s v="Snacks"/>
    <s v="Online"/>
    <s v="L"/>
    <s v="3/20/2012"/>
    <n v="214292466"/>
    <s v="4/13/2012"/>
    <n v="2758"/>
    <n v="152.58000000000001"/>
    <n v="97.44"/>
    <n v="420815.64"/>
    <n v="268739.52"/>
    <n v="152076.12"/>
  </r>
  <r>
    <x v="2"/>
    <s v="Bangladesh"/>
    <s v="Baby Food"/>
    <s v="Online"/>
    <s v="L"/>
    <s v="2/26/2014"/>
    <n v="221880328"/>
    <s v="3/30/2014"/>
    <n v="8175"/>
    <n v="255.28"/>
    <n v="159.41999999999999"/>
    <n v="2086914"/>
    <n v="1303258.5"/>
    <n v="783655.5"/>
  </r>
  <r>
    <x v="4"/>
    <s v="East Timor"/>
    <s v="Beverages"/>
    <s v="Online"/>
    <s v="H"/>
    <s v="5/13/2011"/>
    <n v="804671132"/>
    <d v="2011-10-06T00:00:00"/>
    <n v="8924"/>
    <n v="47.45"/>
    <n v="31.79"/>
    <n v="423443.8"/>
    <n v="283693.96000000002"/>
    <n v="139749.84"/>
  </r>
  <r>
    <x v="0"/>
    <s v="Cuba"/>
    <s v="Cereal"/>
    <s v="Online"/>
    <s v="H"/>
    <s v="11/14/2010"/>
    <n v="806463706"/>
    <s v="12/16/2010"/>
    <n v="9387"/>
    <n v="205.7"/>
    <n v="117.11"/>
    <n v="1930905.9"/>
    <n v="1099311.57"/>
    <n v="831594.33"/>
  </r>
  <r>
    <x v="3"/>
    <s v="Algeria"/>
    <s v="Vegetables"/>
    <s v="Offline"/>
    <s v="M"/>
    <s v="3/14/2013"/>
    <n v="491369378"/>
    <d v="2013-06-04T00:00:00"/>
    <n v="5973"/>
    <n v="154.06"/>
    <n v="90.93"/>
    <n v="920200.38"/>
    <n v="543124.89"/>
    <n v="377075.49"/>
  </r>
  <r>
    <x v="3"/>
    <s v="Morocco"/>
    <s v="Cosmetics"/>
    <s v="Online"/>
    <s v="C"/>
    <s v="2/25/2016"/>
    <n v="193811976"/>
    <s v="3/18/2016"/>
    <n v="2126"/>
    <n v="437.2"/>
    <n v="263.33"/>
    <n v="929487.2"/>
    <n v="559839.57999999996"/>
    <n v="369647.62"/>
  </r>
  <r>
    <x v="3"/>
    <s v="Qatar"/>
    <s v="Vegetables"/>
    <s v="Offline"/>
    <s v="L"/>
    <d v="2011-06-01T00:00:00"/>
    <n v="768527829"/>
    <s v="1/17/2011"/>
    <n v="3318"/>
    <n v="154.06"/>
    <n v="90.93"/>
    <n v="511171.08"/>
    <n v="301705.74"/>
    <n v="209465.34"/>
  </r>
  <r>
    <x v="2"/>
    <s v="Kyrgyzstan"/>
    <s v="Beverages"/>
    <s v="Online"/>
    <s v="M"/>
    <s v="8/27/2016"/>
    <n v="440565764"/>
    <d v="2016-06-09T00:00:00"/>
    <n v="2055"/>
    <n v="47.45"/>
    <n v="31.79"/>
    <n v="97509.75"/>
    <n v="65328.45"/>
    <n v="32181.3"/>
  </r>
  <r>
    <x v="1"/>
    <s v="Portugal"/>
    <s v="Household"/>
    <s v="Offline"/>
    <s v="H"/>
    <s v="2/18/2015"/>
    <n v="655287110"/>
    <s v="2/22/2015"/>
    <n v="2873"/>
    <n v="668.27"/>
    <n v="502.54"/>
    <n v="1919939.71"/>
    <n v="1443797.42"/>
    <n v="476142.29"/>
  </r>
  <r>
    <x v="0"/>
    <s v="Barbados"/>
    <s v="Meat"/>
    <s v="Online"/>
    <s v="H"/>
    <s v="1/30/2016"/>
    <n v="228365695"/>
    <s v="2/14/2016"/>
    <n v="7339"/>
    <n v="421.89"/>
    <n v="364.69"/>
    <n v="3096250.71"/>
    <n v="2676459.91"/>
    <n v="419790.8"/>
  </r>
  <r>
    <x v="1"/>
    <s v="Liechtenstein"/>
    <s v="Baby Food"/>
    <s v="Online"/>
    <s v="H"/>
    <s v="1/18/2015"/>
    <n v="295787847"/>
    <s v="2/16/2015"/>
    <n v="9052"/>
    <n v="255.28"/>
    <n v="159.41999999999999"/>
    <n v="2310794.56"/>
    <n v="1443069.84"/>
    <n v="867724.72"/>
  </r>
  <r>
    <x v="1"/>
    <s v="Kosovo"/>
    <s v="Baby Food"/>
    <s v="Offline"/>
    <s v="L"/>
    <d v="2012-10-06T00:00:00"/>
    <n v="263852393"/>
    <s v="6/29/2012"/>
    <n v="8641"/>
    <n v="255.28"/>
    <n v="159.41999999999999"/>
    <n v="2205874.48"/>
    <n v="1377548.22"/>
    <n v="828326.26"/>
  </r>
  <r>
    <x v="5"/>
    <s v="Rwanda"/>
    <s v="Beverages"/>
    <s v="Offline"/>
    <s v="M"/>
    <s v="4/20/2017"/>
    <n v="959170663"/>
    <s v="5/14/2017"/>
    <n v="8769"/>
    <n v="47.45"/>
    <n v="31.79"/>
    <n v="416089.05"/>
    <n v="278766.51"/>
    <n v="137322.54"/>
  </r>
  <r>
    <x v="1"/>
    <s v="Russia"/>
    <s v="Fruits"/>
    <s v="Offline"/>
    <s v="H"/>
    <s v="3/24/2013"/>
    <n v="578666484"/>
    <d v="2013-11-04T00:00:00"/>
    <n v="9127"/>
    <n v="9.33"/>
    <n v="6.92"/>
    <n v="85154.91"/>
    <n v="63158.84"/>
    <n v="21996.07"/>
  </r>
  <r>
    <x v="5"/>
    <s v="Sao Tome and Principe"/>
    <s v="Vegetables"/>
    <s v="Online"/>
    <s v="H"/>
    <d v="2015-07-03T00:00:00"/>
    <n v="539576184"/>
    <s v="4/16/2015"/>
    <n v="1438"/>
    <n v="154.06"/>
    <n v="90.93"/>
    <n v="221538.28"/>
    <n v="130757.34"/>
    <n v="90780.94"/>
  </r>
  <r>
    <x v="4"/>
    <s v="Samoa "/>
    <s v="Household"/>
    <s v="Offline"/>
    <s v="L"/>
    <d v="2012-01-09T00:00:00"/>
    <n v="529448592"/>
    <s v="9/18/2012"/>
    <n v="4459"/>
    <n v="668.27"/>
    <n v="502.54"/>
    <n v="2979815.93"/>
    <n v="2240825.86"/>
    <n v="738990.07"/>
  </r>
  <r>
    <x v="5"/>
    <s v="Republic of the Congo"/>
    <s v="Vegetables"/>
    <s v="Online"/>
    <s v="L"/>
    <d v="2011-06-06T00:00:00"/>
    <n v="756145036"/>
    <s v="7/17/2011"/>
    <n v="8974"/>
    <n v="154.06"/>
    <n v="90.93"/>
    <n v="1382534.44"/>
    <n v="816005.82"/>
    <n v="566528.62"/>
  </r>
  <r>
    <x v="1"/>
    <s v="Denmark"/>
    <s v="Personal Care"/>
    <s v="Offline"/>
    <s v="C"/>
    <s v="6/18/2014"/>
    <n v="597839343"/>
    <s v="7/26/2014"/>
    <n v="2802"/>
    <n v="81.73"/>
    <n v="56.67"/>
    <n v="229007.46"/>
    <n v="158789.34"/>
    <n v="70218.12"/>
  </r>
  <r>
    <x v="4"/>
    <s v="Tonga"/>
    <s v="Office Supplies"/>
    <s v="Offline"/>
    <s v="M"/>
    <d v="2010-11-09T00:00:00"/>
    <n v="853017842"/>
    <d v="2010-12-09T00:00:00"/>
    <n v="5790"/>
    <n v="651.21"/>
    <n v="524.96"/>
    <n v="3770505.9"/>
    <n v="3039518.4"/>
    <n v="730987.5"/>
  </r>
  <r>
    <x v="3"/>
    <s v="Oman"/>
    <s v="Baby Food"/>
    <s v="Offline"/>
    <s v="L"/>
    <s v="8/16/2016"/>
    <n v="590479362"/>
    <s v="8/28/2016"/>
    <n v="4820"/>
    <n v="255.28"/>
    <n v="159.41999999999999"/>
    <n v="1230449.6000000001"/>
    <n v="768404.4"/>
    <n v="462045.2"/>
  </r>
  <r>
    <x v="1"/>
    <s v="Romania"/>
    <s v="Cosmetics"/>
    <s v="Offline"/>
    <s v="M"/>
    <d v="2011-12-12T00:00:00"/>
    <n v="299335229"/>
    <s v="12/24/2011"/>
    <n v="8801"/>
    <n v="437.2"/>
    <n v="263.33"/>
    <n v="3847797.2"/>
    <n v="2317567.33"/>
    <n v="1530229.87"/>
  </r>
  <r>
    <x v="0"/>
    <s v="The Bahamas"/>
    <s v="Clothes"/>
    <s v="Online"/>
    <s v="C"/>
    <d v="2011-01-07T00:00:00"/>
    <n v="539009273"/>
    <d v="2011-04-08T00:00:00"/>
    <n v="3677"/>
    <n v="109.28"/>
    <n v="35.840000000000003"/>
    <n v="401822.56"/>
    <n v="131783.67999999999"/>
    <n v="270038.88"/>
  </r>
  <r>
    <x v="3"/>
    <s v="Libya"/>
    <s v="Personal Care"/>
    <s v="Online"/>
    <s v="H"/>
    <s v="1/13/2016"/>
    <n v="589237821"/>
    <d v="2016-04-02T00:00:00"/>
    <n v="7420"/>
    <n v="81.73"/>
    <n v="56.67"/>
    <n v="606436.6"/>
    <n v="420491.4"/>
    <n v="185945.2"/>
  </r>
  <r>
    <x v="1"/>
    <s v="Vatican City"/>
    <s v="Vegetables"/>
    <s v="Offline"/>
    <s v="L"/>
    <d v="2016-10-01T00:00:00"/>
    <n v="700069701"/>
    <s v="1/21/2016"/>
    <n v="5037"/>
    <n v="154.06"/>
    <n v="90.93"/>
    <n v="776000.22"/>
    <n v="458014.41"/>
    <n v="317985.81"/>
  </r>
  <r>
    <x v="1"/>
    <s v="Ukraine"/>
    <s v="Household"/>
    <s v="Online"/>
    <s v="H"/>
    <s v="7/28/2010"/>
    <n v="741866242"/>
    <s v="9/13/2010"/>
    <n v="3562"/>
    <n v="668.27"/>
    <n v="502.54"/>
    <n v="2380377.7400000002"/>
    <n v="1790047.48"/>
    <n v="590330.26"/>
  </r>
  <r>
    <x v="0"/>
    <s v="Antigua and Barbuda "/>
    <s v="Cereal"/>
    <s v="Offline"/>
    <s v="L"/>
    <d v="2011-12-03T00:00:00"/>
    <n v="655301272"/>
    <s v="3/25/2011"/>
    <n v="7064"/>
    <n v="205.7"/>
    <n v="117.11"/>
    <n v="1453064.8"/>
    <n v="827265.04"/>
    <n v="625799.76"/>
  </r>
  <r>
    <x v="4"/>
    <s v="Fiji"/>
    <s v="Beverages"/>
    <s v="Online"/>
    <s v="C"/>
    <d v="2015-05-05T00:00:00"/>
    <n v="901361119"/>
    <s v="5/14/2015"/>
    <n v="1640"/>
    <n v="47.45"/>
    <n v="31.79"/>
    <n v="77818"/>
    <n v="52135.6"/>
    <n v="25682.400000000001"/>
  </r>
  <r>
    <x v="1"/>
    <s v="Bulgaria"/>
    <s v="Snacks"/>
    <s v="Offline"/>
    <s v="L"/>
    <d v="2010-01-03T00:00:00"/>
    <n v="211344611"/>
    <s v="3/23/2010"/>
    <n v="422"/>
    <n v="152.58000000000001"/>
    <n v="97.44"/>
    <n v="64388.76"/>
    <n v="41119.68"/>
    <n v="23269.08"/>
  </r>
  <r>
    <x v="3"/>
    <s v="Turkey"/>
    <s v="Beverages"/>
    <s v="Online"/>
    <s v="L"/>
    <d v="2014-02-03T00:00:00"/>
    <n v="536863076"/>
    <d v="2014-02-03T00:00:00"/>
    <n v="8569"/>
    <n v="47.45"/>
    <n v="31.79"/>
    <n v="406599.05"/>
    <n v="272408.51"/>
    <n v="134190.54"/>
  </r>
  <r>
    <x v="5"/>
    <s v="Cote d'Ivoire"/>
    <s v="Personal Care"/>
    <s v="Online"/>
    <s v="M"/>
    <d v="2012-05-11T00:00:00"/>
    <n v="299840342"/>
    <d v="2012-08-12T00:00:00"/>
    <n v="8275"/>
    <n v="81.73"/>
    <n v="56.67"/>
    <n v="676315.75"/>
    <n v="468944.25"/>
    <n v="207371.5"/>
  </r>
  <r>
    <x v="0"/>
    <s v="Antigua and Barbuda "/>
    <s v="Clothes"/>
    <s v="Offline"/>
    <s v="H"/>
    <s v="6/24/2015"/>
    <n v="242512738"/>
    <s v="7/15/2015"/>
    <n v="3763"/>
    <n v="109.28"/>
    <n v="35.840000000000003"/>
    <n v="411220.64"/>
    <n v="134865.92000000001"/>
    <n v="276354.71999999997"/>
  </r>
  <r>
    <x v="4"/>
    <s v="Samoa "/>
    <s v="Clothes"/>
    <s v="Online"/>
    <s v="M"/>
    <s v="6/22/2013"/>
    <n v="277429091"/>
    <s v="6/25/2013"/>
    <n v="6288"/>
    <n v="109.28"/>
    <n v="35.840000000000003"/>
    <n v="687152.64000000001"/>
    <n v="225361.92000000001"/>
    <n v="461790.71999999997"/>
  </r>
  <r>
    <x v="2"/>
    <s v="Sri Lanka"/>
    <s v="Vegetables"/>
    <s v="Offline"/>
    <s v="H"/>
    <s v="6/15/2014"/>
    <n v="837450730"/>
    <s v="7/19/2014"/>
    <n v="9136"/>
    <n v="154.06"/>
    <n v="90.93"/>
    <n v="1407492.16"/>
    <n v="830736.48"/>
    <n v="576755.68000000005"/>
  </r>
  <r>
    <x v="1"/>
    <s v="San Marino"/>
    <s v="Personal Care"/>
    <s v="Offline"/>
    <s v="H"/>
    <s v="9/29/2015"/>
    <n v="625751483"/>
    <d v="2015-01-10T00:00:00"/>
    <n v="2624"/>
    <n v="81.73"/>
    <n v="56.67"/>
    <n v="214459.51999999999"/>
    <n v="148702.07999999999"/>
    <n v="65757.440000000002"/>
  </r>
  <r>
    <x v="1"/>
    <s v="Serbia"/>
    <s v="Fruits"/>
    <s v="Online"/>
    <s v="C"/>
    <s v="9/26/2015"/>
    <n v="665817677"/>
    <d v="2015-10-10T00:00:00"/>
    <n v="9102"/>
    <n v="9.33"/>
    <n v="6.92"/>
    <n v="84921.66"/>
    <n v="62985.84"/>
    <n v="21935.82"/>
  </r>
  <r>
    <x v="4"/>
    <s v="Australia"/>
    <s v="Fruits"/>
    <s v="Online"/>
    <s v="M"/>
    <d v="2010-06-02T00:00:00"/>
    <n v="251448142"/>
    <s v="2/18/2010"/>
    <n v="7948"/>
    <n v="9.33"/>
    <n v="6.92"/>
    <n v="74154.84"/>
    <n v="55000.160000000003"/>
    <n v="19154.68"/>
  </r>
  <r>
    <x v="1"/>
    <s v="Russia"/>
    <s v="Baby Food"/>
    <s v="Offline"/>
    <s v="L"/>
    <s v="9/20/2010"/>
    <n v="996754205"/>
    <s v="9/22/2010"/>
    <n v="574"/>
    <n v="255.28"/>
    <n v="159.41999999999999"/>
    <n v="146530.72"/>
    <n v="91507.08"/>
    <n v="55023.64"/>
  </r>
  <r>
    <x v="3"/>
    <s v="Pakistan"/>
    <s v="Vegetables"/>
    <s v="Offline"/>
    <s v="H"/>
    <d v="2011-08-08T00:00:00"/>
    <n v="986159694"/>
    <d v="2011-06-09T00:00:00"/>
    <n v="5423"/>
    <n v="154.06"/>
    <n v="90.93"/>
    <n v="835467.38"/>
    <n v="493113.39"/>
    <n v="342353.99"/>
  </r>
  <r>
    <x v="2"/>
    <s v="Turkmenistan"/>
    <s v="Household"/>
    <s v="Offline"/>
    <s v="H"/>
    <s v="5/28/2015"/>
    <n v="624400937"/>
    <s v="7/16/2015"/>
    <n v="2968"/>
    <n v="668.27"/>
    <n v="502.54"/>
    <n v="1983425.36"/>
    <n v="1491538.72"/>
    <n v="491886.64"/>
  </r>
  <r>
    <x v="0"/>
    <s v="The Bahamas"/>
    <s v="Personal Care"/>
    <s v="Offline"/>
    <s v="M"/>
    <s v="6/24/2014"/>
    <n v="386526763"/>
    <d v="2014-01-07T00:00:00"/>
    <n v="713"/>
    <n v="81.73"/>
    <n v="56.67"/>
    <n v="58273.49"/>
    <n v="40405.71"/>
    <n v="17867.78"/>
  </r>
  <r>
    <x v="5"/>
    <s v="Gabon"/>
    <s v="Cosmetics"/>
    <s v="Online"/>
    <s v="H"/>
    <s v="5/25/2017"/>
    <n v="367898499"/>
    <d v="2017-09-06T00:00:00"/>
    <n v="8196"/>
    <n v="437.2"/>
    <n v="263.33"/>
    <n v="3583291.2"/>
    <n v="2158252.6800000002"/>
    <n v="1425038.52"/>
  </r>
  <r>
    <x v="1"/>
    <s v="Germany"/>
    <s v="Cereal"/>
    <s v="Online"/>
    <s v="H"/>
    <d v="2014-10-11T00:00:00"/>
    <n v="734189975"/>
    <s v="11/29/2014"/>
    <n v="1984"/>
    <n v="205.7"/>
    <n v="117.11"/>
    <n v="408108.79999999999"/>
    <n v="232346.23999999999"/>
    <n v="175762.56"/>
  </r>
  <r>
    <x v="5"/>
    <s v="Togo"/>
    <s v="Cosmetics"/>
    <s v="Offline"/>
    <s v="L"/>
    <d v="2013-09-10T00:00:00"/>
    <n v="371387517"/>
    <d v="2013-08-11T00:00:00"/>
    <n v="674"/>
    <n v="437.2"/>
    <n v="263.33"/>
    <n v="294672.8"/>
    <n v="177484.42"/>
    <n v="117188.38"/>
  </r>
  <r>
    <x v="1"/>
    <s v="Belarus"/>
    <s v="Beverages"/>
    <s v="Online"/>
    <s v="L"/>
    <d v="2010-03-10T00:00:00"/>
    <n v="935789954"/>
    <s v="11/18/2010"/>
    <n v="9898"/>
    <n v="47.45"/>
    <n v="31.79"/>
    <n v="469660.1"/>
    <n v="314657.42"/>
    <n v="155002.68"/>
  </r>
  <r>
    <x v="1"/>
    <s v="Germany"/>
    <s v="Cereal"/>
    <s v="Online"/>
    <s v="M"/>
    <s v="1/23/2011"/>
    <n v="104008615"/>
    <s v="2/22/2011"/>
    <n v="7315"/>
    <n v="205.7"/>
    <n v="117.11"/>
    <n v="1504695.5"/>
    <n v="856659.65"/>
    <n v="648035.85"/>
  </r>
  <r>
    <x v="1"/>
    <s v="Belarus"/>
    <s v="Beverages"/>
    <s v="Online"/>
    <s v="H"/>
    <s v="3/24/2017"/>
    <n v="122967326"/>
    <s v="4/25/2017"/>
    <n v="7619"/>
    <n v="47.45"/>
    <n v="31.79"/>
    <n v="361521.55"/>
    <n v="242208.01"/>
    <n v="119313.54"/>
  </r>
  <r>
    <x v="3"/>
    <s v="Kuwait"/>
    <s v="Baby Food"/>
    <s v="Online"/>
    <s v="C"/>
    <s v="2/17/2010"/>
    <n v="159902417"/>
    <d v="2010-05-03T00:00:00"/>
    <n v="7533"/>
    <n v="255.28"/>
    <n v="159.41999999999999"/>
    <n v="1923024.24"/>
    <n v="1200910.8600000001"/>
    <n v="722113.38"/>
  </r>
  <r>
    <x v="6"/>
    <s v="Greenland"/>
    <s v="Meat"/>
    <s v="Offline"/>
    <s v="C"/>
    <d v="2013-12-05T00:00:00"/>
    <n v="352362716"/>
    <s v="6/16/2013"/>
    <n v="813"/>
    <n v="421.89"/>
    <n v="364.69"/>
    <n v="342996.57"/>
    <n v="296492.96999999997"/>
    <n v="46503.6"/>
  </r>
  <r>
    <x v="5"/>
    <s v="Central African Republic"/>
    <s v="Beverages"/>
    <s v="Online"/>
    <s v="C"/>
    <s v="9/21/2013"/>
    <n v="458209550"/>
    <s v="9/24/2013"/>
    <n v="3243"/>
    <n v="47.45"/>
    <n v="31.79"/>
    <n v="153880.35"/>
    <n v="103094.97"/>
    <n v="50785.38"/>
  </r>
  <r>
    <x v="1"/>
    <s v="Montenegro"/>
    <s v="Cereal"/>
    <s v="Offline"/>
    <s v="M"/>
    <d v="2010-06-06T00:00:00"/>
    <n v="305616748"/>
    <d v="2010-01-07T00:00:00"/>
    <n v="7642"/>
    <n v="205.7"/>
    <n v="117.11"/>
    <n v="1571959.4"/>
    <n v="894954.62"/>
    <n v="677004.78"/>
  </r>
  <r>
    <x v="1"/>
    <s v="Malta"/>
    <s v="Office Supplies"/>
    <s v="Offline"/>
    <s v="M"/>
    <d v="2011-05-05T00:00:00"/>
    <n v="243070638"/>
    <s v="5/22/2011"/>
    <n v="8858"/>
    <n v="651.21"/>
    <n v="524.96"/>
    <n v="5768418.1799999997"/>
    <n v="4650095.68"/>
    <n v="1118322.5"/>
  </r>
  <r>
    <x v="5"/>
    <s v="Cameroon"/>
    <s v="Personal Care"/>
    <s v="Offline"/>
    <s v="M"/>
    <d v="2014-07-01T00:00:00"/>
    <n v="689370048"/>
    <d v="2014-10-02T00:00:00"/>
    <n v="8771"/>
    <n v="81.73"/>
    <n v="56.67"/>
    <n v="716853.83"/>
    <n v="497052.57"/>
    <n v="219801.26"/>
  </r>
  <r>
    <x v="3"/>
    <s v="Egypt"/>
    <s v="Beverages"/>
    <s v="Offline"/>
    <s v="H"/>
    <d v="2017-03-02T00:00:00"/>
    <n v="783626306"/>
    <s v="3/20/2017"/>
    <n v="1293"/>
    <n v="47.45"/>
    <n v="31.79"/>
    <n v="61352.85"/>
    <n v="41104.47"/>
    <n v="20248.38"/>
  </r>
  <r>
    <x v="3"/>
    <s v="Lebanon"/>
    <s v="Beverages"/>
    <s v="Offline"/>
    <s v="C"/>
    <s v="6/21/2016"/>
    <n v="635263240"/>
    <s v="6/27/2016"/>
    <n v="7364"/>
    <n v="47.45"/>
    <n v="31.79"/>
    <n v="349421.8"/>
    <n v="234101.56"/>
    <n v="115320.24"/>
  </r>
  <r>
    <x v="4"/>
    <s v="Tuvalu"/>
    <s v="Personal Care"/>
    <s v="Offline"/>
    <s v="L"/>
    <d v="2016-11-09T00:00:00"/>
    <n v="874017179"/>
    <s v="10/19/2016"/>
    <n v="9961"/>
    <n v="81.73"/>
    <n v="56.67"/>
    <n v="814112.53"/>
    <n v="564489.87"/>
    <n v="249622.66"/>
  </r>
  <r>
    <x v="3"/>
    <s v="Azerbaijan"/>
    <s v="Office Supplies"/>
    <s v="Online"/>
    <s v="H"/>
    <d v="2012-07-01T00:00:00"/>
    <n v="399936950"/>
    <s v="2/26/2012"/>
    <n v="9086"/>
    <n v="651.21"/>
    <n v="524.96"/>
    <n v="5916894.0599999996"/>
    <n v="4769786.5599999996"/>
    <n v="1147107.5"/>
  </r>
  <r>
    <x v="3"/>
    <s v="Jordan"/>
    <s v="Vegetables"/>
    <s v="Online"/>
    <s v="C"/>
    <s v="11/23/2012"/>
    <n v="433383882"/>
    <d v="2012-04-12T00:00:00"/>
    <n v="6776"/>
    <n v="154.06"/>
    <n v="90.93"/>
    <n v="1043910.56"/>
    <n v="616141.68000000005"/>
    <n v="427768.88"/>
  </r>
  <r>
    <x v="4"/>
    <s v="Solomon Islands"/>
    <s v="Meat"/>
    <s v="Offline"/>
    <s v="M"/>
    <d v="2011-04-12T00:00:00"/>
    <n v="465031802"/>
    <d v="2012-06-01T00:00:00"/>
    <n v="2099"/>
    <n v="421.89"/>
    <n v="364.69"/>
    <n v="885547.11"/>
    <n v="765484.31"/>
    <n v="120062.8"/>
  </r>
  <r>
    <x v="1"/>
    <s v="Bulgaria"/>
    <s v="Clothes"/>
    <s v="Offline"/>
    <s v="L"/>
    <d v="2010-04-05T00:00:00"/>
    <n v="505867040"/>
    <d v="2010-12-06T00:00:00"/>
    <n v="6153"/>
    <n v="109.28"/>
    <n v="35.840000000000003"/>
    <n v="672399.84"/>
    <n v="220523.51999999999"/>
    <n v="451876.32"/>
  </r>
  <r>
    <x v="1"/>
    <s v="France"/>
    <s v="Cosmetics"/>
    <s v="Online"/>
    <s v="C"/>
    <s v="3/20/2014"/>
    <n v="637188422"/>
    <s v="4/29/2014"/>
    <n v="7069"/>
    <n v="437.2"/>
    <n v="263.33"/>
    <n v="3090566.8"/>
    <n v="1861479.77"/>
    <n v="1229087.03"/>
  </r>
  <r>
    <x v="3"/>
    <s v="Algeria"/>
    <s v="Vegetables"/>
    <s v="Online"/>
    <s v="M"/>
    <s v="7/24/2015"/>
    <n v="560607278"/>
    <d v="2015-03-08T00:00:00"/>
    <n v="5006"/>
    <n v="154.06"/>
    <n v="90.93"/>
    <n v="771224.36"/>
    <n v="455195.58"/>
    <n v="316028.78000000003"/>
  </r>
  <r>
    <x v="3"/>
    <s v="Israel"/>
    <s v="Cosmetics"/>
    <s v="Offline"/>
    <s v="M"/>
    <s v="3/24/2011"/>
    <n v="948047435"/>
    <d v="2011-06-04T00:00:00"/>
    <n v="7159"/>
    <n v="437.2"/>
    <n v="263.33"/>
    <n v="3129914.8"/>
    <n v="1885179.47"/>
    <n v="1244735.33"/>
  </r>
  <r>
    <x v="5"/>
    <s v="Guinea-Bissau"/>
    <s v="Cosmetics"/>
    <s v="Offline"/>
    <s v="C"/>
    <d v="2014-11-04T00:00:00"/>
    <n v="291745221"/>
    <d v="2014-07-05T00:00:00"/>
    <n v="2749"/>
    <n v="437.2"/>
    <n v="263.33"/>
    <n v="1201862.8"/>
    <n v="723894.17"/>
    <n v="477968.63"/>
  </r>
  <r>
    <x v="5"/>
    <s v="Benin"/>
    <s v="Baby Food"/>
    <s v="Online"/>
    <s v="H"/>
    <d v="2012-02-05T00:00:00"/>
    <n v="754249465"/>
    <s v="5/14/2012"/>
    <n v="8033"/>
    <n v="255.28"/>
    <n v="159.41999999999999"/>
    <n v="2050664.24"/>
    <n v="1280620.8600000001"/>
    <n v="770043.38"/>
  </r>
  <r>
    <x v="1"/>
    <s v="San Marino"/>
    <s v="Cereal"/>
    <s v="Online"/>
    <s v="H"/>
    <s v="10/22/2016"/>
    <n v="518421494"/>
    <s v="10/22/2016"/>
    <n v="1296"/>
    <n v="205.7"/>
    <n v="117.11"/>
    <n v="266587.2"/>
    <n v="151774.56"/>
    <n v="114812.64"/>
  </r>
  <r>
    <x v="3"/>
    <s v="Pakistan"/>
    <s v="Baby Food"/>
    <s v="Online"/>
    <s v="L"/>
    <s v="8/31/2013"/>
    <n v="537435138"/>
    <d v="2013-05-09T00:00:00"/>
    <n v="7855"/>
    <n v="255.28"/>
    <n v="159.41999999999999"/>
    <n v="2005224.4"/>
    <n v="1252244.1000000001"/>
    <n v="752980.3"/>
  </r>
  <r>
    <x v="5"/>
    <s v="Mali"/>
    <s v="Beverages"/>
    <s v="Online"/>
    <s v="H"/>
    <s v="8/27/2012"/>
    <n v="484776723"/>
    <d v="2012-04-09T00:00:00"/>
    <n v="5060"/>
    <n v="47.45"/>
    <n v="31.79"/>
    <n v="240097"/>
    <n v="160857.4"/>
    <n v="79239.600000000006"/>
  </r>
  <r>
    <x v="1"/>
    <s v="United Kingdom"/>
    <s v="Fruits"/>
    <s v="Offline"/>
    <s v="M"/>
    <s v="3/27/2013"/>
    <n v="104245078"/>
    <s v="4/21/2013"/>
    <n v="7290"/>
    <n v="9.33"/>
    <n v="6.92"/>
    <n v="68015.7"/>
    <n v="50446.8"/>
    <n v="17568.900000000001"/>
  </r>
  <r>
    <x v="0"/>
    <s v="The Bahamas"/>
    <s v="Beverages"/>
    <s v="Offline"/>
    <s v="H"/>
    <d v="2015-05-12T00:00:00"/>
    <n v="559951531"/>
    <s v="1/13/2016"/>
    <n v="956"/>
    <n v="47.45"/>
    <n v="31.79"/>
    <n v="45362.2"/>
    <n v="30391.24"/>
    <n v="14970.96"/>
  </r>
  <r>
    <x v="1"/>
    <s v="Spain"/>
    <s v="Vegetables"/>
    <s v="Online"/>
    <s v="C"/>
    <s v="12/16/2010"/>
    <n v="386319911"/>
    <d v="2011-02-01T00:00:00"/>
    <n v="9501"/>
    <n v="154.06"/>
    <n v="90.93"/>
    <n v="1463724.06"/>
    <n v="863925.93"/>
    <n v="599798.13"/>
  </r>
  <r>
    <x v="5"/>
    <s v="Madagascar"/>
    <s v="Vegetables"/>
    <s v="Offline"/>
    <s v="C"/>
    <d v="2012-03-05T00:00:00"/>
    <n v="438086545"/>
    <s v="6/15/2012"/>
    <n v="8399"/>
    <n v="154.06"/>
    <n v="90.93"/>
    <n v="1293949.94"/>
    <n v="763721.07"/>
    <n v="530228.87"/>
  </r>
  <r>
    <x v="1"/>
    <s v="Cyprus"/>
    <s v="Baby Food"/>
    <s v="Online"/>
    <s v="M"/>
    <s v="3/17/2016"/>
    <n v="740300261"/>
    <s v="4/23/2016"/>
    <n v="153"/>
    <n v="255.28"/>
    <n v="159.41999999999999"/>
    <n v="39057.839999999997"/>
    <n v="24391.26"/>
    <n v="14666.58"/>
  </r>
  <r>
    <x v="5"/>
    <s v="Mauritania"/>
    <s v="Baby Food"/>
    <s v="Offline"/>
    <s v="M"/>
    <s v="3/17/2012"/>
    <n v="938322389"/>
    <s v="4/20/2012"/>
    <n v="9301"/>
    <n v="255.28"/>
    <n v="159.41999999999999"/>
    <n v="2374359.2799999998"/>
    <n v="1482765.42"/>
    <n v="891593.86"/>
  </r>
  <r>
    <x v="1"/>
    <s v="Macedonia"/>
    <s v="Office Supplies"/>
    <s v="Offline"/>
    <s v="C"/>
    <s v="7/17/2017"/>
    <n v="747826755"/>
    <s v="7/22/2017"/>
    <n v="7410"/>
    <n v="651.21"/>
    <n v="524.96"/>
    <n v="4825466.0999999996"/>
    <n v="3889953.6"/>
    <n v="935512.5"/>
  </r>
  <r>
    <x v="3"/>
    <s v="Azerbaijan"/>
    <s v="Household"/>
    <s v="Online"/>
    <s v="M"/>
    <d v="2012-12-08T00:00:00"/>
    <n v="404799687"/>
    <s v="9/18/2012"/>
    <n v="8078"/>
    <n v="668.27"/>
    <n v="502.54"/>
    <n v="5398285.0599999996"/>
    <n v="4059518.12"/>
    <n v="1338766.94"/>
  </r>
  <r>
    <x v="1"/>
    <s v="Romania"/>
    <s v="Personal Care"/>
    <s v="Offline"/>
    <s v="M"/>
    <s v="12/21/2012"/>
    <n v="215540015"/>
    <s v="12/24/2012"/>
    <n v="1935"/>
    <n v="81.73"/>
    <n v="56.67"/>
    <n v="158147.54999999999"/>
    <n v="109656.45"/>
    <n v="48491.1"/>
  </r>
  <r>
    <x v="0"/>
    <s v="Saint Kitts and Nevis "/>
    <s v="Personal Care"/>
    <s v="Offline"/>
    <s v="L"/>
    <d v="2012-07-07T00:00:00"/>
    <n v="106659066"/>
    <s v="8/19/2012"/>
    <n v="1643"/>
    <n v="81.73"/>
    <n v="56.67"/>
    <n v="134282.39000000001"/>
    <n v="93108.81"/>
    <n v="41173.58"/>
  </r>
  <r>
    <x v="1"/>
    <s v="Kosovo"/>
    <s v="Vegetables"/>
    <s v="Offline"/>
    <s v="C"/>
    <s v="7/23/2017"/>
    <n v="975080668"/>
    <s v="8/20/2017"/>
    <n v="6893"/>
    <n v="154.06"/>
    <n v="90.93"/>
    <n v="1061935.58"/>
    <n v="626780.49"/>
    <n v="435155.09"/>
  </r>
  <r>
    <x v="1"/>
    <s v="Bosnia and Herzegovina"/>
    <s v="Baby Food"/>
    <s v="Online"/>
    <s v="L"/>
    <d v="2012-09-10T00:00:00"/>
    <n v="638041150"/>
    <s v="11/28/2012"/>
    <n v="9410"/>
    <n v="255.28"/>
    <n v="159.41999999999999"/>
    <n v="2402184.7999999998"/>
    <n v="1500142.2"/>
    <n v="902042.6"/>
  </r>
  <r>
    <x v="1"/>
    <s v="Greece"/>
    <s v="Cosmetics"/>
    <s v="Online"/>
    <s v="C"/>
    <s v="5/22/2010"/>
    <n v="583089339"/>
    <s v="6/26/2010"/>
    <n v="7948"/>
    <n v="437.2"/>
    <n v="263.33"/>
    <n v="3474865.6"/>
    <n v="2092946.84"/>
    <n v="1381918.76"/>
  </r>
  <r>
    <x v="1"/>
    <s v="Norway"/>
    <s v="Snacks"/>
    <s v="Online"/>
    <s v="M"/>
    <s v="2/19/2016"/>
    <n v="118086564"/>
    <s v="3/13/2016"/>
    <n v="3293"/>
    <n v="152.58000000000001"/>
    <n v="97.44"/>
    <n v="502445.94"/>
    <n v="320869.92"/>
    <n v="181576.02"/>
  </r>
  <r>
    <x v="5"/>
    <s v="Mauritius "/>
    <s v="Office Supplies"/>
    <s v="Online"/>
    <s v="L"/>
    <s v="4/21/2010"/>
    <n v="421206653"/>
    <d v="2010-04-06T00:00:00"/>
    <n v="3264"/>
    <n v="651.21"/>
    <n v="524.96"/>
    <n v="2125549.44"/>
    <n v="1713469.4399999999"/>
    <n v="412080"/>
  </r>
  <r>
    <x v="0"/>
    <s v="Nicaragua"/>
    <s v="Clothes"/>
    <s v="Offline"/>
    <s v="C"/>
    <d v="2012-08-02T00:00:00"/>
    <n v="490935933"/>
    <s v="3/18/2012"/>
    <n v="7707"/>
    <n v="109.28"/>
    <n v="35.840000000000003"/>
    <n v="842220.96"/>
    <n v="276218.88"/>
    <n v="566002.07999999996"/>
  </r>
  <r>
    <x v="1"/>
    <s v="Malta"/>
    <s v="Baby Food"/>
    <s v="Offline"/>
    <s v="C"/>
    <s v="4/27/2015"/>
    <n v="296073234"/>
    <d v="2015-04-06T00:00:00"/>
    <n v="3504"/>
    <n v="255.28"/>
    <n v="159.41999999999999"/>
    <n v="894501.12"/>
    <n v="558607.68000000005"/>
    <n v="335893.44"/>
  </r>
  <r>
    <x v="0"/>
    <s v="Saint Lucia"/>
    <s v="Baby Food"/>
    <s v="Online"/>
    <s v="M"/>
    <s v="10/16/2014"/>
    <n v="325729882"/>
    <s v="11/19/2014"/>
    <n v="9565"/>
    <n v="255.28"/>
    <n v="159.41999999999999"/>
    <n v="2441753.2000000002"/>
    <n v="1524852.3"/>
    <n v="916900.9"/>
  </r>
  <r>
    <x v="2"/>
    <s v="Sri Lanka"/>
    <s v="Clothes"/>
    <s v="Online"/>
    <s v="L"/>
    <s v="3/17/2010"/>
    <n v="239329707"/>
    <s v="3/27/2010"/>
    <n v="1834"/>
    <n v="109.28"/>
    <n v="35.840000000000003"/>
    <n v="200419.52"/>
    <n v="65730.559999999998"/>
    <n v="134688.95999999999"/>
  </r>
  <r>
    <x v="6"/>
    <s v="Mexico"/>
    <s v="Beverages"/>
    <s v="Offline"/>
    <s v="L"/>
    <s v="6/22/2017"/>
    <n v="216609036"/>
    <d v="2017-03-07T00:00:00"/>
    <n v="8282"/>
    <n v="47.45"/>
    <n v="31.79"/>
    <n v="392980.9"/>
    <n v="263284.78000000003"/>
    <n v="129696.12"/>
  </r>
  <r>
    <x v="2"/>
    <s v="North Korea"/>
    <s v="Fruits"/>
    <s v="Offline"/>
    <s v="H"/>
    <s v="11/29/2011"/>
    <n v="507616698"/>
    <s v="12/18/2011"/>
    <n v="3916"/>
    <n v="9.33"/>
    <n v="6.92"/>
    <n v="36536.28"/>
    <n v="27098.720000000001"/>
    <n v="9437.56"/>
  </r>
  <r>
    <x v="0"/>
    <s v="Nicaragua"/>
    <s v="Vegetables"/>
    <s v="Online"/>
    <s v="L"/>
    <d v="2015-04-05T00:00:00"/>
    <n v="982714021"/>
    <d v="2015-06-06T00:00:00"/>
    <n v="5772"/>
    <n v="154.06"/>
    <n v="90.93"/>
    <n v="889234.32"/>
    <n v="524847.96"/>
    <n v="364386.36"/>
  </r>
  <r>
    <x v="5"/>
    <s v="Botswana"/>
    <s v="Clothes"/>
    <s v="Offline"/>
    <s v="H"/>
    <s v="7/24/2016"/>
    <n v="682574832"/>
    <s v="8/28/2016"/>
    <n v="7916"/>
    <n v="109.28"/>
    <n v="35.840000000000003"/>
    <n v="865060.48"/>
    <n v="283709.44"/>
    <n v="581351.04"/>
  </r>
  <r>
    <x v="1"/>
    <s v="Poland"/>
    <s v="Snacks"/>
    <s v="Online"/>
    <s v="M"/>
    <d v="2013-09-01T00:00:00"/>
    <n v="968185460"/>
    <d v="2013-03-02T00:00:00"/>
    <n v="6448"/>
    <n v="152.58000000000001"/>
    <n v="97.44"/>
    <n v="983835.84"/>
    <n v="628293.12"/>
    <n v="355542.72"/>
  </r>
  <r>
    <x v="0"/>
    <s v="Saint Vincent and the Grenadines"/>
    <s v="Fruits"/>
    <s v="Offline"/>
    <s v="H"/>
    <d v="2014-07-08T00:00:00"/>
    <n v="570844733"/>
    <s v="9/15/2014"/>
    <n v="4497"/>
    <n v="9.33"/>
    <n v="6.92"/>
    <n v="41957.01"/>
    <n v="31119.24"/>
    <n v="10837.77"/>
  </r>
  <r>
    <x v="5"/>
    <s v="Mauritius "/>
    <s v="Baby Food"/>
    <s v="Online"/>
    <s v="M"/>
    <s v="1/26/2017"/>
    <n v="542163980"/>
    <s v="2/21/2017"/>
    <n v="7224"/>
    <n v="255.28"/>
    <n v="159.41999999999999"/>
    <n v="1844142.72"/>
    <n v="1151650.08"/>
    <n v="692492.64"/>
  </r>
  <r>
    <x v="5"/>
    <s v="Zambia"/>
    <s v="Meat"/>
    <s v="Online"/>
    <s v="H"/>
    <d v="2013-05-07T00:00:00"/>
    <n v="204067027"/>
    <s v="7/31/2013"/>
    <n v="6823"/>
    <n v="421.89"/>
    <n v="364.69"/>
    <n v="2878555.47"/>
    <n v="2488279.87"/>
    <n v="390275.6"/>
  </r>
  <r>
    <x v="5"/>
    <s v="Guinea"/>
    <s v="Clothes"/>
    <s v="Offline"/>
    <s v="H"/>
    <d v="2013-11-03T00:00:00"/>
    <n v="298790204"/>
    <s v="4/18/2013"/>
    <n v="7516"/>
    <n v="109.28"/>
    <n v="35.840000000000003"/>
    <n v="821348.48"/>
    <n v="269373.44"/>
    <n v="551975.04"/>
  </r>
  <r>
    <x v="0"/>
    <s v="Nicaragua"/>
    <s v="Cereal"/>
    <s v="Online"/>
    <s v="M"/>
    <d v="2015-06-02T00:00:00"/>
    <n v="738882339"/>
    <d v="2015-09-02T00:00:00"/>
    <n v="558"/>
    <n v="205.7"/>
    <n v="117.11"/>
    <n v="114780.6"/>
    <n v="65347.38"/>
    <n v="49433.22"/>
  </r>
  <r>
    <x v="0"/>
    <s v="Haiti"/>
    <s v="Cosmetics"/>
    <s v="Online"/>
    <s v="M"/>
    <s v="9/16/2011"/>
    <n v="157204759"/>
    <d v="2011-09-10T00:00:00"/>
    <n v="9236"/>
    <n v="437.2"/>
    <n v="263.33"/>
    <n v="4037979.2"/>
    <n v="2432115.88"/>
    <n v="1605863.32"/>
  </r>
  <r>
    <x v="3"/>
    <s v="Qatar"/>
    <s v="Fruits"/>
    <s v="Offline"/>
    <s v="L"/>
    <s v="6/28/2015"/>
    <n v="856931293"/>
    <d v="2015-08-08T00:00:00"/>
    <n v="3867"/>
    <n v="9.33"/>
    <n v="6.92"/>
    <n v="36079.11"/>
    <n v="26759.64"/>
    <n v="9319.4699999999993"/>
  </r>
  <r>
    <x v="5"/>
    <s v="Tanzania"/>
    <s v="Snacks"/>
    <s v="Offline"/>
    <s v="L"/>
    <d v="2017-07-04T00:00:00"/>
    <n v="261548268"/>
    <s v="4/15/2017"/>
    <n v="6800"/>
    <n v="152.58000000000001"/>
    <n v="97.44"/>
    <n v="1037544"/>
    <n v="662592"/>
    <n v="374952"/>
  </r>
  <r>
    <x v="1"/>
    <s v="Kosovo"/>
    <s v="Baby Food"/>
    <s v="Offline"/>
    <s v="M"/>
    <s v="9/13/2012"/>
    <n v="364854514"/>
    <d v="2012-03-10T00:00:00"/>
    <n v="7413"/>
    <n v="255.28"/>
    <n v="159.41999999999999"/>
    <n v="1892390.64"/>
    <n v="1181780.46"/>
    <n v="710610.18"/>
  </r>
  <r>
    <x v="1"/>
    <s v="Luxembourg"/>
    <s v="Cosmetics"/>
    <s v="Online"/>
    <s v="C"/>
    <d v="2013-06-09T00:00:00"/>
    <n v="980961358"/>
    <d v="2013-08-10T00:00:00"/>
    <n v="7120"/>
    <n v="437.2"/>
    <n v="263.33"/>
    <n v="3112864"/>
    <n v="1874909.6"/>
    <n v="1237954.3999999999"/>
  </r>
  <r>
    <x v="2"/>
    <s v="Japan"/>
    <s v="Cosmetics"/>
    <s v="Offline"/>
    <s v="L"/>
    <s v="3/21/2014"/>
    <n v="194292628"/>
    <s v="4/27/2014"/>
    <n v="4361"/>
    <n v="437.2"/>
    <n v="263.33"/>
    <n v="1906629.2"/>
    <n v="1148382.1299999999"/>
    <n v="758247.07"/>
  </r>
  <r>
    <x v="3"/>
    <s v="Qatar"/>
    <s v="Vegetables"/>
    <s v="Offline"/>
    <s v="H"/>
    <s v="12/17/2016"/>
    <n v="209584653"/>
    <s v="1/30/2017"/>
    <n v="9611"/>
    <n v="154.06"/>
    <n v="90.93"/>
    <n v="1480670.66"/>
    <n v="873928.23"/>
    <n v="606742.43000000005"/>
  </r>
  <r>
    <x v="1"/>
    <s v="France"/>
    <s v="Fruits"/>
    <s v="Offline"/>
    <s v="C"/>
    <d v="2014-09-04T00:00:00"/>
    <n v="601886260"/>
    <s v="5/27/2014"/>
    <n v="374"/>
    <n v="9.33"/>
    <n v="6.92"/>
    <n v="3489.42"/>
    <n v="2588.08"/>
    <n v="901.34"/>
  </r>
  <r>
    <x v="0"/>
    <s v="Saint Kitts and Nevis "/>
    <s v="Cosmetics"/>
    <s v="Online"/>
    <s v="C"/>
    <s v="9/17/2014"/>
    <n v="566558778"/>
    <s v="9/25/2014"/>
    <n v="6187"/>
    <n v="437.2"/>
    <n v="263.33"/>
    <n v="2704956.4"/>
    <n v="1629222.71"/>
    <n v="1075733.69"/>
  </r>
  <r>
    <x v="5"/>
    <s v="Eritrea"/>
    <s v="Personal Care"/>
    <s v="Offline"/>
    <s v="M"/>
    <s v="7/22/2016"/>
    <n v="269276034"/>
    <s v="8/14/2016"/>
    <n v="3617"/>
    <n v="81.73"/>
    <n v="56.67"/>
    <n v="295617.40999999997"/>
    <n v="204975.39"/>
    <n v="90642.02"/>
  </r>
  <r>
    <x v="3"/>
    <s v="Jordan"/>
    <s v="Office Supplies"/>
    <s v="Offline"/>
    <s v="L"/>
    <s v="7/29/2011"/>
    <n v="396024358"/>
    <s v="7/30/2011"/>
    <n v="1263"/>
    <n v="651.21"/>
    <n v="524.96"/>
    <n v="822478.23"/>
    <n v="663024.48"/>
    <n v="159453.75"/>
  </r>
  <r>
    <x v="5"/>
    <s v="Togo"/>
    <s v="Cereal"/>
    <s v="Offline"/>
    <s v="C"/>
    <d v="2011-10-07T00:00:00"/>
    <n v="803102576"/>
    <s v="8/24/2011"/>
    <n v="4754"/>
    <n v="205.7"/>
    <n v="117.11"/>
    <n v="977897.8"/>
    <n v="556740.93999999994"/>
    <n v="421156.86"/>
  </r>
  <r>
    <x v="5"/>
    <s v="Burundi"/>
    <s v="Office Supplies"/>
    <s v="Online"/>
    <s v="M"/>
    <s v="1/31/2014"/>
    <n v="967122018"/>
    <d v="2014-12-02T00:00:00"/>
    <n v="1752"/>
    <n v="651.21"/>
    <n v="524.96"/>
    <n v="1140919.92"/>
    <n v="919729.92"/>
    <n v="221190"/>
  </r>
  <r>
    <x v="5"/>
    <s v="Ethiopia"/>
    <s v="Personal Care"/>
    <s v="Online"/>
    <s v="L"/>
    <s v="3/23/2014"/>
    <n v="435006511"/>
    <s v="3/29/2014"/>
    <n v="6948"/>
    <n v="81.73"/>
    <n v="56.67"/>
    <n v="567860.04"/>
    <n v="393743.16"/>
    <n v="174116.88"/>
  </r>
  <r>
    <x v="3"/>
    <s v="Iran"/>
    <s v="Vegetables"/>
    <s v="Online"/>
    <s v="C"/>
    <s v="7/14/2015"/>
    <n v="173992383"/>
    <s v="8/24/2015"/>
    <n v="7067"/>
    <n v="154.06"/>
    <n v="90.93"/>
    <n v="1088742.02"/>
    <n v="642602.31000000006"/>
    <n v="446139.71"/>
  </r>
  <r>
    <x v="1"/>
    <s v="Poland"/>
    <s v="Household"/>
    <s v="Online"/>
    <s v="L"/>
    <s v="4/27/2011"/>
    <n v="321628463"/>
    <s v="5/14/2011"/>
    <n v="5864"/>
    <n v="668.27"/>
    <n v="502.54"/>
    <n v="3918735.28"/>
    <n v="2946894.56"/>
    <n v="971840.72"/>
  </r>
  <r>
    <x v="4"/>
    <s v="Palau"/>
    <s v="Cereal"/>
    <s v="Offline"/>
    <s v="M"/>
    <d v="2011-04-02T00:00:00"/>
    <n v="635776078"/>
    <d v="2011-04-02T00:00:00"/>
    <n v="9125"/>
    <n v="205.7"/>
    <n v="117.11"/>
    <n v="1877012.5"/>
    <n v="1068628.75"/>
    <n v="808383.75"/>
  </r>
  <r>
    <x v="1"/>
    <s v="Portugal"/>
    <s v="Meat"/>
    <s v="Online"/>
    <s v="L"/>
    <s v="1/30/2014"/>
    <n v="944609057"/>
    <s v="3/16/2014"/>
    <n v="9666"/>
    <n v="421.89"/>
    <n v="364.69"/>
    <n v="4077988.74"/>
    <n v="3525093.54"/>
    <n v="552895.19999999995"/>
  </r>
  <r>
    <x v="0"/>
    <s v="El Salvador"/>
    <s v="Vegetables"/>
    <s v="Online"/>
    <s v="M"/>
    <s v="12/26/2012"/>
    <n v="696613729"/>
    <s v="1/13/2013"/>
    <n v="2337"/>
    <n v="154.06"/>
    <n v="90.93"/>
    <n v="360038.22"/>
    <n v="212503.41"/>
    <n v="147534.81"/>
  </r>
  <r>
    <x v="1"/>
    <s v="Malta"/>
    <s v="Cosmetics"/>
    <s v="Offline"/>
    <s v="H"/>
    <s v="12/14/2012"/>
    <n v="310588920"/>
    <d v="2013-06-01T00:00:00"/>
    <n v="9018"/>
    <n v="437.2"/>
    <n v="263.33"/>
    <n v="3942669.6"/>
    <n v="2374709.94"/>
    <n v="1567959.66"/>
  </r>
  <r>
    <x v="5"/>
    <s v="South Sudan"/>
    <s v="Office Supplies"/>
    <s v="Online"/>
    <s v="C"/>
    <d v="2012-08-08T00:00:00"/>
    <n v="725645959"/>
    <d v="2012-08-09T00:00:00"/>
    <n v="3620"/>
    <n v="651.21"/>
    <n v="524.96"/>
    <n v="2357380.2000000002"/>
    <n v="1900355.2"/>
    <n v="457025"/>
  </r>
  <r>
    <x v="1"/>
    <s v="Armenia"/>
    <s v="Meat"/>
    <s v="Offline"/>
    <s v="M"/>
    <d v="2015-02-06T00:00:00"/>
    <n v="251208674"/>
    <s v="7/19/2015"/>
    <n v="7084"/>
    <n v="421.89"/>
    <n v="364.69"/>
    <n v="2988668.76"/>
    <n v="2583463.96"/>
    <n v="405204.8"/>
  </r>
  <r>
    <x v="5"/>
    <s v="Senegal"/>
    <s v="Personal Care"/>
    <s v="Online"/>
    <s v="H"/>
    <s v="10/19/2010"/>
    <n v="417013394"/>
    <s v="11/29/2010"/>
    <n v="2385"/>
    <n v="81.73"/>
    <n v="56.67"/>
    <n v="194926.05"/>
    <n v="135157.95000000001"/>
    <n v="59768.1"/>
  </r>
  <r>
    <x v="3"/>
    <s v="Morocco"/>
    <s v="Beverages"/>
    <s v="Online"/>
    <s v="M"/>
    <s v="9/17/2015"/>
    <n v="123108947"/>
    <d v="2015-09-10T00:00:00"/>
    <n v="9528"/>
    <n v="47.45"/>
    <n v="31.79"/>
    <n v="452103.6"/>
    <n v="302895.12"/>
    <n v="149208.48000000001"/>
  </r>
  <r>
    <x v="5"/>
    <s v="Nigeria"/>
    <s v="Personal Care"/>
    <s v="Online"/>
    <s v="C"/>
    <s v="4/29/2010"/>
    <n v="589856660"/>
    <d v="2010-10-05T00:00:00"/>
    <n v="548"/>
    <n v="81.73"/>
    <n v="56.67"/>
    <n v="44788.04"/>
    <n v="31055.16"/>
    <n v="13732.88"/>
  </r>
  <r>
    <x v="0"/>
    <s v="Nicaragua"/>
    <s v="Clothes"/>
    <s v="Online"/>
    <s v="L"/>
    <d v="2017-12-07T00:00:00"/>
    <n v="407930362"/>
    <s v="7/31/2017"/>
    <n v="4514"/>
    <n v="109.28"/>
    <n v="35.840000000000003"/>
    <n v="493289.92"/>
    <n v="161781.76000000001"/>
    <n v="331508.15999999997"/>
  </r>
  <r>
    <x v="1"/>
    <s v="Greece"/>
    <s v="Fruits"/>
    <s v="Online"/>
    <s v="L"/>
    <s v="10/31/2015"/>
    <n v="488316380"/>
    <s v="11/18/2015"/>
    <n v="2523"/>
    <n v="9.33"/>
    <n v="6.92"/>
    <n v="23539.59"/>
    <n v="17459.16"/>
    <n v="6080.43"/>
  </r>
  <r>
    <x v="3"/>
    <s v="Oman"/>
    <s v="Cereal"/>
    <s v="Offline"/>
    <s v="H"/>
    <s v="4/25/2011"/>
    <n v="912313544"/>
    <s v="5/15/2011"/>
    <n v="2706"/>
    <n v="205.7"/>
    <n v="117.11"/>
    <n v="556624.19999999995"/>
    <n v="316899.65999999997"/>
    <n v="239724.54"/>
  </r>
  <r>
    <x v="3"/>
    <s v="Syria"/>
    <s v="Beverages"/>
    <s v="Online"/>
    <s v="L"/>
    <s v="2/16/2011"/>
    <n v="481533181"/>
    <d v="2011-07-04T00:00:00"/>
    <n v="5224"/>
    <n v="47.45"/>
    <n v="31.79"/>
    <n v="247878.8"/>
    <n v="166070.96"/>
    <n v="81807.839999999997"/>
  </r>
  <r>
    <x v="5"/>
    <s v="Togo"/>
    <s v="Personal Care"/>
    <s v="Online"/>
    <s v="L"/>
    <s v="2/16/2012"/>
    <n v="767899119"/>
    <d v="2012-07-03T00:00:00"/>
    <n v="7269"/>
    <n v="81.73"/>
    <n v="56.67"/>
    <n v="594095.37"/>
    <n v="411934.23"/>
    <n v="182161.14"/>
  </r>
  <r>
    <x v="1"/>
    <s v="Vatican City"/>
    <s v="Clothes"/>
    <s v="Online"/>
    <s v="M"/>
    <s v="3/23/2012"/>
    <n v="263647687"/>
    <s v="3/30/2012"/>
    <n v="8064"/>
    <n v="109.28"/>
    <n v="35.840000000000003"/>
    <n v="881233.92000000004"/>
    <n v="289013.76000000001"/>
    <n v="592220.16000000003"/>
  </r>
  <r>
    <x v="5"/>
    <s v="Senegal"/>
    <s v="Beverages"/>
    <s v="Online"/>
    <s v="L"/>
    <s v="3/13/2014"/>
    <n v="231327712"/>
    <d v="2014-08-04T00:00:00"/>
    <n v="3865"/>
    <n v="47.45"/>
    <n v="31.79"/>
    <n v="183394.25"/>
    <n v="122868.35"/>
    <n v="60525.9"/>
  </r>
  <r>
    <x v="1"/>
    <s v="Switzerland"/>
    <s v="Personal Care"/>
    <s v="Offline"/>
    <s v="H"/>
    <s v="4/19/2014"/>
    <n v="653800523"/>
    <s v="4/23/2014"/>
    <n v="2958"/>
    <n v="81.73"/>
    <n v="56.67"/>
    <n v="241757.34"/>
    <n v="167629.85999999999"/>
    <n v="74127.48"/>
  </r>
  <r>
    <x v="1"/>
    <s v="Sweden"/>
    <s v="Cosmetics"/>
    <s v="Online"/>
    <s v="L"/>
    <s v="8/24/2013"/>
    <n v="684239947"/>
    <s v="8/31/2013"/>
    <n v="661"/>
    <n v="437.2"/>
    <n v="263.33"/>
    <n v="288989.2"/>
    <n v="174061.13"/>
    <n v="114928.07"/>
  </r>
  <r>
    <x v="5"/>
    <s v="Eritrea"/>
    <s v="Cereal"/>
    <s v="Offline"/>
    <s v="M"/>
    <d v="2014-03-06T00:00:00"/>
    <n v="896132314"/>
    <s v="6/19/2014"/>
    <n v="4321"/>
    <n v="205.7"/>
    <n v="117.11"/>
    <n v="888829.7"/>
    <n v="506032.31"/>
    <n v="382797.39"/>
  </r>
  <r>
    <x v="1"/>
    <s v="Vatican City"/>
    <s v="Personal Care"/>
    <s v="Online"/>
    <s v="H"/>
    <s v="1/27/2016"/>
    <n v="133276450"/>
    <s v="3/15/2016"/>
    <n v="8318"/>
    <n v="81.73"/>
    <n v="56.67"/>
    <n v="679830.14"/>
    <n v="471381.06"/>
    <n v="208449.08"/>
  </r>
  <r>
    <x v="2"/>
    <s v="Indonesia"/>
    <s v="Clothes"/>
    <s v="Offline"/>
    <s v="H"/>
    <s v="7/22/2011"/>
    <n v="459783685"/>
    <s v="8/23/2011"/>
    <n v="9065"/>
    <n v="109.28"/>
    <n v="35.840000000000003"/>
    <n v="990623.2"/>
    <n v="324889.59999999998"/>
    <n v="665733.6"/>
  </r>
  <r>
    <x v="5"/>
    <s v="Rwanda"/>
    <s v="Clothes"/>
    <s v="Online"/>
    <s v="M"/>
    <s v="10/23/2013"/>
    <n v="410077846"/>
    <d v="2013-02-12T00:00:00"/>
    <n v="2"/>
    <n v="109.28"/>
    <n v="35.840000000000003"/>
    <n v="218.56"/>
    <n v="71.680000000000007"/>
    <n v="146.88"/>
  </r>
  <r>
    <x v="1"/>
    <s v="Moldova "/>
    <s v="Personal Care"/>
    <s v="Offline"/>
    <s v="L"/>
    <s v="2/17/2014"/>
    <n v="838895261"/>
    <s v="2/19/2014"/>
    <n v="6605"/>
    <n v="81.73"/>
    <n v="56.67"/>
    <n v="539826.65"/>
    <n v="374305.35"/>
    <n v="165521.29999999999"/>
  </r>
  <r>
    <x v="0"/>
    <s v="Saint Kitts and Nevis "/>
    <s v="Vegetables"/>
    <s v="Online"/>
    <s v="M"/>
    <s v="3/27/2016"/>
    <n v="871284759"/>
    <d v="2016-08-05T00:00:00"/>
    <n v="1377"/>
    <n v="154.06"/>
    <n v="90.93"/>
    <n v="212140.62"/>
    <n v="125210.61"/>
    <n v="86930.01"/>
  </r>
  <r>
    <x v="3"/>
    <s v="Qatar"/>
    <s v="Household"/>
    <s v="Offline"/>
    <s v="C"/>
    <d v="2017-01-05T00:00:00"/>
    <n v="152607667"/>
    <d v="2017-11-06T00:00:00"/>
    <n v="8855"/>
    <n v="668.27"/>
    <n v="502.54"/>
    <n v="5917530.8499999996"/>
    <n v="4449991.7"/>
    <n v="1467539.15"/>
  </r>
  <r>
    <x v="1"/>
    <s v="Denmark"/>
    <s v="Meat"/>
    <s v="Online"/>
    <s v="C"/>
    <s v="11/26/2011"/>
    <n v="198537814"/>
    <s v="12/19/2011"/>
    <n v="606"/>
    <n v="421.89"/>
    <n v="364.69"/>
    <n v="255665.34"/>
    <n v="221002.14"/>
    <n v="34663.199999999997"/>
  </r>
  <r>
    <x v="4"/>
    <s v="Tonga"/>
    <s v="Meat"/>
    <s v="Offline"/>
    <s v="C"/>
    <s v="8/26/2010"/>
    <n v="345061528"/>
    <s v="9/19/2010"/>
    <n v="229"/>
    <n v="421.89"/>
    <n v="364.69"/>
    <n v="96612.81"/>
    <n v="83514.009999999995"/>
    <n v="13098.8"/>
  </r>
  <r>
    <x v="0"/>
    <s v="Grenada"/>
    <s v="Vegetables"/>
    <s v="Offline"/>
    <s v="M"/>
    <s v="12/22/2013"/>
    <n v="898477637"/>
    <d v="2014-07-01T00:00:00"/>
    <n v="8354"/>
    <n v="154.06"/>
    <n v="90.93"/>
    <n v="1287017.24"/>
    <n v="759629.22"/>
    <n v="527388.02"/>
  </r>
  <r>
    <x v="1"/>
    <s v="Slovenia"/>
    <s v="Meat"/>
    <s v="Online"/>
    <s v="M"/>
    <d v="2015-10-10T00:00:00"/>
    <n v="885397469"/>
    <s v="11/18/2015"/>
    <n v="7642"/>
    <n v="421.89"/>
    <n v="364.69"/>
    <n v="3224083.38"/>
    <n v="2786960.98"/>
    <n v="437122.4"/>
  </r>
  <r>
    <x v="1"/>
    <s v="Hungary"/>
    <s v="Personal Care"/>
    <s v="Offline"/>
    <s v="H"/>
    <s v="10/16/2014"/>
    <n v="302744853"/>
    <d v="2014-02-11T00:00:00"/>
    <n v="7785"/>
    <n v="81.73"/>
    <n v="56.67"/>
    <n v="636268.05000000005"/>
    <n v="441175.95"/>
    <n v="195092.1"/>
  </r>
  <r>
    <x v="5"/>
    <s v="Mauritius "/>
    <s v="Beverages"/>
    <s v="Online"/>
    <s v="L"/>
    <d v="2010-03-11T00:00:00"/>
    <n v="567756116"/>
    <d v="2010-12-12T00:00:00"/>
    <n v="506"/>
    <n v="47.45"/>
    <n v="31.79"/>
    <n v="24009.7"/>
    <n v="16085.74"/>
    <n v="7923.96"/>
  </r>
  <r>
    <x v="5"/>
    <s v="Mauritius "/>
    <s v="Beverages"/>
    <s v="Online"/>
    <s v="M"/>
    <s v="2/26/2016"/>
    <n v="467980086"/>
    <s v="3/28/2016"/>
    <n v="4562"/>
    <n v="47.45"/>
    <n v="31.79"/>
    <n v="216466.9"/>
    <n v="145025.98000000001"/>
    <n v="71440.92"/>
  </r>
  <r>
    <x v="3"/>
    <s v="Syria"/>
    <s v="Personal Care"/>
    <s v="Online"/>
    <s v="L"/>
    <s v="9/29/2013"/>
    <n v="211278092"/>
    <d v="2013-03-11T00:00:00"/>
    <n v="737"/>
    <n v="81.73"/>
    <n v="56.67"/>
    <n v="60235.01"/>
    <n v="41765.79"/>
    <n v="18469.22"/>
  </r>
  <r>
    <x v="1"/>
    <s v="Greece"/>
    <s v="Office Supplies"/>
    <s v="Online"/>
    <s v="L"/>
    <d v="2014-11-03T00:00:00"/>
    <n v="975823962"/>
    <d v="2014-08-04T00:00:00"/>
    <n v="6850"/>
    <n v="651.21"/>
    <n v="524.96"/>
    <n v="4460788.5"/>
    <n v="3595976"/>
    <n v="864812.5"/>
  </r>
  <r>
    <x v="1"/>
    <s v="Denmark"/>
    <s v="Cosmetics"/>
    <s v="Offline"/>
    <s v="M"/>
    <s v="12/27/2013"/>
    <n v="860104024"/>
    <s v="12/30/2013"/>
    <n v="2749"/>
    <n v="437.2"/>
    <n v="263.33"/>
    <n v="1201862.8"/>
    <n v="723894.17"/>
    <n v="477968.63"/>
  </r>
  <r>
    <x v="5"/>
    <s v="Cape Verde"/>
    <s v="Cosmetics"/>
    <s v="Online"/>
    <s v="M"/>
    <s v="6/28/2014"/>
    <n v="732917106"/>
    <d v="2014-09-08T00:00:00"/>
    <n v="5313"/>
    <n v="437.2"/>
    <n v="263.33"/>
    <n v="2322843.6"/>
    <n v="1399072.29"/>
    <n v="923771.31"/>
  </r>
  <r>
    <x v="5"/>
    <s v="Sudan"/>
    <s v="Cereal"/>
    <s v="Online"/>
    <s v="L"/>
    <s v="7/14/2010"/>
    <n v="183374536"/>
    <s v="8/18/2010"/>
    <n v="3455"/>
    <n v="205.7"/>
    <n v="117.11"/>
    <n v="710693.5"/>
    <n v="404615.05"/>
    <n v="306078.45"/>
  </r>
  <r>
    <x v="5"/>
    <s v="Cote d'Ivoire"/>
    <s v="Baby Food"/>
    <s v="Offline"/>
    <s v="C"/>
    <s v="12/18/2016"/>
    <n v="670900142"/>
    <d v="2017-02-01T00:00:00"/>
    <n v="3116"/>
    <n v="255.28"/>
    <n v="159.41999999999999"/>
    <n v="795452.48"/>
    <n v="496752.72"/>
    <n v="298699.76"/>
  </r>
  <r>
    <x v="4"/>
    <s v="Kiribati"/>
    <s v="Meat"/>
    <s v="Online"/>
    <s v="L"/>
    <s v="10/25/2011"/>
    <n v="575230252"/>
    <s v="11/22/2011"/>
    <n v="2269"/>
    <n v="421.89"/>
    <n v="364.69"/>
    <n v="957268.41"/>
    <n v="827481.61"/>
    <n v="129786.8"/>
  </r>
  <r>
    <x v="0"/>
    <s v="Panama"/>
    <s v="Office Supplies"/>
    <s v="Offline"/>
    <s v="H"/>
    <d v="2015-05-11T00:00:00"/>
    <n v="146413695"/>
    <d v="2015-11-11T00:00:00"/>
    <n v="5921"/>
    <n v="651.21"/>
    <n v="524.96"/>
    <n v="3855814.41"/>
    <n v="3108288.16"/>
    <n v="747526.25"/>
  </r>
  <r>
    <x v="5"/>
    <s v="Mali"/>
    <s v="Fruits"/>
    <s v="Offline"/>
    <s v="L"/>
    <d v="2013-02-01T00:00:00"/>
    <n v="154811799"/>
    <s v="2/19/2013"/>
    <n v="1106"/>
    <n v="9.33"/>
    <n v="6.92"/>
    <n v="10318.98"/>
    <n v="7653.52"/>
    <n v="2665.46"/>
  </r>
  <r>
    <x v="5"/>
    <s v="Sao Tome and Principe"/>
    <s v="Household"/>
    <s v="Online"/>
    <s v="C"/>
    <s v="10/30/2014"/>
    <n v="541098392"/>
    <d v="2014-04-12T00:00:00"/>
    <n v="1893"/>
    <n v="668.27"/>
    <n v="502.54"/>
    <n v="1265035.1100000001"/>
    <n v="951308.22"/>
    <n v="313726.89"/>
  </r>
  <r>
    <x v="2"/>
    <s v="Kazakhstan"/>
    <s v="Baby Food"/>
    <s v="Online"/>
    <s v="M"/>
    <d v="2011-07-03T00:00:00"/>
    <n v="866259801"/>
    <s v="3/25/2011"/>
    <n v="4380"/>
    <n v="255.28"/>
    <n v="159.41999999999999"/>
    <n v="1118126.3999999999"/>
    <n v="698259.6"/>
    <n v="419866.8"/>
  </r>
  <r>
    <x v="2"/>
    <s v="North Korea"/>
    <s v="Clothes"/>
    <s v="Offline"/>
    <s v="C"/>
    <d v="2011-08-12T00:00:00"/>
    <n v="761594855"/>
    <d v="2012-11-01T00:00:00"/>
    <n v="1697"/>
    <n v="109.28"/>
    <n v="35.840000000000003"/>
    <n v="185448.16"/>
    <n v="60820.480000000003"/>
    <n v="124627.68"/>
  </r>
  <r>
    <x v="1"/>
    <s v="Montenegro"/>
    <s v="Cosmetics"/>
    <s v="Offline"/>
    <s v="M"/>
    <s v="11/16/2012"/>
    <n v="378714883"/>
    <s v="12/16/2012"/>
    <n v="9005"/>
    <n v="437.2"/>
    <n v="263.33"/>
    <n v="3936986"/>
    <n v="2371286.65"/>
    <n v="1565699.35"/>
  </r>
  <r>
    <x v="3"/>
    <s v="Azerbaijan"/>
    <s v="Personal Care"/>
    <s v="Online"/>
    <s v="H"/>
    <s v="8/24/2014"/>
    <n v="839543712"/>
    <d v="2014-10-10T00:00:00"/>
    <n v="8496"/>
    <n v="81.73"/>
    <n v="56.67"/>
    <n v="694378.08"/>
    <n v="481468.32"/>
    <n v="212909.76"/>
  </r>
  <r>
    <x v="2"/>
    <s v="North Korea"/>
    <s v="Beverages"/>
    <s v="Online"/>
    <s v="M"/>
    <s v="5/18/2011"/>
    <n v="186317670"/>
    <s v="6/21/2011"/>
    <n v="4394"/>
    <n v="47.45"/>
    <n v="31.79"/>
    <n v="208495.3"/>
    <n v="139685.26"/>
    <n v="68810.039999999994"/>
  </r>
  <r>
    <x v="1"/>
    <s v="France"/>
    <s v="Personal Care"/>
    <s v="Offline"/>
    <s v="C"/>
    <s v="3/13/2017"/>
    <n v="131585586"/>
    <s v="4/13/2017"/>
    <n v="7954"/>
    <n v="81.73"/>
    <n v="56.67"/>
    <n v="650080.42000000004"/>
    <n v="450753.18"/>
    <n v="199327.24"/>
  </r>
  <r>
    <x v="3"/>
    <s v="Iran"/>
    <s v="Fruits"/>
    <s v="Offline"/>
    <s v="C"/>
    <d v="2017-03-01T00:00:00"/>
    <n v="208208787"/>
    <s v="2/14/2017"/>
    <n v="2462"/>
    <n v="9.33"/>
    <n v="6.92"/>
    <n v="22970.46"/>
    <n v="17037.04"/>
    <n v="5933.42"/>
  </r>
  <r>
    <x v="2"/>
    <s v="Kazakhstan"/>
    <s v="Baby Food"/>
    <s v="Offline"/>
    <s v="M"/>
    <s v="9/17/2015"/>
    <n v="919361102"/>
    <s v="9/23/2015"/>
    <n v="8235"/>
    <n v="255.28"/>
    <n v="159.41999999999999"/>
    <n v="2102230.7999999998"/>
    <n v="1312823.7"/>
    <n v="789407.1"/>
  </r>
  <r>
    <x v="1"/>
    <s v="Greece"/>
    <s v="Personal Care"/>
    <s v="Online"/>
    <s v="L"/>
    <d v="2011-11-09T00:00:00"/>
    <n v="588528859"/>
    <d v="2011-12-10T00:00:00"/>
    <n v="7623"/>
    <n v="81.73"/>
    <n v="56.67"/>
    <n v="623027.79"/>
    <n v="431995.41"/>
    <n v="191032.38"/>
  </r>
  <r>
    <x v="4"/>
    <s v="East Timor"/>
    <s v="Beverages"/>
    <s v="Offline"/>
    <s v="L"/>
    <d v="2015-11-10T00:00:00"/>
    <n v="309510886"/>
    <s v="10/17/2015"/>
    <n v="4"/>
    <n v="47.45"/>
    <n v="31.79"/>
    <n v="189.8"/>
    <n v="127.16"/>
    <n v="62.64"/>
  </r>
  <r>
    <x v="1"/>
    <s v="Macedonia"/>
    <s v="Meat"/>
    <s v="Online"/>
    <s v="L"/>
    <d v="2017-12-02T00:00:00"/>
    <n v="796418511"/>
    <s v="3/23/2017"/>
    <n v="6791"/>
    <n v="421.89"/>
    <n v="364.69"/>
    <n v="2865054.99"/>
    <n v="2476609.79"/>
    <n v="388445.2"/>
  </r>
  <r>
    <x v="4"/>
    <s v="Australia"/>
    <s v="Cosmetics"/>
    <s v="Offline"/>
    <s v="L"/>
    <s v="4/22/2017"/>
    <n v="133675563"/>
    <s v="5/16/2017"/>
    <n v="6424"/>
    <n v="437.2"/>
    <n v="263.33"/>
    <n v="2808572.8"/>
    <n v="1691631.92"/>
    <n v="1116940.8799999999"/>
  </r>
  <r>
    <x v="1"/>
    <s v="Kosovo"/>
    <s v="Cosmetics"/>
    <s v="Online"/>
    <s v="M"/>
    <d v="2011-03-06T00:00:00"/>
    <n v="526018369"/>
    <s v="6/21/2011"/>
    <n v="9379"/>
    <n v="437.2"/>
    <n v="263.33"/>
    <n v="4100498.8"/>
    <n v="2469772.0699999998"/>
    <n v="1630726.73"/>
  </r>
  <r>
    <x v="3"/>
    <s v="Kuwait"/>
    <s v="Cosmetics"/>
    <s v="Online"/>
    <s v="L"/>
    <s v="7/14/2014"/>
    <n v="648495757"/>
    <s v="7/31/2014"/>
    <n v="3160"/>
    <n v="437.2"/>
    <n v="263.33"/>
    <n v="1381552"/>
    <n v="832122.8"/>
    <n v="549429.19999999995"/>
  </r>
  <r>
    <x v="0"/>
    <s v="Dominica"/>
    <s v="Vegetables"/>
    <s v="Offline"/>
    <s v="H"/>
    <s v="6/30/2012"/>
    <n v="596469056"/>
    <s v="7/30/2012"/>
    <n v="7303"/>
    <n v="154.06"/>
    <n v="90.93"/>
    <n v="1125100.18"/>
    <n v="664061.79"/>
    <n v="461038.39"/>
  </r>
  <r>
    <x v="3"/>
    <s v="Jordan"/>
    <s v="Fruits"/>
    <s v="Online"/>
    <s v="H"/>
    <s v="2/26/2011"/>
    <n v="535612094"/>
    <d v="2011-03-03T00:00:00"/>
    <n v="8376"/>
    <n v="9.33"/>
    <n v="6.92"/>
    <n v="78148.08"/>
    <n v="57961.919999999998"/>
    <n v="20186.16"/>
  </r>
  <r>
    <x v="6"/>
    <s v="Mexico"/>
    <s v="Snacks"/>
    <s v="Offline"/>
    <s v="L"/>
    <d v="2017-02-06T00:00:00"/>
    <n v="251911199"/>
    <d v="2017-04-06T00:00:00"/>
    <n v="4977"/>
    <n v="152.58000000000001"/>
    <n v="97.44"/>
    <n v="759390.66"/>
    <n v="484958.88"/>
    <n v="274431.78000000003"/>
  </r>
  <r>
    <x v="0"/>
    <s v="Belize"/>
    <s v="Office Supplies"/>
    <s v="Offline"/>
    <s v="L"/>
    <d v="2012-05-10T00:00:00"/>
    <n v="501665198"/>
    <s v="10/26/2012"/>
    <n v="2735"/>
    <n v="651.21"/>
    <n v="524.96"/>
    <n v="1781059.35"/>
    <n v="1435765.6"/>
    <n v="345293.75"/>
  </r>
  <r>
    <x v="2"/>
    <s v="Malaysia"/>
    <s v="Beverages"/>
    <s v="Offline"/>
    <s v="L"/>
    <d v="2010-03-01T00:00:00"/>
    <n v="761485421"/>
    <s v="1/26/2010"/>
    <n v="9313"/>
    <n v="47.45"/>
    <n v="31.79"/>
    <n v="441901.85"/>
    <n v="296060.27"/>
    <n v="145841.57999999999"/>
  </r>
  <r>
    <x v="3"/>
    <s v="United Arab Emirates"/>
    <s v="Meat"/>
    <s v="Offline"/>
    <s v="L"/>
    <d v="2011-10-09T00:00:00"/>
    <n v="578295695"/>
    <s v="9/19/2011"/>
    <n v="9402"/>
    <n v="421.89"/>
    <n v="364.69"/>
    <n v="3966609.78"/>
    <n v="3428815.38"/>
    <n v="537794.4"/>
  </r>
  <r>
    <x v="3"/>
    <s v="Pakistan"/>
    <s v="Snacks"/>
    <s v="Offline"/>
    <s v="M"/>
    <d v="2013-02-11T00:00:00"/>
    <n v="919332349"/>
    <s v="12/15/2013"/>
    <n v="9726"/>
    <n v="152.58000000000001"/>
    <n v="97.44"/>
    <n v="1483993.08"/>
    <n v="947701.44"/>
    <n v="536291.64"/>
  </r>
  <r>
    <x v="1"/>
    <s v="Montenegro"/>
    <s v="Beverages"/>
    <s v="Offline"/>
    <s v="C"/>
    <s v="4/27/2017"/>
    <n v="122144210"/>
    <s v="5/24/2017"/>
    <n v="4041"/>
    <n v="47.45"/>
    <n v="31.79"/>
    <n v="191745.45"/>
    <n v="128463.39"/>
    <n v="63282.06"/>
  </r>
  <r>
    <x v="1"/>
    <s v="Belarus"/>
    <s v="Office Supplies"/>
    <s v="Offline"/>
    <s v="H"/>
    <d v="2016-06-07T00:00:00"/>
    <n v="644592607"/>
    <s v="7/31/2016"/>
    <n v="8131"/>
    <n v="651.21"/>
    <n v="524.96"/>
    <n v="5294988.51"/>
    <n v="4268449.76"/>
    <n v="1026538.75"/>
  </r>
  <r>
    <x v="6"/>
    <s v="Greenland"/>
    <s v="Cereal"/>
    <s v="Offline"/>
    <s v="H"/>
    <s v="8/19/2010"/>
    <n v="514851367"/>
    <d v="2010-02-10T00:00:00"/>
    <n v="4815"/>
    <n v="205.7"/>
    <n v="117.11"/>
    <n v="990445.5"/>
    <n v="563884.65"/>
    <n v="426560.85"/>
  </r>
  <r>
    <x v="5"/>
    <s v="Niger"/>
    <s v="Vegetables"/>
    <s v="Offline"/>
    <s v="C"/>
    <d v="2015-09-02T00:00:00"/>
    <n v="981406819"/>
    <s v="3/28/2015"/>
    <n v="8942"/>
    <n v="154.06"/>
    <n v="90.93"/>
    <n v="1377604.52"/>
    <n v="813096.06"/>
    <n v="564508.46"/>
  </r>
  <r>
    <x v="3"/>
    <s v="Pakistan"/>
    <s v="Beverages"/>
    <s v="Offline"/>
    <s v="M"/>
    <d v="2012-11-05T00:00:00"/>
    <n v="663057792"/>
    <s v="6/22/2012"/>
    <n v="2390"/>
    <n v="47.45"/>
    <n v="31.79"/>
    <n v="113405.5"/>
    <n v="75978.100000000006"/>
    <n v="37427.4"/>
  </r>
  <r>
    <x v="0"/>
    <s v="Saint Vincent and the Grenadines"/>
    <s v="Cereal"/>
    <s v="Online"/>
    <s v="C"/>
    <s v="2/27/2016"/>
    <n v="498915612"/>
    <s v="4/13/2016"/>
    <n v="9072"/>
    <n v="205.7"/>
    <n v="117.11"/>
    <n v="1866110.4"/>
    <n v="1062421.92"/>
    <n v="803688.48"/>
  </r>
  <r>
    <x v="1"/>
    <s v="Moldova "/>
    <s v="Fruits"/>
    <s v="Online"/>
    <s v="H"/>
    <d v="2014-03-11T00:00:00"/>
    <n v="598404109"/>
    <s v="11/18/2014"/>
    <n v="9929"/>
    <n v="9.33"/>
    <n v="6.92"/>
    <n v="92637.57"/>
    <n v="68708.679999999993"/>
    <n v="23928.89"/>
  </r>
  <r>
    <x v="5"/>
    <s v="Lesotho"/>
    <s v="Household"/>
    <s v="Offline"/>
    <s v="L"/>
    <d v="2012-12-12T00:00:00"/>
    <n v="691259610"/>
    <d v="2013-03-01T00:00:00"/>
    <n v="7935"/>
    <n v="668.27"/>
    <n v="502.54"/>
    <n v="5302722.45"/>
    <n v="3987654.9"/>
    <n v="1315067.55"/>
  </r>
  <r>
    <x v="1"/>
    <s v="Czech Republic"/>
    <s v="Personal Care"/>
    <s v="Online"/>
    <s v="C"/>
    <s v="4/22/2012"/>
    <n v="577530944"/>
    <s v="5/15/2012"/>
    <n v="3095"/>
    <n v="81.73"/>
    <n v="56.67"/>
    <n v="252954.35"/>
    <n v="175393.65"/>
    <n v="77560.7"/>
  </r>
  <r>
    <x v="6"/>
    <s v="United States of America"/>
    <s v="Cereal"/>
    <s v="Offline"/>
    <s v="M"/>
    <s v="10/21/2015"/>
    <n v="577579438"/>
    <s v="11/30/2015"/>
    <n v="7446"/>
    <n v="205.7"/>
    <n v="117.11"/>
    <n v="1531642.2"/>
    <n v="872001.06"/>
    <n v="659641.14"/>
  </r>
  <r>
    <x v="1"/>
    <s v="Finland"/>
    <s v="Fruits"/>
    <s v="Offline"/>
    <s v="H"/>
    <d v="2016-12-01T00:00:00"/>
    <n v="182078921"/>
    <s v="2/14/2016"/>
    <n v="54"/>
    <n v="9.33"/>
    <n v="6.92"/>
    <n v="503.82"/>
    <n v="373.68"/>
    <n v="130.13999999999999"/>
  </r>
  <r>
    <x v="1"/>
    <s v="Serbia"/>
    <s v="Baby Food"/>
    <s v="Online"/>
    <s v="H"/>
    <s v="3/22/2014"/>
    <n v="302015721"/>
    <s v="4/17/2014"/>
    <n v="2018"/>
    <n v="255.28"/>
    <n v="159.41999999999999"/>
    <n v="515155.04"/>
    <n v="321709.56"/>
    <n v="193445.48"/>
  </r>
  <r>
    <x v="3"/>
    <s v="Afghanistan"/>
    <s v="Fruits"/>
    <s v="Online"/>
    <s v="L"/>
    <s v="6/16/2016"/>
    <n v="118688666"/>
    <s v="7/15/2016"/>
    <n v="1469"/>
    <n v="9.33"/>
    <n v="6.92"/>
    <n v="13705.77"/>
    <n v="10165.48"/>
    <n v="3540.29"/>
  </r>
  <r>
    <x v="1"/>
    <s v="Latvia"/>
    <s v="Clothes"/>
    <s v="Offline"/>
    <s v="M"/>
    <s v="9/28/2014"/>
    <n v="233709084"/>
    <s v="10/16/2014"/>
    <n v="8566"/>
    <n v="109.28"/>
    <n v="35.840000000000003"/>
    <n v="936092.48"/>
    <n v="307005.44"/>
    <n v="629087.04"/>
  </r>
  <r>
    <x v="5"/>
    <s v="Burkina Faso"/>
    <s v="Vegetables"/>
    <s v="Online"/>
    <s v="M"/>
    <d v="2013-01-07T00:00:00"/>
    <n v="419000804"/>
    <d v="2013-05-07T00:00:00"/>
    <n v="504"/>
    <n v="154.06"/>
    <n v="90.93"/>
    <n v="77646.240000000005"/>
    <n v="45828.72"/>
    <n v="31817.52"/>
  </r>
  <r>
    <x v="1"/>
    <s v="Estonia"/>
    <s v="Meat"/>
    <s v="Offline"/>
    <s v="M"/>
    <s v="8/25/2010"/>
    <n v="966800153"/>
    <d v="2010-10-09T00:00:00"/>
    <n v="6505"/>
    <n v="421.89"/>
    <n v="364.69"/>
    <n v="2744394.45"/>
    <n v="2372308.4500000002"/>
    <n v="372086"/>
  </r>
  <r>
    <x v="2"/>
    <s v="Singapore"/>
    <s v="Baby Food"/>
    <s v="Online"/>
    <s v="L"/>
    <d v="2016-12-07T00:00:00"/>
    <n v="439655959"/>
    <s v="7/30/2016"/>
    <n v="2823"/>
    <n v="255.28"/>
    <n v="159.41999999999999"/>
    <n v="720655.44"/>
    <n v="450042.66"/>
    <n v="270612.78000000003"/>
  </r>
  <r>
    <x v="0"/>
    <s v="Grenada"/>
    <s v="Cosmetics"/>
    <s v="Offline"/>
    <s v="H"/>
    <d v="2012-05-04T00:00:00"/>
    <n v="620429551"/>
    <d v="2012-11-05T00:00:00"/>
    <n v="7746"/>
    <n v="437.2"/>
    <n v="263.33"/>
    <n v="3386551.2"/>
    <n v="2039754.18"/>
    <n v="1346797.02"/>
  </r>
  <r>
    <x v="5"/>
    <s v="Sao Tome and Principe"/>
    <s v="Personal Care"/>
    <s v="Online"/>
    <s v="H"/>
    <d v="2014-07-02T00:00:00"/>
    <n v="662294757"/>
    <s v="3/17/2014"/>
    <n v="6591"/>
    <n v="81.73"/>
    <n v="56.67"/>
    <n v="538682.43000000005"/>
    <n v="373511.97"/>
    <n v="165170.46"/>
  </r>
  <r>
    <x v="5"/>
    <s v="Ethiopia"/>
    <s v="Office Supplies"/>
    <s v="Offline"/>
    <s v="H"/>
    <s v="8/28/2016"/>
    <n v="238737905"/>
    <s v="8/30/2016"/>
    <n v="6706"/>
    <n v="651.21"/>
    <n v="524.96"/>
    <n v="4367014.26"/>
    <n v="3520381.76"/>
    <n v="846632.5"/>
  </r>
  <r>
    <x v="0"/>
    <s v="Dominican Republic"/>
    <s v="Cereal"/>
    <s v="Offline"/>
    <s v="H"/>
    <s v="10/23/2011"/>
    <n v="893557822"/>
    <d v="2011-09-12T00:00:00"/>
    <n v="2471"/>
    <n v="205.7"/>
    <n v="117.11"/>
    <n v="508284.7"/>
    <n v="289378.81"/>
    <n v="218905.89"/>
  </r>
  <r>
    <x v="0"/>
    <s v="Belize"/>
    <s v="Household"/>
    <s v="Offline"/>
    <s v="M"/>
    <s v="3/24/2015"/>
    <n v="190865838"/>
    <s v="3/27/2015"/>
    <n v="298"/>
    <n v="668.27"/>
    <n v="502.54"/>
    <n v="199144.46"/>
    <n v="149756.92000000001"/>
    <n v="49387.54"/>
  </r>
  <r>
    <x v="3"/>
    <s v="Turkey"/>
    <s v="Vegetables"/>
    <s v="Online"/>
    <s v="C"/>
    <s v="2/18/2017"/>
    <n v="265085780"/>
    <s v="3/30/2017"/>
    <n v="3628"/>
    <n v="154.06"/>
    <n v="90.93"/>
    <n v="558929.68000000005"/>
    <n v="329894.03999999998"/>
    <n v="229035.64"/>
  </r>
  <r>
    <x v="2"/>
    <s v="Tajikistan"/>
    <s v="Baby Food"/>
    <s v="Offline"/>
    <s v="L"/>
    <s v="5/26/2016"/>
    <n v="170953977"/>
    <d v="2016-05-07T00:00:00"/>
    <n v="7936"/>
    <n v="255.28"/>
    <n v="159.41999999999999"/>
    <n v="2025902.0800000001"/>
    <n v="1265157.1200000001"/>
    <n v="760744.95999999996"/>
  </r>
  <r>
    <x v="2"/>
    <s v="China"/>
    <s v="Clothes"/>
    <s v="Offline"/>
    <s v="C"/>
    <s v="9/26/2016"/>
    <n v="833519256"/>
    <s v="10/20/2016"/>
    <n v="5725"/>
    <n v="109.28"/>
    <n v="35.840000000000003"/>
    <n v="625628"/>
    <n v="205184"/>
    <n v="420444"/>
  </r>
  <r>
    <x v="5"/>
    <s v="Chad"/>
    <s v="Office Supplies"/>
    <s v="Offline"/>
    <s v="L"/>
    <d v="2015-10-05T00:00:00"/>
    <n v="998142945"/>
    <d v="2015-06-06T00:00:00"/>
    <n v="1533"/>
    <n v="651.21"/>
    <n v="524.96"/>
    <n v="998304.93"/>
    <n v="804763.68"/>
    <n v="193541.25"/>
  </r>
  <r>
    <x v="1"/>
    <s v="Bulgaria"/>
    <s v="Clothes"/>
    <s v="Online"/>
    <s v="H"/>
    <s v="4/24/2014"/>
    <n v="380498874"/>
    <s v="5/13/2014"/>
    <n v="6927"/>
    <n v="109.28"/>
    <n v="35.840000000000003"/>
    <n v="756982.56"/>
    <n v="248263.67999999999"/>
    <n v="508718.88"/>
  </r>
  <r>
    <x v="5"/>
    <s v="Sierra Leone"/>
    <s v="Meat"/>
    <s v="Offline"/>
    <s v="C"/>
    <s v="9/25/2016"/>
    <n v="116573369"/>
    <d v="2016-03-11T00:00:00"/>
    <n v="5505"/>
    <n v="421.89"/>
    <n v="364.69"/>
    <n v="2322504.4500000002"/>
    <n v="2007618.45"/>
    <n v="314886"/>
  </r>
  <r>
    <x v="5"/>
    <s v="Malawi"/>
    <s v="Fruits"/>
    <s v="Offline"/>
    <s v="C"/>
    <s v="6/15/2015"/>
    <n v="512665259"/>
    <s v="6/22/2015"/>
    <n v="7898"/>
    <n v="9.33"/>
    <n v="6.92"/>
    <n v="73688.34"/>
    <n v="54654.16"/>
    <n v="19034.18"/>
  </r>
  <r>
    <x v="1"/>
    <s v="Luxembourg"/>
    <s v="Personal Care"/>
    <s v="Offline"/>
    <s v="M"/>
    <d v="2011-07-12T00:00:00"/>
    <n v="595385873"/>
    <s v="12/21/2011"/>
    <n v="6765"/>
    <n v="81.73"/>
    <n v="56.67"/>
    <n v="552903.44999999995"/>
    <n v="383372.55"/>
    <n v="169530.9"/>
  </r>
  <r>
    <x v="1"/>
    <s v="Luxembourg"/>
    <s v="Cereal"/>
    <s v="Online"/>
    <s v="L"/>
    <s v="6/30/2012"/>
    <n v="361659038"/>
    <d v="2012-03-08T00:00:00"/>
    <n v="1801"/>
    <n v="205.7"/>
    <n v="117.11"/>
    <n v="370465.7"/>
    <n v="210915.11"/>
    <n v="159550.59"/>
  </r>
  <r>
    <x v="1"/>
    <s v="Kosovo"/>
    <s v="Baby Food"/>
    <s v="Online"/>
    <s v="L"/>
    <s v="12/14/2016"/>
    <n v="328721082"/>
    <s v="12/18/2016"/>
    <n v="4728"/>
    <n v="255.28"/>
    <n v="159.41999999999999"/>
    <n v="1206963.8400000001"/>
    <n v="753737.76"/>
    <n v="453226.08"/>
  </r>
  <r>
    <x v="1"/>
    <s v="Denmark"/>
    <s v="Clothes"/>
    <s v="Offline"/>
    <s v="H"/>
    <s v="10/27/2014"/>
    <n v="184120833"/>
    <s v="10/31/2014"/>
    <n v="4301"/>
    <n v="109.28"/>
    <n v="35.840000000000003"/>
    <n v="470013.28"/>
    <n v="154147.84"/>
    <n v="315865.44"/>
  </r>
  <r>
    <x v="2"/>
    <s v="Singapore"/>
    <s v="Meat"/>
    <s v="Online"/>
    <s v="H"/>
    <s v="10/29/2011"/>
    <n v="135719621"/>
    <s v="11/22/2011"/>
    <n v="1307"/>
    <n v="421.89"/>
    <n v="364.69"/>
    <n v="551410.23"/>
    <n v="476649.83"/>
    <n v="74760.399999999994"/>
  </r>
  <r>
    <x v="4"/>
    <s v="Samoa "/>
    <s v="Personal Care"/>
    <s v="Offline"/>
    <s v="C"/>
    <s v="12/23/2010"/>
    <n v="461691272"/>
    <d v="2011-02-02T00:00:00"/>
    <n v="3562"/>
    <n v="81.73"/>
    <n v="56.67"/>
    <n v="291122.26"/>
    <n v="201858.54"/>
    <n v="89263.72"/>
  </r>
  <r>
    <x v="2"/>
    <s v="Philippines"/>
    <s v="Snacks"/>
    <s v="Offline"/>
    <s v="M"/>
    <d v="2016-06-05T00:00:00"/>
    <n v="160522115"/>
    <s v="6/22/2016"/>
    <n v="916"/>
    <n v="152.58000000000001"/>
    <n v="97.44"/>
    <n v="139763.28"/>
    <n v="89255.039999999994"/>
    <n v="50508.24"/>
  </r>
  <r>
    <x v="2"/>
    <s v="China"/>
    <s v="Meat"/>
    <s v="Online"/>
    <s v="H"/>
    <s v="2/17/2014"/>
    <n v="101010978"/>
    <d v="2014-12-03T00:00:00"/>
    <n v="248"/>
    <n v="421.89"/>
    <n v="364.69"/>
    <n v="104628.72"/>
    <n v="90443.12"/>
    <n v="14185.6"/>
  </r>
  <r>
    <x v="3"/>
    <s v="Iraq"/>
    <s v="Vegetables"/>
    <s v="Online"/>
    <s v="M"/>
    <s v="4/29/2014"/>
    <n v="772269189"/>
    <d v="2014-12-05T00:00:00"/>
    <n v="469"/>
    <n v="154.06"/>
    <n v="90.93"/>
    <n v="72254.14"/>
    <n v="42646.17"/>
    <n v="29607.97"/>
  </r>
  <r>
    <x v="1"/>
    <s v="Liechtenstein"/>
    <s v="Vegetables"/>
    <s v="Offline"/>
    <s v="H"/>
    <s v="8/14/2016"/>
    <n v="933720576"/>
    <d v="2016-01-10T00:00:00"/>
    <n v="7523"/>
    <n v="154.06"/>
    <n v="90.93"/>
    <n v="1158993.3799999999"/>
    <n v="684066.39"/>
    <n v="474926.99"/>
  </r>
  <r>
    <x v="1"/>
    <s v="Latvia"/>
    <s v="Cosmetics"/>
    <s v="Online"/>
    <s v="H"/>
    <s v="3/14/2014"/>
    <n v="765101468"/>
    <d v="2014-06-04T00:00:00"/>
    <n v="9382"/>
    <n v="437.2"/>
    <n v="263.33"/>
    <n v="4101810.4"/>
    <n v="2470562.06"/>
    <n v="1631248.34"/>
  </r>
  <r>
    <x v="1"/>
    <s v="Armenia"/>
    <s v="Household"/>
    <s v="Offline"/>
    <s v="M"/>
    <d v="2012-03-09T00:00:00"/>
    <n v="516460692"/>
    <s v="9/24/2012"/>
    <n v="1051"/>
    <n v="668.27"/>
    <n v="502.54"/>
    <n v="702351.77"/>
    <n v="528169.54"/>
    <n v="174182.23"/>
  </r>
  <r>
    <x v="2"/>
    <s v="North Korea"/>
    <s v="Fruits"/>
    <s v="Online"/>
    <s v="L"/>
    <s v="2/23/2011"/>
    <n v="958159577"/>
    <d v="2011-04-04T00:00:00"/>
    <n v="9566"/>
    <n v="9.33"/>
    <n v="6.92"/>
    <n v="89250.78"/>
    <n v="66196.72"/>
    <n v="23054.06"/>
  </r>
  <r>
    <x v="2"/>
    <s v="Nepal"/>
    <s v="Household"/>
    <s v="Offline"/>
    <s v="H"/>
    <s v="7/26/2013"/>
    <n v="230871951"/>
    <d v="2013-08-08T00:00:00"/>
    <n v="8996"/>
    <n v="668.27"/>
    <n v="502.54"/>
    <n v="6011756.9199999999"/>
    <n v="4520849.84"/>
    <n v="1490907.08"/>
  </r>
  <r>
    <x v="5"/>
    <s v="Cape Verde"/>
    <s v="Fruits"/>
    <s v="Online"/>
    <s v="M"/>
    <s v="5/20/2017"/>
    <n v="595584142"/>
    <s v="6/29/2017"/>
    <n v="5438"/>
    <n v="9.33"/>
    <n v="6.92"/>
    <n v="50736.54"/>
    <n v="37630.959999999999"/>
    <n v="13105.58"/>
  </r>
  <r>
    <x v="1"/>
    <s v="Ukraine"/>
    <s v="Meat"/>
    <s v="Offline"/>
    <s v="H"/>
    <s v="4/25/2017"/>
    <n v="783594977"/>
    <d v="2017-01-05T00:00:00"/>
    <n v="2022"/>
    <n v="421.89"/>
    <n v="364.69"/>
    <n v="853061.58"/>
    <n v="737403.18"/>
    <n v="115658.4"/>
  </r>
  <r>
    <x v="2"/>
    <s v="Tajikistan"/>
    <s v="Personal Care"/>
    <s v="Online"/>
    <s v="L"/>
    <s v="9/22/2016"/>
    <n v="946515786"/>
    <d v="2016-04-10T00:00:00"/>
    <n v="3910"/>
    <n v="81.73"/>
    <n v="56.67"/>
    <n v="319564.3"/>
    <n v="221579.7"/>
    <n v="97984.6"/>
  </r>
  <r>
    <x v="1"/>
    <s v="Romania"/>
    <s v="Snacks"/>
    <s v="Online"/>
    <s v="L"/>
    <d v="2016-03-04T00:00:00"/>
    <n v="406270396"/>
    <s v="5/19/2016"/>
    <n v="3293"/>
    <n v="152.58000000000001"/>
    <n v="97.44"/>
    <n v="502445.94"/>
    <n v="320869.92"/>
    <n v="181576.02"/>
  </r>
  <r>
    <x v="1"/>
    <s v="Kosovo"/>
    <s v="Vegetables"/>
    <s v="Online"/>
    <s v="L"/>
    <s v="1/13/2010"/>
    <n v="805095136"/>
    <s v="1/20/2010"/>
    <n v="4396"/>
    <n v="154.06"/>
    <n v="90.93"/>
    <n v="677247.76"/>
    <n v="399728.28"/>
    <n v="277519.48"/>
  </r>
  <r>
    <x v="2"/>
    <s v="Thailand"/>
    <s v="Fruits"/>
    <s v="Offline"/>
    <s v="M"/>
    <d v="2012-12-03T00:00:00"/>
    <n v="255538833"/>
    <s v="4/18/2012"/>
    <n v="8474"/>
    <n v="9.33"/>
    <n v="6.92"/>
    <n v="79062.42"/>
    <n v="58640.08"/>
    <n v="20422.34"/>
  </r>
  <r>
    <x v="5"/>
    <s v="Madagascar"/>
    <s v="Office Supplies"/>
    <s v="Online"/>
    <s v="C"/>
    <s v="3/17/2015"/>
    <n v="990462815"/>
    <s v="4/24/2015"/>
    <n v="8812"/>
    <n v="651.21"/>
    <n v="524.96"/>
    <n v="5738462.5199999996"/>
    <n v="4625947.5199999996"/>
    <n v="1112515"/>
  </r>
  <r>
    <x v="4"/>
    <s v="Australia"/>
    <s v="Baby Food"/>
    <s v="Offline"/>
    <s v="M"/>
    <s v="5/26/2016"/>
    <n v="813040912"/>
    <s v="5/26/2016"/>
    <n v="5728"/>
    <n v="255.28"/>
    <n v="159.41999999999999"/>
    <n v="1462243.84"/>
    <n v="913157.76"/>
    <n v="549086.07999999996"/>
  </r>
  <r>
    <x v="5"/>
    <s v="Tanzania"/>
    <s v="Personal Care"/>
    <s v="Online"/>
    <s v="C"/>
    <d v="2014-03-03T00:00:00"/>
    <n v="746759450"/>
    <d v="2014-03-04T00:00:00"/>
    <n v="1571"/>
    <n v="81.73"/>
    <n v="56.67"/>
    <n v="128397.83"/>
    <n v="89028.57"/>
    <n v="39369.26"/>
  </r>
  <r>
    <x v="1"/>
    <s v="United Kingdom"/>
    <s v="Cereal"/>
    <s v="Online"/>
    <s v="M"/>
    <d v="2011-01-10T00:00:00"/>
    <n v="985417258"/>
    <s v="10/21/2011"/>
    <n v="5720"/>
    <n v="205.7"/>
    <n v="117.11"/>
    <n v="1176604"/>
    <n v="669869.19999999995"/>
    <n v="506734.8"/>
  </r>
  <r>
    <x v="1"/>
    <s v="Serbia"/>
    <s v="Cereal"/>
    <s v="Offline"/>
    <s v="M"/>
    <s v="6/15/2013"/>
    <n v="443125665"/>
    <d v="2013-09-07T00:00:00"/>
    <n v="9586"/>
    <n v="205.7"/>
    <n v="117.11"/>
    <n v="1971840.2"/>
    <n v="1122616.46"/>
    <n v="849223.74"/>
  </r>
  <r>
    <x v="5"/>
    <s v="Seychelles "/>
    <s v="Vegetables"/>
    <s v="Offline"/>
    <s v="C"/>
    <s v="4/18/2013"/>
    <n v="804308497"/>
    <s v="5/27/2013"/>
    <n v="1613"/>
    <n v="154.06"/>
    <n v="90.93"/>
    <n v="248498.78"/>
    <n v="146670.09"/>
    <n v="101828.69"/>
  </r>
  <r>
    <x v="0"/>
    <s v="Honduras"/>
    <s v="Cosmetics"/>
    <s v="Online"/>
    <s v="H"/>
    <d v="2013-04-12T00:00:00"/>
    <n v="673702085"/>
    <s v="12/24/2013"/>
    <n v="2273"/>
    <n v="437.2"/>
    <n v="263.33"/>
    <n v="993755.6"/>
    <n v="598549.09"/>
    <n v="395206.51"/>
  </r>
  <r>
    <x v="2"/>
    <s v="Sri Lanka"/>
    <s v="Fruits"/>
    <s v="Offline"/>
    <s v="L"/>
    <d v="2015-09-04T00:00:00"/>
    <n v="526355254"/>
    <s v="4/22/2015"/>
    <n v="9071"/>
    <n v="9.33"/>
    <n v="6.92"/>
    <n v="84632.43"/>
    <n v="62771.32"/>
    <n v="21861.11"/>
  </r>
  <r>
    <x v="0"/>
    <s v="Dominican Republic"/>
    <s v="Clothes"/>
    <s v="Offline"/>
    <s v="L"/>
    <d v="2010-03-10T00:00:00"/>
    <n v="457629334"/>
    <d v="2010-02-11T00:00:00"/>
    <n v="1544"/>
    <n v="109.28"/>
    <n v="35.840000000000003"/>
    <n v="168728.32000000001"/>
    <n v="55336.959999999999"/>
    <n v="113391.36"/>
  </r>
  <r>
    <x v="5"/>
    <s v="Central African Republic"/>
    <s v="Cereal"/>
    <s v="Offline"/>
    <s v="H"/>
    <s v="10/19/2013"/>
    <n v="633198153"/>
    <d v="2013-03-11T00:00:00"/>
    <n v="6260"/>
    <n v="205.7"/>
    <n v="117.11"/>
    <n v="1287682"/>
    <n v="733108.6"/>
    <n v="554573.4"/>
  </r>
  <r>
    <x v="4"/>
    <s v="New Zealand"/>
    <s v="Office Supplies"/>
    <s v="Offline"/>
    <s v="H"/>
    <d v="2016-02-03T00:00:00"/>
    <n v="839048039"/>
    <d v="2016-02-04T00:00:00"/>
    <n v="1815"/>
    <n v="651.21"/>
    <n v="524.96"/>
    <n v="1181946.1499999999"/>
    <n v="952802.4"/>
    <n v="229143.75"/>
  </r>
  <r>
    <x v="1"/>
    <s v="Belgium"/>
    <s v="Beverages"/>
    <s v="Online"/>
    <s v="L"/>
    <s v="6/23/2014"/>
    <n v="931477820"/>
    <s v="7/19/2014"/>
    <n v="3841"/>
    <n v="47.45"/>
    <n v="31.79"/>
    <n v="182255.45"/>
    <n v="122105.39"/>
    <n v="60150.06"/>
  </r>
  <r>
    <x v="1"/>
    <s v="United Kingdom"/>
    <s v="Personal Care"/>
    <s v="Offline"/>
    <s v="H"/>
    <s v="12/23/2013"/>
    <n v="387098824"/>
    <d v="2014-04-01T00:00:00"/>
    <n v="9999"/>
    <n v="81.73"/>
    <n v="56.67"/>
    <n v="817218.27"/>
    <n v="566643.32999999996"/>
    <n v="250574.94"/>
  </r>
  <r>
    <x v="5"/>
    <s v="Niger"/>
    <s v="Meat"/>
    <s v="Online"/>
    <s v="L"/>
    <s v="3/16/2017"/>
    <n v="552834880"/>
    <s v="4/25/2017"/>
    <n v="4981"/>
    <n v="421.89"/>
    <n v="364.69"/>
    <n v="2101434.09"/>
    <n v="1816520.89"/>
    <n v="284913.2"/>
  </r>
  <r>
    <x v="1"/>
    <s v="Denmark"/>
    <s v="Meat"/>
    <s v="Offline"/>
    <s v="M"/>
    <d v="2012-12-08T00:00:00"/>
    <n v="595922315"/>
    <d v="2012-04-09T00:00:00"/>
    <n v="5510"/>
    <n v="421.89"/>
    <n v="364.69"/>
    <n v="2324613.9"/>
    <n v="2009441.9"/>
    <n v="315172"/>
  </r>
  <r>
    <x v="1"/>
    <s v="Slovakia"/>
    <s v="Office Supplies"/>
    <s v="Online"/>
    <s v="M"/>
    <s v="3/23/2016"/>
    <n v="653909957"/>
    <d v="2016-06-04T00:00:00"/>
    <n v="5342"/>
    <n v="651.21"/>
    <n v="524.96"/>
    <n v="3478763.82"/>
    <n v="2804336.32"/>
    <n v="674427.5"/>
  </r>
  <r>
    <x v="5"/>
    <s v="Burundi"/>
    <s v="Beverages"/>
    <s v="Online"/>
    <s v="M"/>
    <s v="10/31/2014"/>
    <n v="484659135"/>
    <s v="11/29/2014"/>
    <n v="263"/>
    <n v="47.45"/>
    <n v="31.79"/>
    <n v="12479.35"/>
    <n v="8360.77"/>
    <n v="4118.58"/>
  </r>
  <r>
    <x v="5"/>
    <s v="Burkina Faso"/>
    <s v="Snacks"/>
    <s v="Online"/>
    <s v="H"/>
    <s v="3/25/2015"/>
    <n v="816343677"/>
    <s v="4/13/2015"/>
    <n v="3090"/>
    <n v="152.58000000000001"/>
    <n v="97.44"/>
    <n v="471472.2"/>
    <n v="301089.59999999998"/>
    <n v="170382.6"/>
  </r>
  <r>
    <x v="2"/>
    <s v="Turkmenistan"/>
    <s v="Personal Care"/>
    <s v="Online"/>
    <s v="M"/>
    <s v="2/16/2010"/>
    <n v="197449910"/>
    <s v="2/20/2010"/>
    <n v="8671"/>
    <n v="81.73"/>
    <n v="56.67"/>
    <n v="708680.83"/>
    <n v="491385.57"/>
    <n v="217295.26"/>
  </r>
  <r>
    <x v="2"/>
    <s v="Myanmar"/>
    <s v="Snacks"/>
    <s v="Offline"/>
    <s v="L"/>
    <s v="3/27/2012"/>
    <n v="846776664"/>
    <d v="2012-03-05T00:00:00"/>
    <n v="8887"/>
    <n v="152.58000000000001"/>
    <n v="97.44"/>
    <n v="1355978.46"/>
    <n v="865949.28"/>
    <n v="490029.18"/>
  </r>
  <r>
    <x v="1"/>
    <s v="Serbia"/>
    <s v="Beverages"/>
    <s v="Offline"/>
    <s v="H"/>
    <d v="2012-11-08T00:00:00"/>
    <n v="103435266"/>
    <s v="9/18/2012"/>
    <n v="7648"/>
    <n v="47.45"/>
    <n v="31.79"/>
    <n v="362897.6"/>
    <n v="243129.92"/>
    <n v="119767.67999999999"/>
  </r>
  <r>
    <x v="0"/>
    <s v="Saint Kitts and Nevis "/>
    <s v="Fruits"/>
    <s v="Online"/>
    <s v="H"/>
    <s v="9/25/2014"/>
    <n v="776849544"/>
    <d v="2014-07-10T00:00:00"/>
    <n v="5898"/>
    <n v="9.33"/>
    <n v="6.92"/>
    <n v="55028.34"/>
    <n v="40814.160000000003"/>
    <n v="14214.18"/>
  </r>
  <r>
    <x v="5"/>
    <s v="Guinea-Bissau"/>
    <s v="Baby Food"/>
    <s v="Offline"/>
    <s v="L"/>
    <s v="7/28/2015"/>
    <n v="796755826"/>
    <s v="8/28/2015"/>
    <n v="6609"/>
    <n v="255.28"/>
    <n v="159.41999999999999"/>
    <n v="1687145.52"/>
    <n v="1053606.78"/>
    <n v="633538.74"/>
  </r>
  <r>
    <x v="1"/>
    <s v="Sweden"/>
    <s v="Meat"/>
    <s v="Offline"/>
    <s v="L"/>
    <d v="2016-12-12T00:00:00"/>
    <n v="863202941"/>
    <s v="12/13/2016"/>
    <n v="9787"/>
    <n v="421.89"/>
    <n v="364.69"/>
    <n v="4129037.43"/>
    <n v="3569221.03"/>
    <n v="559816.4"/>
  </r>
  <r>
    <x v="1"/>
    <s v="Cyprus"/>
    <s v="Clothes"/>
    <s v="Offline"/>
    <s v="M"/>
    <d v="2014-08-03T00:00:00"/>
    <n v="396552217"/>
    <s v="4/24/2014"/>
    <n v="7468"/>
    <n v="109.28"/>
    <n v="35.840000000000003"/>
    <n v="816103.04"/>
    <n v="267653.12"/>
    <n v="548449.92000000004"/>
  </r>
  <r>
    <x v="2"/>
    <s v="Taiwan"/>
    <s v="Beverages"/>
    <s v="Offline"/>
    <s v="C"/>
    <d v="2015-04-01T00:00:00"/>
    <n v="687477481"/>
    <s v="1/30/2015"/>
    <n v="8719"/>
    <n v="47.45"/>
    <n v="31.79"/>
    <n v="413716.55"/>
    <n v="277177.01"/>
    <n v="136539.54"/>
  </r>
  <r>
    <x v="5"/>
    <s v="Benin"/>
    <s v="Snacks"/>
    <s v="Online"/>
    <s v="H"/>
    <d v="2013-01-02T00:00:00"/>
    <n v="846965062"/>
    <d v="2013-12-02T00:00:00"/>
    <n v="4638"/>
    <n v="152.58000000000001"/>
    <n v="97.44"/>
    <n v="707666.04"/>
    <n v="451926.72"/>
    <n v="255739.32"/>
  </r>
  <r>
    <x v="3"/>
    <s v="Afghanistan"/>
    <s v="Personal Care"/>
    <s v="Online"/>
    <s v="M"/>
    <d v="2014-03-07T00:00:00"/>
    <n v="956313788"/>
    <s v="7/19/2014"/>
    <n v="3356"/>
    <n v="81.73"/>
    <n v="56.67"/>
    <n v="274285.88"/>
    <n v="190184.52"/>
    <n v="84101.36"/>
  </r>
  <r>
    <x v="0"/>
    <s v="Haiti"/>
    <s v="Clothes"/>
    <s v="Offline"/>
    <s v="H"/>
    <d v="2011-04-04T00:00:00"/>
    <n v="717134988"/>
    <s v="4/17/2011"/>
    <n v="5034"/>
    <n v="109.28"/>
    <n v="35.840000000000003"/>
    <n v="550115.52"/>
    <n v="180418.56"/>
    <n v="369696.96"/>
  </r>
  <r>
    <x v="1"/>
    <s v="United Kingdom"/>
    <s v="Cosmetics"/>
    <s v="Offline"/>
    <s v="M"/>
    <d v="2015-06-05T00:00:00"/>
    <n v="801352488"/>
    <s v="5/23/2015"/>
    <n v="6864"/>
    <n v="437.2"/>
    <n v="263.33"/>
    <n v="3000940.8"/>
    <n v="1807497.12"/>
    <n v="1193443.68"/>
  </r>
  <r>
    <x v="3"/>
    <s v="Libya"/>
    <s v="Office Supplies"/>
    <s v="Offline"/>
    <s v="M"/>
    <d v="2017-11-02T00:00:00"/>
    <n v="601202619"/>
    <s v="2/15/2017"/>
    <n v="8070"/>
    <n v="651.21"/>
    <n v="524.96"/>
    <n v="5255264.7"/>
    <n v="4236427.2"/>
    <n v="1018837.5"/>
  </r>
  <r>
    <x v="1"/>
    <s v="Luxembourg"/>
    <s v="Fruits"/>
    <s v="Online"/>
    <s v="H"/>
    <d v="2011-07-10T00:00:00"/>
    <n v="479234206"/>
    <s v="11/14/2011"/>
    <n v="4906"/>
    <n v="9.33"/>
    <n v="6.92"/>
    <n v="45772.98"/>
    <n v="33949.519999999997"/>
    <n v="11823.46"/>
  </r>
  <r>
    <x v="5"/>
    <s v="The Gambia"/>
    <s v="Baby Food"/>
    <s v="Offline"/>
    <s v="L"/>
    <s v="9/13/2010"/>
    <n v="418308579"/>
    <s v="10/30/2010"/>
    <n v="5659"/>
    <n v="255.28"/>
    <n v="159.41999999999999"/>
    <n v="1444629.52"/>
    <n v="902157.78"/>
    <n v="542471.74"/>
  </r>
  <r>
    <x v="3"/>
    <s v="Turkey"/>
    <s v="Cosmetics"/>
    <s v="Offline"/>
    <s v="L"/>
    <d v="2015-12-01T00:00:00"/>
    <n v="471599566"/>
    <s v="2/28/2015"/>
    <n v="5647"/>
    <n v="437.2"/>
    <n v="263.33"/>
    <n v="2468868.4"/>
    <n v="1487024.51"/>
    <n v="981843.89"/>
  </r>
  <r>
    <x v="5"/>
    <s v="Mauritania"/>
    <s v="Baby Food"/>
    <s v="Online"/>
    <s v="H"/>
    <s v="10/18/2011"/>
    <n v="312593495"/>
    <d v="2011-03-11T00:00:00"/>
    <n v="2217"/>
    <n v="255.28"/>
    <n v="159.41999999999999"/>
    <n v="565955.76"/>
    <n v="353434.14"/>
    <n v="212521.62"/>
  </r>
  <r>
    <x v="5"/>
    <s v="Democratic Republic of the Congo"/>
    <s v="Snacks"/>
    <s v="Offline"/>
    <s v="M"/>
    <d v="2015-05-08T00:00:00"/>
    <n v="585089194"/>
    <s v="8/30/2015"/>
    <n v="9749"/>
    <n v="152.58000000000001"/>
    <n v="97.44"/>
    <n v="1487502.42"/>
    <n v="949942.56"/>
    <n v="537559.86"/>
  </r>
  <r>
    <x v="3"/>
    <s v="Egypt"/>
    <s v="Snacks"/>
    <s v="Online"/>
    <s v="C"/>
    <s v="10/20/2011"/>
    <n v="653197991"/>
    <s v="10/22/2011"/>
    <n v="4656"/>
    <n v="152.58000000000001"/>
    <n v="97.44"/>
    <n v="710412.48"/>
    <n v="453680.64000000001"/>
    <n v="256731.84"/>
  </r>
  <r>
    <x v="5"/>
    <s v="Djibouti"/>
    <s v="Cereal"/>
    <s v="Online"/>
    <s v="C"/>
    <d v="2013-12-05T00:00:00"/>
    <n v="851343715"/>
    <s v="5/31/2013"/>
    <n v="379"/>
    <n v="205.7"/>
    <n v="117.11"/>
    <n v="77960.3"/>
    <n v="44384.69"/>
    <n v="33575.61"/>
  </r>
  <r>
    <x v="5"/>
    <s v="South Sudan"/>
    <s v="Household"/>
    <s v="Offline"/>
    <s v="C"/>
    <s v="7/27/2011"/>
    <n v="234262692"/>
    <d v="2011-02-08T00:00:00"/>
    <n v="2391"/>
    <n v="668.27"/>
    <n v="502.54"/>
    <n v="1597833.57"/>
    <n v="1201573.1399999999"/>
    <n v="396260.43"/>
  </r>
  <r>
    <x v="1"/>
    <s v="Romania"/>
    <s v="Meat"/>
    <s v="Offline"/>
    <s v="M"/>
    <s v="2/19/2010"/>
    <n v="627003753"/>
    <s v="3/26/2010"/>
    <n v="3199"/>
    <n v="421.89"/>
    <n v="364.69"/>
    <n v="1349626.11"/>
    <n v="1166643.31"/>
    <n v="182982.8"/>
  </r>
  <r>
    <x v="3"/>
    <s v="Syria"/>
    <s v="Vegetables"/>
    <s v="Offline"/>
    <s v="C"/>
    <d v="2013-06-11T00:00:00"/>
    <n v="774928224"/>
    <s v="12/17/2013"/>
    <n v="7337"/>
    <n v="154.06"/>
    <n v="90.93"/>
    <n v="1130338.22"/>
    <n v="667153.41"/>
    <n v="463184.81"/>
  </r>
  <r>
    <x v="1"/>
    <s v="France"/>
    <s v="Fruits"/>
    <s v="Offline"/>
    <s v="C"/>
    <d v="2017-12-03T00:00:00"/>
    <n v="393709933"/>
    <s v="4/25/2017"/>
    <n v="6373"/>
    <n v="9.33"/>
    <n v="6.92"/>
    <n v="59460.09"/>
    <n v="44101.16"/>
    <n v="15358.93"/>
  </r>
  <r>
    <x v="5"/>
    <s v="Mauritius "/>
    <s v="Household"/>
    <s v="Online"/>
    <s v="C"/>
    <s v="9/20/2015"/>
    <n v="619335210"/>
    <s v="10/21/2015"/>
    <n v="3906"/>
    <n v="668.27"/>
    <n v="502.54"/>
    <n v="2610262.62"/>
    <n v="1962921.24"/>
    <n v="647341.38"/>
  </r>
  <r>
    <x v="2"/>
    <s v="Kyrgyzstan"/>
    <s v="Office Supplies"/>
    <s v="Online"/>
    <s v="M"/>
    <s v="5/27/2017"/>
    <n v="858102881"/>
    <s v="6/23/2017"/>
    <n v="566"/>
    <n v="651.21"/>
    <n v="524.96"/>
    <n v="368584.86"/>
    <n v="297127.36"/>
    <n v="71457.5"/>
  </r>
  <r>
    <x v="1"/>
    <s v="Latvia"/>
    <s v="Beverages"/>
    <s v="Offline"/>
    <s v="L"/>
    <s v="2/20/2016"/>
    <n v="136624276"/>
    <d v="2016-08-03T00:00:00"/>
    <n v="9014"/>
    <n v="47.45"/>
    <n v="31.79"/>
    <n v="427714.3"/>
    <n v="286555.06"/>
    <n v="141159.24"/>
  </r>
  <r>
    <x v="1"/>
    <s v="United Kingdom"/>
    <s v="Clothes"/>
    <s v="Online"/>
    <s v="L"/>
    <d v="2010-03-09T00:00:00"/>
    <n v="251823222"/>
    <d v="2010-01-10T00:00:00"/>
    <n v="8942"/>
    <n v="109.28"/>
    <n v="35.840000000000003"/>
    <n v="977181.76"/>
    <n v="320481.28000000003"/>
    <n v="656700.48"/>
  </r>
  <r>
    <x v="2"/>
    <s v="India"/>
    <s v="Fruits"/>
    <s v="Online"/>
    <s v="H"/>
    <s v="12/20/2015"/>
    <n v="820936048"/>
    <d v="2016-08-02T00:00:00"/>
    <n v="2074"/>
    <n v="9.33"/>
    <n v="6.92"/>
    <n v="19350.419999999998"/>
    <n v="14352.08"/>
    <n v="4998.34"/>
  </r>
  <r>
    <x v="5"/>
    <s v="Zambia"/>
    <s v="Snacks"/>
    <s v="Online"/>
    <s v="M"/>
    <s v="12/17/2013"/>
    <n v="631511580"/>
    <s v="12/23/2013"/>
    <n v="7165"/>
    <n v="152.58000000000001"/>
    <n v="97.44"/>
    <n v="1093235.7"/>
    <n v="698157.6"/>
    <n v="395078.1"/>
  </r>
  <r>
    <x v="2"/>
    <s v="India"/>
    <s v="Household"/>
    <s v="Online"/>
    <s v="C"/>
    <s v="5/20/2010"/>
    <n v="791411149"/>
    <s v="6/30/2010"/>
    <n v="5001"/>
    <n v="668.27"/>
    <n v="502.54"/>
    <n v="3342018.27"/>
    <n v="2513202.54"/>
    <n v="828815.73"/>
  </r>
  <r>
    <x v="0"/>
    <s v="Saint Vincent and the Grenadines"/>
    <s v="Beverages"/>
    <s v="Online"/>
    <s v="M"/>
    <s v="10/24/2015"/>
    <n v="678808581"/>
    <s v="11/24/2015"/>
    <n v="3399"/>
    <n v="47.45"/>
    <n v="31.79"/>
    <n v="161282.54999999999"/>
    <n v="108054.21"/>
    <n v="53228.34"/>
  </r>
  <r>
    <x v="4"/>
    <s v="Fiji"/>
    <s v="Household"/>
    <s v="Online"/>
    <s v="C"/>
    <d v="2011-08-08T00:00:00"/>
    <n v="192190206"/>
    <s v="8/26/2011"/>
    <n v="2208"/>
    <n v="668.27"/>
    <n v="502.54"/>
    <n v="1475540.16"/>
    <n v="1109608.32"/>
    <n v="365931.84"/>
  </r>
  <r>
    <x v="1"/>
    <s v="Macedonia"/>
    <s v="Baby Food"/>
    <s v="Offline"/>
    <s v="H"/>
    <d v="2014-01-04T00:00:00"/>
    <n v="200354850"/>
    <d v="2014-04-05T00:00:00"/>
    <n v="8307"/>
    <n v="255.28"/>
    <n v="159.41999999999999"/>
    <n v="2120610.96"/>
    <n v="1324301.94"/>
    <n v="796309.02"/>
  </r>
  <r>
    <x v="6"/>
    <s v="United States of America"/>
    <s v="Clothes"/>
    <s v="Offline"/>
    <s v="H"/>
    <d v="2011-07-01T00:00:00"/>
    <n v="292413842"/>
    <s v="1/26/2011"/>
    <n v="609"/>
    <n v="109.28"/>
    <n v="35.840000000000003"/>
    <n v="66551.520000000004"/>
    <n v="21826.560000000001"/>
    <n v="44724.959999999999"/>
  </r>
  <r>
    <x v="2"/>
    <s v="Vietnam"/>
    <s v="Beverages"/>
    <s v="Offline"/>
    <s v="C"/>
    <d v="2016-01-10T00:00:00"/>
    <n v="127791011"/>
    <d v="2016-09-10T00:00:00"/>
    <n v="5055"/>
    <n v="47.45"/>
    <n v="31.79"/>
    <n v="239859.75"/>
    <n v="160698.45000000001"/>
    <n v="79161.3"/>
  </r>
  <r>
    <x v="4"/>
    <s v="Australia"/>
    <s v="Cereal"/>
    <s v="Online"/>
    <s v="L"/>
    <s v="1/22/2017"/>
    <n v="786222684"/>
    <d v="2017-09-03T00:00:00"/>
    <n v="9619"/>
    <n v="205.7"/>
    <n v="117.11"/>
    <n v="1978628.3"/>
    <n v="1126481.0900000001"/>
    <n v="852147.21"/>
  </r>
  <r>
    <x v="4"/>
    <s v="Tuvalu"/>
    <s v="Cosmetics"/>
    <s v="Online"/>
    <s v="C"/>
    <s v="7/21/2017"/>
    <n v="717757689"/>
    <d v="2017-04-08T00:00:00"/>
    <n v="9305"/>
    <n v="437.2"/>
    <n v="263.33"/>
    <n v="4068146"/>
    <n v="2450285.65"/>
    <n v="1617860.35"/>
  </r>
  <r>
    <x v="1"/>
    <s v="Germany"/>
    <s v="Meat"/>
    <s v="Offline"/>
    <s v="H"/>
    <d v="2017-02-05T00:00:00"/>
    <n v="692757356"/>
    <d v="2017-12-05T00:00:00"/>
    <n v="1151"/>
    <n v="421.89"/>
    <n v="364.69"/>
    <n v="485595.39"/>
    <n v="419758.19"/>
    <n v="65837.2"/>
  </r>
  <r>
    <x v="1"/>
    <s v="Liechtenstein"/>
    <s v="Baby Food"/>
    <s v="Offline"/>
    <s v="L"/>
    <d v="2012-12-10T00:00:00"/>
    <n v="651895511"/>
    <d v="2012-01-11T00:00:00"/>
    <n v="9223"/>
    <n v="255.28"/>
    <n v="159.41999999999999"/>
    <n v="2354447.44"/>
    <n v="1470330.66"/>
    <n v="884116.78"/>
  </r>
  <r>
    <x v="1"/>
    <s v="Lithuania"/>
    <s v="Clothes"/>
    <s v="Offline"/>
    <s v="C"/>
    <s v="6/26/2016"/>
    <n v="156158483"/>
    <d v="2016-05-08T00:00:00"/>
    <n v="9620"/>
    <n v="109.28"/>
    <n v="35.840000000000003"/>
    <n v="1051273.6000000001"/>
    <n v="344780.79999999999"/>
    <n v="706492.8"/>
  </r>
  <r>
    <x v="2"/>
    <s v="Japan"/>
    <s v="Office Supplies"/>
    <s v="Offline"/>
    <s v="L"/>
    <d v="2015-06-08T00:00:00"/>
    <n v="636845099"/>
    <s v="8/13/2015"/>
    <n v="5472"/>
    <n v="651.21"/>
    <n v="524.96"/>
    <n v="3563421.12"/>
    <n v="2872581.12"/>
    <n v="690840"/>
  </r>
  <r>
    <x v="5"/>
    <s v="Sierra Leone"/>
    <s v="Cosmetics"/>
    <s v="Offline"/>
    <s v="H"/>
    <s v="6/23/2013"/>
    <n v="445566689"/>
    <s v="7/15/2013"/>
    <n v="1940"/>
    <n v="437.2"/>
    <n v="263.33"/>
    <n v="848168"/>
    <n v="510860.2"/>
    <n v="337307.8"/>
  </r>
  <r>
    <x v="5"/>
    <s v="Nigeria"/>
    <s v="Vegetables"/>
    <s v="Offline"/>
    <s v="H"/>
    <d v="2010-07-10T00:00:00"/>
    <n v="704247081"/>
    <s v="10/29/2010"/>
    <n v="1216"/>
    <n v="154.06"/>
    <n v="90.93"/>
    <n v="187336.95999999999"/>
    <n v="110570.88"/>
    <n v="76766.080000000002"/>
  </r>
  <r>
    <x v="5"/>
    <s v="Madagascar"/>
    <s v="Beverages"/>
    <s v="Online"/>
    <s v="L"/>
    <s v="9/27/2016"/>
    <n v="355122601"/>
    <d v="2016-05-10T00:00:00"/>
    <n v="7524"/>
    <n v="47.45"/>
    <n v="31.79"/>
    <n v="357013.8"/>
    <n v="239187.96"/>
    <n v="117825.84"/>
  </r>
  <r>
    <x v="4"/>
    <s v="Papua New Guinea"/>
    <s v="Cereal"/>
    <s v="Online"/>
    <s v="M"/>
    <s v="3/29/2015"/>
    <n v="210742080"/>
    <s v="4/19/2015"/>
    <n v="2119"/>
    <n v="205.7"/>
    <n v="117.11"/>
    <n v="435878.3"/>
    <n v="248156.09"/>
    <n v="187722.21"/>
  </r>
  <r>
    <x v="1"/>
    <s v="Serbia"/>
    <s v="Snacks"/>
    <s v="Offline"/>
    <s v="C"/>
    <s v="11/18/2013"/>
    <n v="703966844"/>
    <s v="11/30/2013"/>
    <n v="8288"/>
    <n v="152.58000000000001"/>
    <n v="97.44"/>
    <n v="1264583.04"/>
    <n v="807582.71999999997"/>
    <n v="457000.32"/>
  </r>
  <r>
    <x v="5"/>
    <s v="Senegal"/>
    <s v="Cosmetics"/>
    <s v="Online"/>
    <s v="C"/>
    <s v="7/26/2017"/>
    <n v="537970721"/>
    <s v="8/18/2017"/>
    <n v="6346"/>
    <n v="437.2"/>
    <n v="263.33"/>
    <n v="2774471.2"/>
    <n v="1671092.18"/>
    <n v="1103379.02"/>
  </r>
  <r>
    <x v="1"/>
    <s v="Slovenia"/>
    <s v="Household"/>
    <s v="Offline"/>
    <s v="L"/>
    <d v="2017-11-02T00:00:00"/>
    <n v="736240041"/>
    <s v="2/20/2017"/>
    <n v="8644"/>
    <n v="668.27"/>
    <n v="502.54"/>
    <n v="5776525.8799999999"/>
    <n v="4343955.76"/>
    <n v="1432570.12"/>
  </r>
  <r>
    <x v="3"/>
    <s v="Iraq"/>
    <s v="Office Supplies"/>
    <s v="Online"/>
    <s v="H"/>
    <d v="2015-09-10T00:00:00"/>
    <n v="592573630"/>
    <s v="10/21/2015"/>
    <n v="4560"/>
    <n v="651.21"/>
    <n v="524.96"/>
    <n v="2969517.6"/>
    <n v="2393817.6"/>
    <n v="575700"/>
  </r>
  <r>
    <x v="0"/>
    <s v="Haiti"/>
    <s v="Snacks"/>
    <s v="Online"/>
    <s v="L"/>
    <d v="2010-07-04T00:00:00"/>
    <n v="821082818"/>
    <s v="5/15/2010"/>
    <n v="5507"/>
    <n v="152.58000000000001"/>
    <n v="97.44"/>
    <n v="840258.06"/>
    <n v="536602.07999999996"/>
    <n v="303655.98"/>
  </r>
  <r>
    <x v="5"/>
    <s v="Sierra Leone"/>
    <s v="Household"/>
    <s v="Offline"/>
    <s v="L"/>
    <d v="2017-01-05T00:00:00"/>
    <n v="406191432"/>
    <d v="2017-01-06T00:00:00"/>
    <n v="9926"/>
    <n v="668.27"/>
    <n v="502.54"/>
    <n v="6633248.0199999996"/>
    <n v="4988212.04"/>
    <n v="1645035.98"/>
  </r>
  <r>
    <x v="5"/>
    <s v="Uganda"/>
    <s v="Office Supplies"/>
    <s v="Online"/>
    <s v="H"/>
    <s v="11/25/2016"/>
    <n v="652635800"/>
    <s v="1/14/2017"/>
    <n v="8291"/>
    <n v="651.21"/>
    <n v="524.96"/>
    <n v="5399182.1100000003"/>
    <n v="4352443.3600000003"/>
    <n v="1046738.75"/>
  </r>
  <r>
    <x v="2"/>
    <s v="Myanmar"/>
    <s v="Meat"/>
    <s v="Offline"/>
    <s v="H"/>
    <s v="6/24/2016"/>
    <n v="235464751"/>
    <d v="2016-02-08T00:00:00"/>
    <n v="8107"/>
    <n v="421.89"/>
    <n v="364.69"/>
    <n v="3420262.23"/>
    <n v="2956541.83"/>
    <n v="463720.4"/>
  </r>
  <r>
    <x v="5"/>
    <s v="Angola"/>
    <s v="Fruits"/>
    <s v="Offline"/>
    <s v="M"/>
    <s v="1/23/2017"/>
    <n v="150039613"/>
    <s v="1/30/2017"/>
    <n v="8910"/>
    <n v="9.33"/>
    <n v="6.92"/>
    <n v="83130.3"/>
    <n v="61657.2"/>
    <n v="21473.1"/>
  </r>
  <r>
    <x v="3"/>
    <s v="Yemen"/>
    <s v="Cosmetics"/>
    <s v="Offline"/>
    <s v="M"/>
    <d v="2016-01-12T00:00:00"/>
    <n v="562034213"/>
    <d v="2016-04-12T00:00:00"/>
    <n v="7268"/>
    <n v="437.2"/>
    <n v="263.33"/>
    <n v="3177569.6"/>
    <n v="1913882.44"/>
    <n v="1263687.1599999999"/>
  </r>
  <r>
    <x v="1"/>
    <s v="Montenegro"/>
    <s v="Cosmetics"/>
    <s v="Online"/>
    <s v="C"/>
    <s v="5/22/2015"/>
    <n v="357434880"/>
    <s v="6/29/2015"/>
    <n v="1779"/>
    <n v="437.2"/>
    <n v="263.33"/>
    <n v="777778.8"/>
    <n v="468464.07"/>
    <n v="309314.73"/>
  </r>
  <r>
    <x v="2"/>
    <s v="Myanmar"/>
    <s v="Household"/>
    <s v="Offline"/>
    <s v="H"/>
    <s v="8/29/2016"/>
    <n v="292540442"/>
    <d v="2016-07-09T00:00:00"/>
    <n v="8073"/>
    <n v="668.27"/>
    <n v="502.54"/>
    <n v="5394943.71"/>
    <n v="4057005.42"/>
    <n v="1337938.29"/>
  </r>
  <r>
    <x v="2"/>
    <s v="Indonesia"/>
    <s v="Meat"/>
    <s v="Online"/>
    <s v="H"/>
    <d v="2010-05-11T00:00:00"/>
    <n v="743962228"/>
    <d v="2010-04-12T00:00:00"/>
    <n v="3811"/>
    <n v="421.89"/>
    <n v="364.69"/>
    <n v="1607822.79"/>
    <n v="1389833.59"/>
    <n v="217989.2"/>
  </r>
  <r>
    <x v="1"/>
    <s v="Russia"/>
    <s v="Clothes"/>
    <s v="Offline"/>
    <s v="H"/>
    <s v="8/15/2015"/>
    <n v="358624064"/>
    <d v="2015-03-10T00:00:00"/>
    <n v="3685"/>
    <n v="109.28"/>
    <n v="35.840000000000003"/>
    <n v="402696.8"/>
    <n v="132070.39999999999"/>
    <n v="270626.40000000002"/>
  </r>
  <r>
    <x v="1"/>
    <s v="Spain"/>
    <s v="Vegetables"/>
    <s v="Online"/>
    <s v="M"/>
    <d v="2011-12-11T00:00:00"/>
    <n v="103762280"/>
    <s v="12/14/2011"/>
    <n v="4419"/>
    <n v="154.06"/>
    <n v="90.93"/>
    <n v="680791.14"/>
    <n v="401819.67"/>
    <n v="278971.46999999997"/>
  </r>
  <r>
    <x v="0"/>
    <s v="El Salvador"/>
    <s v="Cereal"/>
    <s v="Online"/>
    <s v="H"/>
    <d v="2015-08-08T00:00:00"/>
    <n v="116925704"/>
    <d v="2015-08-09T00:00:00"/>
    <n v="9769"/>
    <n v="205.7"/>
    <n v="117.11"/>
    <n v="2009483.3"/>
    <n v="1144047.5900000001"/>
    <n v="865435.71"/>
  </r>
  <r>
    <x v="2"/>
    <s v="Uzbekistan"/>
    <s v="Household"/>
    <s v="Online"/>
    <s v="C"/>
    <s v="8/16/2013"/>
    <n v="155975663"/>
    <s v="8/26/2013"/>
    <n v="5520"/>
    <n v="668.27"/>
    <n v="502.54"/>
    <n v="3688850.4"/>
    <n v="2774020.8"/>
    <n v="914829.6"/>
  </r>
  <r>
    <x v="5"/>
    <s v="Sudan"/>
    <s v="Clothes"/>
    <s v="Online"/>
    <s v="M"/>
    <s v="9/22/2012"/>
    <n v="949085986"/>
    <s v="10/16/2012"/>
    <n v="4489"/>
    <n v="109.28"/>
    <n v="35.840000000000003"/>
    <n v="490557.92"/>
    <n v="160885.76000000001"/>
    <n v="329672.15999999997"/>
  </r>
  <r>
    <x v="1"/>
    <s v="Slovenia"/>
    <s v="Baby Food"/>
    <s v="Offline"/>
    <s v="M"/>
    <d v="2013-12-03T00:00:00"/>
    <n v="144743001"/>
    <s v="4/21/2013"/>
    <n v="1525"/>
    <n v="255.28"/>
    <n v="159.41999999999999"/>
    <n v="389302"/>
    <n v="243115.5"/>
    <n v="146186.5"/>
  </r>
  <r>
    <x v="2"/>
    <s v="Brunei"/>
    <s v="Baby Food"/>
    <s v="Online"/>
    <s v="M"/>
    <d v="2012-03-08T00:00:00"/>
    <n v="861745536"/>
    <s v="8/14/2012"/>
    <n v="8509"/>
    <n v="255.28"/>
    <n v="159.41999999999999"/>
    <n v="2172177.52"/>
    <n v="1356504.78"/>
    <n v="815672.74"/>
  </r>
  <r>
    <x v="1"/>
    <s v="Iceland"/>
    <s v="Beverages"/>
    <s v="Online"/>
    <s v="L"/>
    <d v="2017-11-02T00:00:00"/>
    <n v="439204919"/>
    <s v="2/19/2017"/>
    <n v="9350"/>
    <n v="47.45"/>
    <n v="31.79"/>
    <n v="443657.5"/>
    <n v="297236.5"/>
    <n v="146421"/>
  </r>
  <r>
    <x v="5"/>
    <s v="Zambia"/>
    <s v="Office Supplies"/>
    <s v="Offline"/>
    <s v="L"/>
    <d v="2015-06-02T00:00:00"/>
    <n v="786544978"/>
    <s v="3/15/2015"/>
    <n v="4993"/>
    <n v="651.21"/>
    <n v="524.96"/>
    <n v="3251491.53"/>
    <n v="2621125.2799999998"/>
    <n v="630366.25"/>
  </r>
  <r>
    <x v="5"/>
    <s v="Namibia"/>
    <s v="Meat"/>
    <s v="Online"/>
    <s v="C"/>
    <d v="2011-04-02T00:00:00"/>
    <n v="733502042"/>
    <s v="2/22/2011"/>
    <n v="8409"/>
    <n v="421.89"/>
    <n v="364.69"/>
    <n v="3547673.01"/>
    <n v="3066678.21"/>
    <n v="480994.8"/>
  </r>
  <r>
    <x v="5"/>
    <s v="Ethiopia"/>
    <s v="Personal Care"/>
    <s v="Online"/>
    <s v="C"/>
    <s v="6/29/2014"/>
    <n v="980124938"/>
    <d v="2014-07-07T00:00:00"/>
    <n v="9605"/>
    <n v="81.73"/>
    <n v="56.67"/>
    <n v="785016.65"/>
    <n v="544315.35"/>
    <n v="240701.3"/>
  </r>
  <r>
    <x v="3"/>
    <s v="Azerbaijan"/>
    <s v="Personal Care"/>
    <s v="Online"/>
    <s v="M"/>
    <d v="2013-12-01T00:00:00"/>
    <n v="946774995"/>
    <s v="2/13/2013"/>
    <n v="615"/>
    <n v="81.73"/>
    <n v="56.67"/>
    <n v="50263.95"/>
    <n v="34852.050000000003"/>
    <n v="15411.9"/>
  </r>
  <r>
    <x v="4"/>
    <s v="Nauru"/>
    <s v="Clothes"/>
    <s v="Offline"/>
    <s v="H"/>
    <s v="6/17/2014"/>
    <n v="124126040"/>
    <d v="2014-02-08T00:00:00"/>
    <n v="509"/>
    <n v="109.28"/>
    <n v="35.840000000000003"/>
    <n v="55623.519999999997"/>
    <n v="18242.560000000001"/>
    <n v="37380.959999999999"/>
  </r>
  <r>
    <x v="5"/>
    <s v="Zambia"/>
    <s v="Beverages"/>
    <s v="Online"/>
    <s v="H"/>
    <d v="2012-05-06T00:00:00"/>
    <n v="323164403"/>
    <s v="6/30/2012"/>
    <n v="383"/>
    <n v="47.45"/>
    <n v="31.79"/>
    <n v="18173.349999999999"/>
    <n v="12175.57"/>
    <n v="5997.78"/>
  </r>
  <r>
    <x v="3"/>
    <s v="Lebanon"/>
    <s v="Cereal"/>
    <s v="Online"/>
    <s v="L"/>
    <d v="2013-08-01T00:00:00"/>
    <n v="725188910"/>
    <d v="2013-08-02T00:00:00"/>
    <n v="8369"/>
    <n v="205.7"/>
    <n v="117.11"/>
    <n v="1721503.3"/>
    <n v="980093.59"/>
    <n v="741409.71"/>
  </r>
  <r>
    <x v="5"/>
    <s v="Swaziland"/>
    <s v="Beverages"/>
    <s v="Online"/>
    <s v="M"/>
    <s v="10/26/2015"/>
    <n v="131810891"/>
    <d v="2015-03-12T00:00:00"/>
    <n v="4627"/>
    <n v="47.45"/>
    <n v="31.79"/>
    <n v="219551.15"/>
    <n v="147092.32999999999"/>
    <n v="72458.820000000007"/>
  </r>
  <r>
    <x v="1"/>
    <s v="Malta"/>
    <s v="Fruits"/>
    <s v="Offline"/>
    <s v="C"/>
    <d v="2010-03-02T00:00:00"/>
    <n v="114954173"/>
    <d v="2010-11-02T00:00:00"/>
    <n v="6349"/>
    <n v="9.33"/>
    <n v="6.92"/>
    <n v="59236.17"/>
    <n v="43935.08"/>
    <n v="15301.09"/>
  </r>
  <r>
    <x v="3"/>
    <s v="Afghanistan"/>
    <s v="Personal Care"/>
    <s v="Online"/>
    <s v="C"/>
    <s v="6/26/2016"/>
    <n v="966855084"/>
    <s v="7/16/2016"/>
    <n v="2760"/>
    <n v="81.73"/>
    <n v="56.67"/>
    <n v="225574.8"/>
    <n v="156409.20000000001"/>
    <n v="69165.600000000006"/>
  </r>
  <r>
    <x v="5"/>
    <s v="Liberia"/>
    <s v="Clothes"/>
    <s v="Offline"/>
    <s v="L"/>
    <s v="1/17/2015"/>
    <n v="350062453"/>
    <s v="2/22/2015"/>
    <n v="114"/>
    <n v="109.28"/>
    <n v="35.840000000000003"/>
    <n v="12457.92"/>
    <n v="4085.76"/>
    <n v="8372.16"/>
  </r>
  <r>
    <x v="4"/>
    <s v="Solomon Islands"/>
    <s v="Baby Food"/>
    <s v="Online"/>
    <s v="L"/>
    <d v="2017-08-03T00:00:00"/>
    <n v="947437608"/>
    <d v="2017-12-04T00:00:00"/>
    <n v="6697"/>
    <n v="255.28"/>
    <n v="159.41999999999999"/>
    <n v="1709610.16"/>
    <n v="1067635.74"/>
    <n v="641974.42000000004"/>
  </r>
  <r>
    <x v="5"/>
    <s v="Cote d'Ivoire"/>
    <s v="Beverages"/>
    <s v="Online"/>
    <s v="C"/>
    <d v="2016-08-06T00:00:00"/>
    <n v="112154376"/>
    <d v="2016-11-07T00:00:00"/>
    <n v="7827"/>
    <n v="47.45"/>
    <n v="31.79"/>
    <n v="371391.15"/>
    <n v="248820.33"/>
    <n v="122570.82"/>
  </r>
  <r>
    <x v="4"/>
    <s v="Kiribati"/>
    <s v="Household"/>
    <s v="Offline"/>
    <s v="M"/>
    <s v="12/25/2014"/>
    <n v="217699086"/>
    <d v="2015-02-01T00:00:00"/>
    <n v="852"/>
    <n v="668.27"/>
    <n v="502.54"/>
    <n v="569366.04"/>
    <n v="428164.08"/>
    <n v="141201.96"/>
  </r>
  <r>
    <x v="5"/>
    <s v="Zambia"/>
    <s v="Clothes"/>
    <s v="Offline"/>
    <s v="C"/>
    <d v="2012-11-04T00:00:00"/>
    <n v="107870566"/>
    <d v="2012-12-05T00:00:00"/>
    <n v="153"/>
    <n v="109.28"/>
    <n v="35.840000000000003"/>
    <n v="16719.84"/>
    <n v="5483.52"/>
    <n v="11236.32"/>
  </r>
  <r>
    <x v="5"/>
    <s v="Namibia"/>
    <s v="Cereal"/>
    <s v="Online"/>
    <s v="C"/>
    <d v="2016-02-06T00:00:00"/>
    <n v="946780145"/>
    <d v="2016-02-07T00:00:00"/>
    <n v="2139"/>
    <n v="205.7"/>
    <n v="117.11"/>
    <n v="439992.3"/>
    <n v="250498.29"/>
    <n v="189494.01"/>
  </r>
  <r>
    <x v="3"/>
    <s v="Yemen"/>
    <s v="Cereal"/>
    <s v="Online"/>
    <s v="H"/>
    <s v="1/22/2010"/>
    <n v="368851649"/>
    <s v="2/17/2010"/>
    <n v="255"/>
    <n v="205.7"/>
    <n v="117.11"/>
    <n v="52453.5"/>
    <n v="29863.05"/>
    <n v="22590.45"/>
  </r>
  <r>
    <x v="5"/>
    <s v="Cape Verde"/>
    <s v="Office Supplies"/>
    <s v="Online"/>
    <s v="L"/>
    <s v="10/13/2014"/>
    <n v="128821408"/>
    <s v="10/13/2014"/>
    <n v="9972"/>
    <n v="651.21"/>
    <n v="524.96"/>
    <n v="6493866.1200000001"/>
    <n v="5234901.12"/>
    <n v="1258965"/>
  </r>
  <r>
    <x v="4"/>
    <s v="Samoa "/>
    <s v="Vegetables"/>
    <s v="Offline"/>
    <s v="L"/>
    <d v="2011-02-08T00:00:00"/>
    <n v="251738250"/>
    <s v="8/26/2011"/>
    <n v="3797"/>
    <n v="154.06"/>
    <n v="90.93"/>
    <n v="584965.81999999995"/>
    <n v="345261.21"/>
    <n v="239704.61"/>
  </r>
  <r>
    <x v="5"/>
    <s v="Rwanda"/>
    <s v="Meat"/>
    <s v="Online"/>
    <s v="M"/>
    <s v="10/26/2012"/>
    <n v="382963502"/>
    <s v="11/27/2012"/>
    <n v="6265"/>
    <n v="421.89"/>
    <n v="364.69"/>
    <n v="2643140.85"/>
    <n v="2284782.85"/>
    <n v="358358"/>
  </r>
  <r>
    <x v="1"/>
    <s v="Norway"/>
    <s v="Beverages"/>
    <s v="Offline"/>
    <s v="L"/>
    <s v="12/22/2012"/>
    <n v="238170993"/>
    <d v="2013-07-02T00:00:00"/>
    <n v="8944"/>
    <n v="47.45"/>
    <n v="31.79"/>
    <n v="424392.8"/>
    <n v="284329.76"/>
    <n v="140063.04000000001"/>
  </r>
  <r>
    <x v="5"/>
    <s v="Mozambique"/>
    <s v="Baby Food"/>
    <s v="Offline"/>
    <s v="M"/>
    <d v="2015-06-03T00:00:00"/>
    <n v="953347051"/>
    <d v="2015-08-03T00:00:00"/>
    <n v="5433"/>
    <n v="255.28"/>
    <n v="159.41999999999999"/>
    <n v="1386936.24"/>
    <n v="866128.86"/>
    <n v="520807.38"/>
  </r>
  <r>
    <x v="1"/>
    <s v="Italy"/>
    <s v="Clothes"/>
    <s v="Online"/>
    <s v="M"/>
    <d v="2012-02-04T00:00:00"/>
    <n v="134790503"/>
    <s v="4/26/2012"/>
    <n v="6360"/>
    <n v="109.28"/>
    <n v="35.840000000000003"/>
    <n v="695020.8"/>
    <n v="227942.39999999999"/>
    <n v="467078.40000000002"/>
  </r>
  <r>
    <x v="1"/>
    <s v="Montenegro"/>
    <s v="Vegetables"/>
    <s v="Online"/>
    <s v="H"/>
    <s v="3/30/2013"/>
    <n v="409112679"/>
    <s v="5/18/2013"/>
    <n v="4388"/>
    <n v="154.06"/>
    <n v="90.93"/>
    <n v="676015.28"/>
    <n v="399000.84"/>
    <n v="277014.44"/>
  </r>
  <r>
    <x v="5"/>
    <s v="Cameroon"/>
    <s v="Personal Care"/>
    <s v="Offline"/>
    <s v="L"/>
    <s v="11/24/2016"/>
    <n v="873237407"/>
    <s v="11/25/2016"/>
    <n v="9209"/>
    <n v="81.73"/>
    <n v="56.67"/>
    <n v="752651.57"/>
    <n v="521874.03"/>
    <n v="230777.54"/>
  </r>
  <r>
    <x v="5"/>
    <s v="Djibouti"/>
    <s v="Household"/>
    <s v="Offline"/>
    <s v="C"/>
    <s v="6/15/2015"/>
    <n v="244401013"/>
    <d v="2015-07-07T00:00:00"/>
    <n v="2546"/>
    <n v="668.27"/>
    <n v="502.54"/>
    <n v="1701415.42"/>
    <n v="1279466.8400000001"/>
    <n v="421948.58"/>
  </r>
  <r>
    <x v="6"/>
    <s v="United States of America"/>
    <s v="Cereal"/>
    <s v="Online"/>
    <s v="C"/>
    <s v="7/28/2013"/>
    <n v="910152328"/>
    <d v="2013-03-09T00:00:00"/>
    <n v="3154"/>
    <n v="205.7"/>
    <n v="117.11"/>
    <n v="648777.80000000005"/>
    <n v="369364.94"/>
    <n v="279412.86"/>
  </r>
  <r>
    <x v="2"/>
    <s v="Brunei"/>
    <s v="Beverages"/>
    <s v="Online"/>
    <s v="H"/>
    <s v="12/25/2016"/>
    <n v="378352677"/>
    <s v="1/30/2017"/>
    <n v="1820"/>
    <n v="47.45"/>
    <n v="31.79"/>
    <n v="86359"/>
    <n v="57857.8"/>
    <n v="28501.200000000001"/>
  </r>
  <r>
    <x v="1"/>
    <s v="Italy"/>
    <s v="Meat"/>
    <s v="Offline"/>
    <s v="H"/>
    <s v="7/19/2013"/>
    <n v="727175891"/>
    <d v="2013-07-09T00:00:00"/>
    <n v="6360"/>
    <n v="421.89"/>
    <n v="364.69"/>
    <n v="2683220.4"/>
    <n v="2319428.4"/>
    <n v="363792"/>
  </r>
  <r>
    <x v="5"/>
    <s v="Mozambique"/>
    <s v="Household"/>
    <s v="Offline"/>
    <s v="M"/>
    <s v="11/27/2014"/>
    <n v="955108296"/>
    <s v="12/14/2014"/>
    <n v="6624"/>
    <n v="668.27"/>
    <n v="502.54"/>
    <n v="4426620.4800000004"/>
    <n v="3328824.96"/>
    <n v="1097795.52"/>
  </r>
  <r>
    <x v="5"/>
    <s v="South Africa"/>
    <s v="Clothes"/>
    <s v="Offline"/>
    <s v="L"/>
    <d v="2014-02-11T00:00:00"/>
    <n v="130948722"/>
    <s v="11/23/2014"/>
    <n v="9492"/>
    <n v="109.28"/>
    <n v="35.840000000000003"/>
    <n v="1037285.76"/>
    <n v="340193.28000000003"/>
    <n v="697092.48"/>
  </r>
  <r>
    <x v="4"/>
    <s v="Papua New Guinea"/>
    <s v="Office Supplies"/>
    <s v="Online"/>
    <s v="M"/>
    <d v="2015-03-10T00:00:00"/>
    <n v="543808495"/>
    <d v="2015-07-10T00:00:00"/>
    <n v="3873"/>
    <n v="651.21"/>
    <n v="524.96"/>
    <n v="2522136.33"/>
    <n v="2033170.08"/>
    <n v="488966.25"/>
  </r>
  <r>
    <x v="4"/>
    <s v="Marshall Islands"/>
    <s v="Household"/>
    <s v="Offline"/>
    <s v="H"/>
    <d v="2017-10-05T00:00:00"/>
    <n v="953111445"/>
    <s v="6/27/2017"/>
    <n v="5712"/>
    <n v="668.27"/>
    <n v="502.54"/>
    <n v="3817158.24"/>
    <n v="2870508.48"/>
    <n v="946649.76"/>
  </r>
  <r>
    <x v="1"/>
    <s v="Sweden"/>
    <s v="Cosmetics"/>
    <s v="Online"/>
    <s v="L"/>
    <s v="10/26/2012"/>
    <n v="638593900"/>
    <d v="2012-12-12T00:00:00"/>
    <n v="2981"/>
    <n v="437.2"/>
    <n v="263.33"/>
    <n v="1303293.2"/>
    <n v="784986.73"/>
    <n v="518306.47"/>
  </r>
  <r>
    <x v="5"/>
    <s v="Ghana"/>
    <s v="Snacks"/>
    <s v="Online"/>
    <s v="C"/>
    <d v="2015-02-05T00:00:00"/>
    <n v="750304687"/>
    <d v="2015-07-06T00:00:00"/>
    <n v="685"/>
    <n v="152.58000000000001"/>
    <n v="97.44"/>
    <n v="104517.3"/>
    <n v="66746.399999999994"/>
    <n v="37770.9"/>
  </r>
  <r>
    <x v="5"/>
    <s v="Cote d'Ivoire"/>
    <s v="Baby Food"/>
    <s v="Online"/>
    <s v="H"/>
    <d v="2016-03-06T00:00:00"/>
    <n v="258605134"/>
    <d v="2016-12-06T00:00:00"/>
    <n v="5861"/>
    <n v="255.28"/>
    <n v="159.41999999999999"/>
    <n v="1496196.08"/>
    <n v="934360.62"/>
    <n v="561835.46"/>
  </r>
  <r>
    <x v="5"/>
    <s v="Guinea"/>
    <s v="Office Supplies"/>
    <s v="Offline"/>
    <s v="M"/>
    <s v="6/20/2012"/>
    <n v="904169070"/>
    <s v="6/24/2012"/>
    <n v="2575"/>
    <n v="651.21"/>
    <n v="524.96"/>
    <n v="1676865.75"/>
    <n v="1351772"/>
    <n v="325093.75"/>
  </r>
  <r>
    <x v="3"/>
    <s v="Iraq"/>
    <s v="Office Supplies"/>
    <s v="Offline"/>
    <s v="L"/>
    <s v="1/23/2016"/>
    <n v="447982823"/>
    <d v="2016-10-02T00:00:00"/>
    <n v="6927"/>
    <n v="651.21"/>
    <n v="524.96"/>
    <n v="4510931.67"/>
    <n v="3636397.92"/>
    <n v="874533.75"/>
  </r>
  <r>
    <x v="0"/>
    <s v="Nicaragua"/>
    <s v="Meat"/>
    <s v="Offline"/>
    <s v="M"/>
    <d v="2014-09-05T00:00:00"/>
    <n v="321345221"/>
    <s v="6/15/2014"/>
    <n v="2047"/>
    <n v="421.89"/>
    <n v="364.69"/>
    <n v="863608.83"/>
    <n v="746520.43"/>
    <n v="117088.4"/>
  </r>
  <r>
    <x v="5"/>
    <s v="Burkina Faso"/>
    <s v="Beverages"/>
    <s v="Online"/>
    <s v="H"/>
    <s v="9/13/2010"/>
    <n v="675867593"/>
    <s v="9/23/2010"/>
    <n v="3095"/>
    <n v="47.45"/>
    <n v="31.79"/>
    <n v="146857.75"/>
    <n v="98390.05"/>
    <n v="48467.7"/>
  </r>
  <r>
    <x v="1"/>
    <s v="Albania"/>
    <s v="Beverages"/>
    <s v="Offline"/>
    <s v="H"/>
    <s v="4/28/2013"/>
    <n v="833473765"/>
    <s v="5/25/2013"/>
    <n v="2264"/>
    <n v="47.45"/>
    <n v="31.79"/>
    <n v="107426.8"/>
    <n v="71972.56"/>
    <n v="35454.239999999998"/>
  </r>
  <r>
    <x v="3"/>
    <s v="United Arab Emirates"/>
    <s v="Household"/>
    <s v="Online"/>
    <s v="L"/>
    <d v="2016-06-05T00:00:00"/>
    <n v="636400067"/>
    <s v="6/13/2016"/>
    <n v="3777"/>
    <n v="668.27"/>
    <n v="502.54"/>
    <n v="2524055.79"/>
    <n v="1898093.58"/>
    <n v="625962.21"/>
  </r>
  <r>
    <x v="5"/>
    <s v="South Africa"/>
    <s v="Cosmetics"/>
    <s v="Offline"/>
    <s v="L"/>
    <d v="2011-09-03T00:00:00"/>
    <n v="897195327"/>
    <d v="2011-11-04T00:00:00"/>
    <n v="8890"/>
    <n v="437.2"/>
    <n v="263.33"/>
    <n v="3886708"/>
    <n v="2341003.7000000002"/>
    <n v="1545704.3"/>
  </r>
  <r>
    <x v="3"/>
    <s v="Saudi Arabia"/>
    <s v="Office Supplies"/>
    <s v="Online"/>
    <s v="M"/>
    <d v="2013-10-01T00:00:00"/>
    <n v="248720872"/>
    <s v="1/24/2013"/>
    <n v="888"/>
    <n v="651.21"/>
    <n v="524.96"/>
    <n v="578274.48"/>
    <n v="466164.47999999998"/>
    <n v="112110"/>
  </r>
  <r>
    <x v="5"/>
    <s v="Seychelles "/>
    <s v="Meat"/>
    <s v="Online"/>
    <s v="L"/>
    <s v="8/20/2011"/>
    <n v="994150531"/>
    <s v="9/13/2011"/>
    <n v="89"/>
    <n v="421.89"/>
    <n v="364.69"/>
    <n v="37548.21"/>
    <n v="32457.41"/>
    <n v="5090.8"/>
  </r>
  <r>
    <x v="3"/>
    <s v="Afghanistan"/>
    <s v="Baby Food"/>
    <s v="Offline"/>
    <s v="L"/>
    <s v="12/18/2012"/>
    <n v="556970632"/>
    <d v="2013-02-01T00:00:00"/>
    <n v="8842"/>
    <n v="255.28"/>
    <n v="159.41999999999999"/>
    <n v="2257185.7599999998"/>
    <n v="1409591.64"/>
    <n v="847594.12"/>
  </r>
  <r>
    <x v="5"/>
    <s v="Uganda"/>
    <s v="Beverages"/>
    <s v="Offline"/>
    <s v="M"/>
    <d v="2012-09-09T00:00:00"/>
    <n v="930980002"/>
    <d v="2012-11-10T00:00:00"/>
    <n v="6526"/>
    <n v="47.45"/>
    <n v="31.79"/>
    <n v="309658.7"/>
    <n v="207461.54"/>
    <n v="102197.16"/>
  </r>
  <r>
    <x v="5"/>
    <s v="Mali"/>
    <s v="Clothes"/>
    <s v="Online"/>
    <s v="M"/>
    <s v="2/14/2015"/>
    <n v="130289971"/>
    <s v="3/16/2015"/>
    <n v="4553"/>
    <n v="109.28"/>
    <n v="35.840000000000003"/>
    <n v="497551.84"/>
    <n v="163179.51999999999"/>
    <n v="334372.32"/>
  </r>
  <r>
    <x v="4"/>
    <s v="Fiji"/>
    <s v="Fruits"/>
    <s v="Online"/>
    <s v="M"/>
    <d v="2014-08-04T00:00:00"/>
    <n v="739324367"/>
    <d v="2014-10-04T00:00:00"/>
    <n v="1364"/>
    <n v="9.33"/>
    <n v="6.92"/>
    <n v="12726.12"/>
    <n v="9438.8799999999992"/>
    <n v="3287.24"/>
  </r>
  <r>
    <x v="3"/>
    <s v="Turkey"/>
    <s v="Clothes"/>
    <s v="Online"/>
    <s v="M"/>
    <d v="2012-12-10T00:00:00"/>
    <n v="462819516"/>
    <s v="10/20/2012"/>
    <n v="7435"/>
    <n v="109.28"/>
    <n v="35.840000000000003"/>
    <n v="812496.8"/>
    <n v="266470.40000000002"/>
    <n v="546026.4"/>
  </r>
  <r>
    <x v="2"/>
    <s v="Thailand"/>
    <s v="Baby Food"/>
    <s v="Online"/>
    <s v="C"/>
    <d v="2010-04-08T00:00:00"/>
    <n v="675824248"/>
    <s v="9/15/2010"/>
    <n v="268"/>
    <n v="255.28"/>
    <n v="159.41999999999999"/>
    <n v="68415.039999999994"/>
    <n v="42724.56"/>
    <n v="25690.48"/>
  </r>
  <r>
    <x v="5"/>
    <s v="Madagascar"/>
    <s v="Baby Food"/>
    <s v="Offline"/>
    <s v="L"/>
    <d v="2016-08-04T00:00:00"/>
    <n v="573699891"/>
    <s v="4/21/2016"/>
    <n v="9402"/>
    <n v="255.28"/>
    <n v="159.41999999999999"/>
    <n v="2400142.56"/>
    <n v="1498866.84"/>
    <n v="901275.72"/>
  </r>
  <r>
    <x v="5"/>
    <s v="Uganda"/>
    <s v="Office Supplies"/>
    <s v="Offline"/>
    <s v="C"/>
    <d v="2012-08-12T00:00:00"/>
    <n v="322120273"/>
    <s v="12/28/2012"/>
    <n v="1402"/>
    <n v="651.21"/>
    <n v="524.96"/>
    <n v="912996.42"/>
    <n v="735993.92"/>
    <n v="177002.5"/>
  </r>
  <r>
    <x v="4"/>
    <s v="Solomon Islands"/>
    <s v="Cosmetics"/>
    <s v="Online"/>
    <s v="H"/>
    <s v="1/31/2015"/>
    <n v="607071721"/>
    <s v="2/23/2015"/>
    <n v="4868"/>
    <n v="437.2"/>
    <n v="263.33"/>
    <n v="2128289.6"/>
    <n v="1281890.44"/>
    <n v="846399.16"/>
  </r>
  <r>
    <x v="4"/>
    <s v="Marshall Islands"/>
    <s v="Personal Care"/>
    <s v="Online"/>
    <s v="L"/>
    <d v="2011-01-10T00:00:00"/>
    <n v="384853065"/>
    <s v="10/21/2011"/>
    <n v="5429"/>
    <n v="81.73"/>
    <n v="56.67"/>
    <n v="443712.17"/>
    <n v="307661.43"/>
    <n v="136050.74"/>
  </r>
  <r>
    <x v="0"/>
    <s v="Guatemala"/>
    <s v="Personal Care"/>
    <s v="Offline"/>
    <s v="M"/>
    <d v="2015-05-10T00:00:00"/>
    <n v="932075631"/>
    <s v="10/29/2015"/>
    <n v="747"/>
    <n v="81.73"/>
    <n v="56.67"/>
    <n v="61052.31"/>
    <n v="42332.49"/>
    <n v="18719.82"/>
  </r>
  <r>
    <x v="3"/>
    <s v="Iran"/>
    <s v="Fruits"/>
    <s v="Online"/>
    <s v="H"/>
    <d v="2014-05-07T00:00:00"/>
    <n v="895663249"/>
    <d v="2014-10-08T00:00:00"/>
    <n v="5514"/>
    <n v="9.33"/>
    <n v="6.92"/>
    <n v="51445.62"/>
    <n v="38156.879999999997"/>
    <n v="13288.74"/>
  </r>
  <r>
    <x v="5"/>
    <s v="Djibouti"/>
    <s v="Vegetables"/>
    <s v="Offline"/>
    <s v="C"/>
    <d v="2011-03-08T00:00:00"/>
    <n v="342852246"/>
    <s v="8/22/2011"/>
    <n v="6453"/>
    <n v="154.06"/>
    <n v="90.93"/>
    <n v="994149.18"/>
    <n v="586771.29"/>
    <n v="407377.89"/>
  </r>
  <r>
    <x v="5"/>
    <s v="Guinea"/>
    <s v="Beverages"/>
    <s v="Online"/>
    <s v="M"/>
    <s v="6/14/2015"/>
    <n v="311191451"/>
    <d v="2015-09-07T00:00:00"/>
    <n v="7321"/>
    <n v="47.45"/>
    <n v="31.79"/>
    <n v="347381.45"/>
    <n v="232734.59"/>
    <n v="114646.86"/>
  </r>
  <r>
    <x v="0"/>
    <s v="Saint Vincent and the Grenadines"/>
    <s v="Meat"/>
    <s v="Online"/>
    <s v="L"/>
    <s v="11/20/2012"/>
    <n v="558542191"/>
    <d v="2012-09-12T00:00:00"/>
    <n v="3901"/>
    <n v="421.89"/>
    <n v="364.69"/>
    <n v="1645792.89"/>
    <n v="1422655.69"/>
    <n v="223137.2"/>
  </r>
  <r>
    <x v="3"/>
    <s v="Algeria"/>
    <s v="Beverages"/>
    <s v="Offline"/>
    <s v="C"/>
    <d v="2010-12-09T00:00:00"/>
    <n v="913078296"/>
    <s v="9/18/2010"/>
    <n v="9013"/>
    <n v="47.45"/>
    <n v="31.79"/>
    <n v="427666.85"/>
    <n v="286523.27"/>
    <n v="141143.57999999999"/>
  </r>
  <r>
    <x v="4"/>
    <s v="Australia"/>
    <s v="Household"/>
    <s v="Online"/>
    <s v="L"/>
    <s v="9/25/2016"/>
    <n v="823286092"/>
    <s v="9/27/2016"/>
    <n v="7505"/>
    <n v="668.27"/>
    <n v="502.54"/>
    <n v="5015366.3499999996"/>
    <n v="3771562.7"/>
    <n v="1243803.6499999999"/>
  </r>
  <r>
    <x v="2"/>
    <s v="Bangladesh"/>
    <s v="Fruits"/>
    <s v="Online"/>
    <s v="L"/>
    <d v="2013-01-06T00:00:00"/>
    <n v="707964408"/>
    <s v="6/14/2013"/>
    <n v="1256"/>
    <n v="9.33"/>
    <n v="6.92"/>
    <n v="11718.48"/>
    <n v="8691.52"/>
    <n v="3026.96"/>
  </r>
  <r>
    <x v="1"/>
    <s v="Denmark"/>
    <s v="Cosmetics"/>
    <s v="Offline"/>
    <s v="M"/>
    <d v="2014-08-07T00:00:00"/>
    <n v="606224572"/>
    <s v="7/15/2014"/>
    <n v="4177"/>
    <n v="437.2"/>
    <n v="263.33"/>
    <n v="1826184.4"/>
    <n v="1099929.4099999999"/>
    <n v="726254.99"/>
  </r>
  <r>
    <x v="3"/>
    <s v="Somalia"/>
    <s v="Clothes"/>
    <s v="Offline"/>
    <s v="M"/>
    <d v="2015-10-12T00:00:00"/>
    <n v="627490413"/>
    <s v="1/19/2016"/>
    <n v="7212"/>
    <n v="109.28"/>
    <n v="35.840000000000003"/>
    <n v="788127.36"/>
    <n v="258478.07999999999"/>
    <n v="529649.28"/>
  </r>
  <r>
    <x v="4"/>
    <s v="Marshall Islands"/>
    <s v="Cosmetics"/>
    <s v="Online"/>
    <s v="L"/>
    <s v="8/31/2014"/>
    <n v="501498258"/>
    <d v="2014-03-10T00:00:00"/>
    <n v="3334"/>
    <n v="437.2"/>
    <n v="263.33"/>
    <n v="1457624.8"/>
    <n v="877942.22"/>
    <n v="579682.57999999996"/>
  </r>
  <r>
    <x v="2"/>
    <s v="North Korea"/>
    <s v="Snacks"/>
    <s v="Offline"/>
    <s v="M"/>
    <d v="2012-04-07T00:00:00"/>
    <n v="928296935"/>
    <s v="8/17/2012"/>
    <n v="2547"/>
    <n v="152.58000000000001"/>
    <n v="97.44"/>
    <n v="388621.26"/>
    <n v="248179.68"/>
    <n v="140441.57999999999"/>
  </r>
  <r>
    <x v="2"/>
    <s v="South Korea"/>
    <s v="Household"/>
    <s v="Online"/>
    <s v="C"/>
    <d v="2012-10-05T00:00:00"/>
    <n v="428247773"/>
    <s v="6/24/2012"/>
    <n v="6888"/>
    <n v="668.27"/>
    <n v="502.54"/>
    <n v="4603043.76"/>
    <n v="3461495.52"/>
    <n v="1141548.24"/>
  </r>
  <r>
    <x v="5"/>
    <s v="Sao Tome and Principe"/>
    <s v="Snacks"/>
    <s v="Offline"/>
    <s v="M"/>
    <s v="5/20/2014"/>
    <n v="292024600"/>
    <d v="2014-04-07T00:00:00"/>
    <n v="5423"/>
    <n v="152.58000000000001"/>
    <n v="97.44"/>
    <n v="827441.34"/>
    <n v="528417.12"/>
    <n v="299024.21999999997"/>
  </r>
  <r>
    <x v="3"/>
    <s v="Oman"/>
    <s v="Fruits"/>
    <s v="Online"/>
    <s v="L"/>
    <s v="3/28/2012"/>
    <n v="530613744"/>
    <s v="4/14/2012"/>
    <n v="9253"/>
    <n v="9.33"/>
    <n v="6.92"/>
    <n v="86330.49"/>
    <n v="64030.76"/>
    <n v="22299.73"/>
  </r>
  <r>
    <x v="1"/>
    <s v="Cyprus"/>
    <s v="Clothes"/>
    <s v="Online"/>
    <s v="H"/>
    <d v="2012-06-01T00:00:00"/>
    <n v="325314033"/>
    <s v="1/30/2012"/>
    <n v="6506"/>
    <n v="109.28"/>
    <n v="35.840000000000003"/>
    <n v="710975.68"/>
    <n v="233175.04000000001"/>
    <n v="477800.64"/>
  </r>
  <r>
    <x v="3"/>
    <s v="Qatar"/>
    <s v="Fruits"/>
    <s v="Online"/>
    <s v="C"/>
    <d v="2013-11-04T00:00:00"/>
    <n v="277736794"/>
    <s v="5/21/2013"/>
    <n v="7344"/>
    <n v="9.33"/>
    <n v="6.92"/>
    <n v="68519.520000000004"/>
    <n v="50820.480000000003"/>
    <n v="17699.04"/>
  </r>
  <r>
    <x v="1"/>
    <s v="Kosovo"/>
    <s v="Meat"/>
    <s v="Offline"/>
    <s v="M"/>
    <s v="11/19/2012"/>
    <n v="159805858"/>
    <s v="12/17/2012"/>
    <n v="8959"/>
    <n v="421.89"/>
    <n v="364.69"/>
    <n v="3779712.51"/>
    <n v="3267257.71"/>
    <n v="512454.8"/>
  </r>
  <r>
    <x v="2"/>
    <s v="Vietnam"/>
    <s v="Beverages"/>
    <s v="Online"/>
    <s v="L"/>
    <s v="4/29/2016"/>
    <n v="263757550"/>
    <d v="2016-12-05T00:00:00"/>
    <n v="575"/>
    <n v="47.45"/>
    <n v="31.79"/>
    <n v="27283.75"/>
    <n v="18279.25"/>
    <n v="9004.5"/>
  </r>
  <r>
    <x v="3"/>
    <s v="Pakistan"/>
    <s v="Office Supplies"/>
    <s v="Offline"/>
    <s v="L"/>
    <s v="3/24/2011"/>
    <n v="952140700"/>
    <d v="2011-05-04T00:00:00"/>
    <n v="8447"/>
    <n v="651.21"/>
    <n v="524.96"/>
    <n v="5500770.8700000001"/>
    <n v="4434337.12"/>
    <n v="1066433.75"/>
  </r>
  <r>
    <x v="3"/>
    <s v="United Arab Emirates"/>
    <s v="Cosmetics"/>
    <s v="Offline"/>
    <s v="L"/>
    <s v="7/25/2016"/>
    <n v="407816636"/>
    <s v="7/26/2016"/>
    <n v="860"/>
    <n v="437.2"/>
    <n v="263.33"/>
    <n v="375992"/>
    <n v="226463.8"/>
    <n v="149528.20000000001"/>
  </r>
  <r>
    <x v="3"/>
    <s v="Turkey"/>
    <s v="Snacks"/>
    <s v="Online"/>
    <s v="H"/>
    <s v="9/27/2010"/>
    <n v="483959186"/>
    <s v="11/14/2010"/>
    <n v="3133"/>
    <n v="152.58000000000001"/>
    <n v="97.44"/>
    <n v="478033.14"/>
    <n v="305279.52"/>
    <n v="172753.62"/>
  </r>
  <r>
    <x v="2"/>
    <s v="Thailand"/>
    <s v="Personal Care"/>
    <s v="Online"/>
    <s v="C"/>
    <s v="1/25/2011"/>
    <n v="854054677"/>
    <s v="2/23/2011"/>
    <n v="2613"/>
    <n v="81.73"/>
    <n v="56.67"/>
    <n v="213560.49"/>
    <n v="148078.71"/>
    <n v="65481.78"/>
  </r>
  <r>
    <x v="3"/>
    <s v="Bahrain"/>
    <s v="Snacks"/>
    <s v="Online"/>
    <s v="C"/>
    <d v="2017-03-01T00:00:00"/>
    <n v="361901938"/>
    <s v="1/18/2017"/>
    <n v="3681"/>
    <n v="152.58000000000001"/>
    <n v="97.44"/>
    <n v="561646.98"/>
    <n v="358676.64"/>
    <n v="202970.34"/>
  </r>
  <r>
    <x v="6"/>
    <s v="United States of America"/>
    <s v="Household"/>
    <s v="Offline"/>
    <s v="H"/>
    <d v="2013-09-12T00:00:00"/>
    <n v="171612298"/>
    <s v="1/14/2014"/>
    <n v="2747"/>
    <n v="668.27"/>
    <n v="502.54"/>
    <n v="1835737.69"/>
    <n v="1380477.38"/>
    <n v="455260.31"/>
  </r>
  <r>
    <x v="5"/>
    <s v="Sierra Leone"/>
    <s v="Cosmetics"/>
    <s v="Offline"/>
    <s v="L"/>
    <s v="10/21/2014"/>
    <n v="617609584"/>
    <d v="2014-01-11T00:00:00"/>
    <n v="3255"/>
    <n v="437.2"/>
    <n v="263.33"/>
    <n v="1423086"/>
    <n v="857139.15"/>
    <n v="565946.85"/>
  </r>
  <r>
    <x v="0"/>
    <s v="Costa Rica"/>
    <s v="Office Supplies"/>
    <s v="Online"/>
    <s v="M"/>
    <s v="11/24/2010"/>
    <n v="754630124"/>
    <s v="12/16/2010"/>
    <n v="678"/>
    <n v="651.21"/>
    <n v="524.96"/>
    <n v="441520.38"/>
    <n v="355922.88"/>
    <n v="85597.5"/>
  </r>
  <r>
    <x v="6"/>
    <s v="Mexico"/>
    <s v="Office Supplies"/>
    <s v="Offline"/>
    <s v="C"/>
    <d v="2013-03-07T00:00:00"/>
    <n v="607722747"/>
    <s v="8/14/2013"/>
    <n v="7521"/>
    <n v="651.21"/>
    <n v="524.96"/>
    <n v="4897750.41"/>
    <n v="3948224.16"/>
    <n v="949526.25"/>
  </r>
  <r>
    <x v="1"/>
    <s v="Switzerland"/>
    <s v="Snacks"/>
    <s v="Online"/>
    <s v="H"/>
    <d v="2012-06-04T00:00:00"/>
    <n v="722248780"/>
    <d v="2012-08-04T00:00:00"/>
    <n v="8319"/>
    <n v="152.58000000000001"/>
    <n v="97.44"/>
    <n v="1269313.02"/>
    <n v="810603.36"/>
    <n v="458709.66"/>
  </r>
  <r>
    <x v="0"/>
    <s v="Honduras"/>
    <s v="Clothes"/>
    <s v="Online"/>
    <s v="C"/>
    <s v="10/20/2016"/>
    <n v="813882052"/>
    <s v="11/16/2016"/>
    <n v="4640"/>
    <n v="109.28"/>
    <n v="35.840000000000003"/>
    <n v="507059.20000000001"/>
    <n v="166297.60000000001"/>
    <n v="340761.59999999998"/>
  </r>
  <r>
    <x v="5"/>
    <s v="Togo"/>
    <s v="Personal Care"/>
    <s v="Online"/>
    <s v="H"/>
    <d v="2015-09-02T00:00:00"/>
    <n v="218608891"/>
    <d v="2015-10-02T00:00:00"/>
    <n v="84"/>
    <n v="81.73"/>
    <n v="56.67"/>
    <n v="6865.32"/>
    <n v="4760.28"/>
    <n v="2105.04"/>
  </r>
  <r>
    <x v="5"/>
    <s v="Guinea"/>
    <s v="Fruits"/>
    <s v="Offline"/>
    <s v="C"/>
    <s v="2/24/2015"/>
    <n v="142728126"/>
    <s v="4/14/2015"/>
    <n v="5279"/>
    <n v="9.33"/>
    <n v="6.92"/>
    <n v="49253.07"/>
    <n v="36530.68"/>
    <n v="12722.39"/>
  </r>
  <r>
    <x v="6"/>
    <s v="Mexico"/>
    <s v="Baby Food"/>
    <s v="Online"/>
    <s v="C"/>
    <s v="10/28/2010"/>
    <n v="512851083"/>
    <d v="2010-04-11T00:00:00"/>
    <n v="2887"/>
    <n v="255.28"/>
    <n v="159.41999999999999"/>
    <n v="736993.36"/>
    <n v="460245.54"/>
    <n v="276747.82"/>
  </r>
  <r>
    <x v="4"/>
    <s v="Australia"/>
    <s v="Household"/>
    <s v="Offline"/>
    <s v="H"/>
    <d v="2016-09-01T00:00:00"/>
    <n v="425901591"/>
    <d v="2016-11-01T00:00:00"/>
    <n v="2600"/>
    <n v="668.27"/>
    <n v="502.54"/>
    <n v="1737502"/>
    <n v="1306604"/>
    <n v="430898"/>
  </r>
  <r>
    <x v="1"/>
    <s v="Spain"/>
    <s v="Vegetables"/>
    <s v="Online"/>
    <s v="H"/>
    <d v="2015-01-06T00:00:00"/>
    <n v="399115979"/>
    <s v="6/24/2015"/>
    <n v="6142"/>
    <n v="154.06"/>
    <n v="90.93"/>
    <n v="946236.52"/>
    <n v="558492.06000000006"/>
    <n v="387744.46"/>
  </r>
  <r>
    <x v="3"/>
    <s v="Tunisia "/>
    <s v="Personal Care"/>
    <s v="Online"/>
    <s v="L"/>
    <s v="8/29/2013"/>
    <n v="120043075"/>
    <s v="10/13/2013"/>
    <n v="2268"/>
    <n v="81.73"/>
    <n v="56.67"/>
    <n v="185363.64"/>
    <n v="128527.56"/>
    <n v="56836.08"/>
  </r>
  <r>
    <x v="2"/>
    <s v="South Korea"/>
    <s v="Office Supplies"/>
    <s v="Offline"/>
    <s v="L"/>
    <s v="6/26/2016"/>
    <n v="696544206"/>
    <d v="2016-05-07T00:00:00"/>
    <n v="1764"/>
    <n v="651.21"/>
    <n v="524.96"/>
    <n v="1148734.44"/>
    <n v="926029.44"/>
    <n v="222705"/>
  </r>
  <r>
    <x v="3"/>
    <s v="Iraq"/>
    <s v="Cosmetics"/>
    <s v="Offline"/>
    <s v="M"/>
    <d v="2011-03-10T00:00:00"/>
    <n v="606793200"/>
    <s v="11/18/2011"/>
    <n v="2447"/>
    <n v="437.2"/>
    <n v="263.33"/>
    <n v="1069828.3999999999"/>
    <n v="644368.51"/>
    <n v="425459.89"/>
  </r>
  <r>
    <x v="5"/>
    <s v="Kenya"/>
    <s v="Beverages"/>
    <s v="Online"/>
    <s v="M"/>
    <d v="2011-09-02T00:00:00"/>
    <n v="649276387"/>
    <s v="3/26/2011"/>
    <n v="4166"/>
    <n v="47.45"/>
    <n v="31.79"/>
    <n v="197676.7"/>
    <n v="132437.14000000001"/>
    <n v="65239.56"/>
  </r>
  <r>
    <x v="1"/>
    <s v="Kosovo"/>
    <s v="Household"/>
    <s v="Offline"/>
    <s v="M"/>
    <s v="11/25/2015"/>
    <n v="792792594"/>
    <d v="2016-02-01T00:00:00"/>
    <n v="3801"/>
    <n v="668.27"/>
    <n v="502.54"/>
    <n v="2540094.27"/>
    <n v="1910154.54"/>
    <n v="629939.73"/>
  </r>
  <r>
    <x v="1"/>
    <s v="Portugal"/>
    <s v="Cosmetics"/>
    <s v="Offline"/>
    <s v="C"/>
    <s v="5/24/2013"/>
    <n v="626453149"/>
    <d v="2013-10-06T00:00:00"/>
    <n v="263"/>
    <n v="437.2"/>
    <n v="263.33"/>
    <n v="114983.6"/>
    <n v="69255.789999999994"/>
    <n v="45727.81"/>
  </r>
  <r>
    <x v="5"/>
    <s v="Mali"/>
    <s v="Personal Care"/>
    <s v="Offline"/>
    <s v="M"/>
    <d v="2010-10-11T00:00:00"/>
    <n v="709681880"/>
    <s v="11/25/2010"/>
    <n v="9494"/>
    <n v="81.73"/>
    <n v="56.67"/>
    <n v="775944.62"/>
    <n v="538024.98"/>
    <n v="237919.64"/>
  </r>
  <r>
    <x v="3"/>
    <s v="Algeria"/>
    <s v="Meat"/>
    <s v="Online"/>
    <s v="C"/>
    <s v="8/16/2016"/>
    <n v="322215116"/>
    <d v="2016-11-09T00:00:00"/>
    <n v="9468"/>
    <n v="421.89"/>
    <n v="364.69"/>
    <n v="3994454.52"/>
    <n v="3452884.92"/>
    <n v="541569.6"/>
  </r>
  <r>
    <x v="0"/>
    <s v="Grenada"/>
    <s v="Household"/>
    <s v="Offline"/>
    <s v="C"/>
    <d v="2013-02-08T00:00:00"/>
    <n v="614101684"/>
    <d v="2013-06-09T00:00:00"/>
    <n v="5190"/>
    <n v="668.27"/>
    <n v="502.54"/>
    <n v="3468321.3"/>
    <n v="2608182.6"/>
    <n v="860138.7"/>
  </r>
  <r>
    <x v="3"/>
    <s v="Algeria"/>
    <s v="Personal Care"/>
    <s v="Online"/>
    <s v="H"/>
    <s v="12/26/2015"/>
    <n v="555702912"/>
    <d v="2016-01-02T00:00:00"/>
    <n v="3696"/>
    <n v="81.73"/>
    <n v="56.67"/>
    <n v="302074.08"/>
    <n v="209452.32"/>
    <n v="92621.759999999995"/>
  </r>
  <r>
    <x v="3"/>
    <s v="Lebanon"/>
    <s v="Cereal"/>
    <s v="Offline"/>
    <s v="M"/>
    <s v="8/17/2012"/>
    <n v="987692630"/>
    <d v="2012-03-09T00:00:00"/>
    <n v="9053"/>
    <n v="205.7"/>
    <n v="117.11"/>
    <n v="1862202.1"/>
    <n v="1060196.83"/>
    <n v="802005.27"/>
  </r>
  <r>
    <x v="2"/>
    <s v="Cambodia"/>
    <s v="Fruits"/>
    <s v="Online"/>
    <s v="C"/>
    <d v="2016-10-02T00:00:00"/>
    <n v="571057164"/>
    <d v="2016-05-03T00:00:00"/>
    <n v="7360"/>
    <n v="9.33"/>
    <n v="6.92"/>
    <n v="68668.800000000003"/>
    <n v="50931.199999999997"/>
    <n v="17737.599999999999"/>
  </r>
  <r>
    <x v="1"/>
    <s v="Armenia"/>
    <s v="Snacks"/>
    <s v="Offline"/>
    <s v="L"/>
    <s v="7/31/2013"/>
    <n v="737095344"/>
    <s v="9/13/2013"/>
    <n v="1747"/>
    <n v="152.58000000000001"/>
    <n v="97.44"/>
    <n v="266557.26"/>
    <n v="170227.68"/>
    <n v="96329.58"/>
  </r>
  <r>
    <x v="6"/>
    <s v="United States of America"/>
    <s v="Beverages"/>
    <s v="Online"/>
    <s v="H"/>
    <s v="12/21/2015"/>
    <n v="737418496"/>
    <s v="1/17/2016"/>
    <n v="7375"/>
    <n v="47.45"/>
    <n v="31.79"/>
    <n v="349943.75"/>
    <n v="234451.25"/>
    <n v="115492.5"/>
  </r>
  <r>
    <x v="5"/>
    <s v="Guinea"/>
    <s v="Clothes"/>
    <s v="Online"/>
    <s v="M"/>
    <d v="2016-08-05T00:00:00"/>
    <n v="793950450"/>
    <s v="5/18/2016"/>
    <n v="6436"/>
    <n v="109.28"/>
    <n v="35.840000000000003"/>
    <n v="703326.08"/>
    <n v="230666.23999999999"/>
    <n v="472659.84"/>
  </r>
  <r>
    <x v="5"/>
    <s v="Liberia"/>
    <s v="Personal Care"/>
    <s v="Online"/>
    <s v="H"/>
    <d v="2016-04-06T00:00:00"/>
    <n v="748927533"/>
    <s v="7/20/2016"/>
    <n v="3155"/>
    <n v="81.73"/>
    <n v="56.67"/>
    <n v="257858.15"/>
    <n v="178793.85"/>
    <n v="79064.3"/>
  </r>
  <r>
    <x v="5"/>
    <s v="Rwanda"/>
    <s v="Office Supplies"/>
    <s v="Online"/>
    <s v="M"/>
    <d v="2015-05-03T00:00:00"/>
    <n v="514898574"/>
    <s v="3/28/2015"/>
    <n v="8785"/>
    <n v="651.21"/>
    <n v="524.96"/>
    <n v="5720879.8499999996"/>
    <n v="4611773.5999999996"/>
    <n v="1109106.25"/>
  </r>
  <r>
    <x v="2"/>
    <s v="North Korea"/>
    <s v="Fruits"/>
    <s v="Offline"/>
    <s v="H"/>
    <s v="8/25/2012"/>
    <n v="524724900"/>
    <d v="2012-09-10T00:00:00"/>
    <n v="6613"/>
    <n v="9.33"/>
    <n v="6.92"/>
    <n v="61699.29"/>
    <n v="45761.96"/>
    <n v="15937.33"/>
  </r>
  <r>
    <x v="4"/>
    <s v="Australia"/>
    <s v="Baby Food"/>
    <s v="Online"/>
    <s v="L"/>
    <s v="9/30/2013"/>
    <n v="381580340"/>
    <d v="2013-02-10T00:00:00"/>
    <n v="6957"/>
    <n v="255.28"/>
    <n v="159.41999999999999"/>
    <n v="1775982.96"/>
    <n v="1109084.94"/>
    <n v="666898.02"/>
  </r>
  <r>
    <x v="5"/>
    <s v="South Africa"/>
    <s v="Meat"/>
    <s v="Online"/>
    <s v="C"/>
    <d v="2016-10-11T00:00:00"/>
    <n v="208951222"/>
    <d v="2016-10-11T00:00:00"/>
    <n v="2165"/>
    <n v="421.89"/>
    <n v="364.69"/>
    <n v="913391.85"/>
    <n v="789553.85"/>
    <n v="123838"/>
  </r>
  <r>
    <x v="5"/>
    <s v="Cameroon"/>
    <s v="Personal Care"/>
    <s v="Offline"/>
    <s v="C"/>
    <s v="1/31/2010"/>
    <n v="200636374"/>
    <d v="2010-03-03T00:00:00"/>
    <n v="1617"/>
    <n v="81.73"/>
    <n v="56.67"/>
    <n v="132157.41"/>
    <n v="91635.39"/>
    <n v="40522.019999999997"/>
  </r>
  <r>
    <x v="2"/>
    <s v="Kyrgyzstan"/>
    <s v="Snacks"/>
    <s v="Online"/>
    <s v="H"/>
    <s v="11/16/2012"/>
    <n v="170747125"/>
    <d v="2013-05-01T00:00:00"/>
    <n v="6723"/>
    <n v="152.58000000000001"/>
    <n v="97.44"/>
    <n v="1025795.34"/>
    <n v="655089.12"/>
    <n v="370706.22"/>
  </r>
  <r>
    <x v="2"/>
    <s v="Kyrgyzstan"/>
    <s v="Beverages"/>
    <s v="Offline"/>
    <s v="L"/>
    <d v="2011-04-09T00:00:00"/>
    <n v="903707301"/>
    <d v="2011-05-09T00:00:00"/>
    <n v="5928"/>
    <n v="47.45"/>
    <n v="31.79"/>
    <n v="281283.59999999998"/>
    <n v="188451.12"/>
    <n v="92832.48"/>
  </r>
  <r>
    <x v="5"/>
    <s v="Benin"/>
    <s v="Vegetables"/>
    <s v="Offline"/>
    <s v="C"/>
    <s v="9/14/2016"/>
    <n v="104253232"/>
    <s v="10/29/2016"/>
    <n v="9703"/>
    <n v="154.06"/>
    <n v="90.93"/>
    <n v="1494844.18"/>
    <n v="882293.79"/>
    <n v="612550.39"/>
  </r>
  <r>
    <x v="3"/>
    <s v="Pakistan"/>
    <s v="Personal Care"/>
    <s v="Offline"/>
    <s v="C"/>
    <s v="9/30/2012"/>
    <n v="947433745"/>
    <s v="10/23/2012"/>
    <n v="5554"/>
    <n v="81.73"/>
    <n v="56.67"/>
    <n v="453928.42"/>
    <n v="314745.18"/>
    <n v="139183.24"/>
  </r>
  <r>
    <x v="4"/>
    <s v="Tuvalu"/>
    <s v="Baby Food"/>
    <s v="Offline"/>
    <s v="C"/>
    <s v="12/13/2015"/>
    <n v="828610169"/>
    <s v="1/30/2016"/>
    <n v="3018"/>
    <n v="255.28"/>
    <n v="159.41999999999999"/>
    <n v="770435.04"/>
    <n v="481129.56"/>
    <n v="289305.48"/>
  </r>
  <r>
    <x v="0"/>
    <s v="Grenada"/>
    <s v="Snacks"/>
    <s v="Offline"/>
    <s v="C"/>
    <d v="2017-01-01T00:00:00"/>
    <n v="813456332"/>
    <s v="1/16/2017"/>
    <n v="8660"/>
    <n v="152.58000000000001"/>
    <n v="97.44"/>
    <n v="1321342.8"/>
    <n v="843830.4"/>
    <n v="477512.4"/>
  </r>
  <r>
    <x v="0"/>
    <s v="Cuba"/>
    <s v="Vegetables"/>
    <s v="Online"/>
    <s v="L"/>
    <d v="2015-02-04T00:00:00"/>
    <n v="687958562"/>
    <d v="2015-08-05T00:00:00"/>
    <n v="1081"/>
    <n v="154.06"/>
    <n v="90.93"/>
    <n v="166538.85999999999"/>
    <n v="98295.33"/>
    <n v="68243.53"/>
  </r>
  <r>
    <x v="5"/>
    <s v="Seychelles "/>
    <s v="Household"/>
    <s v="Offline"/>
    <s v="L"/>
    <s v="11/18/2014"/>
    <n v="308415687"/>
    <s v="11/27/2014"/>
    <n v="5910"/>
    <n v="668.27"/>
    <n v="502.54"/>
    <n v="3949475.7"/>
    <n v="2970011.4"/>
    <n v="979464.3"/>
  </r>
  <r>
    <x v="3"/>
    <s v="Syria"/>
    <s v="Snacks"/>
    <s v="Offline"/>
    <s v="C"/>
    <s v="7/30/2013"/>
    <n v="951439034"/>
    <s v="9/16/2013"/>
    <n v="808"/>
    <n v="152.58000000000001"/>
    <n v="97.44"/>
    <n v="123284.64"/>
    <n v="78731.520000000004"/>
    <n v="44553.120000000003"/>
  </r>
  <r>
    <x v="4"/>
    <s v="Kiribati"/>
    <s v="Snacks"/>
    <s v="Online"/>
    <s v="H"/>
    <s v="11/14/2013"/>
    <n v="363952434"/>
    <s v="11/15/2013"/>
    <n v="468"/>
    <n v="152.58000000000001"/>
    <n v="97.44"/>
    <n v="71407.44"/>
    <n v="45601.919999999998"/>
    <n v="25805.52"/>
  </r>
  <r>
    <x v="2"/>
    <s v="India"/>
    <s v="Personal Care"/>
    <s v="Online"/>
    <s v="L"/>
    <s v="10/14/2011"/>
    <n v="413192212"/>
    <s v="11/17/2011"/>
    <n v="1612"/>
    <n v="81.73"/>
    <n v="56.67"/>
    <n v="131748.76"/>
    <n v="91352.04"/>
    <n v="40396.720000000001"/>
  </r>
  <r>
    <x v="2"/>
    <s v="Bangladesh"/>
    <s v="Baby Food"/>
    <s v="Online"/>
    <s v="L"/>
    <d v="2015-10-10T00:00:00"/>
    <n v="336707198"/>
    <s v="11/27/2015"/>
    <n v="7997"/>
    <n v="255.28"/>
    <n v="159.41999999999999"/>
    <n v="2041474.16"/>
    <n v="1274881.74"/>
    <n v="766592.42"/>
  </r>
  <r>
    <x v="3"/>
    <s v="Qatar"/>
    <s v="Personal Care"/>
    <s v="Online"/>
    <s v="L"/>
    <s v="8/17/2012"/>
    <n v="792358720"/>
    <s v="8/24/2012"/>
    <n v="5408"/>
    <n v="81.73"/>
    <n v="56.67"/>
    <n v="441995.84"/>
    <n v="306471.36"/>
    <n v="135524.48000000001"/>
  </r>
  <r>
    <x v="1"/>
    <s v="San Marino"/>
    <s v="Fruits"/>
    <s v="Offline"/>
    <s v="L"/>
    <s v="9/18/2016"/>
    <n v="708320605"/>
    <d v="2016-05-10T00:00:00"/>
    <n v="6662"/>
    <n v="9.33"/>
    <n v="6.92"/>
    <n v="62156.46"/>
    <n v="46101.04"/>
    <n v="16055.42"/>
  </r>
  <r>
    <x v="1"/>
    <s v="Lithuania"/>
    <s v="Office Supplies"/>
    <s v="Offline"/>
    <s v="M"/>
    <d v="2013-05-03T00:00:00"/>
    <n v="433079183"/>
    <s v="4/19/2013"/>
    <n v="6609"/>
    <n v="651.21"/>
    <n v="524.96"/>
    <n v="4303846.8899999997"/>
    <n v="3469460.64"/>
    <n v="834386.25"/>
  </r>
  <r>
    <x v="2"/>
    <s v="North Korea"/>
    <s v="Clothes"/>
    <s v="Offline"/>
    <s v="C"/>
    <s v="9/18/2014"/>
    <n v="385433280"/>
    <d v="2014-01-11T00:00:00"/>
    <n v="7128"/>
    <n v="109.28"/>
    <n v="35.840000000000003"/>
    <n v="778947.84"/>
    <n v="255467.51999999999"/>
    <n v="523480.32000000001"/>
  </r>
  <r>
    <x v="1"/>
    <s v="Georgia"/>
    <s v="Personal Care"/>
    <s v="Offline"/>
    <s v="L"/>
    <s v="5/22/2012"/>
    <n v="604494225"/>
    <s v="6/25/2012"/>
    <n v="2129"/>
    <n v="81.73"/>
    <n v="56.67"/>
    <n v="174003.17"/>
    <n v="120650.43"/>
    <n v="53352.74"/>
  </r>
  <r>
    <x v="0"/>
    <s v="Saint Kitts and Nevis "/>
    <s v="Fruits"/>
    <s v="Online"/>
    <s v="M"/>
    <d v="2017-03-04T00:00:00"/>
    <n v="299685847"/>
    <s v="4/24/2017"/>
    <n v="2557"/>
    <n v="9.33"/>
    <n v="6.92"/>
    <n v="23856.81"/>
    <n v="17694.439999999999"/>
    <n v="6162.37"/>
  </r>
  <r>
    <x v="2"/>
    <s v="Tajikistan"/>
    <s v="Cereal"/>
    <s v="Online"/>
    <s v="L"/>
    <s v="2/18/2011"/>
    <n v="100744473"/>
    <s v="3/16/2011"/>
    <n v="1383"/>
    <n v="205.7"/>
    <n v="117.11"/>
    <n v="284483.09999999998"/>
    <n v="161963.13"/>
    <n v="122519.97"/>
  </r>
  <r>
    <x v="1"/>
    <s v="Macedonia"/>
    <s v="Fruits"/>
    <s v="Online"/>
    <s v="M"/>
    <s v="12/30/2010"/>
    <n v="707718932"/>
    <d v="2011-06-01T00:00:00"/>
    <n v="8614"/>
    <n v="9.33"/>
    <n v="6.92"/>
    <n v="80368.62"/>
    <n v="59608.88"/>
    <n v="20759.740000000002"/>
  </r>
  <r>
    <x v="2"/>
    <s v="Cambodia"/>
    <s v="Beverages"/>
    <s v="Offline"/>
    <s v="L"/>
    <s v="2/26/2012"/>
    <n v="640970551"/>
    <d v="2012-02-04T00:00:00"/>
    <n v="6285"/>
    <n v="47.45"/>
    <n v="31.79"/>
    <n v="298223.25"/>
    <n v="199800.15"/>
    <n v="98423.1"/>
  </r>
  <r>
    <x v="5"/>
    <s v="Mauritania"/>
    <s v="Cereal"/>
    <s v="Online"/>
    <s v="H"/>
    <d v="2014-12-10T00:00:00"/>
    <n v="291173160"/>
    <d v="2014-02-11T00:00:00"/>
    <n v="3463"/>
    <n v="205.7"/>
    <n v="117.11"/>
    <n v="712339.1"/>
    <n v="405551.93"/>
    <n v="306787.17"/>
  </r>
  <r>
    <x v="0"/>
    <s v="Dominica"/>
    <s v="Household"/>
    <s v="Offline"/>
    <s v="M"/>
    <d v="2012-11-07T00:00:00"/>
    <n v="569313085"/>
    <s v="8/18/2012"/>
    <n v="1248"/>
    <n v="668.27"/>
    <n v="502.54"/>
    <n v="834000.96"/>
    <n v="627169.92000000004"/>
    <n v="206831.04"/>
  </r>
  <r>
    <x v="1"/>
    <s v="Sweden"/>
    <s v="Household"/>
    <s v="Offline"/>
    <s v="C"/>
    <s v="6/24/2011"/>
    <n v="656689155"/>
    <d v="2011-09-08T00:00:00"/>
    <n v="7769"/>
    <n v="668.27"/>
    <n v="502.54"/>
    <n v="5191789.63"/>
    <n v="3904233.26"/>
    <n v="1287556.3700000001"/>
  </r>
  <r>
    <x v="0"/>
    <s v="Panama"/>
    <s v="Snacks"/>
    <s v="Online"/>
    <s v="C"/>
    <s v="3/19/2011"/>
    <n v="254912698"/>
    <d v="2011-08-04T00:00:00"/>
    <n v="3187"/>
    <n v="152.58000000000001"/>
    <n v="97.44"/>
    <n v="486272.46"/>
    <n v="310541.28000000003"/>
    <n v="175731.18"/>
  </r>
  <r>
    <x v="1"/>
    <s v="Macedonia"/>
    <s v="Beverages"/>
    <s v="Offline"/>
    <s v="M"/>
    <s v="2/25/2016"/>
    <n v="935907542"/>
    <s v="3/21/2016"/>
    <n v="4695"/>
    <n v="47.45"/>
    <n v="31.79"/>
    <n v="222777.75"/>
    <n v="149254.04999999999"/>
    <n v="73523.7"/>
  </r>
  <r>
    <x v="3"/>
    <s v="Lebanon"/>
    <s v="Meat"/>
    <s v="Offline"/>
    <s v="C"/>
    <s v="8/22/2016"/>
    <n v="291910016"/>
    <s v="9/27/2016"/>
    <n v="1515"/>
    <n v="421.89"/>
    <n v="364.69"/>
    <n v="639163.35"/>
    <n v="552505.35"/>
    <n v="86658"/>
  </r>
  <r>
    <x v="5"/>
    <s v="Cote d'Ivoire"/>
    <s v="Fruits"/>
    <s v="Online"/>
    <s v="C"/>
    <s v="6/15/2015"/>
    <n v="485468947"/>
    <d v="2015-01-07T00:00:00"/>
    <n v="9905"/>
    <n v="9.33"/>
    <n v="6.92"/>
    <n v="92413.65"/>
    <n v="68542.600000000006"/>
    <n v="23871.05"/>
  </r>
  <r>
    <x v="0"/>
    <s v="Grenada"/>
    <s v="Personal Care"/>
    <s v="Offline"/>
    <s v="H"/>
    <d v="2016-03-06T00:00:00"/>
    <n v="599445664"/>
    <s v="7/19/2016"/>
    <n v="8148"/>
    <n v="81.73"/>
    <n v="56.67"/>
    <n v="665936.04"/>
    <n v="461747.16"/>
    <n v="204188.88"/>
  </r>
  <r>
    <x v="5"/>
    <s v="Senegal"/>
    <s v="Baby Food"/>
    <s v="Offline"/>
    <s v="C"/>
    <d v="2013-01-02T00:00:00"/>
    <n v="687013995"/>
    <s v="3/13/2013"/>
    <n v="1563"/>
    <n v="255.28"/>
    <n v="159.41999999999999"/>
    <n v="399002.64"/>
    <n v="249173.46"/>
    <n v="149829.18"/>
  </r>
  <r>
    <x v="1"/>
    <s v="Ireland"/>
    <s v="Household"/>
    <s v="Offline"/>
    <s v="C"/>
    <s v="3/14/2015"/>
    <n v="421660268"/>
    <d v="2015-11-04T00:00:00"/>
    <n v="7498"/>
    <n v="668.27"/>
    <n v="502.54"/>
    <n v="5010688.46"/>
    <n v="3768044.92"/>
    <n v="1242643.54"/>
  </r>
  <r>
    <x v="1"/>
    <s v="San Marino"/>
    <s v="Cosmetics"/>
    <s v="Offline"/>
    <s v="C"/>
    <s v="8/22/2014"/>
    <n v="447183310"/>
    <s v="9/19/2014"/>
    <n v="334"/>
    <n v="437.2"/>
    <n v="263.33"/>
    <n v="146024.79999999999"/>
    <n v="87952.22"/>
    <n v="58072.58"/>
  </r>
  <r>
    <x v="1"/>
    <s v="Estonia"/>
    <s v="Vegetables"/>
    <s v="Offline"/>
    <s v="L"/>
    <d v="2011-07-12T00:00:00"/>
    <n v="127694451"/>
    <s v="12/27/2011"/>
    <n v="6481"/>
    <n v="154.06"/>
    <n v="90.93"/>
    <n v="998462.86"/>
    <n v="589317.32999999996"/>
    <n v="409145.53"/>
  </r>
  <r>
    <x v="1"/>
    <s v="Vatican City"/>
    <s v="Meat"/>
    <s v="Offline"/>
    <s v="M"/>
    <s v="6/13/2012"/>
    <n v="697617518"/>
    <d v="2012-07-07T00:00:00"/>
    <n v="9381"/>
    <n v="421.89"/>
    <n v="364.69"/>
    <n v="3957750.09"/>
    <n v="3421156.89"/>
    <n v="536593.19999999995"/>
  </r>
  <r>
    <x v="1"/>
    <s v="United Kingdom"/>
    <s v="Personal Care"/>
    <s v="Offline"/>
    <s v="L"/>
    <s v="1/22/2015"/>
    <n v="311688840"/>
    <s v="2/14/2015"/>
    <n v="4509"/>
    <n v="81.73"/>
    <n v="56.67"/>
    <n v="368520.57"/>
    <n v="255525.03"/>
    <n v="112995.54"/>
  </r>
  <r>
    <x v="3"/>
    <s v="Iran"/>
    <s v="Household"/>
    <s v="Offline"/>
    <s v="M"/>
    <s v="11/24/2015"/>
    <n v="794957244"/>
    <s v="12/31/2015"/>
    <n v="4369"/>
    <n v="668.27"/>
    <n v="502.54"/>
    <n v="2919671.63"/>
    <n v="2195597.2599999998"/>
    <n v="724074.37"/>
  </r>
  <r>
    <x v="3"/>
    <s v="Saudi Arabia"/>
    <s v="Vegetables"/>
    <s v="Offline"/>
    <s v="H"/>
    <d v="2012-06-03T00:00:00"/>
    <n v="892784059"/>
    <d v="2012-06-03T00:00:00"/>
    <n v="3497"/>
    <n v="154.06"/>
    <n v="90.93"/>
    <n v="538747.81999999995"/>
    <n v="317982.21000000002"/>
    <n v="220765.61"/>
  </r>
  <r>
    <x v="5"/>
    <s v="Rwanda"/>
    <s v="Clothes"/>
    <s v="Online"/>
    <s v="L"/>
    <s v="7/13/2013"/>
    <n v="320843112"/>
    <s v="8/18/2013"/>
    <n v="3462"/>
    <n v="109.28"/>
    <n v="35.840000000000003"/>
    <n v="378327.36"/>
    <n v="124078.08"/>
    <n v="254249.28"/>
  </r>
  <r>
    <x v="2"/>
    <s v="Indonesia"/>
    <s v="Vegetables"/>
    <s v="Offline"/>
    <s v="H"/>
    <d v="2015-06-07T00:00:00"/>
    <n v="215120732"/>
    <d v="2015-03-08T00:00:00"/>
    <n v="7860"/>
    <n v="154.06"/>
    <n v="90.93"/>
    <n v="1210911.6000000001"/>
    <n v="714709.8"/>
    <n v="496201.8"/>
  </r>
  <r>
    <x v="3"/>
    <s v="Oman"/>
    <s v="Beverages"/>
    <s v="Offline"/>
    <s v="M"/>
    <d v="2010-12-12T00:00:00"/>
    <n v="881915748"/>
    <s v="12/14/2010"/>
    <n v="7323"/>
    <n v="47.45"/>
    <n v="31.79"/>
    <n v="347476.35"/>
    <n v="232798.17"/>
    <n v="114678.18"/>
  </r>
  <r>
    <x v="5"/>
    <s v="Comoros"/>
    <s v="Beverages"/>
    <s v="Offline"/>
    <s v="H"/>
    <s v="6/13/2016"/>
    <n v="447839486"/>
    <s v="7/28/2016"/>
    <n v="4511"/>
    <n v="47.45"/>
    <n v="31.79"/>
    <n v="214046.95"/>
    <n v="143404.69"/>
    <n v="70642.259999999995"/>
  </r>
  <r>
    <x v="3"/>
    <s v="Oman"/>
    <s v="Beverages"/>
    <s v="Offline"/>
    <s v="C"/>
    <s v="8/15/2015"/>
    <n v="709815776"/>
    <s v="9/16/2015"/>
    <n v="9117"/>
    <n v="47.45"/>
    <n v="31.79"/>
    <n v="432601.65"/>
    <n v="289829.43"/>
    <n v="142772.22"/>
  </r>
  <r>
    <x v="1"/>
    <s v="Cyprus"/>
    <s v="Cosmetics"/>
    <s v="Offline"/>
    <s v="M"/>
    <d v="2015-06-11T00:00:00"/>
    <n v="385080945"/>
    <d v="2015-07-11T00:00:00"/>
    <n v="2864"/>
    <n v="437.2"/>
    <n v="263.33"/>
    <n v="1252140.8"/>
    <n v="754177.12"/>
    <n v="497963.68"/>
  </r>
  <r>
    <x v="2"/>
    <s v="Cambodia"/>
    <s v="Cosmetics"/>
    <s v="Online"/>
    <s v="L"/>
    <s v="3/21/2014"/>
    <n v="961183822"/>
    <s v="4/21/2014"/>
    <n v="4507"/>
    <n v="437.2"/>
    <n v="263.33"/>
    <n v="1970460.4"/>
    <n v="1186828.31"/>
    <n v="783632.09"/>
  </r>
  <r>
    <x v="3"/>
    <s v="Egypt"/>
    <s v="Cereal"/>
    <s v="Offline"/>
    <s v="M"/>
    <s v="6/17/2016"/>
    <n v="845985734"/>
    <s v="6/28/2016"/>
    <n v="4833"/>
    <n v="205.7"/>
    <n v="117.11"/>
    <n v="994148.1"/>
    <n v="565992.63"/>
    <n v="428155.47"/>
  </r>
  <r>
    <x v="2"/>
    <s v="Kazakhstan"/>
    <s v="Cosmetics"/>
    <s v="Offline"/>
    <s v="C"/>
    <d v="2010-08-06T00:00:00"/>
    <n v="317660510"/>
    <s v="6/29/2010"/>
    <n v="1659"/>
    <n v="437.2"/>
    <n v="263.33"/>
    <n v="725314.8"/>
    <n v="436864.47"/>
    <n v="288450.33"/>
  </r>
  <r>
    <x v="5"/>
    <s v="Madagascar"/>
    <s v="Vegetables"/>
    <s v="Online"/>
    <s v="L"/>
    <d v="2015-11-05T00:00:00"/>
    <n v="174694478"/>
    <d v="2015-11-05T00:00:00"/>
    <n v="4833"/>
    <n v="154.06"/>
    <n v="90.93"/>
    <n v="744571.98"/>
    <n v="439464.69"/>
    <n v="305107.28999999998"/>
  </r>
  <r>
    <x v="4"/>
    <s v="Samoa "/>
    <s v="Clothes"/>
    <s v="Offline"/>
    <s v="M"/>
    <d v="2017-08-06T00:00:00"/>
    <n v="385886466"/>
    <d v="2017-10-07T00:00:00"/>
    <n v="1235"/>
    <n v="109.28"/>
    <n v="35.840000000000003"/>
    <n v="134960.79999999999"/>
    <n v="44262.400000000001"/>
    <n v="90698.4"/>
  </r>
  <r>
    <x v="2"/>
    <s v="Brunei"/>
    <s v="Cosmetics"/>
    <s v="Offline"/>
    <s v="C"/>
    <d v="2011-04-07T00:00:00"/>
    <n v="540347802"/>
    <d v="2011-11-07T00:00:00"/>
    <n v="9777"/>
    <n v="437.2"/>
    <n v="263.33"/>
    <n v="4274504.4000000004"/>
    <n v="2574577.41"/>
    <n v="1699926.99"/>
  </r>
  <r>
    <x v="5"/>
    <s v="Djibouti"/>
    <s v="Clothes"/>
    <s v="Online"/>
    <s v="H"/>
    <s v="5/29/2012"/>
    <n v="297502315"/>
    <d v="2012-08-06T00:00:00"/>
    <n v="6401"/>
    <n v="109.28"/>
    <n v="35.840000000000003"/>
    <n v="699501.28"/>
    <n v="229411.84"/>
    <n v="470089.44"/>
  </r>
  <r>
    <x v="5"/>
    <s v="Seychelles "/>
    <s v="Beverages"/>
    <s v="Offline"/>
    <s v="M"/>
    <d v="2013-01-05T00:00:00"/>
    <n v="737086331"/>
    <d v="2013-04-06T00:00:00"/>
    <n v="9080"/>
    <n v="47.45"/>
    <n v="31.79"/>
    <n v="430846"/>
    <n v="288653.2"/>
    <n v="142192.79999999999"/>
  </r>
  <r>
    <x v="1"/>
    <s v="Spain"/>
    <s v="Household"/>
    <s v="Offline"/>
    <s v="M"/>
    <s v="4/23/2012"/>
    <n v="309148681"/>
    <d v="2012-05-05T00:00:00"/>
    <n v="2819"/>
    <n v="668.27"/>
    <n v="502.54"/>
    <n v="1883853.13"/>
    <n v="1416660.26"/>
    <n v="467192.87"/>
  </r>
  <r>
    <x v="0"/>
    <s v="Saint Lucia"/>
    <s v="Office Supplies"/>
    <s v="Offline"/>
    <s v="L"/>
    <d v="2016-07-01T00:00:00"/>
    <n v="684050691"/>
    <s v="2/18/2016"/>
    <n v="4655"/>
    <n v="651.21"/>
    <n v="524.96"/>
    <n v="3031382.55"/>
    <n v="2443688.7999999998"/>
    <n v="587693.75"/>
  </r>
  <r>
    <x v="5"/>
    <s v="Cape Verde"/>
    <s v="Snacks"/>
    <s v="Online"/>
    <s v="C"/>
    <d v="2013-06-04T00:00:00"/>
    <n v="902466189"/>
    <s v="4/13/2013"/>
    <n v="8655"/>
    <n v="152.58000000000001"/>
    <n v="97.44"/>
    <n v="1320579.8999999999"/>
    <n v="843343.2"/>
    <n v="477236.7"/>
  </r>
  <r>
    <x v="4"/>
    <s v="Australia"/>
    <s v="Vegetables"/>
    <s v="Offline"/>
    <s v="H"/>
    <s v="8/19/2016"/>
    <n v="525381505"/>
    <s v="8/27/2016"/>
    <n v="917"/>
    <n v="154.06"/>
    <n v="90.93"/>
    <n v="141273.01999999999"/>
    <n v="83382.81"/>
    <n v="57890.21"/>
  </r>
  <r>
    <x v="4"/>
    <s v="Vanuatu"/>
    <s v="Vegetables"/>
    <s v="Online"/>
    <s v="H"/>
    <s v="4/13/2013"/>
    <n v="984095466"/>
    <d v="2013-12-05T00:00:00"/>
    <n v="4572"/>
    <n v="154.06"/>
    <n v="90.93"/>
    <n v="704362.32"/>
    <n v="415731.96"/>
    <n v="288630.36"/>
  </r>
  <r>
    <x v="1"/>
    <s v="Serbia"/>
    <s v="Baby Food"/>
    <s v="Offline"/>
    <s v="L"/>
    <s v="2/21/2014"/>
    <n v="630219399"/>
    <s v="3/14/2014"/>
    <n v="4780"/>
    <n v="255.28"/>
    <n v="159.41999999999999"/>
    <n v="1220238.3999999999"/>
    <n v="762027.6"/>
    <n v="458210.8"/>
  </r>
  <r>
    <x v="1"/>
    <s v="Denmark"/>
    <s v="Snacks"/>
    <s v="Online"/>
    <s v="H"/>
    <s v="4/13/2012"/>
    <n v="585677134"/>
    <d v="2012-04-05T00:00:00"/>
    <n v="3734"/>
    <n v="152.58000000000001"/>
    <n v="97.44"/>
    <n v="569733.72"/>
    <n v="363840.96"/>
    <n v="205892.76"/>
  </r>
  <r>
    <x v="1"/>
    <s v="Italy"/>
    <s v="Household"/>
    <s v="Online"/>
    <s v="C"/>
    <s v="12/23/2016"/>
    <n v="692704999"/>
    <s v="1/24/2017"/>
    <n v="5657"/>
    <n v="668.27"/>
    <n v="502.54"/>
    <n v="3780403.39"/>
    <n v="2842868.78"/>
    <n v="937534.61"/>
  </r>
  <r>
    <x v="5"/>
    <s v="South Africa"/>
    <s v="Snacks"/>
    <s v="Offline"/>
    <s v="H"/>
    <s v="1/25/2012"/>
    <n v="863851821"/>
    <d v="2012-07-03T00:00:00"/>
    <n v="1805"/>
    <n v="152.58000000000001"/>
    <n v="97.44"/>
    <n v="275406.90000000002"/>
    <n v="175879.2"/>
    <n v="99527.7"/>
  </r>
  <r>
    <x v="4"/>
    <s v="East Timor"/>
    <s v="Cosmetics"/>
    <s v="Offline"/>
    <s v="M"/>
    <s v="9/28/2012"/>
    <n v="631978929"/>
    <d v="2012-01-10T00:00:00"/>
    <n v="5464"/>
    <n v="437.2"/>
    <n v="263.33"/>
    <n v="2388860.7999999998"/>
    <n v="1438835.12"/>
    <n v="950025.68"/>
  </r>
  <r>
    <x v="2"/>
    <s v="North Korea"/>
    <s v="Clothes"/>
    <s v="Online"/>
    <s v="C"/>
    <d v="2016-01-05T00:00:00"/>
    <n v="500260150"/>
    <d v="2016-10-05T00:00:00"/>
    <n v="6950"/>
    <n v="109.28"/>
    <n v="35.840000000000003"/>
    <n v="759496"/>
    <n v="249088"/>
    <n v="510408"/>
  </r>
  <r>
    <x v="0"/>
    <s v="Trinidad and Tobago"/>
    <s v="Cosmetics"/>
    <s v="Online"/>
    <s v="M"/>
    <s v="8/27/2013"/>
    <n v="592181813"/>
    <d v="2013-09-09T00:00:00"/>
    <n v="8613"/>
    <n v="437.2"/>
    <n v="263.33"/>
    <n v="3765603.6"/>
    <n v="2268061.29"/>
    <n v="1497542.31"/>
  </r>
  <r>
    <x v="6"/>
    <s v="Greenland"/>
    <s v="Meat"/>
    <s v="Online"/>
    <s v="C"/>
    <d v="2015-12-07T00:00:00"/>
    <n v="201542747"/>
    <s v="7/18/2015"/>
    <n v="9832"/>
    <n v="421.89"/>
    <n v="364.69"/>
    <n v="4148022.48"/>
    <n v="3585632.08"/>
    <n v="562390.4"/>
  </r>
  <r>
    <x v="1"/>
    <s v="Iceland"/>
    <s v="Cosmetics"/>
    <s v="Online"/>
    <s v="M"/>
    <d v="2011-09-02T00:00:00"/>
    <n v="942454278"/>
    <s v="3/29/2011"/>
    <n v="2019"/>
    <n v="437.2"/>
    <n v="263.33"/>
    <n v="882706.8"/>
    <n v="531663.27"/>
    <n v="351043.53"/>
  </r>
  <r>
    <x v="3"/>
    <s v="Turkey"/>
    <s v="Beverages"/>
    <s v="Online"/>
    <s v="H"/>
    <s v="2/17/2017"/>
    <n v="899340236"/>
    <s v="3/18/2017"/>
    <n v="3616"/>
    <n v="47.45"/>
    <n v="31.79"/>
    <n v="171579.2"/>
    <n v="114952.64"/>
    <n v="56626.559999999998"/>
  </r>
  <r>
    <x v="2"/>
    <s v="Vietnam"/>
    <s v="Cereal"/>
    <s v="Online"/>
    <s v="C"/>
    <d v="2013-12-07T00:00:00"/>
    <n v="476936948"/>
    <s v="7/20/2013"/>
    <n v="5096"/>
    <n v="205.7"/>
    <n v="117.11"/>
    <n v="1048247.2"/>
    <n v="596792.56000000006"/>
    <n v="451454.64"/>
  </r>
  <r>
    <x v="1"/>
    <s v="Kosovo"/>
    <s v="Office Supplies"/>
    <s v="Offline"/>
    <s v="H"/>
    <s v="5/19/2015"/>
    <n v="150293242"/>
    <s v="6/21/2015"/>
    <n v="3965"/>
    <n v="651.21"/>
    <n v="524.96"/>
    <n v="2582047.65"/>
    <n v="2081466.4"/>
    <n v="500581.25"/>
  </r>
  <r>
    <x v="3"/>
    <s v="Tunisia "/>
    <s v="Cereal"/>
    <s v="Online"/>
    <s v="L"/>
    <d v="2016-06-02T00:00:00"/>
    <n v="914770448"/>
    <s v="2/16/2016"/>
    <n v="9759"/>
    <n v="205.7"/>
    <n v="117.11"/>
    <n v="2007426.3"/>
    <n v="1142876.49"/>
    <n v="864549.81"/>
  </r>
  <r>
    <x v="1"/>
    <s v="Germany"/>
    <s v="Office Supplies"/>
    <s v="Offline"/>
    <s v="H"/>
    <s v="12/19/2013"/>
    <n v="236042392"/>
    <s v="1/26/2014"/>
    <n v="9044"/>
    <n v="651.21"/>
    <n v="524.96"/>
    <n v="5889543.2400000002"/>
    <n v="4747738.24"/>
    <n v="1141805"/>
  </r>
  <r>
    <x v="3"/>
    <s v="Tunisia "/>
    <s v="Household"/>
    <s v="Offline"/>
    <s v="H"/>
    <s v="11/22/2015"/>
    <n v="600095403"/>
    <s v="12/19/2015"/>
    <n v="420"/>
    <n v="668.27"/>
    <n v="502.54"/>
    <n v="280673.40000000002"/>
    <n v="211066.8"/>
    <n v="69606.600000000006"/>
  </r>
  <r>
    <x v="5"/>
    <s v="Nigeria"/>
    <s v="Beverages"/>
    <s v="Online"/>
    <s v="C"/>
    <s v="11/30/2010"/>
    <n v="963228309"/>
    <s v="12/27/2010"/>
    <n v="9516"/>
    <n v="47.45"/>
    <n v="31.79"/>
    <n v="451534.2"/>
    <n v="302513.64"/>
    <n v="149020.56"/>
  </r>
  <r>
    <x v="4"/>
    <s v="Marshall Islands"/>
    <s v="Fruits"/>
    <s v="Offline"/>
    <s v="L"/>
    <s v="11/13/2011"/>
    <n v="802052438"/>
    <d v="2012-02-01T00:00:00"/>
    <n v="3995"/>
    <n v="9.33"/>
    <n v="6.92"/>
    <n v="37273.35"/>
    <n v="27645.4"/>
    <n v="9627.9500000000007"/>
  </r>
  <r>
    <x v="5"/>
    <s v="Ghana"/>
    <s v="Household"/>
    <s v="Offline"/>
    <s v="L"/>
    <s v="9/14/2013"/>
    <n v="563491618"/>
    <s v="10/29/2013"/>
    <n v="8547"/>
    <n v="668.27"/>
    <n v="502.54"/>
    <n v="5711703.6900000004"/>
    <n v="4295209.38"/>
    <n v="1416494.31"/>
  </r>
  <r>
    <x v="1"/>
    <s v="Italy"/>
    <s v="Baby Food"/>
    <s v="Offline"/>
    <s v="L"/>
    <s v="6/15/2012"/>
    <n v="314782178"/>
    <d v="2012-12-07T00:00:00"/>
    <n v="9896"/>
    <n v="255.28"/>
    <n v="159.41999999999999"/>
    <n v="2526250.88"/>
    <n v="1577620.32"/>
    <n v="948630.56"/>
  </r>
  <r>
    <x v="1"/>
    <s v="Belgium"/>
    <s v="Cosmetics"/>
    <s v="Offline"/>
    <s v="M"/>
    <s v="7/27/2016"/>
    <n v="193472945"/>
    <s v="9/13/2016"/>
    <n v="1799"/>
    <n v="437.2"/>
    <n v="263.33"/>
    <n v="786522.8"/>
    <n v="473730.67"/>
    <n v="312792.13"/>
  </r>
  <r>
    <x v="5"/>
    <s v="South Africa"/>
    <s v="Snacks"/>
    <s v="Online"/>
    <s v="H"/>
    <d v="2012-02-11T00:00:00"/>
    <n v="857425248"/>
    <s v="11/25/2012"/>
    <n v="40"/>
    <n v="152.58000000000001"/>
    <n v="97.44"/>
    <n v="6103.2"/>
    <n v="3897.6"/>
    <n v="2205.6"/>
  </r>
  <r>
    <x v="5"/>
    <s v="South Africa"/>
    <s v="Clothes"/>
    <s v="Online"/>
    <s v="C"/>
    <s v="8/20/2015"/>
    <n v="334812915"/>
    <s v="8/26/2015"/>
    <n v="7437"/>
    <n v="109.28"/>
    <n v="35.840000000000003"/>
    <n v="812715.36"/>
    <n v="266542.08000000002"/>
    <n v="546173.28"/>
  </r>
  <r>
    <x v="4"/>
    <s v="Nauru"/>
    <s v="Office Supplies"/>
    <s v="Offline"/>
    <s v="H"/>
    <d v="2010-01-02T00:00:00"/>
    <n v="774122273"/>
    <s v="2/15/2010"/>
    <n v="8838"/>
    <n v="651.21"/>
    <n v="524.96"/>
    <n v="5755393.9800000004"/>
    <n v="4639596.4800000004"/>
    <n v="1115797.5"/>
  </r>
  <r>
    <x v="3"/>
    <s v="Bahrain"/>
    <s v="Office Supplies"/>
    <s v="Offline"/>
    <s v="L"/>
    <s v="6/27/2016"/>
    <n v="794152152"/>
    <s v="6/29/2016"/>
    <n v="6124"/>
    <n v="651.21"/>
    <n v="524.96"/>
    <n v="3988010.04"/>
    <n v="3214855.04"/>
    <n v="773155"/>
  </r>
  <r>
    <x v="1"/>
    <s v="Monaco"/>
    <s v="Cosmetics"/>
    <s v="Offline"/>
    <s v="H"/>
    <s v="9/27/2010"/>
    <n v="434013879"/>
    <d v="2010-05-11T00:00:00"/>
    <n v="3206"/>
    <n v="437.2"/>
    <n v="263.33"/>
    <n v="1401663.2"/>
    <n v="844235.98"/>
    <n v="557427.22"/>
  </r>
  <r>
    <x v="2"/>
    <s v="Nepal"/>
    <s v="Baby Food"/>
    <s v="Online"/>
    <s v="L"/>
    <s v="6/21/2011"/>
    <n v="703131282"/>
    <s v="7/22/2011"/>
    <n v="1026"/>
    <n v="255.28"/>
    <n v="159.41999999999999"/>
    <n v="261917.28"/>
    <n v="163564.92000000001"/>
    <n v="98352.36"/>
  </r>
  <r>
    <x v="1"/>
    <s v="Greece"/>
    <s v="Cereal"/>
    <s v="Online"/>
    <s v="L"/>
    <s v="8/26/2015"/>
    <n v="431240689"/>
    <s v="10/13/2015"/>
    <n v="2558"/>
    <n v="205.7"/>
    <n v="117.11"/>
    <n v="526180.6"/>
    <n v="299567.38"/>
    <n v="226613.22"/>
  </r>
  <r>
    <x v="5"/>
    <s v="Rwanda"/>
    <s v="Beverages"/>
    <s v="Online"/>
    <s v="M"/>
    <s v="7/13/2017"/>
    <n v="318390929"/>
    <s v="8/31/2017"/>
    <n v="7806"/>
    <n v="47.45"/>
    <n v="31.79"/>
    <n v="370394.7"/>
    <n v="248152.74"/>
    <n v="122241.96"/>
  </r>
  <r>
    <x v="2"/>
    <s v="Japan"/>
    <s v="Vegetables"/>
    <s v="Online"/>
    <s v="C"/>
    <d v="2012-04-06T00:00:00"/>
    <n v="684943330"/>
    <d v="2012-08-06T00:00:00"/>
    <n v="8807"/>
    <n v="154.06"/>
    <n v="90.93"/>
    <n v="1356806.42"/>
    <n v="800820.51"/>
    <n v="555985.91"/>
  </r>
  <r>
    <x v="5"/>
    <s v="Nigeria"/>
    <s v="Meat"/>
    <s v="Offline"/>
    <s v="M"/>
    <s v="8/26/2015"/>
    <n v="121571719"/>
    <s v="9/21/2015"/>
    <n v="4628"/>
    <n v="421.89"/>
    <n v="364.69"/>
    <n v="1952506.92"/>
    <n v="1687785.32"/>
    <n v="264721.59999999998"/>
  </r>
  <r>
    <x v="2"/>
    <s v="Cambodia"/>
    <s v="Vegetables"/>
    <s v="Offline"/>
    <s v="M"/>
    <s v="4/14/2013"/>
    <n v="439262425"/>
    <s v="5/20/2013"/>
    <n v="6368"/>
    <n v="154.06"/>
    <n v="90.93"/>
    <n v="981054.08"/>
    <n v="579042.24"/>
    <n v="402011.84"/>
  </r>
  <r>
    <x v="5"/>
    <s v="Gabon"/>
    <s v="Clothes"/>
    <s v="Online"/>
    <s v="H"/>
    <d v="2011-02-06T00:00:00"/>
    <n v="819314277"/>
    <s v="7/17/2011"/>
    <n v="2156"/>
    <n v="109.28"/>
    <n v="35.840000000000003"/>
    <n v="235607.67999999999"/>
    <n v="77271.039999999994"/>
    <n v="158336.64000000001"/>
  </r>
  <r>
    <x v="2"/>
    <s v="Philippines"/>
    <s v="Personal Care"/>
    <s v="Online"/>
    <s v="C"/>
    <d v="2017-11-03T00:00:00"/>
    <n v="963338601"/>
    <d v="2017-09-04T00:00:00"/>
    <n v="2154"/>
    <n v="81.73"/>
    <n v="56.67"/>
    <n v="176046.42"/>
    <n v="122067.18"/>
    <n v="53979.24"/>
  </r>
  <r>
    <x v="1"/>
    <s v="Switzerland"/>
    <s v="Meat"/>
    <s v="Offline"/>
    <s v="L"/>
    <s v="4/26/2012"/>
    <n v="643259227"/>
    <s v="4/26/2012"/>
    <n v="3555"/>
    <n v="421.89"/>
    <n v="364.69"/>
    <n v="1499818.95"/>
    <n v="1296472.95"/>
    <n v="203346"/>
  </r>
  <r>
    <x v="1"/>
    <s v="Czech Republic"/>
    <s v="Cosmetics"/>
    <s v="Online"/>
    <s v="H"/>
    <d v="2017-06-06T00:00:00"/>
    <n v="151312482"/>
    <d v="2017-12-07T00:00:00"/>
    <n v="5581"/>
    <n v="437.2"/>
    <n v="263.33"/>
    <n v="2440013.2000000002"/>
    <n v="1469644.73"/>
    <n v="970368.47"/>
  </r>
  <r>
    <x v="1"/>
    <s v="Austria"/>
    <s v="Fruits"/>
    <s v="Online"/>
    <s v="M"/>
    <s v="7/31/2012"/>
    <n v="750047194"/>
    <s v="9/18/2012"/>
    <n v="4487"/>
    <n v="9.33"/>
    <n v="6.92"/>
    <n v="41863.71"/>
    <n v="31050.04"/>
    <n v="10813.67"/>
  </r>
  <r>
    <x v="2"/>
    <s v="Bhutan"/>
    <s v="Cereal"/>
    <s v="Online"/>
    <s v="C"/>
    <d v="2016-02-10T00:00:00"/>
    <n v="622324693"/>
    <s v="10/21/2016"/>
    <n v="8561"/>
    <n v="205.7"/>
    <n v="117.11"/>
    <n v="1760997.7"/>
    <n v="1002578.71"/>
    <n v="758418.99"/>
  </r>
  <r>
    <x v="1"/>
    <s v="Switzerland"/>
    <s v="Fruits"/>
    <s v="Offline"/>
    <s v="L"/>
    <s v="11/29/2015"/>
    <n v="721318805"/>
    <d v="2015-09-12T00:00:00"/>
    <n v="3118"/>
    <n v="9.33"/>
    <n v="6.92"/>
    <n v="29090.94"/>
    <n v="21576.560000000001"/>
    <n v="7514.38"/>
  </r>
  <r>
    <x v="5"/>
    <s v="Cape Verde"/>
    <s v="Baby Food"/>
    <s v="Offline"/>
    <s v="H"/>
    <s v="3/25/2012"/>
    <n v="720515859"/>
    <s v="3/29/2012"/>
    <n v="5509"/>
    <n v="255.28"/>
    <n v="159.41999999999999"/>
    <n v="1406337.52"/>
    <n v="878244.78"/>
    <n v="528092.74"/>
  </r>
  <r>
    <x v="5"/>
    <s v="Senegal"/>
    <s v="Personal Care"/>
    <s v="Online"/>
    <s v="M"/>
    <s v="9/29/2012"/>
    <n v="363714683"/>
    <s v="10/17/2012"/>
    <n v="112"/>
    <n v="81.73"/>
    <n v="56.67"/>
    <n v="9153.76"/>
    <n v="6347.04"/>
    <n v="2806.72"/>
  </r>
  <r>
    <x v="3"/>
    <s v="Israel"/>
    <s v="Fruits"/>
    <s v="Offline"/>
    <s v="M"/>
    <s v="5/26/2010"/>
    <n v="815026605"/>
    <s v="6/27/2010"/>
    <n v="3339"/>
    <n v="9.33"/>
    <n v="6.92"/>
    <n v="31152.87"/>
    <n v="23105.88"/>
    <n v="8046.99"/>
  </r>
  <r>
    <x v="3"/>
    <s v="Tunisia "/>
    <s v="Baby Food"/>
    <s v="Online"/>
    <s v="L"/>
    <s v="7/27/2010"/>
    <n v="608875453"/>
    <d v="2010-11-08T00:00:00"/>
    <n v="8632"/>
    <n v="255.28"/>
    <n v="159.41999999999999"/>
    <n v="2203576.96"/>
    <n v="1376113.44"/>
    <n v="827463.52"/>
  </r>
  <r>
    <x v="1"/>
    <s v="Vatican City"/>
    <s v="Beverages"/>
    <s v="Offline"/>
    <s v="H"/>
    <s v="2/13/2012"/>
    <n v="599997556"/>
    <s v="2/14/2012"/>
    <n v="1465"/>
    <n v="47.45"/>
    <n v="31.79"/>
    <n v="69514.25"/>
    <n v="46572.35"/>
    <n v="22941.9"/>
  </r>
  <r>
    <x v="5"/>
    <s v="Sierra Leone"/>
    <s v="Cereal"/>
    <s v="Offline"/>
    <s v="M"/>
    <d v="2011-12-03T00:00:00"/>
    <n v="813441741"/>
    <s v="3/22/2011"/>
    <n v="4342"/>
    <n v="205.7"/>
    <n v="117.11"/>
    <n v="893149.4"/>
    <n v="508491.62"/>
    <n v="384657.78"/>
  </r>
  <r>
    <x v="2"/>
    <s v="China"/>
    <s v="Cereal"/>
    <s v="Online"/>
    <s v="L"/>
    <s v="7/26/2012"/>
    <n v="894569337"/>
    <s v="8/22/2012"/>
    <n v="1801"/>
    <n v="205.7"/>
    <n v="117.11"/>
    <n v="370465.7"/>
    <n v="210915.11"/>
    <n v="159550.59"/>
  </r>
  <r>
    <x v="2"/>
    <s v="Uzbekistan"/>
    <s v="Baby Food"/>
    <s v="Offline"/>
    <s v="M"/>
    <s v="9/25/2010"/>
    <n v="559054172"/>
    <s v="10/17/2010"/>
    <n v="5408"/>
    <n v="255.28"/>
    <n v="159.41999999999999"/>
    <n v="1380554.24"/>
    <n v="862143.36"/>
    <n v="518410.88"/>
  </r>
  <r>
    <x v="3"/>
    <s v="Qatar"/>
    <s v="Fruits"/>
    <s v="Online"/>
    <s v="L"/>
    <s v="5/22/2016"/>
    <n v="942882573"/>
    <s v="6/25/2016"/>
    <n v="8761"/>
    <n v="9.33"/>
    <n v="6.92"/>
    <n v="81740.13"/>
    <n v="60626.12"/>
    <n v="21114.01"/>
  </r>
  <r>
    <x v="5"/>
    <s v="Cote d'Ivoire"/>
    <s v="Clothes"/>
    <s v="Online"/>
    <s v="M"/>
    <s v="10/15/2014"/>
    <n v="552353370"/>
    <s v="11/18/2014"/>
    <n v="2491"/>
    <n v="109.28"/>
    <n v="35.840000000000003"/>
    <n v="272216.48"/>
    <n v="89277.440000000002"/>
    <n v="182939.04"/>
  </r>
  <r>
    <x v="4"/>
    <s v="Marshall Islands"/>
    <s v="Beverages"/>
    <s v="Offline"/>
    <s v="L"/>
    <s v="12/22/2014"/>
    <n v="214077889"/>
    <d v="2015-01-01T00:00:00"/>
    <n v="9260"/>
    <n v="47.45"/>
    <n v="31.79"/>
    <n v="439387"/>
    <n v="294375.40000000002"/>
    <n v="145011.6"/>
  </r>
  <r>
    <x v="0"/>
    <s v="Costa Rica"/>
    <s v="Fruits"/>
    <s v="Offline"/>
    <s v="H"/>
    <d v="2015-11-09T00:00:00"/>
    <n v="824979960"/>
    <s v="10/20/2015"/>
    <n v="8758"/>
    <n v="9.33"/>
    <n v="6.92"/>
    <n v="81712.14"/>
    <n v="60605.36"/>
    <n v="21106.78"/>
  </r>
  <r>
    <x v="3"/>
    <s v="Morocco"/>
    <s v="Cosmetics"/>
    <s v="Online"/>
    <s v="H"/>
    <d v="2016-03-10T00:00:00"/>
    <n v="202295911"/>
    <d v="2016-11-10T00:00:00"/>
    <n v="2710"/>
    <n v="437.2"/>
    <n v="263.33"/>
    <n v="1184812"/>
    <n v="713624.3"/>
    <n v="471187.7"/>
  </r>
  <r>
    <x v="5"/>
    <s v="Rwanda"/>
    <s v="Baby Food"/>
    <s v="Offline"/>
    <s v="H"/>
    <d v="2015-02-04T00:00:00"/>
    <n v="733574569"/>
    <s v="5/18/2015"/>
    <n v="9871"/>
    <n v="255.28"/>
    <n v="159.41999999999999"/>
    <n v="2519868.88"/>
    <n v="1573634.82"/>
    <n v="946234.06"/>
  </r>
  <r>
    <x v="1"/>
    <s v="Estonia"/>
    <s v="Beverages"/>
    <s v="Online"/>
    <s v="M"/>
    <s v="11/28/2016"/>
    <n v="826677262"/>
    <d v="2017-09-01T00:00:00"/>
    <n v="1027"/>
    <n v="47.45"/>
    <n v="31.79"/>
    <n v="48731.15"/>
    <n v="32648.33"/>
    <n v="16082.82"/>
  </r>
  <r>
    <x v="4"/>
    <s v="Palau"/>
    <s v="Fruits"/>
    <s v="Online"/>
    <s v="L"/>
    <s v="2/28/2017"/>
    <n v="759777820"/>
    <s v="3/23/2017"/>
    <n v="3996"/>
    <n v="9.33"/>
    <n v="6.92"/>
    <n v="37282.68"/>
    <n v="27652.32"/>
    <n v="9630.36"/>
  </r>
  <r>
    <x v="5"/>
    <s v="South Sudan"/>
    <s v="Beverages"/>
    <s v="Online"/>
    <s v="H"/>
    <d v="2012-05-07T00:00:00"/>
    <n v="431362569"/>
    <d v="2012-09-08T00:00:00"/>
    <n v="8625"/>
    <n v="47.45"/>
    <n v="31.79"/>
    <n v="409256.25"/>
    <n v="274188.75"/>
    <n v="135067.5"/>
  </r>
  <r>
    <x v="0"/>
    <s v="Honduras"/>
    <s v="Baby Food"/>
    <s v="Offline"/>
    <s v="L"/>
    <s v="11/15/2011"/>
    <n v="710230338"/>
    <s v="11/19/2011"/>
    <n v="1795"/>
    <n v="255.28"/>
    <n v="159.41999999999999"/>
    <n v="458227.6"/>
    <n v="286158.90000000002"/>
    <n v="172068.7"/>
  </r>
  <r>
    <x v="0"/>
    <s v="Jamaica"/>
    <s v="Office Supplies"/>
    <s v="Offline"/>
    <s v="C"/>
    <d v="2010-02-02T00:00:00"/>
    <n v="285492455"/>
    <d v="2010-01-03T00:00:00"/>
    <n v="2417"/>
    <n v="651.21"/>
    <n v="524.96"/>
    <n v="1573974.57"/>
    <n v="1268828.32"/>
    <n v="305146.25"/>
  </r>
  <r>
    <x v="5"/>
    <s v="Democratic Republic of the Congo"/>
    <s v="Baby Food"/>
    <s v="Online"/>
    <s v="H"/>
    <d v="2014-08-06T00:00:00"/>
    <n v="616572749"/>
    <d v="2014-12-07T00:00:00"/>
    <n v="6433"/>
    <n v="255.28"/>
    <n v="159.41999999999999"/>
    <n v="1642216.24"/>
    <n v="1025548.86"/>
    <n v="616667.38"/>
  </r>
  <r>
    <x v="0"/>
    <s v="Panama"/>
    <s v="Personal Care"/>
    <s v="Offline"/>
    <s v="M"/>
    <d v="2010-06-07T00:00:00"/>
    <n v="983207547"/>
    <s v="7/25/2010"/>
    <n v="1817"/>
    <n v="81.73"/>
    <n v="56.67"/>
    <n v="148503.41"/>
    <n v="102969.39"/>
    <n v="45534.02"/>
  </r>
  <r>
    <x v="1"/>
    <s v="Poland"/>
    <s v="Beverages"/>
    <s v="Offline"/>
    <s v="H"/>
    <d v="2011-05-07T00:00:00"/>
    <n v="735445678"/>
    <s v="7/22/2011"/>
    <n v="3574"/>
    <n v="47.45"/>
    <n v="31.79"/>
    <n v="169586.3"/>
    <n v="113617.46"/>
    <n v="55968.84"/>
  </r>
  <r>
    <x v="3"/>
    <s v="Lebanon"/>
    <s v="Office Supplies"/>
    <s v="Offline"/>
    <s v="M"/>
    <d v="2016-11-07T00:00:00"/>
    <n v="643648469"/>
    <d v="2016-05-08T00:00:00"/>
    <n v="8740"/>
    <n v="651.21"/>
    <n v="524.96"/>
    <n v="5691575.4000000004"/>
    <n v="4588150.4000000004"/>
    <n v="1103425"/>
  </r>
  <r>
    <x v="3"/>
    <s v="Tunisia "/>
    <s v="Beverages"/>
    <s v="Online"/>
    <s v="L"/>
    <s v="5/15/2014"/>
    <n v="648489749"/>
    <d v="2014-11-06T00:00:00"/>
    <n v="1382"/>
    <n v="47.45"/>
    <n v="31.79"/>
    <n v="65575.899999999994"/>
    <n v="43933.78"/>
    <n v="21642.12"/>
  </r>
  <r>
    <x v="5"/>
    <s v="Sudan"/>
    <s v="Personal Care"/>
    <s v="Online"/>
    <s v="C"/>
    <s v="1/21/2010"/>
    <n v="310955846"/>
    <d v="2010-10-02T00:00:00"/>
    <n v="7600"/>
    <n v="81.73"/>
    <n v="56.67"/>
    <n v="621148"/>
    <n v="430692"/>
    <n v="190456"/>
  </r>
  <r>
    <x v="5"/>
    <s v="Guinea-Bissau"/>
    <s v="Baby Food"/>
    <s v="Online"/>
    <s v="C"/>
    <s v="6/16/2013"/>
    <n v="162345588"/>
    <s v="7/29/2013"/>
    <n v="522"/>
    <n v="255.28"/>
    <n v="159.41999999999999"/>
    <n v="133256.16"/>
    <n v="83217.240000000005"/>
    <n v="50038.92"/>
  </r>
  <r>
    <x v="1"/>
    <s v="San Marino"/>
    <s v="Vegetables"/>
    <s v="Offline"/>
    <s v="L"/>
    <s v="10/14/2012"/>
    <n v="354270303"/>
    <s v="11/27/2012"/>
    <n v="5310"/>
    <n v="154.06"/>
    <n v="90.93"/>
    <n v="818058.6"/>
    <n v="482838.3"/>
    <n v="335220.3"/>
  </r>
  <r>
    <x v="4"/>
    <s v="Nauru"/>
    <s v="Baby Food"/>
    <s v="Offline"/>
    <s v="C"/>
    <d v="2016-04-04T00:00:00"/>
    <n v="208653819"/>
    <s v="4/15/2016"/>
    <n v="4157"/>
    <n v="255.28"/>
    <n v="159.41999999999999"/>
    <n v="1061198.96"/>
    <n v="662708.93999999994"/>
    <n v="398490.02"/>
  </r>
  <r>
    <x v="2"/>
    <s v="Japan"/>
    <s v="Baby Food"/>
    <s v="Online"/>
    <s v="C"/>
    <d v="2010-06-06T00:00:00"/>
    <n v="467732465"/>
    <s v="7/22/2010"/>
    <n v="1285"/>
    <n v="255.28"/>
    <n v="159.41999999999999"/>
    <n v="328034.8"/>
    <n v="204854.7"/>
    <n v="123180.1"/>
  </r>
  <r>
    <x v="4"/>
    <s v="Palau"/>
    <s v="Meat"/>
    <s v="Offline"/>
    <s v="M"/>
    <d v="2017-01-01T00:00:00"/>
    <n v="144055068"/>
    <d v="2017-08-02T00:00:00"/>
    <n v="7951"/>
    <n v="421.89"/>
    <n v="364.69"/>
    <n v="3354447.39"/>
    <n v="2899650.19"/>
    <n v="454797.2"/>
  </r>
  <r>
    <x v="5"/>
    <s v="Seychelles "/>
    <s v="Vegetables"/>
    <s v="Online"/>
    <s v="L"/>
    <s v="4/23/2013"/>
    <n v="570482957"/>
    <d v="2013-03-06T00:00:00"/>
    <n v="7439"/>
    <n v="154.06"/>
    <n v="90.93"/>
    <n v="1146052.3400000001"/>
    <n v="676428.27"/>
    <n v="469624.07"/>
  </r>
  <r>
    <x v="3"/>
    <s v="Somalia"/>
    <s v="Household"/>
    <s v="Online"/>
    <s v="M"/>
    <s v="10/27/2011"/>
    <n v="450189960"/>
    <d v="2011-11-12T00:00:00"/>
    <n v="68"/>
    <n v="668.27"/>
    <n v="502.54"/>
    <n v="45442.36"/>
    <n v="34172.720000000001"/>
    <n v="11269.64"/>
  </r>
  <r>
    <x v="1"/>
    <s v="Spain"/>
    <s v="Cereal"/>
    <s v="Offline"/>
    <s v="H"/>
    <d v="2010-04-12T00:00:00"/>
    <n v="806662404"/>
    <d v="2010-07-12T00:00:00"/>
    <n v="8186"/>
    <n v="205.7"/>
    <n v="117.11"/>
    <n v="1683860.2"/>
    <n v="958662.46"/>
    <n v="725197.74"/>
  </r>
  <r>
    <x v="1"/>
    <s v="Netherlands"/>
    <s v="Personal Care"/>
    <s v="Offline"/>
    <s v="C"/>
    <s v="11/13/2013"/>
    <n v="933699119"/>
    <s v="11/24/2013"/>
    <n v="1173"/>
    <n v="81.73"/>
    <n v="56.67"/>
    <n v="95869.29"/>
    <n v="66473.91"/>
    <n v="29395.38"/>
  </r>
  <r>
    <x v="5"/>
    <s v="Gabon"/>
    <s v="Personal Care"/>
    <s v="Offline"/>
    <s v="C"/>
    <s v="5/20/2017"/>
    <n v="645411431"/>
    <d v="2017-12-06T00:00:00"/>
    <n v="440"/>
    <n v="81.73"/>
    <n v="56.67"/>
    <n v="35961.199999999997"/>
    <n v="24934.799999999999"/>
    <n v="11026.4"/>
  </r>
  <r>
    <x v="1"/>
    <s v="Switzerland"/>
    <s v="Baby Food"/>
    <s v="Offline"/>
    <s v="C"/>
    <s v="6/27/2015"/>
    <n v="726223170"/>
    <s v="7/31/2015"/>
    <n v="4429"/>
    <n v="255.28"/>
    <n v="159.41999999999999"/>
    <n v="1130635.1200000001"/>
    <n v="706071.18"/>
    <n v="424563.94"/>
  </r>
  <r>
    <x v="5"/>
    <s v="Burkina Faso"/>
    <s v="Cereal"/>
    <s v="Online"/>
    <s v="H"/>
    <s v="10/30/2010"/>
    <n v="680870664"/>
    <s v="10/31/2010"/>
    <n v="3615"/>
    <n v="205.7"/>
    <n v="117.11"/>
    <n v="743605.5"/>
    <n v="423352.65"/>
    <n v="320252.84999999998"/>
  </r>
  <r>
    <x v="0"/>
    <s v="Haiti"/>
    <s v="Meat"/>
    <s v="Offline"/>
    <s v="L"/>
    <s v="11/28/2010"/>
    <n v="984402740"/>
    <s v="12/18/2010"/>
    <n v="5501"/>
    <n v="421.89"/>
    <n v="364.69"/>
    <n v="2320816.89"/>
    <n v="2006159.69"/>
    <n v="314657.2"/>
  </r>
  <r>
    <x v="0"/>
    <s v="Belize"/>
    <s v="Office Supplies"/>
    <s v="Online"/>
    <s v="C"/>
    <s v="9/22/2016"/>
    <n v="832180726"/>
    <s v="9/22/2016"/>
    <n v="9625"/>
    <n v="651.21"/>
    <n v="524.96"/>
    <n v="6267896.25"/>
    <n v="5052740"/>
    <n v="1215156.25"/>
  </r>
  <r>
    <x v="3"/>
    <s v="Iraq"/>
    <s v="Fruits"/>
    <s v="Online"/>
    <s v="L"/>
    <s v="5/29/2011"/>
    <n v="389878451"/>
    <d v="2011-07-07T00:00:00"/>
    <n v="2553"/>
    <n v="9.33"/>
    <n v="6.92"/>
    <n v="23819.49"/>
    <n v="17666.759999999998"/>
    <n v="6152.73"/>
  </r>
  <r>
    <x v="4"/>
    <s v="Solomon Islands"/>
    <s v="Cosmetics"/>
    <s v="Online"/>
    <s v="M"/>
    <d v="2017-02-01T00:00:00"/>
    <n v="343482244"/>
    <s v="2/18/2017"/>
    <n v="2884"/>
    <n v="437.2"/>
    <n v="263.33"/>
    <n v="1260884.8"/>
    <n v="759443.72"/>
    <n v="501441.08"/>
  </r>
  <r>
    <x v="5"/>
    <s v="Sudan"/>
    <s v="Office Supplies"/>
    <s v="Offline"/>
    <s v="M"/>
    <s v="12/29/2014"/>
    <n v="549290931"/>
    <s v="1/20/2015"/>
    <n v="6248"/>
    <n v="651.21"/>
    <n v="524.96"/>
    <n v="4068760.08"/>
    <n v="3279950.08"/>
    <n v="788810"/>
  </r>
  <r>
    <x v="5"/>
    <s v="Chad"/>
    <s v="Beverages"/>
    <s v="Offline"/>
    <s v="C"/>
    <s v="8/18/2010"/>
    <n v="483915841"/>
    <s v="9/16/2010"/>
    <n v="306"/>
    <n v="47.45"/>
    <n v="31.79"/>
    <n v="14519.7"/>
    <n v="9727.74"/>
    <n v="4791.96"/>
  </r>
  <r>
    <x v="0"/>
    <s v="Saint Vincent and the Grenadines"/>
    <s v="Household"/>
    <s v="Offline"/>
    <s v="M"/>
    <d v="2014-05-01T00:00:00"/>
    <n v="594280803"/>
    <s v="1/21/2014"/>
    <n v="9751"/>
    <n v="668.27"/>
    <n v="502.54"/>
    <n v="6516300.7699999996"/>
    <n v="4900267.54"/>
    <n v="1616033.23"/>
  </r>
  <r>
    <x v="5"/>
    <s v="Mali"/>
    <s v="Personal Care"/>
    <s v="Online"/>
    <s v="H"/>
    <d v="2013-07-08T00:00:00"/>
    <n v="947622144"/>
    <s v="9/24/2013"/>
    <n v="1305"/>
    <n v="81.73"/>
    <n v="56.67"/>
    <n v="106657.65"/>
    <n v="73954.350000000006"/>
    <n v="32703.3"/>
  </r>
  <r>
    <x v="0"/>
    <s v="Trinidad and Tobago"/>
    <s v="Household"/>
    <s v="Online"/>
    <s v="M"/>
    <d v="2010-07-04T00:00:00"/>
    <n v="781488692"/>
    <d v="2010-03-05T00:00:00"/>
    <n v="8725"/>
    <n v="668.27"/>
    <n v="502.54"/>
    <n v="5830655.75"/>
    <n v="4384661.5"/>
    <n v="1445994.25"/>
  </r>
  <r>
    <x v="0"/>
    <s v="Costa Rica"/>
    <s v="Vegetables"/>
    <s v="Offline"/>
    <s v="C"/>
    <d v="2013-11-07T00:00:00"/>
    <n v="753741776"/>
    <s v="7/28/2013"/>
    <n v="7796"/>
    <n v="154.06"/>
    <n v="90.93"/>
    <n v="1201051.76"/>
    <n v="708890.28"/>
    <n v="492161.48"/>
  </r>
  <r>
    <x v="1"/>
    <s v="Czech Republic"/>
    <s v="Meat"/>
    <s v="Online"/>
    <s v="M"/>
    <d v="2015-09-01T00:00:00"/>
    <n v="692555224"/>
    <d v="2015-01-02T00:00:00"/>
    <n v="1336"/>
    <n v="421.89"/>
    <n v="364.69"/>
    <n v="563645.04"/>
    <n v="487225.84"/>
    <n v="76419.199999999997"/>
  </r>
  <r>
    <x v="0"/>
    <s v="Barbados"/>
    <s v="Personal Care"/>
    <s v="Online"/>
    <s v="M"/>
    <s v="1/18/2015"/>
    <n v="946415364"/>
    <s v="1/30/2015"/>
    <n v="4193"/>
    <n v="81.73"/>
    <n v="56.67"/>
    <n v="342693.89"/>
    <n v="237617.31"/>
    <n v="105076.58"/>
  </r>
  <r>
    <x v="1"/>
    <s v="Estonia"/>
    <s v="Vegetables"/>
    <s v="Online"/>
    <s v="L"/>
    <s v="2/28/2011"/>
    <n v="134121024"/>
    <d v="2011-08-04T00:00:00"/>
    <n v="8246"/>
    <n v="154.06"/>
    <n v="90.93"/>
    <n v="1270378.76"/>
    <n v="749808.78"/>
    <n v="520569.98"/>
  </r>
  <r>
    <x v="0"/>
    <s v="Cuba"/>
    <s v="Beverages"/>
    <s v="Online"/>
    <s v="C"/>
    <s v="2/18/2017"/>
    <n v="994783532"/>
    <d v="2017-12-03T00:00:00"/>
    <n v="7408"/>
    <n v="47.45"/>
    <n v="31.79"/>
    <n v="351509.6"/>
    <n v="235500.32"/>
    <n v="116009.28"/>
  </r>
  <r>
    <x v="0"/>
    <s v="Honduras"/>
    <s v="Beverages"/>
    <s v="Online"/>
    <s v="M"/>
    <s v="9/23/2013"/>
    <n v="937826716"/>
    <d v="2013-11-10T00:00:00"/>
    <n v="2621"/>
    <n v="47.45"/>
    <n v="31.79"/>
    <n v="124366.45"/>
    <n v="83321.59"/>
    <n v="41044.86"/>
  </r>
  <r>
    <x v="5"/>
    <s v="Benin"/>
    <s v="Office Supplies"/>
    <s v="Online"/>
    <s v="M"/>
    <s v="1/24/2013"/>
    <n v="592986905"/>
    <s v="3/13/2013"/>
    <n v="6858"/>
    <n v="651.21"/>
    <n v="524.96"/>
    <n v="4465998.18"/>
    <n v="3600175.68"/>
    <n v="865822.5"/>
  </r>
  <r>
    <x v="1"/>
    <s v="Estonia"/>
    <s v="Clothes"/>
    <s v="Offline"/>
    <s v="C"/>
    <s v="12/18/2016"/>
    <n v="660312926"/>
    <d v="2017-05-01T00:00:00"/>
    <n v="123"/>
    <n v="109.28"/>
    <n v="35.840000000000003"/>
    <n v="13441.44"/>
    <n v="4408.32"/>
    <n v="9033.1200000000008"/>
  </r>
  <r>
    <x v="2"/>
    <s v="Thailand"/>
    <s v="Beverages"/>
    <s v="Online"/>
    <s v="H"/>
    <d v="2013-03-03T00:00:00"/>
    <n v="560166108"/>
    <d v="2013-05-03T00:00:00"/>
    <n v="4454"/>
    <n v="47.45"/>
    <n v="31.79"/>
    <n v="211342.3"/>
    <n v="141592.66"/>
    <n v="69749.64"/>
  </r>
  <r>
    <x v="4"/>
    <s v="East Timor"/>
    <s v="Cereal"/>
    <s v="Offline"/>
    <s v="L"/>
    <s v="12/28/2016"/>
    <n v="683220279"/>
    <d v="2017-06-01T00:00:00"/>
    <n v="8918"/>
    <n v="205.7"/>
    <n v="117.11"/>
    <n v="1834432.6"/>
    <n v="1044386.98"/>
    <n v="790045.62"/>
  </r>
  <r>
    <x v="1"/>
    <s v="Ukraine"/>
    <s v="Cosmetics"/>
    <s v="Online"/>
    <s v="C"/>
    <d v="2014-08-07T00:00:00"/>
    <n v="140461766"/>
    <s v="7/20/2014"/>
    <n v="4613"/>
    <n v="437.2"/>
    <n v="263.33"/>
    <n v="2016803.6"/>
    <n v="1214741.29"/>
    <n v="802062.31"/>
  </r>
  <r>
    <x v="2"/>
    <s v="Kyrgyzstan"/>
    <s v="Baby Food"/>
    <s v="Online"/>
    <s v="M"/>
    <s v="10/30/2011"/>
    <n v="813189399"/>
    <s v="11/22/2011"/>
    <n v="9669"/>
    <n v="255.28"/>
    <n v="159.41999999999999"/>
    <n v="2468302.3199999998"/>
    <n v="1541431.98"/>
    <n v="926870.34"/>
  </r>
  <r>
    <x v="0"/>
    <s v="Jamaica"/>
    <s v="Meat"/>
    <s v="Online"/>
    <s v="M"/>
    <s v="1/27/2016"/>
    <n v="603014504"/>
    <d v="2016-11-02T00:00:00"/>
    <n v="4247"/>
    <n v="421.89"/>
    <n v="364.69"/>
    <n v="1791766.83"/>
    <n v="1548838.43"/>
    <n v="242928.4"/>
  </r>
  <r>
    <x v="5"/>
    <s v="Angola"/>
    <s v="Vegetables"/>
    <s v="Online"/>
    <s v="H"/>
    <d v="2016-12-07T00:00:00"/>
    <n v="181860911"/>
    <s v="7/15/2016"/>
    <n v="5540"/>
    <n v="154.06"/>
    <n v="90.93"/>
    <n v="853492.4"/>
    <n v="503752.2"/>
    <n v="349740.2"/>
  </r>
  <r>
    <x v="1"/>
    <s v="Ukraine"/>
    <s v="Cereal"/>
    <s v="Offline"/>
    <s v="C"/>
    <s v="2/13/2011"/>
    <n v="741964948"/>
    <s v="2/26/2011"/>
    <n v="2771"/>
    <n v="205.7"/>
    <n v="117.11"/>
    <n v="569994.69999999995"/>
    <n v="324511.81"/>
    <n v="245482.89"/>
  </r>
  <r>
    <x v="5"/>
    <s v="Zambia"/>
    <s v="Meat"/>
    <s v="Online"/>
    <s v="H"/>
    <d v="2010-08-03T00:00:00"/>
    <n v="845875442"/>
    <s v="3/17/2010"/>
    <n v="2195"/>
    <n v="421.89"/>
    <n v="364.69"/>
    <n v="926048.55"/>
    <n v="800494.55"/>
    <n v="125554"/>
  </r>
  <r>
    <x v="1"/>
    <s v="San Marino"/>
    <s v="Snacks"/>
    <s v="Offline"/>
    <s v="C"/>
    <s v="7/22/2017"/>
    <n v="476453721"/>
    <d v="2017-10-08T00:00:00"/>
    <n v="2099"/>
    <n v="152.58000000000001"/>
    <n v="97.44"/>
    <n v="320265.42"/>
    <n v="204526.56"/>
    <n v="115738.86"/>
  </r>
  <r>
    <x v="3"/>
    <s v="Qatar"/>
    <s v="Snacks"/>
    <s v="Online"/>
    <s v="H"/>
    <s v="8/20/2011"/>
    <n v="586873614"/>
    <s v="8/29/2011"/>
    <n v="7799"/>
    <n v="152.58000000000001"/>
    <n v="97.44"/>
    <n v="1189971.42"/>
    <n v="759934.56"/>
    <n v="430036.86"/>
  </r>
  <r>
    <x v="2"/>
    <s v="Malaysia"/>
    <s v="Meat"/>
    <s v="Online"/>
    <s v="L"/>
    <s v="4/23/2017"/>
    <n v="850621449"/>
    <d v="2017-02-05T00:00:00"/>
    <n v="6644"/>
    <n v="421.89"/>
    <n v="364.69"/>
    <n v="2803037.16"/>
    <n v="2423000.36"/>
    <n v="380036.8"/>
  </r>
  <r>
    <x v="1"/>
    <s v="Belgium"/>
    <s v="Fruits"/>
    <s v="Online"/>
    <s v="M"/>
    <s v="4/28/2011"/>
    <n v="111496055"/>
    <d v="2011-04-06T00:00:00"/>
    <n v="3015"/>
    <n v="9.33"/>
    <n v="6.92"/>
    <n v="28129.95"/>
    <n v="20863.8"/>
    <n v="7266.15"/>
  </r>
  <r>
    <x v="2"/>
    <s v="Nepal"/>
    <s v="Vegetables"/>
    <s v="Offline"/>
    <s v="L"/>
    <s v="11/29/2016"/>
    <n v="433608758"/>
    <s v="12/21/2016"/>
    <n v="3322"/>
    <n v="154.06"/>
    <n v="90.93"/>
    <n v="511787.32"/>
    <n v="302069.46000000002"/>
    <n v="209717.86"/>
  </r>
  <r>
    <x v="2"/>
    <s v="Japan"/>
    <s v="Clothes"/>
    <s v="Online"/>
    <s v="H"/>
    <s v="9/25/2016"/>
    <n v="351383388"/>
    <s v="10/30/2016"/>
    <n v="1008"/>
    <n v="109.28"/>
    <n v="35.840000000000003"/>
    <n v="110154.24000000001"/>
    <n v="36126.720000000001"/>
    <n v="74027.520000000004"/>
  </r>
  <r>
    <x v="0"/>
    <s v="El Salvador"/>
    <s v="Meat"/>
    <s v="Offline"/>
    <s v="H"/>
    <s v="3/24/2017"/>
    <n v="719556272"/>
    <d v="2017-01-04T00:00:00"/>
    <n v="1546"/>
    <n v="421.89"/>
    <n v="364.69"/>
    <n v="652241.93999999994"/>
    <n v="563810.74"/>
    <n v="88431.2"/>
  </r>
  <r>
    <x v="0"/>
    <s v="Jamaica"/>
    <s v="Household"/>
    <s v="Offline"/>
    <s v="L"/>
    <s v="7/14/2014"/>
    <n v="663176238"/>
    <s v="7/26/2014"/>
    <n v="7441"/>
    <n v="668.27"/>
    <n v="502.54"/>
    <n v="4972597.07"/>
    <n v="3739400.14"/>
    <n v="1233196.93"/>
  </r>
  <r>
    <x v="5"/>
    <s v="South Sudan"/>
    <s v="Baby Food"/>
    <s v="Offline"/>
    <s v="M"/>
    <d v="2013-06-06T00:00:00"/>
    <n v="727604615"/>
    <d v="2013-07-07T00:00:00"/>
    <n v="3229"/>
    <n v="255.28"/>
    <n v="159.41999999999999"/>
    <n v="824299.12"/>
    <n v="514767.18"/>
    <n v="309531.94"/>
  </r>
  <r>
    <x v="1"/>
    <s v="Slovakia"/>
    <s v="Vegetables"/>
    <s v="Online"/>
    <s v="L"/>
    <s v="12/25/2015"/>
    <n v="628515231"/>
    <d v="2016-01-02T00:00:00"/>
    <n v="479"/>
    <n v="154.06"/>
    <n v="90.93"/>
    <n v="73794.740000000005"/>
    <n v="43555.47"/>
    <n v="30239.27"/>
  </r>
  <r>
    <x v="1"/>
    <s v="Slovakia"/>
    <s v="Office Supplies"/>
    <s v="Offline"/>
    <s v="M"/>
    <d v="2010-02-03T00:00:00"/>
    <n v="601894414"/>
    <s v="3/19/2010"/>
    <n v="2787"/>
    <n v="651.21"/>
    <n v="524.96"/>
    <n v="1814922.27"/>
    <n v="1463063.52"/>
    <n v="351858.75"/>
  </r>
  <r>
    <x v="1"/>
    <s v="Bosnia and Herzegovina"/>
    <s v="Snacks"/>
    <s v="Offline"/>
    <s v="L"/>
    <s v="7/14/2011"/>
    <n v="954040992"/>
    <s v="8/27/2011"/>
    <n v="785"/>
    <n v="152.58000000000001"/>
    <n v="97.44"/>
    <n v="119775.3"/>
    <n v="76490.399999999994"/>
    <n v="43284.9"/>
  </r>
  <r>
    <x v="3"/>
    <s v="Saudi Arabia"/>
    <s v="Cosmetics"/>
    <s v="Offline"/>
    <s v="M"/>
    <s v="12/22/2013"/>
    <n v="711566293"/>
    <s v="12/26/2013"/>
    <n v="7133"/>
    <n v="437.2"/>
    <n v="263.33"/>
    <n v="3118547.6"/>
    <n v="1878332.89"/>
    <n v="1240214.71"/>
  </r>
  <r>
    <x v="4"/>
    <s v="Tuvalu"/>
    <s v="Beverages"/>
    <s v="Offline"/>
    <s v="M"/>
    <s v="3/28/2016"/>
    <n v="771394145"/>
    <s v="4/22/2016"/>
    <n v="1524"/>
    <n v="47.45"/>
    <n v="31.79"/>
    <n v="72313.8"/>
    <n v="48447.96"/>
    <n v="23865.84"/>
  </r>
  <r>
    <x v="3"/>
    <s v="Bahrain"/>
    <s v="Vegetables"/>
    <s v="Offline"/>
    <s v="M"/>
    <s v="7/25/2010"/>
    <n v="750760877"/>
    <d v="2010-07-09T00:00:00"/>
    <n v="5682"/>
    <n v="154.06"/>
    <n v="90.93"/>
    <n v="875368.92"/>
    <n v="516664.26"/>
    <n v="358704.66"/>
  </r>
  <r>
    <x v="5"/>
    <s v="Djibouti"/>
    <s v="Baby Food"/>
    <s v="Offline"/>
    <s v="L"/>
    <d v="2016-03-10T00:00:00"/>
    <n v="337215316"/>
    <d v="2016-11-11T00:00:00"/>
    <n v="8360"/>
    <n v="255.28"/>
    <n v="159.41999999999999"/>
    <n v="2134140.7999999998"/>
    <n v="1332751.2"/>
    <n v="801389.6"/>
  </r>
  <r>
    <x v="0"/>
    <s v="Costa Rica"/>
    <s v="Baby Food"/>
    <s v="Offline"/>
    <s v="L"/>
    <d v="2010-05-04T00:00:00"/>
    <n v="638618791"/>
    <s v="5/25/2010"/>
    <n v="347"/>
    <n v="255.28"/>
    <n v="159.41999999999999"/>
    <n v="88582.16"/>
    <n v="55318.74"/>
    <n v="33263.42"/>
  </r>
  <r>
    <x v="4"/>
    <s v="Nauru"/>
    <s v="Meat"/>
    <s v="Online"/>
    <s v="L"/>
    <s v="10/15/2016"/>
    <n v="133145129"/>
    <s v="10/19/2016"/>
    <n v="9457"/>
    <n v="421.89"/>
    <n v="364.69"/>
    <n v="3989813.73"/>
    <n v="3448873.33"/>
    <n v="540940.4"/>
  </r>
  <r>
    <x v="2"/>
    <s v="Cambodia"/>
    <s v="Household"/>
    <s v="Offline"/>
    <s v="C"/>
    <s v="2/18/2010"/>
    <n v="519280660"/>
    <d v="2010-06-04T00:00:00"/>
    <n v="5542"/>
    <n v="668.27"/>
    <n v="502.54"/>
    <n v="3703552.34"/>
    <n v="2785076.68"/>
    <n v="918475.66"/>
  </r>
  <r>
    <x v="1"/>
    <s v="Czech Republic"/>
    <s v="Office Supplies"/>
    <s v="Online"/>
    <s v="M"/>
    <d v="2014-09-05T00:00:00"/>
    <n v="865824210"/>
    <s v="5/14/2014"/>
    <n v="5479"/>
    <n v="651.21"/>
    <n v="524.96"/>
    <n v="3567979.59"/>
    <n v="2876255.84"/>
    <n v="691723.75"/>
  </r>
  <r>
    <x v="1"/>
    <s v="Belgium"/>
    <s v="Clothes"/>
    <s v="Offline"/>
    <s v="M"/>
    <s v="9/20/2016"/>
    <n v="761887109"/>
    <s v="10/14/2016"/>
    <n v="8181"/>
    <n v="109.28"/>
    <n v="35.840000000000003"/>
    <n v="894019.68"/>
    <n v="293207.03999999998"/>
    <n v="600812.64"/>
  </r>
  <r>
    <x v="5"/>
    <s v="Guinea-Bissau"/>
    <s v="Meat"/>
    <s v="Offline"/>
    <s v="M"/>
    <d v="2016-06-12T00:00:00"/>
    <n v="766893184"/>
    <d v="2017-10-01T00:00:00"/>
    <n v="9590"/>
    <n v="421.89"/>
    <n v="364.69"/>
    <n v="4045925.1"/>
    <n v="3497377.1"/>
    <n v="548548"/>
  </r>
  <r>
    <x v="1"/>
    <s v="Romania"/>
    <s v="Office Supplies"/>
    <s v="Online"/>
    <s v="L"/>
    <s v="9/27/2015"/>
    <n v="160578763"/>
    <s v="10/30/2015"/>
    <n v="7679"/>
    <n v="651.21"/>
    <n v="524.96"/>
    <n v="5000641.59"/>
    <n v="4031167.84"/>
    <n v="969473.75"/>
  </r>
  <r>
    <x v="1"/>
    <s v="Serbia"/>
    <s v="Vegetables"/>
    <s v="Offline"/>
    <s v="M"/>
    <d v="2011-08-03T00:00:00"/>
    <n v="992992675"/>
    <d v="2011-09-03T00:00:00"/>
    <n v="7454"/>
    <n v="154.06"/>
    <n v="90.93"/>
    <n v="1148363.24"/>
    <n v="677792.22"/>
    <n v="470571.02"/>
  </r>
  <r>
    <x v="5"/>
    <s v="Mauritius "/>
    <s v="Household"/>
    <s v="Online"/>
    <s v="M"/>
    <d v="2017-04-07T00:00:00"/>
    <n v="434496247"/>
    <d v="2017-10-08T00:00:00"/>
    <n v="5950"/>
    <n v="668.27"/>
    <n v="502.54"/>
    <n v="3976206.5"/>
    <n v="2990113"/>
    <n v="986093.5"/>
  </r>
  <r>
    <x v="5"/>
    <s v="Sierra Leone"/>
    <s v="Cereal"/>
    <s v="Online"/>
    <s v="L"/>
    <s v="12/13/2015"/>
    <n v="225763309"/>
    <d v="2016-06-01T00:00:00"/>
    <n v="7235"/>
    <n v="205.7"/>
    <n v="117.11"/>
    <n v="1488239.5"/>
    <n v="847290.85"/>
    <n v="640948.65"/>
  </r>
  <r>
    <x v="5"/>
    <s v="Zambia"/>
    <s v="Baby Food"/>
    <s v="Offline"/>
    <s v="C"/>
    <d v="2011-11-07T00:00:00"/>
    <n v="827780187"/>
    <s v="7/22/2011"/>
    <n v="7407"/>
    <n v="255.28"/>
    <n v="159.41999999999999"/>
    <n v="1890858.96"/>
    <n v="1180823.94"/>
    <n v="710035.02"/>
  </r>
  <r>
    <x v="0"/>
    <s v="Haiti"/>
    <s v="Snacks"/>
    <s v="Online"/>
    <s v="C"/>
    <d v="2014-08-02T00:00:00"/>
    <n v="971845710"/>
    <s v="3/15/2014"/>
    <n v="9597"/>
    <n v="152.58000000000001"/>
    <n v="97.44"/>
    <n v="1464310.26"/>
    <n v="935131.68"/>
    <n v="529178.57999999996"/>
  </r>
  <r>
    <x v="6"/>
    <s v="Greenland"/>
    <s v="Beverages"/>
    <s v="Online"/>
    <s v="L"/>
    <s v="11/27/2011"/>
    <n v="809571206"/>
    <d v="2012-11-01T00:00:00"/>
    <n v="8965"/>
    <n v="47.45"/>
    <n v="31.79"/>
    <n v="425389.25"/>
    <n v="284997.34999999998"/>
    <n v="140391.9"/>
  </r>
  <r>
    <x v="0"/>
    <s v="Saint Kitts and Nevis "/>
    <s v="Office Supplies"/>
    <s v="Online"/>
    <s v="H"/>
    <s v="2/18/2013"/>
    <n v="562880504"/>
    <s v="3/19/2013"/>
    <n v="7704"/>
    <n v="651.21"/>
    <n v="524.96"/>
    <n v="5016921.84"/>
    <n v="4044291.84"/>
    <n v="972630"/>
  </r>
  <r>
    <x v="5"/>
    <s v="Gabon"/>
    <s v="Meat"/>
    <s v="Offline"/>
    <s v="H"/>
    <d v="2011-06-12T00:00:00"/>
    <n v="974009931"/>
    <s v="1/13/2012"/>
    <n v="38"/>
    <n v="421.89"/>
    <n v="364.69"/>
    <n v="16031.82"/>
    <n v="13858.22"/>
    <n v="2173.6"/>
  </r>
  <r>
    <x v="2"/>
    <s v="Tajikistan"/>
    <s v="Fruits"/>
    <s v="Offline"/>
    <s v="C"/>
    <d v="2014-04-11T00:00:00"/>
    <n v="155508315"/>
    <s v="11/17/2014"/>
    <n v="7221"/>
    <n v="9.33"/>
    <n v="6.92"/>
    <n v="67371.929999999993"/>
    <n v="49969.32"/>
    <n v="17402.61"/>
  </r>
  <r>
    <x v="5"/>
    <s v="Seychelles "/>
    <s v="Household"/>
    <s v="Online"/>
    <s v="M"/>
    <d v="2014-08-05T00:00:00"/>
    <n v="340236985"/>
    <s v="5/13/2014"/>
    <n v="2540"/>
    <n v="668.27"/>
    <n v="502.54"/>
    <n v="1697405.8"/>
    <n v="1276451.6000000001"/>
    <n v="420954.2"/>
  </r>
  <r>
    <x v="1"/>
    <s v="Slovakia"/>
    <s v="Clothes"/>
    <s v="Online"/>
    <s v="M"/>
    <d v="2015-09-05T00:00:00"/>
    <n v="231369769"/>
    <s v="5/16/2015"/>
    <n v="6311"/>
    <n v="109.28"/>
    <n v="35.840000000000003"/>
    <n v="689666.08"/>
    <n v="226186.23999999999"/>
    <n v="463479.84"/>
  </r>
  <r>
    <x v="1"/>
    <s v="Lithuania"/>
    <s v="Cosmetics"/>
    <s v="Online"/>
    <s v="M"/>
    <s v="3/28/2016"/>
    <n v="852392995"/>
    <s v="4/19/2016"/>
    <n v="884"/>
    <n v="437.2"/>
    <n v="263.33"/>
    <n v="386484.8"/>
    <n v="232783.72"/>
    <n v="153701.07999999999"/>
  </r>
  <r>
    <x v="1"/>
    <s v="Macedonia"/>
    <s v="Snacks"/>
    <s v="Offline"/>
    <s v="M"/>
    <d v="2012-06-09T00:00:00"/>
    <n v="597105491"/>
    <s v="10/20/2012"/>
    <n v="5639"/>
    <n v="152.58000000000001"/>
    <n v="97.44"/>
    <n v="860398.62"/>
    <n v="549464.16"/>
    <n v="310934.46000000002"/>
  </r>
  <r>
    <x v="3"/>
    <s v="Kuwait"/>
    <s v="Fruits"/>
    <s v="Offline"/>
    <s v="L"/>
    <s v="7/23/2016"/>
    <n v="179618585"/>
    <s v="8/20/2016"/>
    <n v="1986"/>
    <n v="9.33"/>
    <n v="6.92"/>
    <n v="18529.38"/>
    <n v="13743.12"/>
    <n v="4786.26"/>
  </r>
  <r>
    <x v="5"/>
    <s v="Namibia"/>
    <s v="Fruits"/>
    <s v="Offline"/>
    <s v="H"/>
    <s v="4/26/2014"/>
    <n v="384356105"/>
    <s v="5/14/2014"/>
    <n v="8368"/>
    <n v="9.33"/>
    <n v="6.92"/>
    <n v="78073.440000000002"/>
    <n v="57906.559999999998"/>
    <n v="20166.88"/>
  </r>
  <r>
    <x v="1"/>
    <s v="Andorra"/>
    <s v="Fruits"/>
    <s v="Offline"/>
    <s v="L"/>
    <d v="2016-04-03T00:00:00"/>
    <n v="716054379"/>
    <s v="3/26/2016"/>
    <n v="5258"/>
    <n v="9.33"/>
    <n v="6.92"/>
    <n v="49057.14"/>
    <n v="36385.360000000001"/>
    <n v="12671.78"/>
  </r>
  <r>
    <x v="5"/>
    <s v="Uganda"/>
    <s v="Household"/>
    <s v="Online"/>
    <s v="L"/>
    <s v="6/27/2014"/>
    <n v="749762237"/>
    <d v="2014-02-08T00:00:00"/>
    <n v="162"/>
    <n v="668.27"/>
    <n v="502.54"/>
    <n v="108259.74"/>
    <n v="81411.48"/>
    <n v="26848.26"/>
  </r>
  <r>
    <x v="4"/>
    <s v="Nauru"/>
    <s v="Beverages"/>
    <s v="Offline"/>
    <s v="H"/>
    <d v="2010-03-04T00:00:00"/>
    <n v="580841004"/>
    <s v="4/22/2010"/>
    <n v="2616"/>
    <n v="47.45"/>
    <n v="31.79"/>
    <n v="124129.2"/>
    <n v="83162.64"/>
    <n v="40966.559999999998"/>
  </r>
  <r>
    <x v="2"/>
    <s v="Kyrgyzstan"/>
    <s v="Fruits"/>
    <s v="Online"/>
    <s v="M"/>
    <s v="11/21/2016"/>
    <n v="374964511"/>
    <d v="2016-09-12T00:00:00"/>
    <n v="9186"/>
    <n v="9.33"/>
    <n v="6.92"/>
    <n v="85705.38"/>
    <n v="63567.12"/>
    <n v="22138.26"/>
  </r>
  <r>
    <x v="5"/>
    <s v="Guinea"/>
    <s v="Beverages"/>
    <s v="Online"/>
    <s v="L"/>
    <d v="2011-08-01T00:00:00"/>
    <n v="818119084"/>
    <s v="2/21/2011"/>
    <n v="8472"/>
    <n v="47.45"/>
    <n v="31.79"/>
    <n v="401996.4"/>
    <n v="269324.88"/>
    <n v="132671.51999999999"/>
  </r>
  <r>
    <x v="4"/>
    <s v="Tonga"/>
    <s v="Cereal"/>
    <s v="Offline"/>
    <s v="M"/>
    <s v="12/22/2011"/>
    <n v="866603553"/>
    <d v="2012-07-02T00:00:00"/>
    <n v="6104"/>
    <n v="205.7"/>
    <n v="117.11"/>
    <n v="1255592.8"/>
    <n v="714839.44"/>
    <n v="540753.36"/>
  </r>
  <r>
    <x v="6"/>
    <s v="Canada"/>
    <s v="Household"/>
    <s v="Online"/>
    <s v="M"/>
    <d v="2017-09-06T00:00:00"/>
    <n v="897029244"/>
    <s v="7/16/2017"/>
    <n v="9742"/>
    <n v="668.27"/>
    <n v="502.54"/>
    <n v="6510286.3399999999"/>
    <n v="4895744.68"/>
    <n v="1614541.66"/>
  </r>
  <r>
    <x v="0"/>
    <s v="Grenada"/>
    <s v="Beverages"/>
    <s v="Online"/>
    <s v="M"/>
    <s v="10/17/2014"/>
    <n v="456319987"/>
    <d v="2014-01-11T00:00:00"/>
    <n v="4080"/>
    <n v="47.45"/>
    <n v="31.79"/>
    <n v="193596"/>
    <n v="129703.2"/>
    <n v="63892.800000000003"/>
  </r>
  <r>
    <x v="1"/>
    <s v="Austria"/>
    <s v="Office Supplies"/>
    <s v="Offline"/>
    <s v="C"/>
    <s v="3/21/2015"/>
    <n v="511712110"/>
    <d v="2015-07-05T00:00:00"/>
    <n v="5839"/>
    <n v="651.21"/>
    <n v="524.96"/>
    <n v="3802415.19"/>
    <n v="3065241.44"/>
    <n v="737173.75"/>
  </r>
  <r>
    <x v="2"/>
    <s v="Maldives"/>
    <s v="Fruits"/>
    <s v="Online"/>
    <s v="C"/>
    <d v="2012-04-01T00:00:00"/>
    <n v="300754439"/>
    <d v="2012-06-02T00:00:00"/>
    <n v="8777"/>
    <n v="9.33"/>
    <n v="6.92"/>
    <n v="81889.41"/>
    <n v="60736.84"/>
    <n v="21152.57"/>
  </r>
  <r>
    <x v="1"/>
    <s v="Finland"/>
    <s v="Baby Food"/>
    <s v="Offline"/>
    <s v="C"/>
    <d v="2014-07-09T00:00:00"/>
    <n v="481308305"/>
    <s v="10/16/2014"/>
    <n v="8678"/>
    <n v="255.28"/>
    <n v="159.41999999999999"/>
    <n v="2215319.84"/>
    <n v="1383446.76"/>
    <n v="831873.08"/>
  </r>
  <r>
    <x v="5"/>
    <s v="Rwanda"/>
    <s v="Office Supplies"/>
    <s v="Online"/>
    <s v="H"/>
    <s v="11/21/2014"/>
    <n v="881547534"/>
    <d v="2014-09-12T00:00:00"/>
    <n v="8360"/>
    <n v="651.21"/>
    <n v="524.96"/>
    <n v="5444115.5999999996"/>
    <n v="4388665.5999999996"/>
    <n v="1055450"/>
  </r>
  <r>
    <x v="3"/>
    <s v="Somalia"/>
    <s v="Baby Food"/>
    <s v="Offline"/>
    <s v="C"/>
    <s v="11/27/2012"/>
    <n v="949958455"/>
    <d v="2013-04-01T00:00:00"/>
    <n v="2672"/>
    <n v="255.28"/>
    <n v="159.41999999999999"/>
    <n v="682108.16"/>
    <n v="425970.24"/>
    <n v="256137.92"/>
  </r>
  <r>
    <x v="0"/>
    <s v="Costa Rica"/>
    <s v="Office Supplies"/>
    <s v="Online"/>
    <s v="C"/>
    <s v="11/17/2013"/>
    <n v="205339896"/>
    <s v="11/20/2013"/>
    <n v="3493"/>
    <n v="651.21"/>
    <n v="524.96"/>
    <n v="2274676.5299999998"/>
    <n v="1833685.28"/>
    <n v="440991.25"/>
  </r>
  <r>
    <x v="5"/>
    <s v="Lesotho"/>
    <s v="Beverages"/>
    <s v="Online"/>
    <s v="H"/>
    <d v="2016-05-06T00:00:00"/>
    <n v="486803185"/>
    <d v="2016-08-07T00:00:00"/>
    <n v="4735"/>
    <n v="47.45"/>
    <n v="31.79"/>
    <n v="224675.75"/>
    <n v="150525.65"/>
    <n v="74150.100000000006"/>
  </r>
  <r>
    <x v="3"/>
    <s v="Lebanon"/>
    <s v="Baby Food"/>
    <s v="Online"/>
    <s v="M"/>
    <s v="6/18/2016"/>
    <n v="103772151"/>
    <s v="7/22/2016"/>
    <n v="7340"/>
    <n v="255.28"/>
    <n v="159.41999999999999"/>
    <n v="1873755.2"/>
    <n v="1170142.8"/>
    <n v="703612.4"/>
  </r>
  <r>
    <x v="2"/>
    <s v="India"/>
    <s v="Snacks"/>
    <s v="Online"/>
    <s v="H"/>
    <s v="12/15/2010"/>
    <n v="585983121"/>
    <d v="2011-09-01T00:00:00"/>
    <n v="4282"/>
    <n v="152.58000000000001"/>
    <n v="97.44"/>
    <n v="653347.56000000006"/>
    <n v="417238.08"/>
    <n v="236109.48"/>
  </r>
  <r>
    <x v="5"/>
    <s v="Swaziland"/>
    <s v="Clothes"/>
    <s v="Offline"/>
    <s v="L"/>
    <s v="11/15/2016"/>
    <n v="833484923"/>
    <d v="2016-01-12T00:00:00"/>
    <n v="5566"/>
    <n v="109.28"/>
    <n v="35.840000000000003"/>
    <n v="608252.48"/>
    <n v="199485.44"/>
    <n v="408767.04"/>
  </r>
  <r>
    <x v="1"/>
    <s v="Andorra"/>
    <s v="Household"/>
    <s v="Online"/>
    <s v="C"/>
    <s v="5/22/2014"/>
    <n v="266638886"/>
    <s v="6/19/2014"/>
    <n v="3227"/>
    <n v="668.27"/>
    <n v="502.54"/>
    <n v="2156507.29"/>
    <n v="1621696.58"/>
    <n v="534810.71"/>
  </r>
  <r>
    <x v="2"/>
    <s v="Maldives"/>
    <s v="Beverages"/>
    <s v="Offline"/>
    <s v="M"/>
    <s v="3/28/2011"/>
    <n v="176118838"/>
    <s v="4/17/2011"/>
    <n v="6333"/>
    <n v="47.45"/>
    <n v="31.79"/>
    <n v="300500.84999999998"/>
    <n v="201326.07"/>
    <n v="99174.78"/>
  </r>
  <r>
    <x v="2"/>
    <s v="Malaysia"/>
    <s v="Cosmetics"/>
    <s v="Online"/>
    <s v="M"/>
    <s v="3/22/2016"/>
    <n v="572911107"/>
    <d v="2016-07-04T00:00:00"/>
    <n v="5983"/>
    <n v="437.2"/>
    <n v="263.33"/>
    <n v="2615767.6"/>
    <n v="1575503.39"/>
    <n v="1040264.21"/>
  </r>
  <r>
    <x v="1"/>
    <s v="Moldova "/>
    <s v="Meat"/>
    <s v="Online"/>
    <s v="H"/>
    <s v="9/17/2012"/>
    <n v="638314521"/>
    <s v="10/15/2012"/>
    <n v="306"/>
    <n v="421.89"/>
    <n v="364.69"/>
    <n v="129098.34"/>
    <n v="111595.14"/>
    <n v="17503.2"/>
  </r>
  <r>
    <x v="3"/>
    <s v="Morocco"/>
    <s v="Personal Care"/>
    <s v="Online"/>
    <s v="H"/>
    <d v="2015-05-06T00:00:00"/>
    <n v="973940408"/>
    <d v="2015-05-07T00:00:00"/>
    <n v="9465"/>
    <n v="81.73"/>
    <n v="56.67"/>
    <n v="773574.45"/>
    <n v="536381.55000000005"/>
    <n v="237192.9"/>
  </r>
  <r>
    <x v="5"/>
    <s v="South Sudan"/>
    <s v="Vegetables"/>
    <s v="Online"/>
    <s v="H"/>
    <s v="8/23/2013"/>
    <n v="451712596"/>
    <s v="9/28/2013"/>
    <n v="650"/>
    <n v="154.06"/>
    <n v="90.93"/>
    <n v="100139"/>
    <n v="59104.5"/>
    <n v="41034.5"/>
  </r>
  <r>
    <x v="5"/>
    <s v="The Gambia"/>
    <s v="Cosmetics"/>
    <s v="Online"/>
    <s v="C"/>
    <d v="2012-08-11T00:00:00"/>
    <n v="263867413"/>
    <s v="11/28/2012"/>
    <n v="3086"/>
    <n v="437.2"/>
    <n v="263.33"/>
    <n v="1349199.2"/>
    <n v="812636.38"/>
    <n v="536562.81999999995"/>
  </r>
  <r>
    <x v="0"/>
    <s v="El Salvador"/>
    <s v="Beverages"/>
    <s v="Online"/>
    <s v="M"/>
    <s v="10/31/2015"/>
    <n v="772953689"/>
    <s v="12/19/2015"/>
    <n v="3028"/>
    <n v="47.45"/>
    <n v="31.79"/>
    <n v="143678.6"/>
    <n v="96260.12"/>
    <n v="47418.48"/>
  </r>
  <r>
    <x v="2"/>
    <s v="Bhutan"/>
    <s v="Snacks"/>
    <s v="Offline"/>
    <s v="M"/>
    <d v="2011-06-04T00:00:00"/>
    <n v="161832749"/>
    <s v="5/25/2011"/>
    <n v="8762"/>
    <n v="152.58000000000001"/>
    <n v="97.44"/>
    <n v="1336905.96"/>
    <n v="853769.28"/>
    <n v="483136.68"/>
  </r>
  <r>
    <x v="2"/>
    <s v="Brunei"/>
    <s v="Meat"/>
    <s v="Online"/>
    <s v="L"/>
    <s v="5/27/2015"/>
    <n v="283678424"/>
    <d v="2015-03-07T00:00:00"/>
    <n v="5604"/>
    <n v="421.89"/>
    <n v="364.69"/>
    <n v="2364271.56"/>
    <n v="2043722.76"/>
    <n v="320548.8"/>
  </r>
  <r>
    <x v="1"/>
    <s v="Switzerland"/>
    <s v="Cosmetics"/>
    <s v="Online"/>
    <s v="M"/>
    <s v="4/15/2015"/>
    <n v="811977040"/>
    <s v="5/28/2015"/>
    <n v="905"/>
    <n v="437.2"/>
    <n v="263.33"/>
    <n v="395666"/>
    <n v="238313.65"/>
    <n v="157352.35"/>
  </r>
  <r>
    <x v="5"/>
    <s v="Malawi"/>
    <s v="Cosmetics"/>
    <s v="Offline"/>
    <s v="M"/>
    <s v="5/16/2010"/>
    <n v="590527427"/>
    <s v="6/19/2010"/>
    <n v="9043"/>
    <n v="437.2"/>
    <n v="263.33"/>
    <n v="3953599.6"/>
    <n v="2381293.19"/>
    <n v="1572306.41"/>
  </r>
  <r>
    <x v="2"/>
    <s v="Laos"/>
    <s v="Personal Care"/>
    <s v="Offline"/>
    <s v="C"/>
    <s v="4/29/2016"/>
    <n v="783440911"/>
    <d v="2016-09-06T00:00:00"/>
    <n v="6430"/>
    <n v="81.73"/>
    <n v="56.67"/>
    <n v="525523.9"/>
    <n v="364388.1"/>
    <n v="161135.79999999999"/>
  </r>
  <r>
    <x v="5"/>
    <s v="Swaziland"/>
    <s v="Personal Care"/>
    <s v="Online"/>
    <s v="C"/>
    <s v="10/20/2015"/>
    <n v="825141322"/>
    <s v="11/22/2015"/>
    <n v="6509"/>
    <n v="81.73"/>
    <n v="56.67"/>
    <n v="531980.56999999995"/>
    <n v="368865.03"/>
    <n v="163115.54"/>
  </r>
  <r>
    <x v="5"/>
    <s v="Cote d'Ivoire"/>
    <s v="Fruits"/>
    <s v="Offline"/>
    <s v="M"/>
    <s v="3/27/2015"/>
    <n v="670364987"/>
    <d v="2015-09-05T00:00:00"/>
    <n v="4752"/>
    <n v="9.33"/>
    <n v="6.92"/>
    <n v="44336.160000000003"/>
    <n v="32883.839999999997"/>
    <n v="11452.32"/>
  </r>
  <r>
    <x v="1"/>
    <s v="Netherlands"/>
    <s v="Meat"/>
    <s v="Online"/>
    <s v="M"/>
    <d v="2010-09-10T00:00:00"/>
    <n v="344160735"/>
    <s v="11/20/2010"/>
    <n v="3664"/>
    <n v="421.89"/>
    <n v="364.69"/>
    <n v="1545804.96"/>
    <n v="1336224.1599999999"/>
    <n v="209580.79999999999"/>
  </r>
  <r>
    <x v="5"/>
    <s v="Liberia"/>
    <s v="Cereal"/>
    <s v="Online"/>
    <s v="M"/>
    <d v="2014-07-10T00:00:00"/>
    <n v="391889894"/>
    <s v="10/20/2014"/>
    <n v="7783"/>
    <n v="205.7"/>
    <n v="117.11"/>
    <n v="1600963.1"/>
    <n v="911467.13"/>
    <n v="689495.97"/>
  </r>
  <r>
    <x v="5"/>
    <s v="Uganda"/>
    <s v="Beverages"/>
    <s v="Offline"/>
    <s v="H"/>
    <s v="2/17/2014"/>
    <n v="529226291"/>
    <s v="3/20/2014"/>
    <n v="8675"/>
    <n v="47.45"/>
    <n v="31.79"/>
    <n v="411628.75"/>
    <n v="275778.25"/>
    <n v="135850.5"/>
  </r>
  <r>
    <x v="5"/>
    <s v="Mauritania"/>
    <s v="Household"/>
    <s v="Offline"/>
    <s v="M"/>
    <s v="12/28/2011"/>
    <n v="992156255"/>
    <s v="1/25/2012"/>
    <n v="9939"/>
    <n v="668.27"/>
    <n v="502.54"/>
    <n v="6641935.5300000003"/>
    <n v="4994745.0599999996"/>
    <n v="1647190.47"/>
  </r>
  <r>
    <x v="4"/>
    <s v="Kiribati"/>
    <s v="Cereal"/>
    <s v="Online"/>
    <s v="H"/>
    <s v="4/27/2016"/>
    <n v="286978614"/>
    <s v="5/28/2016"/>
    <n v="2204"/>
    <n v="205.7"/>
    <n v="117.11"/>
    <n v="453362.8"/>
    <n v="258110.44"/>
    <n v="195252.36"/>
  </r>
  <r>
    <x v="0"/>
    <s v="Dominican Republic"/>
    <s v="Personal Care"/>
    <s v="Offline"/>
    <s v="L"/>
    <d v="2013-12-06T00:00:00"/>
    <n v="140304696"/>
    <d v="2013-08-07T00:00:00"/>
    <n v="8132"/>
    <n v="81.73"/>
    <n v="56.67"/>
    <n v="664628.36"/>
    <n v="460840.44"/>
    <n v="203787.92"/>
  </r>
  <r>
    <x v="1"/>
    <s v="Russia"/>
    <s v="Household"/>
    <s v="Online"/>
    <s v="H"/>
    <d v="2017-03-04T00:00:00"/>
    <n v="549058330"/>
    <d v="2017-11-05T00:00:00"/>
    <n v="7416"/>
    <n v="668.27"/>
    <n v="502.54"/>
    <n v="4955890.32"/>
    <n v="3726836.64"/>
    <n v="1229053.68"/>
  </r>
  <r>
    <x v="3"/>
    <s v="Iran"/>
    <s v="Clothes"/>
    <s v="Offline"/>
    <s v="L"/>
    <d v="2012-01-06T00:00:00"/>
    <n v="230475842"/>
    <d v="2012-08-06T00:00:00"/>
    <n v="1778"/>
    <n v="109.28"/>
    <n v="35.840000000000003"/>
    <n v="194299.84"/>
    <n v="63723.519999999997"/>
    <n v="130576.32000000001"/>
  </r>
  <r>
    <x v="5"/>
    <s v="Burundi"/>
    <s v="Fruits"/>
    <s v="Offline"/>
    <s v="L"/>
    <d v="2011-01-03T00:00:00"/>
    <n v="672106063"/>
    <d v="2011-10-03T00:00:00"/>
    <n v="9975"/>
    <n v="9.33"/>
    <n v="6.92"/>
    <n v="93066.75"/>
    <n v="69027"/>
    <n v="24039.75"/>
  </r>
  <r>
    <x v="5"/>
    <s v="South Africa"/>
    <s v="Fruits"/>
    <s v="Online"/>
    <s v="M"/>
    <s v="8/27/2011"/>
    <n v="281810319"/>
    <d v="2011-01-10T00:00:00"/>
    <n v="2791"/>
    <n v="9.33"/>
    <n v="6.92"/>
    <n v="26040.03"/>
    <n v="19313.72"/>
    <n v="6726.31"/>
  </r>
  <r>
    <x v="2"/>
    <s v="Bangladesh"/>
    <s v="Baby Food"/>
    <s v="Offline"/>
    <s v="H"/>
    <s v="11/21/2016"/>
    <n v="237762439"/>
    <d v="2016-04-12T00:00:00"/>
    <n v="8044"/>
    <n v="255.28"/>
    <n v="159.41999999999999"/>
    <n v="2053472.32"/>
    <n v="1282374.48"/>
    <n v="771097.84"/>
  </r>
  <r>
    <x v="3"/>
    <s v="Pakistan"/>
    <s v="Personal Care"/>
    <s v="Offline"/>
    <s v="H"/>
    <s v="10/20/2015"/>
    <n v="438448750"/>
    <s v="11/26/2015"/>
    <n v="5583"/>
    <n v="81.73"/>
    <n v="56.67"/>
    <n v="456298.59"/>
    <n v="316388.61"/>
    <n v="139909.98000000001"/>
  </r>
  <r>
    <x v="2"/>
    <s v="Nepal"/>
    <s v="Cereal"/>
    <s v="Online"/>
    <s v="M"/>
    <s v="4/23/2017"/>
    <n v="852668082"/>
    <s v="5/27/2017"/>
    <n v="2289"/>
    <n v="205.7"/>
    <n v="117.11"/>
    <n v="470847.3"/>
    <n v="268064.78999999998"/>
    <n v="202782.51"/>
  </r>
  <r>
    <x v="2"/>
    <s v="Japan"/>
    <s v="Vegetables"/>
    <s v="Online"/>
    <s v="H"/>
    <d v="2016-02-04T00:00:00"/>
    <n v="169531762"/>
    <s v="5/22/2016"/>
    <n v="7071"/>
    <n v="154.06"/>
    <n v="90.93"/>
    <n v="1089358.26"/>
    <n v="642966.03"/>
    <n v="446392.23"/>
  </r>
  <r>
    <x v="5"/>
    <s v="Swaziland"/>
    <s v="Fruits"/>
    <s v="Offline"/>
    <s v="H"/>
    <s v="4/30/2012"/>
    <n v="748463618"/>
    <s v="5/14/2012"/>
    <n v="5872"/>
    <n v="9.33"/>
    <n v="6.92"/>
    <n v="54785.760000000002"/>
    <n v="40634.239999999998"/>
    <n v="14151.52"/>
  </r>
  <r>
    <x v="1"/>
    <s v="Greece"/>
    <s v="Meat"/>
    <s v="Online"/>
    <s v="H"/>
    <d v="2013-12-11T00:00:00"/>
    <n v="969199979"/>
    <d v="2013-07-12T00:00:00"/>
    <n v="6666"/>
    <n v="421.89"/>
    <n v="364.69"/>
    <n v="2812318.74"/>
    <n v="2431023.54"/>
    <n v="381295.2"/>
  </r>
  <r>
    <x v="0"/>
    <s v="Barbados"/>
    <s v="Beverages"/>
    <s v="Offline"/>
    <s v="C"/>
    <s v="4/30/2011"/>
    <n v="181789672"/>
    <s v="5/13/2011"/>
    <n v="4459"/>
    <n v="47.45"/>
    <n v="31.79"/>
    <n v="211579.55"/>
    <n v="141751.60999999999"/>
    <n v="69827.94"/>
  </r>
  <r>
    <x v="1"/>
    <s v="Spain"/>
    <s v="Baby Food"/>
    <s v="Offline"/>
    <s v="L"/>
    <s v="5/22/2011"/>
    <n v="956594026"/>
    <s v="6/17/2011"/>
    <n v="6285"/>
    <n v="255.28"/>
    <n v="159.41999999999999"/>
    <n v="1604434.8"/>
    <n v="1001954.7"/>
    <n v="602480.1"/>
  </r>
  <r>
    <x v="6"/>
    <s v="United States of America"/>
    <s v="Meat"/>
    <s v="Online"/>
    <s v="C"/>
    <d v="2010-06-06T00:00:00"/>
    <n v="534286868"/>
    <s v="7/25/2010"/>
    <n v="6212"/>
    <n v="421.89"/>
    <n v="364.69"/>
    <n v="2620780.6800000002"/>
    <n v="2265454.2799999998"/>
    <n v="355326.4"/>
  </r>
  <r>
    <x v="4"/>
    <s v="Vanuatu"/>
    <s v="Personal Care"/>
    <s v="Online"/>
    <s v="M"/>
    <s v="6/20/2013"/>
    <n v="275854527"/>
    <s v="7/19/2013"/>
    <n v="340"/>
    <n v="81.73"/>
    <n v="56.67"/>
    <n v="27788.2"/>
    <n v="19267.8"/>
    <n v="8520.4"/>
  </r>
  <r>
    <x v="1"/>
    <s v="Ukraine"/>
    <s v="Beverages"/>
    <s v="Online"/>
    <s v="H"/>
    <s v="3/24/2015"/>
    <n v="712595832"/>
    <s v="3/28/2015"/>
    <n v="1797"/>
    <n v="47.45"/>
    <n v="31.79"/>
    <n v="85267.65"/>
    <n v="57126.63"/>
    <n v="28141.02"/>
  </r>
  <r>
    <x v="0"/>
    <s v="Trinidad and Tobago"/>
    <s v="Personal Care"/>
    <s v="Online"/>
    <s v="H"/>
    <s v="6/30/2011"/>
    <n v="196122109"/>
    <s v="7/23/2011"/>
    <n v="5745"/>
    <n v="81.73"/>
    <n v="56.67"/>
    <n v="469538.85"/>
    <n v="325569.15000000002"/>
    <n v="143969.70000000001"/>
  </r>
  <r>
    <x v="1"/>
    <s v="Italy"/>
    <s v="Baby Food"/>
    <s v="Offline"/>
    <s v="C"/>
    <s v="6/26/2010"/>
    <n v="748357188"/>
    <s v="7/20/2010"/>
    <n v="4377"/>
    <n v="255.28"/>
    <n v="159.41999999999999"/>
    <n v="1117360.56"/>
    <n v="697781.34"/>
    <n v="419579.22"/>
  </r>
  <r>
    <x v="6"/>
    <s v="Canada"/>
    <s v="Cosmetics"/>
    <s v="Online"/>
    <s v="C"/>
    <s v="11/25/2013"/>
    <n v="411537396"/>
    <d v="2013-03-12T00:00:00"/>
    <n v="1916"/>
    <n v="437.2"/>
    <n v="263.33"/>
    <n v="837675.2"/>
    <n v="504540.28"/>
    <n v="333134.92"/>
  </r>
  <r>
    <x v="1"/>
    <s v="Estonia"/>
    <s v="Fruits"/>
    <s v="Offline"/>
    <s v="L"/>
    <s v="2/25/2013"/>
    <n v="898211562"/>
    <d v="2013-12-03T00:00:00"/>
    <n v="9616"/>
    <n v="9.33"/>
    <n v="6.92"/>
    <n v="89717.28"/>
    <n v="66542.720000000001"/>
    <n v="23174.560000000001"/>
  </r>
  <r>
    <x v="4"/>
    <s v="East Timor"/>
    <s v="Fruits"/>
    <s v="Offline"/>
    <s v="M"/>
    <d v="2015-12-11T00:00:00"/>
    <n v="841241014"/>
    <s v="12/31/2015"/>
    <n v="765"/>
    <n v="9.33"/>
    <n v="6.92"/>
    <n v="7137.45"/>
    <n v="5293.8"/>
    <n v="1843.65"/>
  </r>
  <r>
    <x v="5"/>
    <s v="Malawi"/>
    <s v="Baby Food"/>
    <s v="Online"/>
    <s v="L"/>
    <s v="10/14/2011"/>
    <n v="743799579"/>
    <d v="2011-02-12T00:00:00"/>
    <n v="5679"/>
    <n v="255.28"/>
    <n v="159.41999999999999"/>
    <n v="1449735.12"/>
    <n v="905346.18"/>
    <n v="544388.93999999994"/>
  </r>
  <r>
    <x v="1"/>
    <s v="Ireland"/>
    <s v="Office Supplies"/>
    <s v="Offline"/>
    <s v="C"/>
    <s v="6/15/2014"/>
    <n v="729373586"/>
    <d v="2014-05-07T00:00:00"/>
    <n v="6707"/>
    <n v="651.21"/>
    <n v="524.96"/>
    <n v="4367665.47"/>
    <n v="3520906.72"/>
    <n v="846758.75"/>
  </r>
  <r>
    <x v="1"/>
    <s v="Norway"/>
    <s v="Fruits"/>
    <s v="Offline"/>
    <s v="M"/>
    <s v="12/20/2011"/>
    <n v="991761863"/>
    <s v="12/24/2011"/>
    <n v="3229"/>
    <n v="9.33"/>
    <n v="6.92"/>
    <n v="30126.57"/>
    <n v="22344.68"/>
    <n v="7781.89"/>
  </r>
  <r>
    <x v="5"/>
    <s v="Central African Republic"/>
    <s v="Cosmetics"/>
    <s v="Online"/>
    <s v="L"/>
    <s v="3/17/2016"/>
    <n v="445075738"/>
    <s v="3/27/2016"/>
    <n v="6656"/>
    <n v="437.2"/>
    <n v="263.33"/>
    <n v="2910003.2000000002"/>
    <n v="1752724.48"/>
    <n v="1157278.72"/>
  </r>
  <r>
    <x v="3"/>
    <s v="Libya"/>
    <s v="Clothes"/>
    <s v="Online"/>
    <s v="L"/>
    <s v="8/14/2013"/>
    <n v="773739039"/>
    <s v="9/13/2013"/>
    <n v="5431"/>
    <n v="109.28"/>
    <n v="35.840000000000003"/>
    <n v="593499.68000000005"/>
    <n v="194647.04000000001"/>
    <n v="398852.64"/>
  </r>
  <r>
    <x v="4"/>
    <s v="Marshall Islands"/>
    <s v="Personal Care"/>
    <s v="Offline"/>
    <s v="M"/>
    <d v="2014-02-06T00:00:00"/>
    <n v="582488095"/>
    <s v="6/23/2014"/>
    <n v="26"/>
    <n v="81.73"/>
    <n v="56.67"/>
    <n v="2124.98"/>
    <n v="1473.42"/>
    <n v="651.55999999999995"/>
  </r>
  <r>
    <x v="3"/>
    <s v="Turkey"/>
    <s v="Cereal"/>
    <s v="Online"/>
    <s v="C"/>
    <s v="12/18/2010"/>
    <n v="346371734"/>
    <s v="1/17/2011"/>
    <n v="7948"/>
    <n v="205.7"/>
    <n v="117.11"/>
    <n v="1634903.6"/>
    <n v="930790.28"/>
    <n v="704113.32"/>
  </r>
  <r>
    <x v="1"/>
    <s v="Latvia"/>
    <s v="Personal Care"/>
    <s v="Offline"/>
    <s v="C"/>
    <s v="10/29/2011"/>
    <n v="160751283"/>
    <s v="11/13/2011"/>
    <n v="8732"/>
    <n v="81.73"/>
    <n v="56.67"/>
    <n v="713666.36"/>
    <n v="494842.44"/>
    <n v="218823.92"/>
  </r>
  <r>
    <x v="2"/>
    <s v="Brunei"/>
    <s v="Office Supplies"/>
    <s v="Offline"/>
    <s v="L"/>
    <d v="2015-11-04T00:00:00"/>
    <n v="191300570"/>
    <d v="2015-06-05T00:00:00"/>
    <n v="8945"/>
    <n v="651.21"/>
    <n v="524.96"/>
    <n v="5825073.4500000002"/>
    <n v="4695767.2"/>
    <n v="1129306.25"/>
  </r>
  <r>
    <x v="0"/>
    <s v="Jamaica"/>
    <s v="Snacks"/>
    <s v="Online"/>
    <s v="M"/>
    <s v="1/29/2013"/>
    <n v="224005925"/>
    <s v="2/18/2013"/>
    <n v="7186"/>
    <n v="152.58000000000001"/>
    <n v="97.44"/>
    <n v="1096439.8799999999"/>
    <n v="700203.84"/>
    <n v="396236.04"/>
  </r>
  <r>
    <x v="3"/>
    <s v="Algeria"/>
    <s v="Beverages"/>
    <s v="Online"/>
    <s v="L"/>
    <s v="12/31/2016"/>
    <n v="115166175"/>
    <s v="2/17/2017"/>
    <n v="9085"/>
    <n v="47.45"/>
    <n v="31.79"/>
    <n v="431083.25"/>
    <n v="288812.15000000002"/>
    <n v="142271.1"/>
  </r>
  <r>
    <x v="1"/>
    <s v="Macedonia"/>
    <s v="Household"/>
    <s v="Online"/>
    <s v="H"/>
    <s v="2/22/2017"/>
    <n v="241392648"/>
    <s v="3/16/2017"/>
    <n v="2304"/>
    <n v="668.27"/>
    <n v="502.54"/>
    <n v="1539694.08"/>
    <n v="1157852.1599999999"/>
    <n v="381841.91999999998"/>
  </r>
  <r>
    <x v="0"/>
    <s v="Haiti"/>
    <s v="Fruits"/>
    <s v="Online"/>
    <s v="C"/>
    <s v="1/19/2016"/>
    <n v="149609172"/>
    <d v="2016-02-03T00:00:00"/>
    <n v="1533"/>
    <n v="9.33"/>
    <n v="6.92"/>
    <n v="14302.89"/>
    <n v="10608.36"/>
    <n v="3694.53"/>
  </r>
  <r>
    <x v="5"/>
    <s v="Niger"/>
    <s v="Office Supplies"/>
    <s v="Offline"/>
    <s v="C"/>
    <s v="4/22/2017"/>
    <n v="807052075"/>
    <s v="5/16/2017"/>
    <n v="3498"/>
    <n v="651.21"/>
    <n v="524.96"/>
    <n v="2277932.58"/>
    <n v="1836310.08"/>
    <n v="441622.5"/>
  </r>
  <r>
    <x v="0"/>
    <s v="The Bahamas"/>
    <s v="Baby Food"/>
    <s v="Online"/>
    <s v="M"/>
    <s v="3/23/2014"/>
    <n v="551270186"/>
    <d v="2014-09-04T00:00:00"/>
    <n v="1953"/>
    <n v="255.28"/>
    <n v="159.41999999999999"/>
    <n v="498561.84"/>
    <n v="311347.26"/>
    <n v="187214.58"/>
  </r>
  <r>
    <x v="3"/>
    <s v="Egypt"/>
    <s v="Clothes"/>
    <s v="Online"/>
    <s v="M"/>
    <s v="4/25/2016"/>
    <n v="940124833"/>
    <d v="2016-03-06T00:00:00"/>
    <n v="2685"/>
    <n v="109.28"/>
    <n v="35.840000000000003"/>
    <n v="293416.8"/>
    <n v="96230.399999999994"/>
    <n v="197186.4"/>
  </r>
  <r>
    <x v="1"/>
    <s v="Malta"/>
    <s v="Meat"/>
    <s v="Online"/>
    <s v="H"/>
    <s v="3/24/2015"/>
    <n v="901789844"/>
    <d v="2015-05-05T00:00:00"/>
    <n v="8509"/>
    <n v="421.89"/>
    <n v="364.69"/>
    <n v="3589862.01"/>
    <n v="3103147.21"/>
    <n v="486714.8"/>
  </r>
  <r>
    <x v="4"/>
    <s v="Samoa "/>
    <s v="Meat"/>
    <s v="Online"/>
    <s v="L"/>
    <s v="3/30/2011"/>
    <n v="784751546"/>
    <d v="2011-11-05T00:00:00"/>
    <n v="4276"/>
    <n v="421.89"/>
    <n v="364.69"/>
    <n v="1804001.64"/>
    <n v="1559414.44"/>
    <n v="244587.2"/>
  </r>
  <r>
    <x v="5"/>
    <s v="South Sudan"/>
    <s v="Personal Care"/>
    <s v="Online"/>
    <s v="M"/>
    <s v="1/26/2017"/>
    <n v="107808768"/>
    <s v="3/14/2017"/>
    <n v="1865"/>
    <n v="81.73"/>
    <n v="56.67"/>
    <n v="152426.45000000001"/>
    <n v="105689.55"/>
    <n v="46736.9"/>
  </r>
  <r>
    <x v="2"/>
    <s v="South Korea"/>
    <s v="Baby Food"/>
    <s v="Offline"/>
    <s v="L"/>
    <d v="2016-12-03T00:00:00"/>
    <n v="710072839"/>
    <d v="2016-03-04T00:00:00"/>
    <n v="5187"/>
    <n v="255.28"/>
    <n v="159.41999999999999"/>
    <n v="1324137.3600000001"/>
    <n v="826911.54"/>
    <n v="497225.82"/>
  </r>
  <r>
    <x v="5"/>
    <s v="Rwanda"/>
    <s v="Fruits"/>
    <s v="Online"/>
    <s v="L"/>
    <d v="2012-05-02T00:00:00"/>
    <n v="900967586"/>
    <d v="2012-03-03T00:00:00"/>
    <n v="5185"/>
    <n v="9.33"/>
    <n v="6.92"/>
    <n v="48376.05"/>
    <n v="35880.199999999997"/>
    <n v="12495.85"/>
  </r>
  <r>
    <x v="1"/>
    <s v="Portugal"/>
    <s v="Office Supplies"/>
    <s v="Online"/>
    <s v="M"/>
    <s v="11/21/2016"/>
    <n v="410229337"/>
    <s v="12/22/2016"/>
    <n v="4832"/>
    <n v="651.21"/>
    <n v="524.96"/>
    <n v="3146646.72"/>
    <n v="2536606.7200000002"/>
    <n v="610040"/>
  </r>
  <r>
    <x v="1"/>
    <s v="Switzerland"/>
    <s v="Beverages"/>
    <s v="Online"/>
    <s v="L"/>
    <d v="2017-04-04T00:00:00"/>
    <n v="837906920"/>
    <s v="5/16/2017"/>
    <n v="4133"/>
    <n v="47.45"/>
    <n v="31.79"/>
    <n v="196110.85"/>
    <n v="131388.07"/>
    <n v="64722.78"/>
  </r>
  <r>
    <x v="1"/>
    <s v="Slovakia"/>
    <s v="Household"/>
    <s v="Online"/>
    <s v="C"/>
    <s v="1/30/2016"/>
    <n v="704361665"/>
    <d v="2016-01-03T00:00:00"/>
    <n v="5124"/>
    <n v="668.27"/>
    <n v="502.54"/>
    <n v="3424215.48"/>
    <n v="2575014.96"/>
    <n v="849200.52"/>
  </r>
  <r>
    <x v="1"/>
    <s v="Austria"/>
    <s v="Snacks"/>
    <s v="Offline"/>
    <s v="M"/>
    <d v="2013-11-07T00:00:00"/>
    <n v="400267398"/>
    <s v="7/20/2013"/>
    <n v="6873"/>
    <n v="152.58000000000001"/>
    <n v="97.44"/>
    <n v="1048682.3400000001"/>
    <n v="669705.12"/>
    <n v="378977.22"/>
  </r>
  <r>
    <x v="5"/>
    <s v="Cameroon"/>
    <s v="Vegetables"/>
    <s v="Offline"/>
    <s v="M"/>
    <s v="10/30/2010"/>
    <n v="836610448"/>
    <s v="12/19/2010"/>
    <n v="478"/>
    <n v="154.06"/>
    <n v="90.93"/>
    <n v="73640.679999999993"/>
    <n v="43464.54"/>
    <n v="30176.14"/>
  </r>
  <r>
    <x v="5"/>
    <s v="Seychelles "/>
    <s v="Cereal"/>
    <s v="Online"/>
    <s v="H"/>
    <s v="1/26/2014"/>
    <n v="294689643"/>
    <d v="2014-07-02T00:00:00"/>
    <n v="4069"/>
    <n v="205.7"/>
    <n v="117.11"/>
    <n v="836993.3"/>
    <n v="476520.59"/>
    <n v="360472.71"/>
  </r>
  <r>
    <x v="5"/>
    <s v="Sierra Leone"/>
    <s v="Beverages"/>
    <s v="Online"/>
    <s v="M"/>
    <d v="2015-03-04T00:00:00"/>
    <n v="276116311"/>
    <s v="4/26/2015"/>
    <n v="7807"/>
    <n v="47.45"/>
    <n v="31.79"/>
    <n v="370442.15"/>
    <n v="248184.53"/>
    <n v="122257.62"/>
  </r>
  <r>
    <x v="3"/>
    <s v="Azerbaijan"/>
    <s v="Meat"/>
    <s v="Offline"/>
    <s v="M"/>
    <s v="3/26/2011"/>
    <n v="552814280"/>
    <d v="2011-10-05T00:00:00"/>
    <n v="8885"/>
    <n v="421.89"/>
    <n v="364.69"/>
    <n v="3748492.65"/>
    <n v="3240270.65"/>
    <n v="508222"/>
  </r>
  <r>
    <x v="2"/>
    <s v="Malaysia"/>
    <s v="Office Supplies"/>
    <s v="Offline"/>
    <s v="H"/>
    <s v="1/24/2015"/>
    <n v="517019879"/>
    <s v="1/28/2015"/>
    <n v="6526"/>
    <n v="651.21"/>
    <n v="524.96"/>
    <n v="4249796.46"/>
    <n v="3425888.96"/>
    <n v="823907.5"/>
  </r>
  <r>
    <x v="1"/>
    <s v="France"/>
    <s v="Meat"/>
    <s v="Online"/>
    <s v="C"/>
    <s v="5/19/2014"/>
    <n v="531281936"/>
    <d v="2014-03-06T00:00:00"/>
    <n v="6986"/>
    <n v="421.89"/>
    <n v="364.69"/>
    <n v="2947323.54"/>
    <n v="2547724.34"/>
    <n v="399599.2"/>
  </r>
  <r>
    <x v="0"/>
    <s v="Grenada"/>
    <s v="Beverages"/>
    <s v="Online"/>
    <s v="C"/>
    <d v="2013-04-01T00:00:00"/>
    <n v="578461778"/>
    <d v="2013-09-01T00:00:00"/>
    <n v="8550"/>
    <n v="47.45"/>
    <n v="31.79"/>
    <n v="405697.5"/>
    <n v="271804.5"/>
    <n v="133893"/>
  </r>
  <r>
    <x v="5"/>
    <s v="Senegal"/>
    <s v="Vegetables"/>
    <s v="Offline"/>
    <s v="L"/>
    <s v="1/27/2012"/>
    <n v="711733233"/>
    <d v="2012-09-03T00:00:00"/>
    <n v="6535"/>
    <n v="154.06"/>
    <n v="90.93"/>
    <n v="1006782.1"/>
    <n v="594227.55000000005"/>
    <n v="412554.55"/>
  </r>
  <r>
    <x v="2"/>
    <s v="Brunei"/>
    <s v="Baby Food"/>
    <s v="Offline"/>
    <s v="L"/>
    <s v="9/27/2013"/>
    <n v="604582631"/>
    <s v="9/30/2013"/>
    <n v="8291"/>
    <n v="255.28"/>
    <n v="159.41999999999999"/>
    <n v="2116526.48"/>
    <n v="1321751.22"/>
    <n v="794775.26"/>
  </r>
  <r>
    <x v="1"/>
    <s v="Greece"/>
    <s v="Cosmetics"/>
    <s v="Online"/>
    <s v="C"/>
    <s v="6/20/2017"/>
    <n v="900808799"/>
    <s v="6/28/2017"/>
    <n v="8196"/>
    <n v="437.2"/>
    <n v="263.33"/>
    <n v="3583291.2"/>
    <n v="2158252.6800000002"/>
    <n v="1425038.52"/>
  </r>
  <r>
    <x v="2"/>
    <s v="Singapore"/>
    <s v="Baby Food"/>
    <s v="Online"/>
    <s v="L"/>
    <s v="3/18/2016"/>
    <n v="964523065"/>
    <s v="4/24/2016"/>
    <n v="2664"/>
    <n v="255.28"/>
    <n v="159.41999999999999"/>
    <n v="680065.92"/>
    <n v="424694.88"/>
    <n v="255371.04"/>
  </r>
  <r>
    <x v="5"/>
    <s v="Madagascar"/>
    <s v="Household"/>
    <s v="Online"/>
    <s v="H"/>
    <d v="2015-05-05T00:00:00"/>
    <n v="230149257"/>
    <s v="5/13/2015"/>
    <n v="5134"/>
    <n v="668.27"/>
    <n v="502.54"/>
    <n v="3430898.18"/>
    <n v="2580040.36"/>
    <n v="850857.82"/>
  </r>
  <r>
    <x v="4"/>
    <s v="Australia"/>
    <s v="Cosmetics"/>
    <s v="Offline"/>
    <s v="C"/>
    <s v="9/19/2013"/>
    <n v="452423703"/>
    <s v="9/24/2013"/>
    <n v="1082"/>
    <n v="437.2"/>
    <n v="263.33"/>
    <n v="473050.4"/>
    <n v="284923.06"/>
    <n v="188127.34"/>
  </r>
  <r>
    <x v="1"/>
    <s v="Czech Republic"/>
    <s v="Meat"/>
    <s v="Online"/>
    <s v="H"/>
    <s v="1/22/2015"/>
    <n v="756395232"/>
    <s v="3/13/2015"/>
    <n v="3013"/>
    <n v="421.89"/>
    <n v="364.69"/>
    <n v="1271154.57"/>
    <n v="1098810.97"/>
    <n v="172343.6"/>
  </r>
  <r>
    <x v="5"/>
    <s v="Guinea"/>
    <s v="Vegetables"/>
    <s v="Online"/>
    <s v="L"/>
    <s v="7/29/2016"/>
    <n v="787425172"/>
    <s v="8/22/2016"/>
    <n v="5462"/>
    <n v="154.06"/>
    <n v="90.93"/>
    <n v="841475.72"/>
    <n v="496659.66"/>
    <n v="344816.06"/>
  </r>
  <r>
    <x v="1"/>
    <s v="Ireland"/>
    <s v="Clothes"/>
    <s v="Online"/>
    <s v="C"/>
    <d v="2012-02-10T00:00:00"/>
    <n v="261187350"/>
    <d v="2012-03-10T00:00:00"/>
    <n v="9996"/>
    <n v="109.28"/>
    <n v="35.840000000000003"/>
    <n v="1092362.8799999999"/>
    <n v="358256.64000000001"/>
    <n v="734106.24"/>
  </r>
  <r>
    <x v="3"/>
    <s v="Kuwait"/>
    <s v="Cosmetics"/>
    <s v="Online"/>
    <s v="L"/>
    <s v="4/16/2014"/>
    <n v="313668096"/>
    <d v="2014-04-05T00:00:00"/>
    <n v="215"/>
    <n v="437.2"/>
    <n v="263.33"/>
    <n v="93998"/>
    <n v="56615.95"/>
    <n v="37382.050000000003"/>
  </r>
  <r>
    <x v="0"/>
    <s v="Panama"/>
    <s v="Meat"/>
    <s v="Offline"/>
    <s v="C"/>
    <d v="2014-05-01T00:00:00"/>
    <n v="351166236"/>
    <s v="2/21/2014"/>
    <n v="6748"/>
    <n v="421.89"/>
    <n v="364.69"/>
    <n v="2846913.72"/>
    <n v="2460928.12"/>
    <n v="385985.6"/>
  </r>
  <r>
    <x v="2"/>
    <s v="Bhutan"/>
    <s v="Cosmetics"/>
    <s v="Offline"/>
    <s v="C"/>
    <s v="5/23/2013"/>
    <n v="300293099"/>
    <s v="6/18/2013"/>
    <n v="2256"/>
    <n v="437.2"/>
    <n v="263.33"/>
    <n v="986323.2"/>
    <n v="594072.48"/>
    <n v="392250.72"/>
  </r>
  <r>
    <x v="2"/>
    <s v="Cambodia"/>
    <s v="Household"/>
    <s v="Online"/>
    <s v="H"/>
    <d v="2011-05-03T00:00:00"/>
    <n v="157972514"/>
    <d v="2011-04-04T00:00:00"/>
    <n v="6432"/>
    <n v="668.27"/>
    <n v="502.54"/>
    <n v="4298312.6399999997"/>
    <n v="3232337.28"/>
    <n v="1065975.3600000001"/>
  </r>
  <r>
    <x v="3"/>
    <s v="Tunisia "/>
    <s v="Vegetables"/>
    <s v="Offline"/>
    <s v="M"/>
    <s v="9/29/2014"/>
    <n v="441440808"/>
    <s v="11/17/2014"/>
    <n v="1000"/>
    <n v="154.06"/>
    <n v="90.93"/>
    <n v="154060"/>
    <n v="90930"/>
    <n v="63130"/>
  </r>
  <r>
    <x v="5"/>
    <s v="Central African Republic"/>
    <s v="Personal Care"/>
    <s v="Offline"/>
    <s v="H"/>
    <s v="8/13/2013"/>
    <n v="838246810"/>
    <s v="8/21/2013"/>
    <n v="4714"/>
    <n v="81.73"/>
    <n v="56.67"/>
    <n v="385275.22"/>
    <n v="267142.38"/>
    <n v="118132.84"/>
  </r>
  <r>
    <x v="3"/>
    <s v="Qatar"/>
    <s v="Household"/>
    <s v="Offline"/>
    <s v="M"/>
    <d v="2013-10-07T00:00:00"/>
    <n v="656251847"/>
    <s v="8/29/2013"/>
    <n v="8360"/>
    <n v="668.27"/>
    <n v="502.54"/>
    <n v="5586737.2000000002"/>
    <n v="4201234.4000000004"/>
    <n v="1385502.8"/>
  </r>
  <r>
    <x v="2"/>
    <s v="Sri Lanka"/>
    <s v="Household"/>
    <s v="Offline"/>
    <s v="C"/>
    <s v="6/19/2017"/>
    <n v="173629748"/>
    <s v="6/19/2017"/>
    <n v="9756"/>
    <n v="668.27"/>
    <n v="502.54"/>
    <n v="6519642.1200000001"/>
    <n v="4902780.24"/>
    <n v="1616861.88"/>
  </r>
  <r>
    <x v="1"/>
    <s v="Slovenia"/>
    <s v="Clothes"/>
    <s v="Offline"/>
    <s v="L"/>
    <s v="5/16/2014"/>
    <n v="188866841"/>
    <s v="5/20/2014"/>
    <n v="8750"/>
    <n v="109.28"/>
    <n v="35.840000000000003"/>
    <n v="956200"/>
    <n v="313600"/>
    <n v="642600"/>
  </r>
  <r>
    <x v="4"/>
    <s v="East Timor"/>
    <s v="Beverages"/>
    <s v="Offline"/>
    <s v="L"/>
    <d v="2013-01-03T00:00:00"/>
    <n v="670761954"/>
    <d v="2013-11-04T00:00:00"/>
    <n v="2223"/>
    <n v="47.45"/>
    <n v="31.79"/>
    <n v="105481.35"/>
    <n v="70669.17"/>
    <n v="34812.18"/>
  </r>
  <r>
    <x v="5"/>
    <s v="Nigeria"/>
    <s v="Cereal"/>
    <s v="Offline"/>
    <s v="M"/>
    <d v="2016-04-04T00:00:00"/>
    <n v="308426415"/>
    <d v="2016-06-04T00:00:00"/>
    <n v="9085"/>
    <n v="205.7"/>
    <n v="117.11"/>
    <n v="1868784.5"/>
    <n v="1063944.3500000001"/>
    <n v="804840.15"/>
  </r>
  <r>
    <x v="2"/>
    <s v="Laos"/>
    <s v="Cereal"/>
    <s v="Online"/>
    <s v="C"/>
    <d v="2015-09-10T00:00:00"/>
    <n v="561284053"/>
    <s v="10/31/2015"/>
    <n v="5279"/>
    <n v="205.7"/>
    <n v="117.11"/>
    <n v="1085890.3"/>
    <n v="618223.68999999994"/>
    <n v="467666.61"/>
  </r>
  <r>
    <x v="1"/>
    <s v="Cyprus"/>
    <s v="Household"/>
    <s v="Online"/>
    <s v="C"/>
    <s v="6/18/2012"/>
    <n v="709071195"/>
    <d v="2012-02-08T00:00:00"/>
    <n v="8778"/>
    <n v="668.27"/>
    <n v="502.54"/>
    <n v="5866074.0599999996"/>
    <n v="4411296.12"/>
    <n v="1454777.94"/>
  </r>
  <r>
    <x v="5"/>
    <s v="Republic of the Congo"/>
    <s v="Household"/>
    <s v="Online"/>
    <s v="M"/>
    <d v="2011-12-12T00:00:00"/>
    <n v="101836669"/>
    <s v="12/14/2011"/>
    <n v="4588"/>
    <n v="668.27"/>
    <n v="502.54"/>
    <n v="3066022.76"/>
    <n v="2305653.52"/>
    <n v="760369.24"/>
  </r>
  <r>
    <x v="3"/>
    <s v="Somalia"/>
    <s v="Personal Care"/>
    <s v="Online"/>
    <s v="M"/>
    <s v="4/25/2013"/>
    <n v="409941804"/>
    <d v="2013-08-06T00:00:00"/>
    <n v="9744"/>
    <n v="81.73"/>
    <n v="56.67"/>
    <n v="796377.12"/>
    <n v="552192.48"/>
    <n v="244184.64"/>
  </r>
  <r>
    <x v="1"/>
    <s v="Belarus"/>
    <s v="Cereal"/>
    <s v="Online"/>
    <s v="L"/>
    <s v="12/15/2012"/>
    <n v="674060428"/>
    <s v="12/17/2012"/>
    <n v="8315"/>
    <n v="205.7"/>
    <n v="117.11"/>
    <n v="1710395.5"/>
    <n v="973769.65"/>
    <n v="736625.85"/>
  </r>
  <r>
    <x v="3"/>
    <s v="Afghanistan"/>
    <s v="Office Supplies"/>
    <s v="Offline"/>
    <s v="C"/>
    <s v="11/19/2015"/>
    <n v="455178868"/>
    <s v="12/15/2015"/>
    <n v="6397"/>
    <n v="651.21"/>
    <n v="524.96"/>
    <n v="4165790.37"/>
    <n v="3358169.12"/>
    <n v="807621.25"/>
  </r>
  <r>
    <x v="1"/>
    <s v="San Marino"/>
    <s v="Cosmetics"/>
    <s v="Offline"/>
    <s v="C"/>
    <s v="10/27/2016"/>
    <n v="284595954"/>
    <s v="10/29/2016"/>
    <n v="7122"/>
    <n v="437.2"/>
    <n v="263.33"/>
    <n v="3113738.4"/>
    <n v="1875436.26"/>
    <n v="1238302.1399999999"/>
  </r>
  <r>
    <x v="5"/>
    <s v="Nigeria"/>
    <s v="Meat"/>
    <s v="Online"/>
    <s v="C"/>
    <s v="7/24/2011"/>
    <n v="313923013"/>
    <s v="8/23/2011"/>
    <n v="5650"/>
    <n v="421.89"/>
    <n v="364.69"/>
    <n v="2383678.5"/>
    <n v="2060498.5"/>
    <n v="323180"/>
  </r>
  <r>
    <x v="3"/>
    <s v="Kuwait"/>
    <s v="Clothes"/>
    <s v="Online"/>
    <s v="L"/>
    <s v="11/18/2015"/>
    <n v="765083873"/>
    <d v="2016-05-01T00:00:00"/>
    <n v="4175"/>
    <n v="109.28"/>
    <n v="35.840000000000003"/>
    <n v="456244"/>
    <n v="149632"/>
    <n v="306612"/>
  </r>
  <r>
    <x v="1"/>
    <s v="Iceland"/>
    <s v="Baby Food"/>
    <s v="Offline"/>
    <s v="C"/>
    <d v="2016-06-05T00:00:00"/>
    <n v="580314862"/>
    <d v="2016-12-05T00:00:00"/>
    <n v="6918"/>
    <n v="255.28"/>
    <n v="159.41999999999999"/>
    <n v="1766027.04"/>
    <n v="1102867.56"/>
    <n v="663159.48"/>
  </r>
  <r>
    <x v="0"/>
    <s v="Honduras"/>
    <s v="Meat"/>
    <s v="Offline"/>
    <s v="C"/>
    <d v="2011-09-12T00:00:00"/>
    <n v="572164809"/>
    <s v="1/25/2012"/>
    <n v="5137"/>
    <n v="421.89"/>
    <n v="364.69"/>
    <n v="2167248.9300000002"/>
    <n v="1873412.53"/>
    <n v="293836.40000000002"/>
  </r>
  <r>
    <x v="2"/>
    <s v="North Korea"/>
    <s v="Beverages"/>
    <s v="Online"/>
    <s v="C"/>
    <d v="2010-11-04T00:00:00"/>
    <n v="273495042"/>
    <d v="2010-01-05T00:00:00"/>
    <n v="2115"/>
    <n v="47.45"/>
    <n v="31.79"/>
    <n v="100356.75"/>
    <n v="67235.850000000006"/>
    <n v="33120.9"/>
  </r>
  <r>
    <x v="3"/>
    <s v="Iraq"/>
    <s v="Meat"/>
    <s v="Offline"/>
    <s v="H"/>
    <d v="2016-06-04T00:00:00"/>
    <n v="187479388"/>
    <s v="4/24/2016"/>
    <n v="8172"/>
    <n v="421.89"/>
    <n v="364.69"/>
    <n v="3447685.08"/>
    <n v="2980246.68"/>
    <n v="467438.4"/>
  </r>
  <r>
    <x v="1"/>
    <s v="Luxembourg"/>
    <s v="Snacks"/>
    <s v="Online"/>
    <s v="L"/>
    <s v="2/21/2013"/>
    <n v="437604176"/>
    <d v="2013-07-04T00:00:00"/>
    <n v="5655"/>
    <n v="152.58000000000001"/>
    <n v="97.44"/>
    <n v="862839.9"/>
    <n v="551023.19999999995"/>
    <n v="311816.7"/>
  </r>
  <r>
    <x v="6"/>
    <s v="United States of America"/>
    <s v="Beverages"/>
    <s v="Offline"/>
    <s v="M"/>
    <s v="9/24/2011"/>
    <n v="317668235"/>
    <d v="2011-07-11T00:00:00"/>
    <n v="3945"/>
    <n v="47.45"/>
    <n v="31.79"/>
    <n v="187190.25"/>
    <n v="125411.55"/>
    <n v="61778.7"/>
  </r>
  <r>
    <x v="3"/>
    <s v="Yemen"/>
    <s v="Cosmetics"/>
    <s v="Offline"/>
    <s v="H"/>
    <d v="2016-01-05T00:00:00"/>
    <n v="541782891"/>
    <s v="5/21/2016"/>
    <n v="4452"/>
    <n v="437.2"/>
    <n v="263.33"/>
    <n v="1946414.4"/>
    <n v="1172345.1599999999"/>
    <n v="774069.24"/>
  </r>
  <r>
    <x v="0"/>
    <s v="Saint Vincent and the Grenadines"/>
    <s v="Office Supplies"/>
    <s v="Online"/>
    <s v="M"/>
    <s v="5/24/2013"/>
    <n v="994371974"/>
    <d v="2013-12-06T00:00:00"/>
    <n v="5619"/>
    <n v="651.21"/>
    <n v="524.96"/>
    <n v="3659148.99"/>
    <n v="2949750.24"/>
    <n v="709398.75"/>
  </r>
  <r>
    <x v="5"/>
    <s v="Benin"/>
    <s v="Cereal"/>
    <s v="Online"/>
    <s v="L"/>
    <s v="2/18/2013"/>
    <n v="280171811"/>
    <d v="2013-07-04T00:00:00"/>
    <n v="7920"/>
    <n v="205.7"/>
    <n v="117.11"/>
    <n v="1629144"/>
    <n v="927511.2"/>
    <n v="701632.8"/>
  </r>
  <r>
    <x v="5"/>
    <s v="Benin"/>
    <s v="Household"/>
    <s v="Online"/>
    <s v="M"/>
    <s v="6/27/2015"/>
    <n v="674231231"/>
    <s v="6/28/2015"/>
    <n v="8859"/>
    <n v="668.27"/>
    <n v="502.54"/>
    <n v="5920203.9299999997"/>
    <n v="4452001.8600000003"/>
    <n v="1468202.07"/>
  </r>
  <r>
    <x v="5"/>
    <s v="Uganda"/>
    <s v="Office Supplies"/>
    <s v="Online"/>
    <s v="C"/>
    <s v="11/14/2013"/>
    <n v="471911561"/>
    <s v="12/24/2013"/>
    <n v="7973"/>
    <n v="651.21"/>
    <n v="524.96"/>
    <n v="5192097.33"/>
    <n v="4185506.08"/>
    <n v="1006591.25"/>
  </r>
  <r>
    <x v="2"/>
    <s v="Cambodia"/>
    <s v="Snacks"/>
    <s v="Online"/>
    <s v="H"/>
    <s v="2/18/2014"/>
    <n v="738886630"/>
    <s v="2/28/2014"/>
    <n v="1828"/>
    <n v="152.58000000000001"/>
    <n v="97.44"/>
    <n v="278916.24"/>
    <n v="178120.32000000001"/>
    <n v="100795.92"/>
  </r>
  <r>
    <x v="6"/>
    <s v="Greenland"/>
    <s v="Beverages"/>
    <s v="Online"/>
    <s v="M"/>
    <s v="8/13/2015"/>
    <n v="361142766"/>
    <d v="2015-05-09T00:00:00"/>
    <n v="9025"/>
    <n v="47.45"/>
    <n v="31.79"/>
    <n v="428236.25"/>
    <n v="286904.75"/>
    <n v="141331.5"/>
  </r>
  <r>
    <x v="1"/>
    <s v="Italy"/>
    <s v="Beverages"/>
    <s v="Offline"/>
    <s v="H"/>
    <d v="2014-05-12T00:00:00"/>
    <n v="994978797"/>
    <d v="2015-02-01T00:00:00"/>
    <n v="5192"/>
    <n v="47.45"/>
    <n v="31.79"/>
    <n v="246360.4"/>
    <n v="165053.68"/>
    <n v="81306.720000000001"/>
  </r>
  <r>
    <x v="1"/>
    <s v="Greece"/>
    <s v="Beverages"/>
    <s v="Offline"/>
    <s v="H"/>
    <s v="4/30/2017"/>
    <n v="317006051"/>
    <d v="2017-05-06T00:00:00"/>
    <n v="7990"/>
    <n v="47.45"/>
    <n v="31.79"/>
    <n v="379125.5"/>
    <n v="254002.1"/>
    <n v="125123.4"/>
  </r>
  <r>
    <x v="5"/>
    <s v="Cameroon"/>
    <s v="Snacks"/>
    <s v="Online"/>
    <s v="M"/>
    <s v="3/16/2010"/>
    <n v="574148356"/>
    <d v="2010-04-05T00:00:00"/>
    <n v="2112"/>
    <n v="152.58000000000001"/>
    <n v="97.44"/>
    <n v="322248.96000000002"/>
    <n v="205793.28"/>
    <n v="116455.67999999999"/>
  </r>
  <r>
    <x v="1"/>
    <s v="Montenegro"/>
    <s v="Personal Care"/>
    <s v="Online"/>
    <s v="H"/>
    <s v="4/19/2012"/>
    <n v="933642041"/>
    <s v="5/19/2012"/>
    <n v="4282"/>
    <n v="81.73"/>
    <n v="56.67"/>
    <n v="349967.86"/>
    <n v="242660.94"/>
    <n v="107306.92"/>
  </r>
  <r>
    <x v="2"/>
    <s v="Singapore"/>
    <s v="Baby Food"/>
    <s v="Online"/>
    <s v="M"/>
    <s v="11/30/2016"/>
    <n v="633035933"/>
    <s v="12/31/2016"/>
    <n v="8255"/>
    <n v="255.28"/>
    <n v="159.41999999999999"/>
    <n v="2107336.4"/>
    <n v="1316012.1000000001"/>
    <n v="791324.3"/>
  </r>
  <r>
    <x v="2"/>
    <s v="Kyrgyzstan"/>
    <s v="Snacks"/>
    <s v="Online"/>
    <s v="C"/>
    <d v="2010-06-11T00:00:00"/>
    <n v="330191361"/>
    <s v="11/23/2010"/>
    <n v="9816"/>
    <n v="152.58000000000001"/>
    <n v="97.44"/>
    <n v="1497725.28"/>
    <n v="956471.04"/>
    <n v="541254.24"/>
  </r>
  <r>
    <x v="2"/>
    <s v="Kyrgyzstan"/>
    <s v="Clothes"/>
    <s v="Online"/>
    <s v="M"/>
    <s v="1/14/2016"/>
    <n v="753282153"/>
    <s v="2/26/2016"/>
    <n v="1784"/>
    <n v="109.28"/>
    <n v="35.840000000000003"/>
    <n v="194955.51999999999"/>
    <n v="63938.559999999998"/>
    <n v="131016.96000000001"/>
  </r>
  <r>
    <x v="5"/>
    <s v="Guinea-Bissau"/>
    <s v="Fruits"/>
    <s v="Offline"/>
    <s v="C"/>
    <s v="1/18/2010"/>
    <n v="450794637"/>
    <d v="2010-11-02T00:00:00"/>
    <n v="9006"/>
    <n v="9.33"/>
    <n v="6.92"/>
    <n v="84025.98"/>
    <n v="62321.52"/>
    <n v="21704.46"/>
  </r>
  <r>
    <x v="3"/>
    <s v="Somalia"/>
    <s v="Cereal"/>
    <s v="Offline"/>
    <s v="M"/>
    <d v="2013-01-03T00:00:00"/>
    <n v="741527640"/>
    <s v="3/18/2013"/>
    <n v="3362"/>
    <n v="205.7"/>
    <n v="117.11"/>
    <n v="691563.4"/>
    <n v="393723.82"/>
    <n v="297839.58"/>
  </r>
  <r>
    <x v="1"/>
    <s v="Italy"/>
    <s v="Office Supplies"/>
    <s v="Offline"/>
    <s v="M"/>
    <d v="2016-09-06T00:00:00"/>
    <n v="764592492"/>
    <s v="7/19/2016"/>
    <n v="8764"/>
    <n v="651.21"/>
    <n v="524.96"/>
    <n v="5707204.4400000004"/>
    <n v="4600749.4400000004"/>
    <n v="1106455"/>
  </r>
  <r>
    <x v="0"/>
    <s v="Antigua and Barbuda "/>
    <s v="Clothes"/>
    <s v="Offline"/>
    <s v="H"/>
    <d v="2015-12-10T00:00:00"/>
    <n v="629413020"/>
    <d v="2015-01-12T00:00:00"/>
    <n v="6154"/>
    <n v="109.28"/>
    <n v="35.840000000000003"/>
    <n v="672509.12"/>
    <n v="220559.35999999999"/>
    <n v="451949.76"/>
  </r>
  <r>
    <x v="4"/>
    <s v="Federated States of Micronesia"/>
    <s v="Fruits"/>
    <s v="Offline"/>
    <s v="C"/>
    <s v="9/23/2015"/>
    <n v="965725553"/>
    <d v="2015-08-10T00:00:00"/>
    <n v="8506"/>
    <n v="9.33"/>
    <n v="6.92"/>
    <n v="79360.98"/>
    <n v="58861.52"/>
    <n v="20499.46"/>
  </r>
  <r>
    <x v="3"/>
    <s v="Israel"/>
    <s v="Vegetables"/>
    <s v="Online"/>
    <s v="H"/>
    <s v="7/16/2010"/>
    <n v="673578917"/>
    <s v="8/31/2010"/>
    <n v="5825"/>
    <n v="154.06"/>
    <n v="90.93"/>
    <n v="897399.5"/>
    <n v="529667.25"/>
    <n v="367732.25"/>
  </r>
  <r>
    <x v="5"/>
    <s v="The Gambia"/>
    <s v="Snacks"/>
    <s v="Offline"/>
    <s v="H"/>
    <d v="2010-02-09T00:00:00"/>
    <n v="973334443"/>
    <s v="9/15/2010"/>
    <n v="146"/>
    <n v="152.58000000000001"/>
    <n v="97.44"/>
    <n v="22276.68"/>
    <n v="14226.24"/>
    <n v="8050.44"/>
  </r>
  <r>
    <x v="0"/>
    <s v="Barbados"/>
    <s v="Baby Food"/>
    <s v="Online"/>
    <s v="L"/>
    <s v="4/16/2016"/>
    <n v="455665957"/>
    <s v="5/13/2016"/>
    <n v="538"/>
    <n v="255.28"/>
    <n v="159.41999999999999"/>
    <n v="137340.64000000001"/>
    <n v="85767.96"/>
    <n v="51572.68"/>
  </r>
  <r>
    <x v="1"/>
    <s v="Hungary"/>
    <s v="Clothes"/>
    <s v="Offline"/>
    <s v="C"/>
    <s v="6/25/2013"/>
    <n v="931559789"/>
    <d v="2013-05-07T00:00:00"/>
    <n v="8098"/>
    <n v="109.28"/>
    <n v="35.840000000000003"/>
    <n v="884949.44"/>
    <n v="290232.32000000001"/>
    <n v="594717.12"/>
  </r>
  <r>
    <x v="1"/>
    <s v="Germany"/>
    <s v="Beverages"/>
    <s v="Offline"/>
    <s v="L"/>
    <s v="11/26/2015"/>
    <n v="682314765"/>
    <s v="12/20/2015"/>
    <n v="956"/>
    <n v="47.45"/>
    <n v="31.79"/>
    <n v="45362.2"/>
    <n v="30391.24"/>
    <n v="14970.96"/>
  </r>
  <r>
    <x v="0"/>
    <s v="Cuba"/>
    <s v="Office Supplies"/>
    <s v="Offline"/>
    <s v="C"/>
    <s v="7/22/2015"/>
    <n v="309542214"/>
    <d v="2015-05-09T00:00:00"/>
    <n v="9275"/>
    <n v="651.21"/>
    <n v="524.96"/>
    <n v="6039972.75"/>
    <n v="4869004"/>
    <n v="1170968.75"/>
  </r>
  <r>
    <x v="1"/>
    <s v="Spain"/>
    <s v="Snacks"/>
    <s v="Online"/>
    <s v="C"/>
    <d v="2016-11-11T00:00:00"/>
    <n v="485165965"/>
    <s v="12/14/2016"/>
    <n v="245"/>
    <n v="152.58000000000001"/>
    <n v="97.44"/>
    <n v="37382.1"/>
    <n v="23872.799999999999"/>
    <n v="13509.3"/>
  </r>
  <r>
    <x v="1"/>
    <s v="Netherlands"/>
    <s v="Beverages"/>
    <s v="Online"/>
    <s v="C"/>
    <d v="2010-04-03T00:00:00"/>
    <n v="601422345"/>
    <s v="3/20/2010"/>
    <n v="3092"/>
    <n v="47.45"/>
    <n v="31.79"/>
    <n v="146715.4"/>
    <n v="98294.68"/>
    <n v="48420.72"/>
  </r>
  <r>
    <x v="3"/>
    <s v="Azerbaijan"/>
    <s v="Fruits"/>
    <s v="Online"/>
    <s v="L"/>
    <s v="5/26/2013"/>
    <n v="120860183"/>
    <d v="2013-05-06T00:00:00"/>
    <n v="4069"/>
    <n v="9.33"/>
    <n v="6.92"/>
    <n v="37963.769999999997"/>
    <n v="28157.48"/>
    <n v="9806.2900000000009"/>
  </r>
  <r>
    <x v="3"/>
    <s v="United Arab Emirates"/>
    <s v="Fruits"/>
    <s v="Offline"/>
    <s v="C"/>
    <s v="3/27/2015"/>
    <n v="826340806"/>
    <d v="2015-07-05T00:00:00"/>
    <n v="1462"/>
    <n v="9.33"/>
    <n v="6.92"/>
    <n v="13640.46"/>
    <n v="10117.040000000001"/>
    <n v="3523.42"/>
  </r>
  <r>
    <x v="5"/>
    <s v="Ghana"/>
    <s v="Office Supplies"/>
    <s v="Online"/>
    <s v="L"/>
    <s v="10/14/2016"/>
    <n v="971038043"/>
    <d v="2016-08-11T00:00:00"/>
    <n v="590"/>
    <n v="651.21"/>
    <n v="524.96"/>
    <n v="384213.9"/>
    <n v="309726.40000000002"/>
    <n v="74487.5"/>
  </r>
  <r>
    <x v="0"/>
    <s v="Cuba"/>
    <s v="Baby Food"/>
    <s v="Offline"/>
    <s v="H"/>
    <s v="8/30/2012"/>
    <n v="228438222"/>
    <d v="2012-12-10T00:00:00"/>
    <n v="8801"/>
    <n v="255.28"/>
    <n v="159.41999999999999"/>
    <n v="2246719.2799999998"/>
    <n v="1403055.42"/>
    <n v="843663.86"/>
  </r>
  <r>
    <x v="4"/>
    <s v="Vanuatu"/>
    <s v="Office Supplies"/>
    <s v="Offline"/>
    <s v="L"/>
    <s v="6/20/2017"/>
    <n v="142340171"/>
    <d v="2017-01-07T00:00:00"/>
    <n v="475"/>
    <n v="651.21"/>
    <n v="524.96"/>
    <n v="309324.75"/>
    <n v="249356"/>
    <n v="59968.75"/>
  </r>
  <r>
    <x v="3"/>
    <s v="Lebanon"/>
    <s v="Household"/>
    <s v="Offline"/>
    <s v="C"/>
    <s v="7/28/2016"/>
    <n v="976855218"/>
    <d v="2016-08-08T00:00:00"/>
    <n v="2022"/>
    <n v="668.27"/>
    <n v="502.54"/>
    <n v="1351241.94"/>
    <n v="1016135.88"/>
    <n v="335106.06"/>
  </r>
  <r>
    <x v="5"/>
    <s v="Guinea"/>
    <s v="Baby Food"/>
    <s v="Online"/>
    <s v="M"/>
    <d v="2015-09-05T00:00:00"/>
    <n v="366407191"/>
    <s v="5/21/2015"/>
    <n v="6885"/>
    <n v="255.28"/>
    <n v="159.41999999999999"/>
    <n v="1757602.8"/>
    <n v="1097606.7"/>
    <n v="659996.1"/>
  </r>
  <r>
    <x v="3"/>
    <s v="Iran"/>
    <s v="Fruits"/>
    <s v="Offline"/>
    <s v="L"/>
    <d v="2012-02-09T00:00:00"/>
    <n v="965732419"/>
    <s v="10/19/2012"/>
    <n v="538"/>
    <n v="9.33"/>
    <n v="6.92"/>
    <n v="5019.54"/>
    <n v="3722.96"/>
    <n v="1296.58"/>
  </r>
  <r>
    <x v="1"/>
    <s v="Albania"/>
    <s v="Household"/>
    <s v="Offline"/>
    <s v="M"/>
    <s v="3/31/2012"/>
    <n v="999879729"/>
    <d v="2012-06-05T00:00:00"/>
    <n v="5486"/>
    <n v="668.27"/>
    <n v="502.54"/>
    <n v="3666129.22"/>
    <n v="2756934.44"/>
    <n v="909194.78"/>
  </r>
  <r>
    <x v="5"/>
    <s v="Mali"/>
    <s v="Snacks"/>
    <s v="Online"/>
    <s v="M"/>
    <s v="4/15/2011"/>
    <n v="114210450"/>
    <s v="4/28/2011"/>
    <n v="6265"/>
    <n v="152.58000000000001"/>
    <n v="97.44"/>
    <n v="955913.7"/>
    <n v="610461.6"/>
    <n v="345452.1"/>
  </r>
  <r>
    <x v="4"/>
    <s v="Australia"/>
    <s v="Household"/>
    <s v="Online"/>
    <s v="H"/>
    <d v="2011-06-11T00:00:00"/>
    <n v="724398410"/>
    <d v="2011-07-11T00:00:00"/>
    <n v="4442"/>
    <n v="668.27"/>
    <n v="502.54"/>
    <n v="2968455.34"/>
    <n v="2232282.6800000002"/>
    <n v="736172.66"/>
  </r>
  <r>
    <x v="0"/>
    <s v="Saint Lucia"/>
    <s v="Beverages"/>
    <s v="Online"/>
    <s v="M"/>
    <s v="1/22/2017"/>
    <n v="366429936"/>
    <s v="2/27/2017"/>
    <n v="3616"/>
    <n v="47.45"/>
    <n v="31.79"/>
    <n v="171579.2"/>
    <n v="114952.64"/>
    <n v="56626.559999999998"/>
  </r>
  <r>
    <x v="1"/>
    <s v="Latvia"/>
    <s v="Cosmetics"/>
    <s v="Offline"/>
    <s v="H"/>
    <d v="2012-05-03T00:00:00"/>
    <n v="246603858"/>
    <s v="4/15/2012"/>
    <n v="4417"/>
    <n v="437.2"/>
    <n v="263.33"/>
    <n v="1931112.4"/>
    <n v="1163128.6100000001"/>
    <n v="767983.79"/>
  </r>
  <r>
    <x v="1"/>
    <s v="Slovakia"/>
    <s v="Beverages"/>
    <s v="Online"/>
    <s v="L"/>
    <s v="10/23/2013"/>
    <n v="291531503"/>
    <s v="10/26/2013"/>
    <n v="9505"/>
    <n v="47.45"/>
    <n v="31.79"/>
    <n v="451012.25"/>
    <n v="302163.95"/>
    <n v="148848.29999999999"/>
  </r>
  <r>
    <x v="0"/>
    <s v="Jamaica"/>
    <s v="Snacks"/>
    <s v="Offline"/>
    <s v="L"/>
    <s v="2/20/2013"/>
    <n v="498136699"/>
    <d v="2013-11-04T00:00:00"/>
    <n v="8574"/>
    <n v="152.58000000000001"/>
    <n v="97.44"/>
    <n v="1308220.92"/>
    <n v="835450.56"/>
    <n v="472770.36"/>
  </r>
  <r>
    <x v="1"/>
    <s v="Kosovo"/>
    <s v="Cereal"/>
    <s v="Offline"/>
    <s v="H"/>
    <s v="7/18/2017"/>
    <n v="483655774"/>
    <d v="2017-05-08T00:00:00"/>
    <n v="3346"/>
    <n v="205.7"/>
    <n v="117.11"/>
    <n v="688272.2"/>
    <n v="391850.06"/>
    <n v="296422.14"/>
  </r>
  <r>
    <x v="5"/>
    <s v="Guinea-Bissau"/>
    <s v="Cosmetics"/>
    <s v="Offline"/>
    <s v="L"/>
    <s v="7/17/2016"/>
    <n v="835637557"/>
    <s v="8/21/2016"/>
    <n v="2578"/>
    <n v="437.2"/>
    <n v="263.33"/>
    <n v="1127101.6000000001"/>
    <n v="678864.74"/>
    <n v="448236.86"/>
  </r>
  <r>
    <x v="0"/>
    <s v="Saint Vincent and the Grenadines"/>
    <s v="Fruits"/>
    <s v="Offline"/>
    <s v="C"/>
    <d v="2015-12-11T00:00:00"/>
    <n v="861943376"/>
    <s v="12/24/2015"/>
    <n v="7054"/>
    <n v="9.33"/>
    <n v="6.92"/>
    <n v="65813.820000000007"/>
    <n v="48813.68"/>
    <n v="17000.14"/>
  </r>
  <r>
    <x v="1"/>
    <s v="Armenia"/>
    <s v="Personal Care"/>
    <s v="Online"/>
    <s v="C"/>
    <d v="2010-10-12T00:00:00"/>
    <n v="840747058"/>
    <s v="12/26/2010"/>
    <n v="4593"/>
    <n v="81.73"/>
    <n v="56.67"/>
    <n v="375385.89"/>
    <n v="260285.31"/>
    <n v="115100.58"/>
  </r>
  <r>
    <x v="5"/>
    <s v="Mozambique"/>
    <s v="Cereal"/>
    <s v="Online"/>
    <s v="M"/>
    <d v="2013-01-06T00:00:00"/>
    <n v="670534932"/>
    <d v="2013-01-06T00:00:00"/>
    <n v="5042"/>
    <n v="205.7"/>
    <n v="117.11"/>
    <n v="1037139.4"/>
    <n v="590468.62"/>
    <n v="446670.78"/>
  </r>
  <r>
    <x v="5"/>
    <s v="Mauritius "/>
    <s v="Baby Food"/>
    <s v="Offline"/>
    <s v="H"/>
    <s v="1/24/2017"/>
    <n v="320105826"/>
    <s v="2/19/2017"/>
    <n v="5282"/>
    <n v="255.28"/>
    <n v="159.41999999999999"/>
    <n v="1348388.96"/>
    <n v="842056.44"/>
    <n v="506332.52"/>
  </r>
  <r>
    <x v="5"/>
    <s v="Chad"/>
    <s v="Baby Food"/>
    <s v="Online"/>
    <s v="L"/>
    <s v="9/26/2016"/>
    <n v="278571069"/>
    <s v="10/30/2016"/>
    <n v="4225"/>
    <n v="255.28"/>
    <n v="159.41999999999999"/>
    <n v="1078558"/>
    <n v="673549.5"/>
    <n v="405008.5"/>
  </r>
  <r>
    <x v="1"/>
    <s v="Bosnia and Herzegovina"/>
    <s v="Cosmetics"/>
    <s v="Offline"/>
    <s v="H"/>
    <d v="2012-12-02T00:00:00"/>
    <n v="205354487"/>
    <s v="2/20/2012"/>
    <n v="7811"/>
    <n v="437.2"/>
    <n v="263.33"/>
    <n v="3414969.2"/>
    <n v="2056870.63"/>
    <n v="1358098.57"/>
  </r>
  <r>
    <x v="1"/>
    <s v="Finland"/>
    <s v="Cereal"/>
    <s v="Online"/>
    <s v="H"/>
    <s v="7/16/2011"/>
    <n v="280192410"/>
    <s v="8/28/2011"/>
    <n v="4016"/>
    <n v="205.7"/>
    <n v="117.11"/>
    <n v="826091.2"/>
    <n v="470313.76"/>
    <n v="355777.44"/>
  </r>
  <r>
    <x v="4"/>
    <s v="East Timor"/>
    <s v="Household"/>
    <s v="Online"/>
    <s v="L"/>
    <s v="1/14/2013"/>
    <n v="753133666"/>
    <d v="2013-04-02T00:00:00"/>
    <n v="7843"/>
    <n v="668.27"/>
    <n v="502.54"/>
    <n v="5241241.6100000003"/>
    <n v="3941421.22"/>
    <n v="1299820.3899999999"/>
  </r>
  <r>
    <x v="2"/>
    <s v="Kazakhstan"/>
    <s v="Vegetables"/>
    <s v="Offline"/>
    <s v="M"/>
    <s v="9/19/2015"/>
    <n v="594539582"/>
    <s v="10/29/2015"/>
    <n v="6329"/>
    <n v="154.06"/>
    <n v="90.93"/>
    <n v="975045.74"/>
    <n v="575495.97"/>
    <n v="399549.77"/>
  </r>
  <r>
    <x v="2"/>
    <s v="Philippines"/>
    <s v="Snacks"/>
    <s v="Online"/>
    <s v="L"/>
    <s v="12/16/2015"/>
    <n v="645083987"/>
    <s v="1/19/2016"/>
    <n v="3542"/>
    <n v="152.58000000000001"/>
    <n v="97.44"/>
    <n v="540438.36"/>
    <n v="345132.48"/>
    <n v="195305.88"/>
  </r>
  <r>
    <x v="1"/>
    <s v="Germany"/>
    <s v="Vegetables"/>
    <s v="Offline"/>
    <s v="C"/>
    <s v="3/14/2011"/>
    <n v="465753209"/>
    <s v="3/14/2011"/>
    <n v="5579"/>
    <n v="154.06"/>
    <n v="90.93"/>
    <n v="859500.74"/>
    <n v="507298.47"/>
    <n v="352202.27"/>
  </r>
  <r>
    <x v="1"/>
    <s v="Sweden"/>
    <s v="Personal Care"/>
    <s v="Online"/>
    <s v="C"/>
    <s v="4/26/2011"/>
    <n v="587846076"/>
    <s v="5/24/2011"/>
    <n v="5572"/>
    <n v="81.73"/>
    <n v="56.67"/>
    <n v="455399.56"/>
    <n v="315765.24"/>
    <n v="139634.32"/>
  </r>
  <r>
    <x v="2"/>
    <s v="Myanmar"/>
    <s v="Personal Care"/>
    <s v="Online"/>
    <s v="C"/>
    <d v="2012-05-02T00:00:00"/>
    <n v="262973916"/>
    <s v="2/20/2012"/>
    <n v="8680"/>
    <n v="81.73"/>
    <n v="56.67"/>
    <n v="709416.4"/>
    <n v="491895.6"/>
    <n v="217520.8"/>
  </r>
  <r>
    <x v="2"/>
    <s v="Laos"/>
    <s v="Clothes"/>
    <s v="Online"/>
    <s v="C"/>
    <d v="2014-06-03T00:00:00"/>
    <n v="613060557"/>
    <s v="4/25/2014"/>
    <n v="7097"/>
    <n v="109.28"/>
    <n v="35.840000000000003"/>
    <n v="775560.16"/>
    <n v="254356.48000000001"/>
    <n v="521203.68"/>
  </r>
  <r>
    <x v="1"/>
    <s v="Armenia"/>
    <s v="Cereal"/>
    <s v="Offline"/>
    <s v="H"/>
    <d v="2011-10-09T00:00:00"/>
    <n v="580342328"/>
    <s v="10/14/2011"/>
    <n v="5046"/>
    <n v="205.7"/>
    <n v="117.11"/>
    <n v="1037962.2"/>
    <n v="590937.06000000006"/>
    <n v="447025.14"/>
  </r>
  <r>
    <x v="4"/>
    <s v="Palau"/>
    <s v="Snacks"/>
    <s v="Offline"/>
    <s v="M"/>
    <s v="3/13/2011"/>
    <n v="977368056"/>
    <s v="3/18/2011"/>
    <n v="3782"/>
    <n v="152.58000000000001"/>
    <n v="97.44"/>
    <n v="577057.56000000006"/>
    <n v="368518.08"/>
    <n v="208539.48"/>
  </r>
  <r>
    <x v="3"/>
    <s v="Saudi Arabia"/>
    <s v="Snacks"/>
    <s v="Offline"/>
    <s v="M"/>
    <s v="9/26/2012"/>
    <n v="436999070"/>
    <s v="10/15/2012"/>
    <n v="6591"/>
    <n v="152.58000000000001"/>
    <n v="97.44"/>
    <n v="1005654.78"/>
    <n v="642227.04"/>
    <n v="363427.74"/>
  </r>
  <r>
    <x v="0"/>
    <s v="Honduras"/>
    <s v="Cosmetics"/>
    <s v="Offline"/>
    <s v="H"/>
    <s v="8/23/2013"/>
    <n v="362409198"/>
    <d v="2013-07-09T00:00:00"/>
    <n v="3790"/>
    <n v="437.2"/>
    <n v="263.33"/>
    <n v="1656988"/>
    <n v="998020.7"/>
    <n v="658967.30000000005"/>
  </r>
  <r>
    <x v="1"/>
    <s v="Switzerland"/>
    <s v="Meat"/>
    <s v="Online"/>
    <s v="C"/>
    <s v="4/21/2012"/>
    <n v="877084767"/>
    <d v="2012-09-06T00:00:00"/>
    <n v="7728"/>
    <n v="421.89"/>
    <n v="364.69"/>
    <n v="3260365.92"/>
    <n v="2818324.32"/>
    <n v="442041.59999999998"/>
  </r>
  <r>
    <x v="5"/>
    <s v="Chad"/>
    <s v="Clothes"/>
    <s v="Online"/>
    <s v="C"/>
    <s v="12/18/2011"/>
    <n v="374824607"/>
    <s v="12/28/2011"/>
    <n v="7785"/>
    <n v="109.28"/>
    <n v="35.840000000000003"/>
    <n v="850744.8"/>
    <n v="279014.40000000002"/>
    <n v="571730.4"/>
  </r>
  <r>
    <x v="5"/>
    <s v="Togo"/>
    <s v="Office Supplies"/>
    <s v="Online"/>
    <s v="C"/>
    <d v="2016-05-12T00:00:00"/>
    <n v="469740045"/>
    <s v="12/14/2016"/>
    <n v="5373"/>
    <n v="651.21"/>
    <n v="524.96"/>
    <n v="3498951.33"/>
    <n v="2820610.08"/>
    <n v="678341.25"/>
  </r>
  <r>
    <x v="3"/>
    <s v="Azerbaijan"/>
    <s v="Vegetables"/>
    <s v="Offline"/>
    <s v="M"/>
    <s v="8/23/2013"/>
    <n v="146254909"/>
    <s v="9/29/2013"/>
    <n v="8932"/>
    <n v="154.06"/>
    <n v="90.93"/>
    <n v="1376063.92"/>
    <n v="812186.76"/>
    <n v="563877.16"/>
  </r>
  <r>
    <x v="1"/>
    <s v="Norway"/>
    <s v="Clothes"/>
    <s v="Online"/>
    <s v="C"/>
    <s v="4/29/2012"/>
    <n v="709105527"/>
    <d v="2012-01-05T00:00:00"/>
    <n v="8938"/>
    <n v="109.28"/>
    <n v="35.840000000000003"/>
    <n v="976744.64"/>
    <n v="320337.91999999998"/>
    <n v="656406.72"/>
  </r>
  <r>
    <x v="2"/>
    <s v="Vietnam"/>
    <s v="Office Supplies"/>
    <s v="Offline"/>
    <s v="M"/>
    <s v="11/28/2012"/>
    <n v="833340728"/>
    <s v="11/29/2012"/>
    <n v="2895"/>
    <n v="651.21"/>
    <n v="524.96"/>
    <n v="1885252.95"/>
    <n v="1519759.2"/>
    <n v="365493.75"/>
  </r>
  <r>
    <x v="1"/>
    <s v="San Marino"/>
    <s v="Meat"/>
    <s v="Online"/>
    <s v="H"/>
    <s v="5/23/2016"/>
    <n v="614321839"/>
    <d v="2016-05-07T00:00:00"/>
    <n v="339"/>
    <n v="421.89"/>
    <n v="364.69"/>
    <n v="143020.71"/>
    <n v="123629.91"/>
    <n v="19390.8"/>
  </r>
  <r>
    <x v="2"/>
    <s v="Myanmar"/>
    <s v="Vegetables"/>
    <s v="Offline"/>
    <s v="C"/>
    <s v="6/19/2013"/>
    <n v="217722690"/>
    <s v="7/13/2013"/>
    <n v="7837"/>
    <n v="154.06"/>
    <n v="90.93"/>
    <n v="1207368.22"/>
    <n v="712618.41"/>
    <n v="494749.81"/>
  </r>
  <r>
    <x v="1"/>
    <s v="Ukraine"/>
    <s v="Cosmetics"/>
    <s v="Online"/>
    <s v="L"/>
    <s v="1/18/2011"/>
    <n v="329529607"/>
    <s v="1/23/2011"/>
    <n v="3988"/>
    <n v="437.2"/>
    <n v="263.33"/>
    <n v="1743553.6"/>
    <n v="1050160.04"/>
    <n v="693393.56"/>
  </r>
  <r>
    <x v="5"/>
    <s v="Burkina Faso"/>
    <s v="Cosmetics"/>
    <s v="Online"/>
    <s v="C"/>
    <s v="4/30/2013"/>
    <n v="806041419"/>
    <d v="2013-05-06T00:00:00"/>
    <n v="4423"/>
    <n v="437.2"/>
    <n v="263.33"/>
    <n v="1933735.6"/>
    <n v="1164708.5900000001"/>
    <n v="769027.01"/>
  </r>
  <r>
    <x v="1"/>
    <s v="Ireland"/>
    <s v="Fruits"/>
    <s v="Online"/>
    <s v="L"/>
    <s v="5/30/2010"/>
    <n v="223869454"/>
    <s v="6/27/2010"/>
    <n v="6801"/>
    <n v="9.33"/>
    <n v="6.92"/>
    <n v="63453.33"/>
    <n v="47062.92"/>
    <n v="16390.41"/>
  </r>
  <r>
    <x v="5"/>
    <s v="Mozambique"/>
    <s v="Personal Care"/>
    <s v="Offline"/>
    <s v="M"/>
    <s v="5/28/2012"/>
    <n v="829937541"/>
    <s v="6/30/2012"/>
    <n v="5816"/>
    <n v="81.73"/>
    <n v="56.67"/>
    <n v="475341.68"/>
    <n v="329592.71999999997"/>
    <n v="145748.96"/>
  </r>
  <r>
    <x v="2"/>
    <s v="Sri Lanka"/>
    <s v="Beverages"/>
    <s v="Online"/>
    <s v="L"/>
    <d v="2015-03-05T00:00:00"/>
    <n v="891482007"/>
    <s v="5/16/2015"/>
    <n v="8191"/>
    <n v="47.45"/>
    <n v="31.79"/>
    <n v="388662.95"/>
    <n v="260391.89"/>
    <n v="128271.06"/>
  </r>
  <r>
    <x v="5"/>
    <s v="Republic of the Congo"/>
    <s v="Cosmetics"/>
    <s v="Online"/>
    <s v="L"/>
    <d v="2012-03-07T00:00:00"/>
    <n v="546051681"/>
    <s v="7/25/2012"/>
    <n v="7682"/>
    <n v="437.2"/>
    <n v="263.33"/>
    <n v="3358570.4"/>
    <n v="2022901.06"/>
    <n v="1335669.3400000001"/>
  </r>
  <r>
    <x v="2"/>
    <s v="Brunei"/>
    <s v="Baby Food"/>
    <s v="Offline"/>
    <s v="C"/>
    <d v="2013-05-06T00:00:00"/>
    <n v="451507890"/>
    <s v="6/28/2013"/>
    <n v="73"/>
    <n v="255.28"/>
    <n v="159.41999999999999"/>
    <n v="18635.439999999999"/>
    <n v="11637.66"/>
    <n v="6997.78"/>
  </r>
  <r>
    <x v="5"/>
    <s v="Guinea"/>
    <s v="Cosmetics"/>
    <s v="Offline"/>
    <s v="H"/>
    <s v="4/27/2017"/>
    <n v="436024463"/>
    <s v="5/19/2017"/>
    <n v="8183"/>
    <n v="437.2"/>
    <n v="263.33"/>
    <n v="3577607.6"/>
    <n v="2154829.39"/>
    <n v="1422778.21"/>
  </r>
  <r>
    <x v="0"/>
    <s v="Panama"/>
    <s v="Cosmetics"/>
    <s v="Online"/>
    <s v="M"/>
    <s v="11/25/2016"/>
    <n v="848087728"/>
    <s v="12/30/2016"/>
    <n v="6860"/>
    <n v="437.2"/>
    <n v="263.33"/>
    <n v="2999192"/>
    <n v="1806443.8"/>
    <n v="1192748.2"/>
  </r>
  <r>
    <x v="5"/>
    <s v="Angola"/>
    <s v="Household"/>
    <s v="Online"/>
    <s v="L"/>
    <s v="4/20/2017"/>
    <n v="306496512"/>
    <d v="2017-06-05T00:00:00"/>
    <n v="7984"/>
    <n v="668.27"/>
    <n v="502.54"/>
    <n v="5335467.68"/>
    <n v="4012279.36"/>
    <n v="1323188.32"/>
  </r>
  <r>
    <x v="5"/>
    <s v="Kenya"/>
    <s v="Beverages"/>
    <s v="Online"/>
    <s v="M"/>
    <s v="2/25/2017"/>
    <n v="650362145"/>
    <d v="2017-02-04T00:00:00"/>
    <n v="5466"/>
    <n v="47.45"/>
    <n v="31.79"/>
    <n v="259361.7"/>
    <n v="173764.14"/>
    <n v="85597.56"/>
  </r>
  <r>
    <x v="1"/>
    <s v="Czech Republic"/>
    <s v="Office Supplies"/>
    <s v="Offline"/>
    <s v="H"/>
    <d v="2012-11-05T00:00:00"/>
    <n v="189108455"/>
    <s v="6/30/2012"/>
    <n v="249"/>
    <n v="651.21"/>
    <n v="524.96"/>
    <n v="162151.29"/>
    <n v="130715.04"/>
    <n v="31436.25"/>
  </r>
  <r>
    <x v="1"/>
    <s v="Sweden"/>
    <s v="Fruits"/>
    <s v="Offline"/>
    <s v="L"/>
    <s v="1/14/2015"/>
    <n v="452471768"/>
    <d v="2015-10-02T00:00:00"/>
    <n v="5306"/>
    <n v="9.33"/>
    <n v="6.92"/>
    <n v="49504.98"/>
    <n v="36717.519999999997"/>
    <n v="12787.46"/>
  </r>
  <r>
    <x v="4"/>
    <s v="East Timor"/>
    <s v="Snacks"/>
    <s v="Online"/>
    <s v="C"/>
    <s v="11/13/2011"/>
    <n v="340500915"/>
    <d v="2011-11-12T00:00:00"/>
    <n v="642"/>
    <n v="152.58000000000001"/>
    <n v="97.44"/>
    <n v="97956.36"/>
    <n v="62556.480000000003"/>
    <n v="35399.879999999997"/>
  </r>
  <r>
    <x v="2"/>
    <s v="Philippines"/>
    <s v="Cosmetics"/>
    <s v="Online"/>
    <s v="C"/>
    <s v="4/23/2013"/>
    <n v="173557221"/>
    <s v="5/16/2013"/>
    <n v="8293"/>
    <n v="437.2"/>
    <n v="263.33"/>
    <n v="3625699.6"/>
    <n v="2183795.69"/>
    <n v="1441903.91"/>
  </r>
  <r>
    <x v="5"/>
    <s v="Togo"/>
    <s v="Office Supplies"/>
    <s v="Offline"/>
    <s v="H"/>
    <s v="12/15/2011"/>
    <n v="342314517"/>
    <d v="2012-06-01T00:00:00"/>
    <n v="7327"/>
    <n v="651.21"/>
    <n v="524.96"/>
    <n v="4771415.67"/>
    <n v="3846381.92"/>
    <n v="925033.75"/>
  </r>
  <r>
    <x v="2"/>
    <s v="Taiwan"/>
    <s v="Vegetables"/>
    <s v="Offline"/>
    <s v="M"/>
    <d v="2016-10-08T00:00:00"/>
    <n v="857759130"/>
    <s v="9/28/2016"/>
    <n v="8843"/>
    <n v="154.06"/>
    <n v="90.93"/>
    <n v="1362352.58"/>
    <n v="804093.99"/>
    <n v="558258.59"/>
  </r>
  <r>
    <x v="5"/>
    <s v="Zimbabwe"/>
    <s v="Baby Food"/>
    <s v="Offline"/>
    <s v="H"/>
    <s v="8/20/2010"/>
    <n v="901189887"/>
    <d v="2010-03-09T00:00:00"/>
    <n v="969"/>
    <n v="255.28"/>
    <n v="159.41999999999999"/>
    <n v="247366.32"/>
    <n v="154477.98000000001"/>
    <n v="92888.34"/>
  </r>
  <r>
    <x v="1"/>
    <s v="Germany"/>
    <s v="Cereal"/>
    <s v="Offline"/>
    <s v="M"/>
    <s v="4/30/2016"/>
    <n v="174218118"/>
    <s v="6/13/2016"/>
    <n v="3867"/>
    <n v="205.7"/>
    <n v="117.11"/>
    <n v="795441.9"/>
    <n v="452864.37"/>
    <n v="342577.53"/>
  </r>
  <r>
    <x v="5"/>
    <s v="Togo"/>
    <s v="Office Supplies"/>
    <s v="Offline"/>
    <s v="L"/>
    <s v="5/25/2015"/>
    <n v="248767650"/>
    <s v="7/13/2015"/>
    <n v="4731"/>
    <n v="651.21"/>
    <n v="524.96"/>
    <n v="3080874.51"/>
    <n v="2483585.7599999998"/>
    <n v="597288.75"/>
  </r>
  <r>
    <x v="5"/>
    <s v="Sudan"/>
    <s v="Personal Care"/>
    <s v="Online"/>
    <s v="C"/>
    <s v="4/30/2013"/>
    <n v="517074811"/>
    <d v="2013-07-05T00:00:00"/>
    <n v="2782"/>
    <n v="81.73"/>
    <n v="56.67"/>
    <n v="227372.86"/>
    <n v="157655.94"/>
    <n v="69716.92"/>
  </r>
  <r>
    <x v="2"/>
    <s v="Indonesia"/>
    <s v="Fruits"/>
    <s v="Online"/>
    <s v="C"/>
    <s v="11/23/2012"/>
    <n v="441688430"/>
    <s v="12/26/2012"/>
    <n v="4277"/>
    <n v="9.33"/>
    <n v="6.92"/>
    <n v="39904.410000000003"/>
    <n v="29596.84"/>
    <n v="10307.57"/>
  </r>
  <r>
    <x v="4"/>
    <s v="Solomon Islands"/>
    <s v="Clothes"/>
    <s v="Offline"/>
    <s v="M"/>
    <d v="2010-11-05T00:00:00"/>
    <n v="905469834"/>
    <s v="5/15/2010"/>
    <n v="7500"/>
    <n v="109.28"/>
    <n v="35.840000000000003"/>
    <n v="819600"/>
    <n v="268800"/>
    <n v="550800"/>
  </r>
  <r>
    <x v="5"/>
    <s v="Equatorial Guinea"/>
    <s v="Household"/>
    <s v="Offline"/>
    <s v="M"/>
    <s v="5/27/2014"/>
    <n v="161592853"/>
    <d v="2014-03-07T00:00:00"/>
    <n v="7771"/>
    <n v="668.27"/>
    <n v="502.54"/>
    <n v="5193126.17"/>
    <n v="3905238.34"/>
    <n v="1287887.83"/>
  </r>
  <r>
    <x v="3"/>
    <s v="Libya"/>
    <s v="Fruits"/>
    <s v="Online"/>
    <s v="C"/>
    <s v="1/23/2012"/>
    <n v="583543813"/>
    <d v="2012-02-02T00:00:00"/>
    <n v="2437"/>
    <n v="9.33"/>
    <n v="6.92"/>
    <n v="22737.21"/>
    <n v="16864.04"/>
    <n v="5873.17"/>
  </r>
  <r>
    <x v="5"/>
    <s v="Burundi"/>
    <s v="Snacks"/>
    <s v="Online"/>
    <s v="L"/>
    <s v="5/13/2010"/>
    <n v="115121543"/>
    <s v="6/25/2010"/>
    <n v="5878"/>
    <n v="152.58000000000001"/>
    <n v="97.44"/>
    <n v="896865.24"/>
    <n v="572752.31999999995"/>
    <n v="324112.92"/>
  </r>
  <r>
    <x v="1"/>
    <s v="Germany"/>
    <s v="Meat"/>
    <s v="Online"/>
    <s v="H"/>
    <s v="5/28/2017"/>
    <n v="820437371"/>
    <d v="2017-11-06T00:00:00"/>
    <n v="4505"/>
    <n v="421.89"/>
    <n v="364.69"/>
    <n v="1900614.45"/>
    <n v="1642928.45"/>
    <n v="257686"/>
  </r>
  <r>
    <x v="5"/>
    <s v="Mali"/>
    <s v="Office Supplies"/>
    <s v="Offline"/>
    <s v="H"/>
    <d v="2015-02-11T00:00:00"/>
    <n v="333915126"/>
    <s v="12/17/2015"/>
    <n v="1761"/>
    <n v="651.21"/>
    <n v="524.96"/>
    <n v="1146780.81"/>
    <n v="924454.56"/>
    <n v="222326.25"/>
  </r>
  <r>
    <x v="1"/>
    <s v="Slovenia"/>
    <s v="Personal Care"/>
    <s v="Offline"/>
    <s v="L"/>
    <d v="2012-06-02T00:00:00"/>
    <n v="410291135"/>
    <s v="2/22/2012"/>
    <n v="3119"/>
    <n v="81.73"/>
    <n v="56.67"/>
    <n v="254915.87"/>
    <n v="176753.73"/>
    <n v="78162.14"/>
  </r>
  <r>
    <x v="1"/>
    <s v="Andorra"/>
    <s v="Baby Food"/>
    <s v="Offline"/>
    <s v="C"/>
    <s v="6/24/2017"/>
    <n v="174614226"/>
    <s v="8/13/2017"/>
    <n v="1085"/>
    <n v="255.28"/>
    <n v="159.41999999999999"/>
    <n v="276978.8"/>
    <n v="172970.7"/>
    <n v="104008.1"/>
  </r>
  <r>
    <x v="5"/>
    <s v="Zambia"/>
    <s v="Office Supplies"/>
    <s v="Online"/>
    <s v="M"/>
    <s v="1/15/2014"/>
    <n v="172245728"/>
    <s v="2/14/2014"/>
    <n v="194"/>
    <n v="651.21"/>
    <n v="524.96"/>
    <n v="126334.74"/>
    <n v="101842.24000000001"/>
    <n v="24492.5"/>
  </r>
  <r>
    <x v="1"/>
    <s v="Vatican City"/>
    <s v="Snacks"/>
    <s v="Offline"/>
    <s v="L"/>
    <d v="2011-02-06T00:00:00"/>
    <n v="118859469"/>
    <d v="2011-01-07T00:00:00"/>
    <n v="2013"/>
    <n v="152.58000000000001"/>
    <n v="97.44"/>
    <n v="307143.53999999998"/>
    <n v="196146.72"/>
    <n v="110996.82"/>
  </r>
  <r>
    <x v="3"/>
    <s v="Algeria"/>
    <s v="Clothes"/>
    <s v="Online"/>
    <s v="H"/>
    <s v="9/23/2012"/>
    <n v="250441777"/>
    <s v="10/25/2012"/>
    <n v="142"/>
    <n v="109.28"/>
    <n v="35.840000000000003"/>
    <n v="15517.76"/>
    <n v="5089.28"/>
    <n v="10428.48"/>
  </r>
  <r>
    <x v="3"/>
    <s v="Pakistan"/>
    <s v="Baby Food"/>
    <s v="Online"/>
    <s v="L"/>
    <s v="10/24/2010"/>
    <n v="873291480"/>
    <d v="2010-06-11T00:00:00"/>
    <n v="5210"/>
    <n v="255.28"/>
    <n v="159.41999999999999"/>
    <n v="1330008.8"/>
    <n v="830578.2"/>
    <n v="499430.6"/>
  </r>
  <r>
    <x v="2"/>
    <s v="Indonesia"/>
    <s v="Beverages"/>
    <s v="Online"/>
    <s v="L"/>
    <s v="9/14/2014"/>
    <n v="114019906"/>
    <s v="9/24/2014"/>
    <n v="9879"/>
    <n v="47.45"/>
    <n v="31.79"/>
    <n v="468758.55"/>
    <n v="314053.40999999997"/>
    <n v="154705.14000000001"/>
  </r>
  <r>
    <x v="1"/>
    <s v="Belarus"/>
    <s v="Cosmetics"/>
    <s v="Offline"/>
    <s v="H"/>
    <s v="7/30/2015"/>
    <n v="669550883"/>
    <s v="9/16/2015"/>
    <n v="3840"/>
    <n v="437.2"/>
    <n v="263.33"/>
    <n v="1678848"/>
    <n v="1011187.2"/>
    <n v="667660.80000000005"/>
  </r>
  <r>
    <x v="0"/>
    <s v="Dominican Republic"/>
    <s v="Baby Food"/>
    <s v="Offline"/>
    <s v="L"/>
    <s v="3/30/2013"/>
    <n v="357120740"/>
    <s v="4/14/2013"/>
    <n v="8818"/>
    <n v="255.28"/>
    <n v="159.41999999999999"/>
    <n v="2251059.04"/>
    <n v="1405765.56"/>
    <n v="845293.48"/>
  </r>
  <r>
    <x v="5"/>
    <s v="Zimbabwe"/>
    <s v="Beverages"/>
    <s v="Offline"/>
    <s v="L"/>
    <s v="5/15/2012"/>
    <n v="664278304"/>
    <s v="6/24/2012"/>
    <n v="3567"/>
    <n v="47.45"/>
    <n v="31.79"/>
    <n v="169254.15"/>
    <n v="113394.93"/>
    <n v="55859.22"/>
  </r>
  <r>
    <x v="2"/>
    <s v="Uzbekistan"/>
    <s v="Cereal"/>
    <s v="Offline"/>
    <s v="M"/>
    <d v="2011-08-02T00:00:00"/>
    <n v="898884904"/>
    <s v="2/20/2011"/>
    <n v="8873"/>
    <n v="205.7"/>
    <n v="117.11"/>
    <n v="1825176.1"/>
    <n v="1039117.03"/>
    <n v="786059.07"/>
  </r>
  <r>
    <x v="1"/>
    <s v="United Kingdom"/>
    <s v="Personal Care"/>
    <s v="Online"/>
    <s v="M"/>
    <s v="6/17/2012"/>
    <n v="439114367"/>
    <s v="6/26/2012"/>
    <n v="2554"/>
    <n v="81.73"/>
    <n v="56.67"/>
    <n v="208738.42"/>
    <n v="144735.18"/>
    <n v="64003.24"/>
  </r>
  <r>
    <x v="3"/>
    <s v="Oman"/>
    <s v="Personal Care"/>
    <s v="Offline"/>
    <s v="L"/>
    <d v="2012-06-12T00:00:00"/>
    <n v="983453023"/>
    <s v="12/31/2012"/>
    <n v="4459"/>
    <n v="81.73"/>
    <n v="56.67"/>
    <n v="364434.07"/>
    <n v="252691.53"/>
    <n v="111742.54"/>
  </r>
  <r>
    <x v="5"/>
    <s v="Guinea-Bissau"/>
    <s v="Cosmetics"/>
    <s v="Online"/>
    <s v="H"/>
    <s v="11/14/2013"/>
    <n v="700699698"/>
    <s v="12/23/2013"/>
    <n v="1467"/>
    <n v="437.2"/>
    <n v="263.33"/>
    <n v="641372.4"/>
    <n v="386305.11"/>
    <n v="255067.29"/>
  </r>
  <r>
    <x v="0"/>
    <s v="Nicaragua"/>
    <s v="Cereal"/>
    <s v="Offline"/>
    <s v="M"/>
    <d v="2010-11-02T00:00:00"/>
    <n v="979965722"/>
    <s v="3/27/2010"/>
    <n v="2489"/>
    <n v="205.7"/>
    <n v="117.11"/>
    <n v="511987.3"/>
    <n v="291486.78999999998"/>
    <n v="220500.51"/>
  </r>
  <r>
    <x v="0"/>
    <s v="Guatemala"/>
    <s v="Office Supplies"/>
    <s v="Online"/>
    <s v="C"/>
    <d v="2016-04-07T00:00:00"/>
    <n v="580674922"/>
    <s v="7/26/2016"/>
    <n v="3468"/>
    <n v="651.21"/>
    <n v="524.96"/>
    <n v="2258396.2799999998"/>
    <n v="1820561.28"/>
    <n v="437835"/>
  </r>
  <r>
    <x v="1"/>
    <s v="Moldova "/>
    <s v="Household"/>
    <s v="Online"/>
    <s v="M"/>
    <s v="1/31/2011"/>
    <n v="582563626"/>
    <s v="2/19/2011"/>
    <n v="2378"/>
    <n v="668.27"/>
    <n v="502.54"/>
    <n v="1589146.06"/>
    <n v="1195040.1200000001"/>
    <n v="394105.94"/>
  </r>
  <r>
    <x v="3"/>
    <s v="Kuwait"/>
    <s v="Snacks"/>
    <s v="Offline"/>
    <s v="C"/>
    <d v="2014-08-08T00:00:00"/>
    <n v="335680663"/>
    <s v="8/25/2014"/>
    <n v="4223"/>
    <n v="152.58000000000001"/>
    <n v="97.44"/>
    <n v="644345.34"/>
    <n v="411489.12"/>
    <n v="232856.22"/>
  </r>
  <r>
    <x v="5"/>
    <s v="Zimbabwe"/>
    <s v="Vegetables"/>
    <s v="Online"/>
    <s v="L"/>
    <d v="2011-07-01T00:00:00"/>
    <n v="610387361"/>
    <s v="1/20/2011"/>
    <n v="6039"/>
    <n v="154.06"/>
    <n v="90.93"/>
    <n v="930368.34"/>
    <n v="549126.27"/>
    <n v="381242.07"/>
  </r>
  <r>
    <x v="4"/>
    <s v="Palau"/>
    <s v="Clothes"/>
    <s v="Online"/>
    <s v="C"/>
    <d v="2011-09-11T00:00:00"/>
    <n v="447357547"/>
    <s v="12/22/2011"/>
    <n v="1894"/>
    <n v="109.28"/>
    <n v="35.840000000000003"/>
    <n v="206976.32"/>
    <n v="67880.960000000006"/>
    <n v="139095.35999999999"/>
  </r>
  <r>
    <x v="0"/>
    <s v="Panama"/>
    <s v="Personal Care"/>
    <s v="Online"/>
    <s v="H"/>
    <s v="7/24/2014"/>
    <n v="307577550"/>
    <s v="7/27/2014"/>
    <n v="7887"/>
    <n v="81.73"/>
    <n v="56.67"/>
    <n v="644604.51"/>
    <n v="446956.29"/>
    <n v="197648.22"/>
  </r>
  <r>
    <x v="0"/>
    <s v="Dominican Republic"/>
    <s v="Cosmetics"/>
    <s v="Online"/>
    <s v="H"/>
    <d v="2013-09-11T00:00:00"/>
    <n v="722346198"/>
    <d v="2013-11-12T00:00:00"/>
    <n v="7147"/>
    <n v="437.2"/>
    <n v="263.33"/>
    <n v="3124668.4"/>
    <n v="1882019.51"/>
    <n v="1242648.8899999999"/>
  </r>
  <r>
    <x v="1"/>
    <s v="Latvia"/>
    <s v="Snacks"/>
    <s v="Online"/>
    <s v="M"/>
    <d v="2013-08-02T00:00:00"/>
    <n v="943274819"/>
    <d v="2013-08-03T00:00:00"/>
    <n v="4836"/>
    <n v="152.58000000000001"/>
    <n v="97.44"/>
    <n v="737876.88"/>
    <n v="471219.84"/>
    <n v="266657.03999999998"/>
  </r>
  <r>
    <x v="2"/>
    <s v="Bangladesh"/>
    <s v="Beverages"/>
    <s v="Offline"/>
    <s v="M"/>
    <d v="2012-12-12T00:00:00"/>
    <n v="292287242"/>
    <d v="2013-11-01T00:00:00"/>
    <n v="3145"/>
    <n v="47.45"/>
    <n v="31.79"/>
    <n v="149230.25"/>
    <n v="99979.55"/>
    <n v="49250.7"/>
  </r>
  <r>
    <x v="3"/>
    <s v="Syria"/>
    <s v="Vegetables"/>
    <s v="Offline"/>
    <s v="C"/>
    <s v="1/31/2015"/>
    <n v="411619794"/>
    <d v="2015-10-03T00:00:00"/>
    <n v="6299"/>
    <n v="154.06"/>
    <n v="90.93"/>
    <n v="970423.94"/>
    <n v="572768.06999999995"/>
    <n v="397655.87"/>
  </r>
  <r>
    <x v="1"/>
    <s v="Hungary"/>
    <s v="Office Supplies"/>
    <s v="Online"/>
    <s v="H"/>
    <d v="2010-05-12T00:00:00"/>
    <n v="313821303"/>
    <s v="1/17/2011"/>
    <n v="5552"/>
    <n v="651.21"/>
    <n v="524.96"/>
    <n v="3615517.92"/>
    <n v="2914577.92"/>
    <n v="700940"/>
  </r>
  <r>
    <x v="1"/>
    <s v="Slovakia"/>
    <s v="Beverages"/>
    <s v="Online"/>
    <s v="M"/>
    <d v="2015-02-09T00:00:00"/>
    <n v="431753098"/>
    <s v="10/19/2015"/>
    <n v="4191"/>
    <n v="47.45"/>
    <n v="31.79"/>
    <n v="198862.95"/>
    <n v="133231.89000000001"/>
    <n v="65631.06"/>
  </r>
  <r>
    <x v="2"/>
    <s v="Tajikistan"/>
    <s v="Baby Food"/>
    <s v="Online"/>
    <s v="M"/>
    <s v="6/30/2011"/>
    <n v="368589007"/>
    <d v="2011-10-08T00:00:00"/>
    <n v="2533"/>
    <n v="255.28"/>
    <n v="159.41999999999999"/>
    <n v="646624.24"/>
    <n v="403810.86"/>
    <n v="242813.38"/>
  </r>
  <r>
    <x v="5"/>
    <s v="Benin"/>
    <s v="Vegetables"/>
    <s v="Offline"/>
    <s v="M"/>
    <d v="2011-09-12T00:00:00"/>
    <n v="247815358"/>
    <d v="2012-08-01T00:00:00"/>
    <n v="2926"/>
    <n v="154.06"/>
    <n v="90.93"/>
    <n v="450779.56"/>
    <n v="266061.18"/>
    <n v="184718.38"/>
  </r>
  <r>
    <x v="4"/>
    <s v="East Timor"/>
    <s v="Clothes"/>
    <s v="Online"/>
    <s v="L"/>
    <d v="2012-02-09T00:00:00"/>
    <n v="263230979"/>
    <d v="2012-08-09T00:00:00"/>
    <n v="4751"/>
    <n v="109.28"/>
    <n v="35.840000000000003"/>
    <n v="519189.28"/>
    <n v="170275.84"/>
    <n v="348913.44"/>
  </r>
  <r>
    <x v="0"/>
    <s v="Dominican Republic"/>
    <s v="Snacks"/>
    <s v="Offline"/>
    <s v="C"/>
    <d v="2010-05-06T00:00:00"/>
    <n v="228947198"/>
    <d v="2010-01-07T00:00:00"/>
    <n v="9418"/>
    <n v="152.58000000000001"/>
    <n v="97.44"/>
    <n v="1436998.44"/>
    <n v="917689.92"/>
    <n v="519308.52"/>
  </r>
  <r>
    <x v="5"/>
    <s v="Cote d'Ivoire"/>
    <s v="Vegetables"/>
    <s v="Offline"/>
    <s v="C"/>
    <s v="5/13/2014"/>
    <n v="929387843"/>
    <s v="6/15/2014"/>
    <n v="5371"/>
    <n v="154.06"/>
    <n v="90.93"/>
    <n v="827456.26"/>
    <n v="488385.03"/>
    <n v="339071.23"/>
  </r>
  <r>
    <x v="1"/>
    <s v="Bosnia and Herzegovina"/>
    <s v="Household"/>
    <s v="Online"/>
    <s v="C"/>
    <s v="12/28/2011"/>
    <n v="969289243"/>
    <d v="2012-02-02T00:00:00"/>
    <n v="3082"/>
    <n v="668.27"/>
    <n v="502.54"/>
    <n v="2059608.14"/>
    <n v="1548828.28"/>
    <n v="510779.86"/>
  </r>
  <r>
    <x v="5"/>
    <s v="Burundi"/>
    <s v="Office Supplies"/>
    <s v="Offline"/>
    <s v="M"/>
    <s v="10/22/2010"/>
    <n v="823700225"/>
    <s v="11/21/2010"/>
    <n v="56"/>
    <n v="651.21"/>
    <n v="524.96"/>
    <n v="36467.760000000002"/>
    <n v="29397.759999999998"/>
    <n v="7070"/>
  </r>
  <r>
    <x v="2"/>
    <s v="Sri Lanka"/>
    <s v="Clothes"/>
    <s v="Online"/>
    <s v="C"/>
    <s v="10/24/2011"/>
    <n v="587982118"/>
    <s v="11/17/2011"/>
    <n v="5830"/>
    <n v="109.28"/>
    <n v="35.840000000000003"/>
    <n v="637102.4"/>
    <n v="208947.20000000001"/>
    <n v="428155.2"/>
  </r>
  <r>
    <x v="3"/>
    <s v="Pakistan"/>
    <s v="Cereal"/>
    <s v="Online"/>
    <s v="C"/>
    <d v="2013-09-04T00:00:00"/>
    <n v="427808749"/>
    <s v="4/24/2013"/>
    <n v="6971"/>
    <n v="205.7"/>
    <n v="117.11"/>
    <n v="1433934.7"/>
    <n v="816373.81"/>
    <n v="617560.89"/>
  </r>
  <r>
    <x v="0"/>
    <s v="The Bahamas"/>
    <s v="Household"/>
    <s v="Offline"/>
    <s v="H"/>
    <s v="7/13/2014"/>
    <n v="129166448"/>
    <s v="7/28/2014"/>
    <n v="2077"/>
    <n v="668.27"/>
    <n v="502.54"/>
    <n v="1387996.79"/>
    <n v="1043775.58"/>
    <n v="344221.21"/>
  </r>
  <r>
    <x v="2"/>
    <s v="India"/>
    <s v="Personal Care"/>
    <s v="Offline"/>
    <s v="H"/>
    <s v="3/14/2012"/>
    <n v="448354041"/>
    <d v="2012-05-04T00:00:00"/>
    <n v="6779"/>
    <n v="81.73"/>
    <n v="56.67"/>
    <n v="554047.67000000004"/>
    <n v="384165.93"/>
    <n v="169881.74"/>
  </r>
  <r>
    <x v="1"/>
    <s v="Norway"/>
    <s v="Snacks"/>
    <s v="Offline"/>
    <s v="M"/>
    <s v="7/17/2011"/>
    <n v="861982858"/>
    <d v="2011-04-09T00:00:00"/>
    <n v="8738"/>
    <n v="152.58000000000001"/>
    <n v="97.44"/>
    <n v="1333244.04"/>
    <n v="851430.72"/>
    <n v="481813.32"/>
  </r>
  <r>
    <x v="2"/>
    <s v="China"/>
    <s v="Meat"/>
    <s v="Online"/>
    <s v="C"/>
    <s v="1/30/2015"/>
    <n v="916976726"/>
    <s v="3/16/2015"/>
    <n v="2645"/>
    <n v="421.89"/>
    <n v="364.69"/>
    <n v="1115899.05"/>
    <n v="964605.05"/>
    <n v="151294"/>
  </r>
  <r>
    <x v="5"/>
    <s v="Rwanda"/>
    <s v="Office Supplies"/>
    <s v="Online"/>
    <s v="L"/>
    <d v="2011-10-04T00:00:00"/>
    <n v="680571973"/>
    <d v="2011-05-05T00:00:00"/>
    <n v="5225"/>
    <n v="651.21"/>
    <n v="524.96"/>
    <n v="3402572.25"/>
    <n v="2742916"/>
    <n v="659656.25"/>
  </r>
  <r>
    <x v="1"/>
    <s v="Italy"/>
    <s v="Meat"/>
    <s v="Online"/>
    <s v="M"/>
    <s v="2/21/2016"/>
    <n v="290317428"/>
    <d v="2016-02-04T00:00:00"/>
    <n v="233"/>
    <n v="421.89"/>
    <n v="364.69"/>
    <n v="98300.37"/>
    <n v="84972.77"/>
    <n v="13327.6"/>
  </r>
  <r>
    <x v="2"/>
    <s v="India"/>
    <s v="Office Supplies"/>
    <s v="Online"/>
    <s v="H"/>
    <s v="6/23/2016"/>
    <n v="404074418"/>
    <s v="6/30/2016"/>
    <n v="3455"/>
    <n v="651.21"/>
    <n v="524.96"/>
    <n v="2249930.5499999998"/>
    <n v="1813736.8"/>
    <n v="436193.75"/>
  </r>
  <r>
    <x v="6"/>
    <s v="Greenland"/>
    <s v="Snacks"/>
    <s v="Offline"/>
    <s v="H"/>
    <d v="2011-04-07T00:00:00"/>
    <n v="850016772"/>
    <d v="2011-03-08T00:00:00"/>
    <n v="7707"/>
    <n v="152.58000000000001"/>
    <n v="97.44"/>
    <n v="1175934.06"/>
    <n v="750970.08"/>
    <n v="424963.98"/>
  </r>
  <r>
    <x v="0"/>
    <s v="The Bahamas"/>
    <s v="Vegetables"/>
    <s v="Offline"/>
    <s v="H"/>
    <s v="8/27/2016"/>
    <n v="176630818"/>
    <s v="9/19/2016"/>
    <n v="7839"/>
    <n v="154.06"/>
    <n v="90.93"/>
    <n v="1207676.3400000001"/>
    <n v="712800.27"/>
    <n v="494876.07"/>
  </r>
  <r>
    <x v="3"/>
    <s v="Afghanistan"/>
    <s v="Meat"/>
    <s v="Offline"/>
    <s v="H"/>
    <d v="2014-05-05T00:00:00"/>
    <n v="602715384"/>
    <s v="6/18/2014"/>
    <n v="5731"/>
    <n v="421.89"/>
    <n v="364.69"/>
    <n v="2417851.59"/>
    <n v="2090038.39"/>
    <n v="327813.2"/>
  </r>
  <r>
    <x v="3"/>
    <s v="Somalia"/>
    <s v="Personal Care"/>
    <s v="Online"/>
    <s v="L"/>
    <d v="2010-08-10T00:00:00"/>
    <n v="367381799"/>
    <s v="10/17/2010"/>
    <n v="5293"/>
    <n v="81.73"/>
    <n v="56.67"/>
    <n v="432596.89"/>
    <n v="299954.31"/>
    <n v="132642.57999999999"/>
  </r>
  <r>
    <x v="3"/>
    <s v="Azerbaijan"/>
    <s v="Fruits"/>
    <s v="Online"/>
    <s v="M"/>
    <s v="12/26/2016"/>
    <n v="480053889"/>
    <s v="1/22/2017"/>
    <n v="7469"/>
    <n v="9.33"/>
    <n v="6.92"/>
    <n v="69685.77"/>
    <n v="51685.48"/>
    <n v="18000.29"/>
  </r>
  <r>
    <x v="2"/>
    <s v="Tajikistan"/>
    <s v="Office Supplies"/>
    <s v="Offline"/>
    <s v="L"/>
    <s v="10/27/2014"/>
    <n v="670467984"/>
    <s v="11/13/2014"/>
    <n v="5231"/>
    <n v="651.21"/>
    <n v="524.96"/>
    <n v="3406479.51"/>
    <n v="2746065.76"/>
    <n v="660413.75"/>
  </r>
  <r>
    <x v="5"/>
    <s v="Djibouti"/>
    <s v="Personal Care"/>
    <s v="Online"/>
    <s v="C"/>
    <d v="2013-02-09T00:00:00"/>
    <n v="738672912"/>
    <d v="2013-10-10T00:00:00"/>
    <n v="8584"/>
    <n v="81.73"/>
    <n v="56.67"/>
    <n v="701570.32"/>
    <n v="486455.28"/>
    <n v="215115.04"/>
  </r>
  <r>
    <x v="1"/>
    <s v="Slovenia"/>
    <s v="Clothes"/>
    <s v="Offline"/>
    <s v="C"/>
    <d v="2016-02-06T00:00:00"/>
    <n v="105030000"/>
    <s v="6/13/2016"/>
    <n v="9566"/>
    <n v="109.28"/>
    <n v="35.840000000000003"/>
    <n v="1045372.48"/>
    <n v="342845.44"/>
    <n v="702527.04"/>
  </r>
  <r>
    <x v="1"/>
    <s v="Belgium"/>
    <s v="Beverages"/>
    <s v="Online"/>
    <s v="H"/>
    <s v="8/31/2015"/>
    <n v="960213077"/>
    <s v="10/16/2015"/>
    <n v="7242"/>
    <n v="47.45"/>
    <n v="31.79"/>
    <n v="343632.9"/>
    <n v="230223.18"/>
    <n v="113409.72"/>
  </r>
  <r>
    <x v="4"/>
    <s v="Australia"/>
    <s v="Cereal"/>
    <s v="Online"/>
    <s v="M"/>
    <s v="8/19/2012"/>
    <n v="615208470"/>
    <d v="2012-04-09T00:00:00"/>
    <n v="2713"/>
    <n v="205.7"/>
    <n v="117.11"/>
    <n v="558064.1"/>
    <n v="317719.43"/>
    <n v="240344.67"/>
  </r>
  <r>
    <x v="6"/>
    <s v="Greenland"/>
    <s v="Cosmetics"/>
    <s v="Offline"/>
    <s v="H"/>
    <s v="5/31/2013"/>
    <n v="951315009"/>
    <d v="2013-03-07T00:00:00"/>
    <n v="4106"/>
    <n v="437.2"/>
    <n v="263.33"/>
    <n v="1795143.2"/>
    <n v="1081232.98"/>
    <n v="713910.22"/>
  </r>
  <r>
    <x v="3"/>
    <s v="Lebanon"/>
    <s v="Beverages"/>
    <s v="Offline"/>
    <s v="L"/>
    <d v="2010-01-01T00:00:00"/>
    <n v="770144021"/>
    <s v="1/21/2010"/>
    <n v="1585"/>
    <n v="47.45"/>
    <n v="31.79"/>
    <n v="75208.25"/>
    <n v="50387.15"/>
    <n v="24821.1"/>
  </r>
  <r>
    <x v="1"/>
    <s v="Hungary"/>
    <s v="Cosmetics"/>
    <s v="Offline"/>
    <s v="L"/>
    <s v="5/27/2014"/>
    <n v="743619334"/>
    <d v="2014-09-07T00:00:00"/>
    <n v="2341"/>
    <n v="437.2"/>
    <n v="263.33"/>
    <n v="1023485.2"/>
    <n v="616455.53"/>
    <n v="407029.67"/>
  </r>
  <r>
    <x v="1"/>
    <s v="Ireland"/>
    <s v="Office Supplies"/>
    <s v="Offline"/>
    <s v="H"/>
    <s v="12/15/2016"/>
    <n v="263977277"/>
    <d v="2017-10-01T00:00:00"/>
    <n v="5597"/>
    <n v="651.21"/>
    <n v="524.96"/>
    <n v="3644822.37"/>
    <n v="2938201.12"/>
    <n v="706621.25"/>
  </r>
  <r>
    <x v="4"/>
    <s v="Papua New Guinea"/>
    <s v="Vegetables"/>
    <s v="Offline"/>
    <s v="H"/>
    <d v="2012-11-11T00:00:00"/>
    <n v="593766677"/>
    <s v="12/16/2012"/>
    <n v="7609"/>
    <n v="154.06"/>
    <n v="90.93"/>
    <n v="1172242.54"/>
    <n v="691886.37"/>
    <n v="480356.17"/>
  </r>
  <r>
    <x v="5"/>
    <s v="The Gambia"/>
    <s v="Office Supplies"/>
    <s v="Offline"/>
    <s v="C"/>
    <d v="2013-12-07T00:00:00"/>
    <n v="815848863"/>
    <s v="8/27/2013"/>
    <n v="6663"/>
    <n v="651.21"/>
    <n v="524.96"/>
    <n v="4339012.2300000004"/>
    <n v="3497808.48"/>
    <n v="841203.75"/>
  </r>
  <r>
    <x v="5"/>
    <s v="Guinea"/>
    <s v="Cereal"/>
    <s v="Online"/>
    <s v="H"/>
    <s v="6/29/2012"/>
    <n v="983397662"/>
    <s v="7/25/2012"/>
    <n v="8076"/>
    <n v="205.7"/>
    <n v="117.11"/>
    <n v="1661233.2"/>
    <n v="945780.36"/>
    <n v="715452.84"/>
  </r>
  <r>
    <x v="5"/>
    <s v="Tanzania"/>
    <s v="Household"/>
    <s v="Offline"/>
    <s v="H"/>
    <d v="2011-08-12T00:00:00"/>
    <n v="769899404"/>
    <s v="12/13/2011"/>
    <n v="9197"/>
    <n v="668.27"/>
    <n v="502.54"/>
    <n v="6146079.1900000004"/>
    <n v="4621860.38"/>
    <n v="1524218.81"/>
  </r>
  <r>
    <x v="1"/>
    <s v="Montenegro"/>
    <s v="Office Supplies"/>
    <s v="Offline"/>
    <s v="H"/>
    <s v="4/23/2011"/>
    <n v="819152915"/>
    <s v="4/24/2011"/>
    <n v="4406"/>
    <n v="651.21"/>
    <n v="524.96"/>
    <n v="2869231.26"/>
    <n v="2312973.7599999998"/>
    <n v="556257.5"/>
  </r>
  <r>
    <x v="0"/>
    <s v="Cuba"/>
    <s v="Meat"/>
    <s v="Offline"/>
    <s v="C"/>
    <s v="2/20/2011"/>
    <n v="495269525"/>
    <d v="2011-06-04T00:00:00"/>
    <n v="113"/>
    <n v="421.89"/>
    <n v="364.69"/>
    <n v="47673.57"/>
    <n v="41209.97"/>
    <n v="6463.6"/>
  </r>
  <r>
    <x v="5"/>
    <s v="Uganda"/>
    <s v="Cereal"/>
    <s v="Offline"/>
    <s v="M"/>
    <s v="10/18/2016"/>
    <n v="132673060"/>
    <s v="10/22/2016"/>
    <n v="9762"/>
    <n v="205.7"/>
    <n v="117.11"/>
    <n v="2008043.4"/>
    <n v="1143227.82"/>
    <n v="864815.58"/>
  </r>
  <r>
    <x v="5"/>
    <s v="South Sudan"/>
    <s v="Cereal"/>
    <s v="Online"/>
    <s v="H"/>
    <d v="2012-01-01T00:00:00"/>
    <n v="586099851"/>
    <s v="1/14/2012"/>
    <n v="8825"/>
    <n v="205.7"/>
    <n v="117.11"/>
    <n v="1815302.5"/>
    <n v="1033495.75"/>
    <n v="781806.75"/>
  </r>
  <r>
    <x v="1"/>
    <s v="France"/>
    <s v="Personal Care"/>
    <s v="Offline"/>
    <s v="C"/>
    <s v="8/13/2015"/>
    <n v="980598723"/>
    <s v="9/24/2015"/>
    <n v="9808"/>
    <n v="81.73"/>
    <n v="56.67"/>
    <n v="801607.84"/>
    <n v="555819.36"/>
    <n v="245788.48"/>
  </r>
  <r>
    <x v="2"/>
    <s v="Malaysia"/>
    <s v="Fruits"/>
    <s v="Offline"/>
    <s v="L"/>
    <d v="2017-09-04T00:00:00"/>
    <n v="961531007"/>
    <d v="2017-04-05T00:00:00"/>
    <n v="7247"/>
    <n v="9.33"/>
    <n v="6.92"/>
    <n v="67614.509999999995"/>
    <n v="50149.24"/>
    <n v="17465.27"/>
  </r>
  <r>
    <x v="3"/>
    <s v="Jordan"/>
    <s v="Cosmetics"/>
    <s v="Offline"/>
    <s v="M"/>
    <s v="6/17/2011"/>
    <n v="244570529"/>
    <s v="7/21/2011"/>
    <n v="2709"/>
    <n v="437.2"/>
    <n v="263.33"/>
    <n v="1184374.8"/>
    <n v="713360.97"/>
    <n v="471013.83"/>
  </r>
  <r>
    <x v="5"/>
    <s v="Cote d'Ivoire"/>
    <s v="Snacks"/>
    <s v="Online"/>
    <s v="M"/>
    <d v="2016-12-06T00:00:00"/>
    <n v="865703618"/>
    <s v="6/17/2016"/>
    <n v="9793"/>
    <n v="152.58000000000001"/>
    <n v="97.44"/>
    <n v="1494215.94"/>
    <n v="954229.92"/>
    <n v="539986.02"/>
  </r>
  <r>
    <x v="2"/>
    <s v="Singapore"/>
    <s v="Baby Food"/>
    <s v="Online"/>
    <s v="M"/>
    <s v="6/30/2017"/>
    <n v="431229102"/>
    <s v="7/13/2017"/>
    <n v="9129"/>
    <n v="255.28"/>
    <n v="159.41999999999999"/>
    <n v="2330451.12"/>
    <n v="1455345.18"/>
    <n v="875105.94"/>
  </r>
  <r>
    <x v="0"/>
    <s v="Saint Kitts and Nevis "/>
    <s v="Cereal"/>
    <s v="Offline"/>
    <s v="H"/>
    <s v="1/26/2016"/>
    <n v="667758309"/>
    <d v="2016-11-03T00:00:00"/>
    <n v="3378"/>
    <n v="205.7"/>
    <n v="117.11"/>
    <n v="694854.6"/>
    <n v="395597.58"/>
    <n v="299257.02"/>
  </r>
  <r>
    <x v="2"/>
    <s v="China"/>
    <s v="Household"/>
    <s v="Online"/>
    <s v="H"/>
    <s v="11/30/2010"/>
    <n v="672215068"/>
    <s v="12/24/2010"/>
    <n v="2232"/>
    <n v="668.27"/>
    <n v="502.54"/>
    <n v="1491578.64"/>
    <n v="1121669.28"/>
    <n v="369909.36"/>
  </r>
  <r>
    <x v="5"/>
    <s v="Senegal"/>
    <s v="Cosmetics"/>
    <s v="Online"/>
    <s v="H"/>
    <s v="12/28/2016"/>
    <n v="961835706"/>
    <d v="2017-08-02T00:00:00"/>
    <n v="7414"/>
    <n v="437.2"/>
    <n v="263.33"/>
    <n v="3241400.8"/>
    <n v="1952328.62"/>
    <n v="1289072.18"/>
  </r>
  <r>
    <x v="2"/>
    <s v="Tajikistan"/>
    <s v="Beverages"/>
    <s v="Offline"/>
    <s v="C"/>
    <s v="3/29/2016"/>
    <n v="324169051"/>
    <s v="4/21/2016"/>
    <n v="7681"/>
    <n v="47.45"/>
    <n v="31.79"/>
    <n v="364463.45"/>
    <n v="244178.99"/>
    <n v="120284.46"/>
  </r>
  <r>
    <x v="5"/>
    <s v="Burundi"/>
    <s v="Baby Food"/>
    <s v="Offline"/>
    <s v="M"/>
    <s v="5/24/2014"/>
    <n v="767076432"/>
    <d v="2014-03-06T00:00:00"/>
    <n v="3817"/>
    <n v="255.28"/>
    <n v="159.41999999999999"/>
    <n v="974403.76"/>
    <n v="608506.14"/>
    <n v="365897.62"/>
  </r>
  <r>
    <x v="5"/>
    <s v="Mauritius "/>
    <s v="Snacks"/>
    <s v="Online"/>
    <s v="C"/>
    <s v="6/16/2014"/>
    <n v="768731677"/>
    <s v="7/18/2014"/>
    <n v="3641"/>
    <n v="152.58000000000001"/>
    <n v="97.44"/>
    <n v="555543.78"/>
    <n v="354779.04"/>
    <n v="200764.74"/>
  </r>
  <r>
    <x v="5"/>
    <s v="Botswana"/>
    <s v="Vegetables"/>
    <s v="Offline"/>
    <s v="C"/>
    <d v="2012-03-12T00:00:00"/>
    <n v="227621114"/>
    <s v="12/31/2012"/>
    <n v="7001"/>
    <n v="154.06"/>
    <n v="90.93"/>
    <n v="1078574.06"/>
    <n v="636600.93000000005"/>
    <n v="441973.13"/>
  </r>
  <r>
    <x v="5"/>
    <s v="Liberia"/>
    <s v="Personal Care"/>
    <s v="Offline"/>
    <s v="H"/>
    <s v="2/23/2011"/>
    <n v="912543570"/>
    <s v="3/25/2011"/>
    <n v="776"/>
    <n v="81.73"/>
    <n v="56.67"/>
    <n v="63422.48"/>
    <n v="43975.92"/>
    <n v="19446.560000000001"/>
  </r>
  <r>
    <x v="0"/>
    <s v="Honduras"/>
    <s v="Office Supplies"/>
    <s v="Offline"/>
    <s v="M"/>
    <s v="7/17/2011"/>
    <n v="612610375"/>
    <s v="8/18/2011"/>
    <n v="3878"/>
    <n v="651.21"/>
    <n v="524.96"/>
    <n v="2525392.38"/>
    <n v="2035794.88"/>
    <n v="489597.5"/>
  </r>
  <r>
    <x v="4"/>
    <s v="Papua New Guinea"/>
    <s v="Snacks"/>
    <s v="Offline"/>
    <s v="L"/>
    <s v="10/18/2013"/>
    <n v="787245357"/>
    <d v="2013-01-11T00:00:00"/>
    <n v="2250"/>
    <n v="152.58000000000001"/>
    <n v="97.44"/>
    <n v="343305"/>
    <n v="219240"/>
    <n v="124065"/>
  </r>
  <r>
    <x v="0"/>
    <s v="Costa Rica"/>
    <s v="Meat"/>
    <s v="Offline"/>
    <s v="H"/>
    <d v="2011-07-02T00:00:00"/>
    <n v="716184842"/>
    <d v="2011-02-03T00:00:00"/>
    <n v="3865"/>
    <n v="421.89"/>
    <n v="364.69"/>
    <n v="1630604.85"/>
    <n v="1409526.85"/>
    <n v="221078"/>
  </r>
  <r>
    <x v="6"/>
    <s v="Canada"/>
    <s v="Cosmetics"/>
    <s v="Offline"/>
    <s v="L"/>
    <s v="8/22/2016"/>
    <n v="649477660"/>
    <d v="2016-03-10T00:00:00"/>
    <n v="3727"/>
    <n v="437.2"/>
    <n v="263.33"/>
    <n v="1629444.4"/>
    <n v="981430.91"/>
    <n v="648013.49"/>
  </r>
  <r>
    <x v="5"/>
    <s v="Rwanda"/>
    <s v="Office Supplies"/>
    <s v="Offline"/>
    <s v="M"/>
    <s v="5/14/2014"/>
    <n v="457485139"/>
    <s v="5/29/2014"/>
    <n v="8874"/>
    <n v="651.21"/>
    <n v="524.96"/>
    <n v="5778837.54"/>
    <n v="4658495.04"/>
    <n v="1120342.5"/>
  </r>
  <r>
    <x v="5"/>
    <s v="Togo"/>
    <s v="Beverages"/>
    <s v="Offline"/>
    <s v="M"/>
    <s v="10/21/2015"/>
    <n v="980881106"/>
    <s v="11/21/2015"/>
    <n v="3372"/>
    <n v="47.45"/>
    <n v="31.79"/>
    <n v="160001.4"/>
    <n v="107195.88"/>
    <n v="52805.52"/>
  </r>
  <r>
    <x v="4"/>
    <s v="Samoa "/>
    <s v="Beverages"/>
    <s v="Offline"/>
    <s v="C"/>
    <s v="10/28/2010"/>
    <n v="880651891"/>
    <d v="2010-02-12T00:00:00"/>
    <n v="3319"/>
    <n v="47.45"/>
    <n v="31.79"/>
    <n v="157486.54999999999"/>
    <n v="105511.01"/>
    <n v="51975.54"/>
  </r>
  <r>
    <x v="5"/>
    <s v="Eritrea"/>
    <s v="Baby Food"/>
    <s v="Offline"/>
    <s v="C"/>
    <s v="11/15/2016"/>
    <n v="688096320"/>
    <s v="11/29/2016"/>
    <n v="1847"/>
    <n v="255.28"/>
    <n v="159.41999999999999"/>
    <n v="471502.16"/>
    <n v="294448.74"/>
    <n v="177053.42"/>
  </r>
  <r>
    <x v="5"/>
    <s v="Guinea"/>
    <s v="Vegetables"/>
    <s v="Offline"/>
    <s v="H"/>
    <d v="2014-04-08T00:00:00"/>
    <n v="554825723"/>
    <s v="8/24/2014"/>
    <n v="4116"/>
    <n v="154.06"/>
    <n v="90.93"/>
    <n v="634110.96"/>
    <n v="374267.88"/>
    <n v="259843.08"/>
  </r>
  <r>
    <x v="4"/>
    <s v="Vanuatu"/>
    <s v="Fruits"/>
    <s v="Offline"/>
    <s v="H"/>
    <d v="2012-10-03T00:00:00"/>
    <n v="702763926"/>
    <s v="4/17/2012"/>
    <n v="2318"/>
    <n v="9.33"/>
    <n v="6.92"/>
    <n v="21626.94"/>
    <n v="16040.56"/>
    <n v="5586.38"/>
  </r>
  <r>
    <x v="1"/>
    <s v="Andorra"/>
    <s v="Clothes"/>
    <s v="Offline"/>
    <s v="L"/>
    <s v="5/18/2011"/>
    <n v="974147260"/>
    <d v="2011-08-06T00:00:00"/>
    <n v="677"/>
    <n v="109.28"/>
    <n v="35.840000000000003"/>
    <n v="73982.559999999998"/>
    <n v="24263.68"/>
    <n v="49718.879999999997"/>
  </r>
  <r>
    <x v="5"/>
    <s v="Niger"/>
    <s v="Cosmetics"/>
    <s v="Offline"/>
    <s v="H"/>
    <s v="2/17/2011"/>
    <n v="381524550"/>
    <s v="2/25/2011"/>
    <n v="448"/>
    <n v="437.2"/>
    <n v="263.33"/>
    <n v="195865.60000000001"/>
    <n v="117971.84"/>
    <n v="77893.759999999995"/>
  </r>
  <r>
    <x v="5"/>
    <s v="Malawi"/>
    <s v="Fruits"/>
    <s v="Online"/>
    <s v="L"/>
    <d v="2011-04-07T00:00:00"/>
    <n v="257757127"/>
    <d v="2011-06-07T00:00:00"/>
    <n v="4917"/>
    <n v="9.33"/>
    <n v="6.92"/>
    <n v="45875.61"/>
    <n v="34025.64"/>
    <n v="11849.97"/>
  </r>
  <r>
    <x v="5"/>
    <s v="Burundi"/>
    <s v="Baby Food"/>
    <s v="Online"/>
    <s v="C"/>
    <s v="5/24/2017"/>
    <n v="206018817"/>
    <d v="2017-08-07T00:00:00"/>
    <n v="4401"/>
    <n v="255.28"/>
    <n v="159.41999999999999"/>
    <n v="1123487.28"/>
    <n v="701607.42"/>
    <n v="421879.86"/>
  </r>
  <r>
    <x v="5"/>
    <s v="Swaziland"/>
    <s v="Vegetables"/>
    <s v="Offline"/>
    <s v="H"/>
    <s v="1/18/2012"/>
    <n v="349795949"/>
    <s v="2/26/2012"/>
    <n v="1249"/>
    <n v="154.06"/>
    <n v="90.93"/>
    <n v="192420.94"/>
    <n v="113571.57"/>
    <n v="78849.37"/>
  </r>
  <r>
    <x v="3"/>
    <s v="Morocco"/>
    <s v="Beverages"/>
    <s v="Offline"/>
    <s v="L"/>
    <d v="2013-07-11T00:00:00"/>
    <n v="882887351"/>
    <d v="2013-06-12T00:00:00"/>
    <n v="4842"/>
    <n v="47.45"/>
    <n v="31.79"/>
    <n v="229752.9"/>
    <n v="153927.18"/>
    <n v="75825.72"/>
  </r>
  <r>
    <x v="1"/>
    <s v="Finland"/>
    <s v="Office Supplies"/>
    <s v="Online"/>
    <s v="H"/>
    <s v="12/21/2011"/>
    <n v="719404351"/>
    <d v="2012-10-01T00:00:00"/>
    <n v="6589"/>
    <n v="651.21"/>
    <n v="524.96"/>
    <n v="4290822.6900000004"/>
    <n v="3458961.44"/>
    <n v="831861.25"/>
  </r>
  <r>
    <x v="1"/>
    <s v="Georgia"/>
    <s v="Personal Care"/>
    <s v="Offline"/>
    <s v="L"/>
    <s v="7/24/2015"/>
    <n v="643770778"/>
    <s v="7/31/2015"/>
    <n v="4934"/>
    <n v="81.73"/>
    <n v="56.67"/>
    <n v="403255.82"/>
    <n v="279609.78000000003"/>
    <n v="123646.04"/>
  </r>
  <r>
    <x v="3"/>
    <s v="Morocco"/>
    <s v="Clothes"/>
    <s v="Online"/>
    <s v="C"/>
    <s v="2/17/2012"/>
    <n v="160722959"/>
    <d v="2012-05-04T00:00:00"/>
    <n v="350"/>
    <n v="109.28"/>
    <n v="35.840000000000003"/>
    <n v="38248"/>
    <n v="12544"/>
    <n v="25704"/>
  </r>
  <r>
    <x v="1"/>
    <s v="Armenia"/>
    <s v="Meat"/>
    <s v="Offline"/>
    <s v="C"/>
    <d v="2016-01-10T00:00:00"/>
    <n v="645309722"/>
    <d v="2016-06-11T00:00:00"/>
    <n v="342"/>
    <n v="421.89"/>
    <n v="364.69"/>
    <n v="144286.38"/>
    <n v="124723.98"/>
    <n v="19562.400000000001"/>
  </r>
  <r>
    <x v="5"/>
    <s v="Malawi"/>
    <s v="Cosmetics"/>
    <s v="Offline"/>
    <s v="C"/>
    <d v="2015-11-04T00:00:00"/>
    <n v="392892396"/>
    <s v="5/14/2015"/>
    <n v="4446"/>
    <n v="437.2"/>
    <n v="263.33"/>
    <n v="1943791.2"/>
    <n v="1170765.18"/>
    <n v="773026.02"/>
  </r>
  <r>
    <x v="1"/>
    <s v="Malta"/>
    <s v="Cereal"/>
    <s v="Offline"/>
    <s v="M"/>
    <s v="7/20/2013"/>
    <n v="469144809"/>
    <s v="8/24/2013"/>
    <n v="9229"/>
    <n v="205.7"/>
    <n v="117.11"/>
    <n v="1898405.3"/>
    <n v="1080808.19"/>
    <n v="817597.11"/>
  </r>
  <r>
    <x v="5"/>
    <s v="Angola"/>
    <s v="Vegetables"/>
    <s v="Offline"/>
    <s v="H"/>
    <s v="11/29/2010"/>
    <n v="660053288"/>
    <d v="2010-02-12T00:00:00"/>
    <n v="3291"/>
    <n v="154.06"/>
    <n v="90.93"/>
    <n v="507011.46"/>
    <n v="299250.63"/>
    <n v="207760.83"/>
  </r>
  <r>
    <x v="1"/>
    <s v="Norway"/>
    <s v="Cosmetics"/>
    <s v="Online"/>
    <s v="L"/>
    <s v="7/20/2011"/>
    <n v="821916663"/>
    <s v="8/26/2011"/>
    <n v="2260"/>
    <n v="437.2"/>
    <n v="263.33"/>
    <n v="988072"/>
    <n v="595125.80000000005"/>
    <n v="392946.2"/>
  </r>
  <r>
    <x v="0"/>
    <s v="Dominican Republic"/>
    <s v="Personal Care"/>
    <s v="Online"/>
    <s v="M"/>
    <s v="2/21/2013"/>
    <n v="431346261"/>
    <d v="2013-09-04T00:00:00"/>
    <n v="3799"/>
    <n v="81.73"/>
    <n v="56.67"/>
    <n v="310492.27"/>
    <n v="215289.33"/>
    <n v="95202.94"/>
  </r>
  <r>
    <x v="1"/>
    <s v="Austria"/>
    <s v="Household"/>
    <s v="Offline"/>
    <s v="M"/>
    <s v="8/27/2010"/>
    <n v="835265910"/>
    <d v="2010-01-10T00:00:00"/>
    <n v="2599"/>
    <n v="668.27"/>
    <n v="502.54"/>
    <n v="1736833.73"/>
    <n v="1306101.46"/>
    <n v="430732.27"/>
  </r>
  <r>
    <x v="0"/>
    <s v="Saint Kitts and Nevis "/>
    <s v="Cosmetics"/>
    <s v="Online"/>
    <s v="C"/>
    <d v="2015-04-04T00:00:00"/>
    <n v="300911939"/>
    <s v="4/19/2015"/>
    <n v="5384"/>
    <n v="437.2"/>
    <n v="263.33"/>
    <n v="2353884.7999999998"/>
    <n v="1417768.72"/>
    <n v="936116.08"/>
  </r>
  <r>
    <x v="2"/>
    <s v="Tajikistan"/>
    <s v="Cereal"/>
    <s v="Offline"/>
    <s v="H"/>
    <d v="2012-04-09T00:00:00"/>
    <n v="765833175"/>
    <d v="2012-12-10T00:00:00"/>
    <n v="5910"/>
    <n v="205.7"/>
    <n v="117.11"/>
    <n v="1215687"/>
    <n v="692120.1"/>
    <n v="523566.9"/>
  </r>
  <r>
    <x v="2"/>
    <s v="Singapore"/>
    <s v="Baby Food"/>
    <s v="Offline"/>
    <s v="C"/>
    <d v="2012-06-06T00:00:00"/>
    <n v="187890946"/>
    <s v="6/26/2012"/>
    <n v="9961"/>
    <n v="255.28"/>
    <n v="159.41999999999999"/>
    <n v="2542844.08"/>
    <n v="1587982.62"/>
    <n v="954861.46"/>
  </r>
  <r>
    <x v="1"/>
    <s v="Greece"/>
    <s v="Household"/>
    <s v="Online"/>
    <s v="L"/>
    <s v="9/26/2013"/>
    <n v="195259082"/>
    <d v="2013-11-10T00:00:00"/>
    <n v="356"/>
    <n v="668.27"/>
    <n v="502.54"/>
    <n v="237904.12"/>
    <n v="178904.24"/>
    <n v="58999.88"/>
  </r>
  <r>
    <x v="6"/>
    <s v="United States of America"/>
    <s v="Personal Care"/>
    <s v="Offline"/>
    <s v="H"/>
    <s v="11/18/2016"/>
    <n v="236423909"/>
    <s v="12/28/2016"/>
    <n v="1943"/>
    <n v="81.73"/>
    <n v="56.67"/>
    <n v="158801.39000000001"/>
    <n v="110109.81"/>
    <n v="48691.58"/>
  </r>
  <r>
    <x v="5"/>
    <s v="Central African Republic"/>
    <s v="Meat"/>
    <s v="Offline"/>
    <s v="H"/>
    <d v="2011-09-11T00:00:00"/>
    <n v="730184257"/>
    <s v="12/28/2011"/>
    <n v="6603"/>
    <n v="421.89"/>
    <n v="364.69"/>
    <n v="2785739.67"/>
    <n v="2408048.0699999998"/>
    <n v="377691.6"/>
  </r>
  <r>
    <x v="5"/>
    <s v="The Gambia"/>
    <s v="Meat"/>
    <s v="Online"/>
    <s v="M"/>
    <d v="2012-06-06T00:00:00"/>
    <n v="815651452"/>
    <s v="6/17/2012"/>
    <n v="8245"/>
    <n v="421.89"/>
    <n v="364.69"/>
    <n v="3478483.05"/>
    <n v="3006869.05"/>
    <n v="471614"/>
  </r>
  <r>
    <x v="2"/>
    <s v="North Korea"/>
    <s v="Fruits"/>
    <s v="Online"/>
    <s v="C"/>
    <d v="2014-07-07T00:00:00"/>
    <n v="602249324"/>
    <d v="2014-10-08T00:00:00"/>
    <n v="7813"/>
    <n v="9.33"/>
    <n v="6.92"/>
    <n v="72895.289999999994"/>
    <n v="54065.96"/>
    <n v="18829.330000000002"/>
  </r>
  <r>
    <x v="5"/>
    <s v="Madagascar"/>
    <s v="Snacks"/>
    <s v="Offline"/>
    <s v="H"/>
    <s v="1/29/2015"/>
    <n v="719714200"/>
    <d v="2015-06-03T00:00:00"/>
    <n v="8280"/>
    <n v="152.58000000000001"/>
    <n v="97.44"/>
    <n v="1263362.3999999999"/>
    <n v="806803.2"/>
    <n v="456559.2"/>
  </r>
  <r>
    <x v="0"/>
    <s v="El Salvador"/>
    <s v="Personal Care"/>
    <s v="Online"/>
    <s v="H"/>
    <d v="2015-12-12T00:00:00"/>
    <n v="968094909"/>
    <d v="2016-07-01T00:00:00"/>
    <n v="9652"/>
    <n v="81.73"/>
    <n v="56.67"/>
    <n v="788857.96"/>
    <n v="546978.84"/>
    <n v="241879.12"/>
  </r>
  <r>
    <x v="4"/>
    <s v="New Zealand"/>
    <s v="Office Supplies"/>
    <s v="Offline"/>
    <s v="H"/>
    <d v="2012-06-06T00:00:00"/>
    <n v="767752778"/>
    <d v="2012-03-07T00:00:00"/>
    <n v="3963"/>
    <n v="651.21"/>
    <n v="524.96"/>
    <n v="2580745.23"/>
    <n v="2080416.48"/>
    <n v="500328.75"/>
  </r>
  <r>
    <x v="5"/>
    <s v="The Gambia"/>
    <s v="Household"/>
    <s v="Online"/>
    <s v="M"/>
    <d v="2012-10-04T00:00:00"/>
    <n v="509361636"/>
    <s v="5/28/2012"/>
    <n v="282"/>
    <n v="668.27"/>
    <n v="502.54"/>
    <n v="188452.14"/>
    <n v="141716.28"/>
    <n v="46735.86"/>
  </r>
  <r>
    <x v="5"/>
    <s v="Liberia"/>
    <s v="Baby Food"/>
    <s v="Offline"/>
    <s v="L"/>
    <s v="9/15/2016"/>
    <n v="203907811"/>
    <s v="9/26/2016"/>
    <n v="9707"/>
    <n v="255.28"/>
    <n v="159.41999999999999"/>
    <n v="2478002.96"/>
    <n v="1547489.94"/>
    <n v="930513.02"/>
  </r>
  <r>
    <x v="3"/>
    <s v="Oman"/>
    <s v="Personal Care"/>
    <s v="Offline"/>
    <s v="M"/>
    <s v="8/31/2016"/>
    <n v="832690131"/>
    <s v="9/29/2016"/>
    <n v="369"/>
    <n v="81.73"/>
    <n v="56.67"/>
    <n v="30158.37"/>
    <n v="20911.23"/>
    <n v="9247.14"/>
  </r>
  <r>
    <x v="2"/>
    <s v="Singapore"/>
    <s v="Baby Food"/>
    <s v="Offline"/>
    <s v="C"/>
    <s v="9/22/2011"/>
    <n v="297319924"/>
    <s v="10/18/2011"/>
    <n v="2428"/>
    <n v="255.28"/>
    <n v="159.41999999999999"/>
    <n v="619819.84"/>
    <n v="387071.76"/>
    <n v="232748.08"/>
  </r>
  <r>
    <x v="5"/>
    <s v="Tanzania"/>
    <s v="Cereal"/>
    <s v="Offline"/>
    <s v="H"/>
    <s v="11/18/2013"/>
    <n v="169721019"/>
    <d v="2013-03-12T00:00:00"/>
    <n v="3076"/>
    <n v="205.7"/>
    <n v="117.11"/>
    <n v="632733.19999999995"/>
    <n v="360230.36"/>
    <n v="272502.84000000003"/>
  </r>
  <r>
    <x v="4"/>
    <s v="Marshall Islands"/>
    <s v="Office Supplies"/>
    <s v="Offline"/>
    <s v="L"/>
    <s v="6/26/2013"/>
    <n v="742129743"/>
    <s v="7/19/2013"/>
    <n v="1537"/>
    <n v="651.21"/>
    <n v="524.96"/>
    <n v="1000909.77"/>
    <n v="806863.52"/>
    <n v="194046.25"/>
  </r>
  <r>
    <x v="4"/>
    <s v="Papua New Guinea"/>
    <s v="Clothes"/>
    <s v="Offline"/>
    <s v="C"/>
    <s v="4/21/2013"/>
    <n v="577094924"/>
    <d v="2013-04-05T00:00:00"/>
    <n v="4067"/>
    <n v="109.28"/>
    <n v="35.840000000000003"/>
    <n v="444441.76"/>
    <n v="145761.28"/>
    <n v="298680.48"/>
  </r>
  <r>
    <x v="0"/>
    <s v="Grenada"/>
    <s v="Vegetables"/>
    <s v="Online"/>
    <s v="C"/>
    <d v="2017-04-03T00:00:00"/>
    <n v="557477891"/>
    <s v="3/19/2017"/>
    <n v="8951"/>
    <n v="154.06"/>
    <n v="90.93"/>
    <n v="1378991.06"/>
    <n v="813914.43"/>
    <n v="565076.63"/>
  </r>
  <r>
    <x v="5"/>
    <s v="Seychelles "/>
    <s v="Clothes"/>
    <s v="Online"/>
    <s v="M"/>
    <s v="1/21/2011"/>
    <n v="736452472"/>
    <d v="2011-07-03T00:00:00"/>
    <n v="1507"/>
    <n v="109.28"/>
    <n v="35.840000000000003"/>
    <n v="164684.96"/>
    <n v="54010.879999999997"/>
    <n v="110674.08"/>
  </r>
  <r>
    <x v="0"/>
    <s v="Saint Lucia"/>
    <s v="Fruits"/>
    <s v="Offline"/>
    <s v="M"/>
    <d v="2012-12-04T00:00:00"/>
    <n v="787504994"/>
    <d v="2012-12-05T00:00:00"/>
    <n v="9083"/>
    <n v="9.33"/>
    <n v="6.92"/>
    <n v="84744.39"/>
    <n v="62854.36"/>
    <n v="21890.03"/>
  </r>
  <r>
    <x v="3"/>
    <s v="Turkey"/>
    <s v="Fruits"/>
    <s v="Online"/>
    <s v="C"/>
    <s v="9/22/2012"/>
    <n v="454434287"/>
    <s v="10/31/2012"/>
    <n v="6059"/>
    <n v="9.33"/>
    <n v="6.92"/>
    <n v="56530.47"/>
    <n v="41928.28"/>
    <n v="14602.19"/>
  </r>
  <r>
    <x v="5"/>
    <s v="Sierra Leone"/>
    <s v="Household"/>
    <s v="Online"/>
    <s v="C"/>
    <d v="2012-01-12T00:00:00"/>
    <n v="901351678"/>
    <d v="2012-04-12T00:00:00"/>
    <n v="8846"/>
    <n v="668.27"/>
    <n v="502.54"/>
    <n v="5911516.4199999999"/>
    <n v="4445468.84"/>
    <n v="1466047.58"/>
  </r>
  <r>
    <x v="2"/>
    <s v="Laos"/>
    <s v="Beverages"/>
    <s v="Online"/>
    <s v="L"/>
    <s v="8/28/2010"/>
    <n v="662680995"/>
    <d v="2010-10-10T00:00:00"/>
    <n v="888"/>
    <n v="47.45"/>
    <n v="31.79"/>
    <n v="42135.6"/>
    <n v="28229.52"/>
    <n v="13906.08"/>
  </r>
  <r>
    <x v="1"/>
    <s v="Cyprus"/>
    <s v="Clothes"/>
    <s v="Online"/>
    <s v="C"/>
    <s v="5/17/2012"/>
    <n v="593158566"/>
    <s v="6/25/2012"/>
    <n v="7656"/>
    <n v="109.28"/>
    <n v="35.840000000000003"/>
    <n v="836647.68"/>
    <n v="274391.03999999998"/>
    <n v="562256.64000000001"/>
  </r>
  <r>
    <x v="1"/>
    <s v="Serbia"/>
    <s v="Vegetables"/>
    <s v="Offline"/>
    <s v="C"/>
    <s v="3/22/2014"/>
    <n v="717833220"/>
    <d v="2014-03-04T00:00:00"/>
    <n v="1657"/>
    <n v="154.06"/>
    <n v="90.93"/>
    <n v="255277.42"/>
    <n v="150671.01"/>
    <n v="104606.41"/>
  </r>
  <r>
    <x v="1"/>
    <s v="Belgium"/>
    <s v="Vegetables"/>
    <s v="Online"/>
    <s v="H"/>
    <s v="5/26/2013"/>
    <n v="682066285"/>
    <s v="7/13/2013"/>
    <n v="7426"/>
    <n v="154.06"/>
    <n v="90.93"/>
    <n v="1144049.56"/>
    <n v="675246.18"/>
    <n v="468803.38"/>
  </r>
  <r>
    <x v="5"/>
    <s v="Zimbabwe"/>
    <s v="Clothes"/>
    <s v="Online"/>
    <s v="M"/>
    <s v="12/22/2011"/>
    <n v="201531589"/>
    <d v="2012-09-01T00:00:00"/>
    <n v="6530"/>
    <n v="109.28"/>
    <n v="35.840000000000003"/>
    <n v="713598.4"/>
    <n v="234035.20000000001"/>
    <n v="479563.2"/>
  </r>
  <r>
    <x v="1"/>
    <s v="Greece"/>
    <s v="Cereal"/>
    <s v="Online"/>
    <s v="H"/>
    <s v="1/24/2013"/>
    <n v="412215459"/>
    <s v="1/31/2013"/>
    <n v="2569"/>
    <n v="205.7"/>
    <n v="117.11"/>
    <n v="528443.30000000005"/>
    <n v="300855.59000000003"/>
    <n v="227587.71"/>
  </r>
  <r>
    <x v="2"/>
    <s v="South Korea"/>
    <s v="Cosmetics"/>
    <s v="Offline"/>
    <s v="L"/>
    <s v="1/29/2017"/>
    <n v="720416724"/>
    <d v="2017-12-03T00:00:00"/>
    <n v="6173"/>
    <n v="437.2"/>
    <n v="263.33"/>
    <n v="2698835.6"/>
    <n v="1625536.09"/>
    <n v="1073299.51"/>
  </r>
  <r>
    <x v="1"/>
    <s v="Bosnia and Herzegovina"/>
    <s v="Office Supplies"/>
    <s v="Offline"/>
    <s v="C"/>
    <d v="2010-02-05T00:00:00"/>
    <n v="152746713"/>
    <d v="2010-08-05T00:00:00"/>
    <n v="2"/>
    <n v="651.21"/>
    <n v="524.96"/>
    <n v="1302.42"/>
    <n v="1049.92"/>
    <n v="252.5"/>
  </r>
  <r>
    <x v="5"/>
    <s v="Mauritius "/>
    <s v="Office Supplies"/>
    <s v="Offline"/>
    <s v="M"/>
    <s v="4/20/2014"/>
    <n v="506129252"/>
    <s v="5/18/2014"/>
    <n v="3748"/>
    <n v="651.21"/>
    <n v="524.96"/>
    <n v="2440735.08"/>
    <n v="1967550.08"/>
    <n v="473185"/>
  </r>
  <r>
    <x v="3"/>
    <s v="Israel"/>
    <s v="Meat"/>
    <s v="Online"/>
    <s v="H"/>
    <s v="8/21/2013"/>
    <n v="497800672"/>
    <d v="2013-06-10T00:00:00"/>
    <n v="9136"/>
    <n v="421.89"/>
    <n v="364.69"/>
    <n v="3854387.04"/>
    <n v="3331807.84"/>
    <n v="522579.20000000001"/>
  </r>
  <r>
    <x v="1"/>
    <s v="Italy"/>
    <s v="Cereal"/>
    <s v="Online"/>
    <s v="M"/>
    <d v="2013-06-01T00:00:00"/>
    <n v="715309798"/>
    <d v="2013-10-02T00:00:00"/>
    <n v="4920"/>
    <n v="205.7"/>
    <n v="117.11"/>
    <n v="1012044"/>
    <n v="576181.19999999995"/>
    <n v="435862.8"/>
  </r>
  <r>
    <x v="1"/>
    <s v="Belarus"/>
    <s v="Fruits"/>
    <s v="Online"/>
    <s v="L"/>
    <d v="2010-01-08T00:00:00"/>
    <n v="466517961"/>
    <d v="2010-07-09T00:00:00"/>
    <n v="1886"/>
    <n v="9.33"/>
    <n v="6.92"/>
    <n v="17596.38"/>
    <n v="13051.12"/>
    <n v="4545.26"/>
  </r>
  <r>
    <x v="3"/>
    <s v="Iran"/>
    <s v="Fruits"/>
    <s v="Online"/>
    <s v="C"/>
    <d v="2016-03-12T00:00:00"/>
    <n v="929598987"/>
    <d v="2017-03-01T00:00:00"/>
    <n v="7853"/>
    <n v="9.33"/>
    <n v="6.92"/>
    <n v="73268.490000000005"/>
    <n v="54342.76"/>
    <n v="18925.73"/>
  </r>
  <r>
    <x v="3"/>
    <s v="Jordan"/>
    <s v="Fruits"/>
    <s v="Online"/>
    <s v="L"/>
    <s v="5/21/2013"/>
    <n v="203039205"/>
    <s v="5/29/2013"/>
    <n v="2667"/>
    <n v="9.33"/>
    <n v="6.92"/>
    <n v="24883.11"/>
    <n v="18455.64"/>
    <n v="6427.47"/>
  </r>
  <r>
    <x v="5"/>
    <s v="South Africa"/>
    <s v="Cosmetics"/>
    <s v="Online"/>
    <s v="C"/>
    <s v="6/20/2016"/>
    <n v="955637443"/>
    <d v="2016-09-08T00:00:00"/>
    <n v="3210"/>
    <n v="437.2"/>
    <n v="263.33"/>
    <n v="1403412"/>
    <n v="845289.3"/>
    <n v="558122.69999999995"/>
  </r>
  <r>
    <x v="5"/>
    <s v="Benin"/>
    <s v="Beverages"/>
    <s v="Online"/>
    <s v="L"/>
    <d v="2013-09-06T00:00:00"/>
    <n v="976505029"/>
    <s v="7/27/2013"/>
    <n v="8393"/>
    <n v="47.45"/>
    <n v="31.79"/>
    <n v="398247.85"/>
    <n v="266813.46999999997"/>
    <n v="131434.38"/>
  </r>
  <r>
    <x v="1"/>
    <s v="Latvia"/>
    <s v="Meat"/>
    <s v="Offline"/>
    <s v="C"/>
    <s v="7/24/2011"/>
    <n v="825065791"/>
    <s v="8/28/2011"/>
    <n v="4157"/>
    <n v="421.89"/>
    <n v="364.69"/>
    <n v="1753796.73"/>
    <n v="1516016.33"/>
    <n v="237780.4"/>
  </r>
  <r>
    <x v="5"/>
    <s v="Lesotho"/>
    <s v="Meat"/>
    <s v="Offline"/>
    <s v="M"/>
    <d v="2011-06-08T00:00:00"/>
    <n v="681056058"/>
    <d v="2011-11-08T00:00:00"/>
    <n v="8477"/>
    <n v="421.89"/>
    <n v="364.69"/>
    <n v="3576361.53"/>
    <n v="3091477.13"/>
    <n v="484884.4"/>
  </r>
  <r>
    <x v="4"/>
    <s v="Fiji"/>
    <s v="Clothes"/>
    <s v="Online"/>
    <s v="L"/>
    <s v="7/31/2011"/>
    <n v="794524657"/>
    <s v="9/13/2011"/>
    <n v="6357"/>
    <n v="109.28"/>
    <n v="35.840000000000003"/>
    <n v="694692.96"/>
    <n v="227834.88"/>
    <n v="466858.08"/>
  </r>
  <r>
    <x v="5"/>
    <s v="Niger"/>
    <s v="Clothes"/>
    <s v="Offline"/>
    <s v="H"/>
    <d v="2010-12-08T00:00:00"/>
    <n v="135832917"/>
    <s v="9/27/2010"/>
    <n v="4834"/>
    <n v="109.28"/>
    <n v="35.840000000000003"/>
    <n v="528259.52"/>
    <n v="173250.56"/>
    <n v="355008.96"/>
  </r>
  <r>
    <x v="5"/>
    <s v="Swaziland"/>
    <s v="Fruits"/>
    <s v="Offline"/>
    <s v="M"/>
    <s v="8/25/2012"/>
    <n v="445654666"/>
    <d v="2012-11-10T00:00:00"/>
    <n v="7974"/>
    <n v="9.33"/>
    <n v="6.92"/>
    <n v="74397.42"/>
    <n v="55180.08"/>
    <n v="19217.34"/>
  </r>
  <r>
    <x v="1"/>
    <s v="Iceland"/>
    <s v="Office Supplies"/>
    <s v="Online"/>
    <s v="L"/>
    <s v="2/18/2015"/>
    <n v="384976232"/>
    <d v="2015-03-04T00:00:00"/>
    <n v="1877"/>
    <n v="651.21"/>
    <n v="524.96"/>
    <n v="1222321.17"/>
    <n v="985349.92"/>
    <n v="236971.25"/>
  </r>
  <r>
    <x v="4"/>
    <s v="New Zealand"/>
    <s v="Baby Food"/>
    <s v="Offline"/>
    <s v="C"/>
    <s v="10/15/2012"/>
    <n v="485096442"/>
    <d v="2012-09-11T00:00:00"/>
    <n v="9672"/>
    <n v="255.28"/>
    <n v="159.41999999999999"/>
    <n v="2469068.16"/>
    <n v="1541910.24"/>
    <n v="927157.92"/>
  </r>
  <r>
    <x v="3"/>
    <s v="Lebanon"/>
    <s v="Beverages"/>
    <s v="Offline"/>
    <s v="H"/>
    <s v="7/19/2016"/>
    <n v="897626626"/>
    <s v="8/27/2016"/>
    <n v="6521"/>
    <n v="47.45"/>
    <n v="31.79"/>
    <n v="309421.45"/>
    <n v="207302.59"/>
    <n v="102118.86"/>
  </r>
  <r>
    <x v="2"/>
    <s v="South Korea"/>
    <s v="Clothes"/>
    <s v="Online"/>
    <s v="H"/>
    <s v="11/28/2011"/>
    <n v="944490611"/>
    <s v="12/22/2011"/>
    <n v="4615"/>
    <n v="109.28"/>
    <n v="35.840000000000003"/>
    <n v="504327.2"/>
    <n v="165401.60000000001"/>
    <n v="338925.6"/>
  </r>
  <r>
    <x v="1"/>
    <s v="Hungary"/>
    <s v="Office Supplies"/>
    <s v="Offline"/>
    <s v="C"/>
    <s v="9/18/2015"/>
    <n v="467924726"/>
    <s v="10/20/2015"/>
    <n v="8179"/>
    <n v="651.21"/>
    <n v="524.96"/>
    <n v="5326246.59"/>
    <n v="4293647.84"/>
    <n v="1032598.75"/>
  </r>
  <r>
    <x v="1"/>
    <s v="Greece"/>
    <s v="Cereal"/>
    <s v="Offline"/>
    <s v="L"/>
    <s v="10/23/2011"/>
    <n v="280477797"/>
    <s v="10/24/2011"/>
    <n v="8468"/>
    <n v="205.7"/>
    <n v="117.11"/>
    <n v="1741867.6"/>
    <n v="991687.48"/>
    <n v="750180.12"/>
  </r>
  <r>
    <x v="3"/>
    <s v="Iran"/>
    <s v="Household"/>
    <s v="Online"/>
    <s v="M"/>
    <s v="5/21/2015"/>
    <n v="815011155"/>
    <s v="6/26/2015"/>
    <n v="8767"/>
    <n v="668.27"/>
    <n v="502.54"/>
    <n v="5858723.0899999999"/>
    <n v="4405768.18"/>
    <n v="1452954.91"/>
  </r>
  <r>
    <x v="1"/>
    <s v="Bulgaria"/>
    <s v="Fruits"/>
    <s v="Online"/>
    <s v="L"/>
    <d v="2016-12-03T00:00:00"/>
    <n v="774698626"/>
    <d v="2016-07-04T00:00:00"/>
    <n v="9394"/>
    <n v="9.33"/>
    <n v="6.92"/>
    <n v="87646.02"/>
    <n v="65006.48"/>
    <n v="22639.54"/>
  </r>
  <r>
    <x v="3"/>
    <s v="Egypt"/>
    <s v="Meat"/>
    <s v="Online"/>
    <s v="H"/>
    <s v="8/17/2012"/>
    <n v="283026540"/>
    <s v="9/13/2012"/>
    <n v="2697"/>
    <n v="421.89"/>
    <n v="364.69"/>
    <n v="1137837.33"/>
    <n v="983568.93"/>
    <n v="154268.4"/>
  </r>
  <r>
    <x v="0"/>
    <s v="The Bahamas"/>
    <s v="Vegetables"/>
    <s v="Online"/>
    <s v="C"/>
    <d v="2015-04-07T00:00:00"/>
    <n v="433793723"/>
    <d v="2015-04-08T00:00:00"/>
    <n v="8057"/>
    <n v="154.06"/>
    <n v="90.93"/>
    <n v="1241261.42"/>
    <n v="732623.01"/>
    <n v="508638.41"/>
  </r>
  <r>
    <x v="3"/>
    <s v="Azerbaijan"/>
    <s v="Fruits"/>
    <s v="Offline"/>
    <s v="C"/>
    <s v="12/26/2013"/>
    <n v="141111505"/>
    <d v="2014-08-02T00:00:00"/>
    <n v="6885"/>
    <n v="9.33"/>
    <n v="6.92"/>
    <n v="64237.05"/>
    <n v="47644.2"/>
    <n v="16592.849999999999"/>
  </r>
  <r>
    <x v="2"/>
    <s v="Kazakhstan"/>
    <s v="Baby Food"/>
    <s v="Offline"/>
    <s v="L"/>
    <s v="3/25/2017"/>
    <n v="189403712"/>
    <d v="2017-03-04T00:00:00"/>
    <n v="7622"/>
    <n v="255.28"/>
    <n v="159.41999999999999"/>
    <n v="1945744.16"/>
    <n v="1215099.24"/>
    <n v="730644.92"/>
  </r>
  <r>
    <x v="3"/>
    <s v="Jordan"/>
    <s v="Baby Food"/>
    <s v="Online"/>
    <s v="M"/>
    <s v="9/27/2012"/>
    <n v="983406674"/>
    <d v="2012-03-11T00:00:00"/>
    <n v="743"/>
    <n v="255.28"/>
    <n v="159.41999999999999"/>
    <n v="189673.04"/>
    <n v="118449.06"/>
    <n v="71223.98"/>
  </r>
  <r>
    <x v="4"/>
    <s v="Marshall Islands"/>
    <s v="Snacks"/>
    <s v="Online"/>
    <s v="C"/>
    <d v="2015-06-08T00:00:00"/>
    <n v="298169219"/>
    <s v="8/26/2015"/>
    <n v="3753"/>
    <n v="152.58000000000001"/>
    <n v="97.44"/>
    <n v="572632.74"/>
    <n v="365692.32"/>
    <n v="206940.42"/>
  </r>
  <r>
    <x v="0"/>
    <s v="Barbados"/>
    <s v="Clothes"/>
    <s v="Online"/>
    <s v="H"/>
    <s v="8/23/2011"/>
    <n v="929052674"/>
    <d v="2011-12-09T00:00:00"/>
    <n v="6187"/>
    <n v="109.28"/>
    <n v="35.840000000000003"/>
    <n v="676115.36"/>
    <n v="221742.07999999999"/>
    <n v="454373.28"/>
  </r>
  <r>
    <x v="5"/>
    <s v="Burkina Faso"/>
    <s v="Cosmetics"/>
    <s v="Online"/>
    <s v="H"/>
    <s v="4/21/2014"/>
    <n v="341730868"/>
    <s v="5/24/2014"/>
    <n v="4613"/>
    <n v="437.2"/>
    <n v="263.33"/>
    <n v="2016803.6"/>
    <n v="1214741.29"/>
    <n v="802062.31"/>
  </r>
  <r>
    <x v="5"/>
    <s v="Namibia"/>
    <s v="Cosmetics"/>
    <s v="Online"/>
    <s v="M"/>
    <d v="2015-04-05T00:00:00"/>
    <n v="122190129"/>
    <s v="5/23/2015"/>
    <n v="7629"/>
    <n v="437.2"/>
    <n v="263.33"/>
    <n v="3335398.8"/>
    <n v="2008944.57"/>
    <n v="1326454.23"/>
  </r>
  <r>
    <x v="4"/>
    <s v="East Timor"/>
    <s v="Beverages"/>
    <s v="Offline"/>
    <s v="M"/>
    <s v="5/15/2011"/>
    <n v="126729285"/>
    <s v="6/13/2011"/>
    <n v="867"/>
    <n v="47.45"/>
    <n v="31.79"/>
    <n v="41139.15"/>
    <n v="27561.93"/>
    <n v="13577.22"/>
  </r>
  <r>
    <x v="5"/>
    <s v="Liberia"/>
    <s v="Meat"/>
    <s v="Offline"/>
    <s v="L"/>
    <s v="3/21/2015"/>
    <n v="731959664"/>
    <s v="4/13/2015"/>
    <n v="1985"/>
    <n v="421.89"/>
    <n v="364.69"/>
    <n v="837451.65"/>
    <n v="723909.65"/>
    <n v="113542"/>
  </r>
  <r>
    <x v="0"/>
    <s v="Haiti"/>
    <s v="Baby Food"/>
    <s v="Offline"/>
    <s v="M"/>
    <d v="2014-11-04T00:00:00"/>
    <n v="584805095"/>
    <s v="4/14/2014"/>
    <n v="5678"/>
    <n v="255.28"/>
    <n v="159.41999999999999"/>
    <n v="1449479.84"/>
    <n v="905186.76"/>
    <n v="544293.07999999996"/>
  </r>
  <r>
    <x v="1"/>
    <s v="Slovenia"/>
    <s v="Cereal"/>
    <s v="Online"/>
    <s v="M"/>
    <s v="2/21/2012"/>
    <n v="652501904"/>
    <s v="3/25/2012"/>
    <n v="8668"/>
    <n v="205.7"/>
    <n v="117.11"/>
    <n v="1783007.6"/>
    <n v="1015109.48"/>
    <n v="767898.12"/>
  </r>
  <r>
    <x v="5"/>
    <s v="Zimbabwe"/>
    <s v="Snacks"/>
    <s v="Online"/>
    <s v="M"/>
    <d v="2017-05-04T00:00:00"/>
    <n v="172598922"/>
    <s v="4/18/2017"/>
    <n v="4711"/>
    <n v="152.58000000000001"/>
    <n v="97.44"/>
    <n v="718804.38"/>
    <n v="459039.84"/>
    <n v="259764.54"/>
  </r>
  <r>
    <x v="3"/>
    <s v="Syria"/>
    <s v="Clothes"/>
    <s v="Online"/>
    <s v="L"/>
    <d v="2016-05-06T00:00:00"/>
    <n v="702957475"/>
    <s v="6/16/2016"/>
    <n v="9593"/>
    <n v="109.28"/>
    <n v="35.840000000000003"/>
    <n v="1048323.04"/>
    <n v="343813.12"/>
    <n v="704509.92"/>
  </r>
  <r>
    <x v="3"/>
    <s v="Turkey"/>
    <s v="Household"/>
    <s v="Online"/>
    <s v="H"/>
    <d v="2016-10-06T00:00:00"/>
    <n v="271751391"/>
    <d v="2016-09-07T00:00:00"/>
    <n v="6130"/>
    <n v="668.27"/>
    <n v="502.54"/>
    <n v="4096495.1"/>
    <n v="3080570.2"/>
    <n v="1015924.9"/>
  </r>
  <r>
    <x v="0"/>
    <s v="El Salvador"/>
    <s v="Cereal"/>
    <s v="Online"/>
    <s v="L"/>
    <d v="2010-03-01T00:00:00"/>
    <n v="127467000"/>
    <d v="2010-07-02T00:00:00"/>
    <n v="9173"/>
    <n v="205.7"/>
    <n v="117.11"/>
    <n v="1886886.1"/>
    <n v="1074250.03"/>
    <n v="812636.07"/>
  </r>
  <r>
    <x v="1"/>
    <s v="Bulgaria"/>
    <s v="Household"/>
    <s v="Online"/>
    <s v="M"/>
    <s v="5/31/2017"/>
    <n v="688903129"/>
    <d v="2017-02-07T00:00:00"/>
    <n v="600"/>
    <n v="668.27"/>
    <n v="502.54"/>
    <n v="400962"/>
    <n v="301524"/>
    <n v="99438"/>
  </r>
  <r>
    <x v="1"/>
    <s v="Finland"/>
    <s v="Personal Care"/>
    <s v="Online"/>
    <s v="M"/>
    <s v="7/25/2014"/>
    <n v="195171105"/>
    <d v="2014-04-09T00:00:00"/>
    <n v="4322"/>
    <n v="81.73"/>
    <n v="56.67"/>
    <n v="353237.06"/>
    <n v="244927.74"/>
    <n v="108309.32"/>
  </r>
  <r>
    <x v="2"/>
    <s v="Brunei"/>
    <s v="Meat"/>
    <s v="Online"/>
    <s v="L"/>
    <d v="2012-06-07T00:00:00"/>
    <n v="555694758"/>
    <s v="7/24/2012"/>
    <n v="1283"/>
    <n v="421.89"/>
    <n v="364.69"/>
    <n v="541284.87"/>
    <n v="467897.27"/>
    <n v="73387.600000000006"/>
  </r>
  <r>
    <x v="6"/>
    <s v="Greenland"/>
    <s v="Office Supplies"/>
    <s v="Online"/>
    <s v="C"/>
    <s v="10/22/2015"/>
    <n v="600210416"/>
    <s v="11/23/2015"/>
    <n v="4455"/>
    <n v="651.21"/>
    <n v="524.96"/>
    <n v="2901140.55"/>
    <n v="2338696.7999999998"/>
    <n v="562443.75"/>
  </r>
  <r>
    <x v="1"/>
    <s v="Vatican City"/>
    <s v="Household"/>
    <s v="Offline"/>
    <s v="C"/>
    <s v="2/13/2011"/>
    <n v="128766906"/>
    <s v="3/28/2011"/>
    <n v="3844"/>
    <n v="668.27"/>
    <n v="502.54"/>
    <n v="2568829.88"/>
    <n v="1931763.76"/>
    <n v="637066.12"/>
  </r>
  <r>
    <x v="1"/>
    <s v="San Marino"/>
    <s v="Vegetables"/>
    <s v="Offline"/>
    <s v="L"/>
    <s v="6/27/2016"/>
    <n v="361725556"/>
    <s v="7/18/2016"/>
    <n v="1485"/>
    <n v="154.06"/>
    <n v="90.93"/>
    <n v="228779.1"/>
    <n v="135031.04999999999"/>
    <n v="93748.05"/>
  </r>
  <r>
    <x v="1"/>
    <s v="Armenia"/>
    <s v="Personal Care"/>
    <s v="Online"/>
    <s v="C"/>
    <d v="2016-06-12T00:00:00"/>
    <n v="789760196"/>
    <d v="2017-02-01T00:00:00"/>
    <n v="6447"/>
    <n v="81.73"/>
    <n v="56.67"/>
    <n v="526913.31000000006"/>
    <n v="365351.49"/>
    <n v="161561.82"/>
  </r>
  <r>
    <x v="5"/>
    <s v="Democratic Republic of the Congo"/>
    <s v="Cosmetics"/>
    <s v="Online"/>
    <s v="H"/>
    <d v="2013-05-09T00:00:00"/>
    <n v="523857152"/>
    <d v="2013-09-10T00:00:00"/>
    <n v="9827"/>
    <n v="437.2"/>
    <n v="263.33"/>
    <n v="4296364.4000000004"/>
    <n v="2587743.91"/>
    <n v="1708620.49"/>
  </r>
  <r>
    <x v="4"/>
    <s v="Palau"/>
    <s v="Cosmetics"/>
    <s v="Offline"/>
    <s v="H"/>
    <s v="10/25/2012"/>
    <n v="545315253"/>
    <s v="10/28/2012"/>
    <n v="9756"/>
    <n v="437.2"/>
    <n v="263.33"/>
    <n v="4265323.2"/>
    <n v="2569047.48"/>
    <n v="1696275.72"/>
  </r>
  <r>
    <x v="2"/>
    <s v="Laos"/>
    <s v="Cosmetics"/>
    <s v="Offline"/>
    <s v="L"/>
    <d v="2013-01-12T00:00:00"/>
    <n v="555745828"/>
    <d v="2013-10-12T00:00:00"/>
    <n v="6395"/>
    <n v="437.2"/>
    <n v="263.33"/>
    <n v="2795894"/>
    <n v="1683995.35"/>
    <n v="1111898.6499999999"/>
  </r>
  <r>
    <x v="1"/>
    <s v="Slovakia"/>
    <s v="Cosmetics"/>
    <s v="Online"/>
    <s v="C"/>
    <d v="2013-01-11T00:00:00"/>
    <n v="327072703"/>
    <s v="11/16/2013"/>
    <n v="6936"/>
    <n v="437.2"/>
    <n v="263.33"/>
    <n v="3032419.2"/>
    <n v="1826456.88"/>
    <n v="1205962.32"/>
  </r>
  <r>
    <x v="0"/>
    <s v="Barbados"/>
    <s v="Household"/>
    <s v="Offline"/>
    <s v="L"/>
    <s v="6/28/2010"/>
    <n v="151532208"/>
    <s v="8/15/2010"/>
    <n v="603"/>
    <n v="668.27"/>
    <n v="502.54"/>
    <n v="402966.81"/>
    <n v="303031.62"/>
    <n v="99935.19"/>
  </r>
  <r>
    <x v="2"/>
    <s v="India"/>
    <s v="Fruits"/>
    <s v="Offline"/>
    <s v="H"/>
    <s v="3/21/2014"/>
    <n v="391673171"/>
    <d v="2014-11-04T00:00:00"/>
    <n v="3650"/>
    <n v="9.33"/>
    <n v="6.92"/>
    <n v="34054.5"/>
    <n v="25258"/>
    <n v="8796.5"/>
  </r>
  <r>
    <x v="1"/>
    <s v="Switzerland"/>
    <s v="Vegetables"/>
    <s v="Online"/>
    <s v="H"/>
    <s v="9/18/2013"/>
    <n v="130356919"/>
    <d v="2013-01-10T00:00:00"/>
    <n v="4364"/>
    <n v="154.06"/>
    <n v="90.93"/>
    <n v="672317.84"/>
    <n v="396818.52"/>
    <n v="275499.32"/>
  </r>
  <r>
    <x v="2"/>
    <s v="Cambodia"/>
    <s v="Personal Care"/>
    <s v="Offline"/>
    <s v="L"/>
    <d v="2010-03-02T00:00:00"/>
    <n v="320757281"/>
    <s v="3/15/2010"/>
    <n v="8062"/>
    <n v="81.73"/>
    <n v="56.67"/>
    <n v="658907.26"/>
    <n v="456873.54"/>
    <n v="202033.72"/>
  </r>
  <r>
    <x v="1"/>
    <s v="Portugal"/>
    <s v="Cereal"/>
    <s v="Offline"/>
    <s v="H"/>
    <d v="2013-05-02T00:00:00"/>
    <n v="636360585"/>
    <d v="2013-08-03T00:00:00"/>
    <n v="2093"/>
    <n v="205.7"/>
    <n v="117.11"/>
    <n v="430530.1"/>
    <n v="245111.23"/>
    <n v="185418.87"/>
  </r>
  <r>
    <x v="2"/>
    <s v="Turkmenistan"/>
    <s v="Cosmetics"/>
    <s v="Online"/>
    <s v="C"/>
    <s v="8/14/2014"/>
    <n v="820965659"/>
    <s v="8/18/2014"/>
    <n v="837"/>
    <n v="437.2"/>
    <n v="263.33"/>
    <n v="365936.4"/>
    <n v="220407.21"/>
    <n v="145529.19"/>
  </r>
  <r>
    <x v="3"/>
    <s v="Oman"/>
    <s v="Cereal"/>
    <s v="Online"/>
    <s v="H"/>
    <d v="2015-04-03T00:00:00"/>
    <n v="238683831"/>
    <s v="4/14/2015"/>
    <n v="705"/>
    <n v="205.7"/>
    <n v="117.11"/>
    <n v="145018.5"/>
    <n v="82562.55"/>
    <n v="62455.95"/>
  </r>
  <r>
    <x v="1"/>
    <s v="Belarus"/>
    <s v="Beverages"/>
    <s v="Online"/>
    <s v="M"/>
    <s v="7/24/2012"/>
    <n v="123938930"/>
    <d v="2012-02-08T00:00:00"/>
    <n v="5138"/>
    <n v="47.45"/>
    <n v="31.79"/>
    <n v="243798.1"/>
    <n v="163337.01999999999"/>
    <n v="80461.08"/>
  </r>
  <r>
    <x v="5"/>
    <s v="Mozambique"/>
    <s v="Personal Care"/>
    <s v="Online"/>
    <s v="C"/>
    <s v="3/23/2013"/>
    <n v="431467282"/>
    <d v="2013-04-05T00:00:00"/>
    <n v="9612"/>
    <n v="81.73"/>
    <n v="56.67"/>
    <n v="785588.76"/>
    <n v="544712.04"/>
    <n v="240876.72"/>
  </r>
  <r>
    <x v="5"/>
    <s v="Botswana"/>
    <s v="Fruits"/>
    <s v="Offline"/>
    <s v="M"/>
    <s v="4/20/2013"/>
    <n v="286317718"/>
    <s v="4/30/2013"/>
    <n v="6630"/>
    <n v="9.33"/>
    <n v="6.92"/>
    <n v="61857.9"/>
    <n v="45879.6"/>
    <n v="15978.3"/>
  </r>
  <r>
    <x v="0"/>
    <s v="Dominican Republic"/>
    <s v="Meat"/>
    <s v="Offline"/>
    <s v="H"/>
    <d v="2010-02-01T00:00:00"/>
    <n v="233851563"/>
    <s v="2/21/2010"/>
    <n v="729"/>
    <n v="421.89"/>
    <n v="364.69"/>
    <n v="307557.81"/>
    <n v="265859.01"/>
    <n v="41698.800000000003"/>
  </r>
  <r>
    <x v="5"/>
    <s v="Comoros"/>
    <s v="Office Supplies"/>
    <s v="Offline"/>
    <s v="L"/>
    <s v="12/17/2012"/>
    <n v="889742648"/>
    <s v="1/16/2013"/>
    <n v="3476"/>
    <n v="651.21"/>
    <n v="524.96"/>
    <n v="2263605.96"/>
    <n v="1824760.96"/>
    <n v="438845"/>
  </r>
  <r>
    <x v="2"/>
    <s v="Kyrgyzstan"/>
    <s v="Meat"/>
    <s v="Online"/>
    <s v="C"/>
    <s v="2/26/2010"/>
    <n v="689977300"/>
    <d v="2010-05-04T00:00:00"/>
    <n v="8471"/>
    <n v="421.89"/>
    <n v="364.69"/>
    <n v="3573830.19"/>
    <n v="3089288.99"/>
    <n v="484541.2"/>
  </r>
  <r>
    <x v="2"/>
    <s v="Laos"/>
    <s v="Meat"/>
    <s v="Online"/>
    <s v="C"/>
    <s v="2/18/2017"/>
    <n v="840854346"/>
    <d v="2017-08-04T00:00:00"/>
    <n v="6342"/>
    <n v="421.89"/>
    <n v="364.69"/>
    <n v="2675626.38"/>
    <n v="2312863.98"/>
    <n v="362762.4"/>
  </r>
  <r>
    <x v="2"/>
    <s v="Japan"/>
    <s v="Beverages"/>
    <s v="Online"/>
    <s v="C"/>
    <s v="8/24/2012"/>
    <n v="368985116"/>
    <d v="2012-11-10T00:00:00"/>
    <n v="9750"/>
    <n v="47.45"/>
    <n v="31.79"/>
    <n v="462637.5"/>
    <n v="309952.5"/>
    <n v="152685"/>
  </r>
  <r>
    <x v="5"/>
    <s v="Burkina Faso"/>
    <s v="Vegetables"/>
    <s v="Online"/>
    <s v="H"/>
    <d v="2010-02-08T00:00:00"/>
    <n v="171293437"/>
    <d v="2010-12-08T00:00:00"/>
    <n v="8389"/>
    <n v="154.06"/>
    <n v="90.93"/>
    <n v="1292409.3400000001"/>
    <n v="762811.77"/>
    <n v="529597.56999999995"/>
  </r>
  <r>
    <x v="0"/>
    <s v="Costa Rica"/>
    <s v="Baby Food"/>
    <s v="Offline"/>
    <s v="H"/>
    <d v="2010-05-10T00:00:00"/>
    <n v="765015637"/>
    <d v="2010-01-11T00:00:00"/>
    <n v="3982"/>
    <n v="255.28"/>
    <n v="159.41999999999999"/>
    <n v="1016524.96"/>
    <n v="634810.43999999994"/>
    <n v="381714.52"/>
  </r>
  <r>
    <x v="5"/>
    <s v="Comoros"/>
    <s v="Vegetables"/>
    <s v="Online"/>
    <s v="M"/>
    <d v="2010-06-04T00:00:00"/>
    <n v="937700545"/>
    <s v="4/30/2010"/>
    <n v="5284"/>
    <n v="154.06"/>
    <n v="90.93"/>
    <n v="814053.04"/>
    <n v="480474.12"/>
    <n v="333578.92"/>
  </r>
  <r>
    <x v="4"/>
    <s v="Palau"/>
    <s v="Personal Care"/>
    <s v="Offline"/>
    <s v="H"/>
    <s v="10/26/2014"/>
    <n v="897209489"/>
    <d v="2014-07-12T00:00:00"/>
    <n v="3081"/>
    <n v="81.73"/>
    <n v="56.67"/>
    <n v="251810.13"/>
    <n v="174600.27"/>
    <n v="77209.86"/>
  </r>
  <r>
    <x v="0"/>
    <s v="Grenada"/>
    <s v="Beverages"/>
    <s v="Online"/>
    <s v="H"/>
    <s v="4/16/2012"/>
    <n v="921716296"/>
    <s v="4/25/2012"/>
    <n v="5189"/>
    <n v="47.45"/>
    <n v="31.79"/>
    <n v="246218.05"/>
    <n v="164958.31"/>
    <n v="81259.740000000005"/>
  </r>
  <r>
    <x v="5"/>
    <s v="Guinea"/>
    <s v="Vegetables"/>
    <s v="Offline"/>
    <s v="C"/>
    <s v="4/28/2014"/>
    <n v="909707295"/>
    <s v="5/15/2014"/>
    <n v="1459"/>
    <n v="154.06"/>
    <n v="90.93"/>
    <n v="224773.54"/>
    <n v="132666.87"/>
    <n v="92106.67"/>
  </r>
  <r>
    <x v="2"/>
    <s v="Cambodia"/>
    <s v="Beverages"/>
    <s v="Offline"/>
    <s v="L"/>
    <d v="2014-09-09T00:00:00"/>
    <n v="829981315"/>
    <s v="10/26/2014"/>
    <n v="8770"/>
    <n v="47.45"/>
    <n v="31.79"/>
    <n v="416136.5"/>
    <n v="278798.3"/>
    <n v="137338.20000000001"/>
  </r>
  <r>
    <x v="5"/>
    <s v="Kenya"/>
    <s v="Personal Care"/>
    <s v="Online"/>
    <s v="M"/>
    <s v="10/23/2015"/>
    <n v="271649682"/>
    <d v="2015-04-12T00:00:00"/>
    <n v="6032"/>
    <n v="81.73"/>
    <n v="56.67"/>
    <n v="492995.36"/>
    <n v="341833.44"/>
    <n v="151161.92000000001"/>
  </r>
  <r>
    <x v="5"/>
    <s v="Swaziland"/>
    <s v="Fruits"/>
    <s v="Online"/>
    <s v="M"/>
    <s v="5/16/2017"/>
    <n v="694136226"/>
    <s v="6/18/2017"/>
    <n v="9189"/>
    <n v="9.33"/>
    <n v="6.92"/>
    <n v="85733.37"/>
    <n v="63587.88"/>
    <n v="22145.49"/>
  </r>
  <r>
    <x v="2"/>
    <s v="South Korea"/>
    <s v="Personal Care"/>
    <s v="Online"/>
    <s v="L"/>
    <s v="7/24/2012"/>
    <n v="477177274"/>
    <d v="2012-09-08T00:00:00"/>
    <n v="6214"/>
    <n v="81.73"/>
    <n v="56.67"/>
    <n v="507870.22"/>
    <n v="352147.38"/>
    <n v="155722.84"/>
  </r>
  <r>
    <x v="1"/>
    <s v="Kosovo"/>
    <s v="Office Supplies"/>
    <s v="Offline"/>
    <s v="C"/>
    <s v="7/26/2014"/>
    <n v="770821654"/>
    <s v="8/19/2014"/>
    <n v="2112"/>
    <n v="651.21"/>
    <n v="524.96"/>
    <n v="1375355.52"/>
    <n v="1108715.52"/>
    <n v="266640"/>
  </r>
  <r>
    <x v="5"/>
    <s v="Swaziland"/>
    <s v="Fruits"/>
    <s v="Online"/>
    <s v="M"/>
    <s v="11/28/2014"/>
    <n v="545430696"/>
    <d v="2014-02-12T00:00:00"/>
    <n v="3918"/>
    <n v="9.33"/>
    <n v="6.92"/>
    <n v="36554.94"/>
    <n v="27112.560000000001"/>
    <n v="9442.3799999999992"/>
  </r>
  <r>
    <x v="4"/>
    <s v="Federated States of Micronesia"/>
    <s v="Clothes"/>
    <s v="Online"/>
    <s v="M"/>
    <s v="7/17/2017"/>
    <n v="641678225"/>
    <s v="8/27/2017"/>
    <n v="5701"/>
    <n v="109.28"/>
    <n v="35.840000000000003"/>
    <n v="623005.28"/>
    <n v="204323.84"/>
    <n v="418681.44"/>
  </r>
  <r>
    <x v="5"/>
    <s v="Nigeria"/>
    <s v="Cosmetics"/>
    <s v="Online"/>
    <s v="C"/>
    <d v="2012-05-05T00:00:00"/>
    <n v="620550572"/>
    <d v="2012-05-06T00:00:00"/>
    <n v="3559"/>
    <n v="437.2"/>
    <n v="263.33"/>
    <n v="1555994.8"/>
    <n v="937191.47"/>
    <n v="618803.32999999996"/>
  </r>
  <r>
    <x v="3"/>
    <s v="Saudi Arabia"/>
    <s v="Cosmetics"/>
    <s v="Online"/>
    <s v="H"/>
    <d v="2016-01-10T00:00:00"/>
    <n v="113346564"/>
    <s v="10/14/2016"/>
    <n v="622"/>
    <n v="437.2"/>
    <n v="263.33"/>
    <n v="271938.40000000002"/>
    <n v="163791.26"/>
    <n v="108147.14"/>
  </r>
  <r>
    <x v="5"/>
    <s v="Central African Republic"/>
    <s v="Clothes"/>
    <s v="Online"/>
    <s v="M"/>
    <s v="5/29/2011"/>
    <n v="171677529"/>
    <d v="2011-05-07T00:00:00"/>
    <n v="2051"/>
    <n v="109.28"/>
    <n v="35.840000000000003"/>
    <n v="224133.28"/>
    <n v="73507.839999999997"/>
    <n v="150625.44"/>
  </r>
  <r>
    <x v="3"/>
    <s v="Iraq"/>
    <s v="Office Supplies"/>
    <s v="Online"/>
    <s v="L"/>
    <d v="2012-05-02T00:00:00"/>
    <n v="117467296"/>
    <s v="3/15/2012"/>
    <n v="38"/>
    <n v="651.21"/>
    <n v="524.96"/>
    <n v="24745.98"/>
    <n v="19948.48"/>
    <n v="4797.5"/>
  </r>
  <r>
    <x v="1"/>
    <s v="United Kingdom"/>
    <s v="Cosmetics"/>
    <s v="Online"/>
    <s v="M"/>
    <s v="12/14/2012"/>
    <n v="692952191"/>
    <d v="2013-04-01T00:00:00"/>
    <n v="8807"/>
    <n v="437.2"/>
    <n v="263.33"/>
    <n v="3850420.4"/>
    <n v="2319147.31"/>
    <n v="1531273.09"/>
  </r>
  <r>
    <x v="4"/>
    <s v="New Zealand"/>
    <s v="Cosmetics"/>
    <s v="Offline"/>
    <s v="M"/>
    <s v="12/16/2012"/>
    <n v="910681045"/>
    <d v="2013-08-01T00:00:00"/>
    <n v="9613"/>
    <n v="437.2"/>
    <n v="263.33"/>
    <n v="4202803.5999999996"/>
    <n v="2531391.29"/>
    <n v="1671412.31"/>
  </r>
  <r>
    <x v="0"/>
    <s v="Haiti"/>
    <s v="Vegetables"/>
    <s v="Online"/>
    <s v="H"/>
    <d v="2012-01-03T00:00:00"/>
    <n v="303515183"/>
    <s v="4/18/2012"/>
    <n v="5742"/>
    <n v="154.06"/>
    <n v="90.93"/>
    <n v="884612.52"/>
    <n v="522120.06"/>
    <n v="362492.46"/>
  </r>
  <r>
    <x v="4"/>
    <s v="Vanuatu"/>
    <s v="Household"/>
    <s v="Online"/>
    <s v="L"/>
    <s v="6/20/2015"/>
    <n v="274628436"/>
    <s v="7/26/2015"/>
    <n v="7512"/>
    <n v="668.27"/>
    <n v="502.54"/>
    <n v="5020044.24"/>
    <n v="3775080.48"/>
    <n v="1244963.76"/>
  </r>
  <r>
    <x v="1"/>
    <s v="Ukraine"/>
    <s v="Beverages"/>
    <s v="Offline"/>
    <s v="L"/>
    <d v="2013-07-09T00:00:00"/>
    <n v="947507131"/>
    <s v="10/20/2013"/>
    <n v="7271"/>
    <n v="47.45"/>
    <n v="31.79"/>
    <n v="345008.95"/>
    <n v="231145.09"/>
    <n v="113863.86"/>
  </r>
  <r>
    <x v="4"/>
    <s v="Papua New Guinea"/>
    <s v="Beverages"/>
    <s v="Offline"/>
    <s v="L"/>
    <s v="1/22/2010"/>
    <n v="715950095"/>
    <d v="2010-01-02T00:00:00"/>
    <n v="4398"/>
    <n v="47.45"/>
    <n v="31.79"/>
    <n v="208685.1"/>
    <n v="139812.42000000001"/>
    <n v="68872.679999999993"/>
  </r>
  <r>
    <x v="2"/>
    <s v="Japan"/>
    <s v="Fruits"/>
    <s v="Offline"/>
    <s v="C"/>
    <s v="6/22/2016"/>
    <n v="294068658"/>
    <d v="2016-06-08T00:00:00"/>
    <n v="306"/>
    <n v="9.33"/>
    <n v="6.92"/>
    <n v="2854.98"/>
    <n v="2117.52"/>
    <n v="737.46"/>
  </r>
  <r>
    <x v="5"/>
    <s v="Malawi"/>
    <s v="Personal Care"/>
    <s v="Offline"/>
    <s v="C"/>
    <s v="10/19/2011"/>
    <n v="466286647"/>
    <s v="11/28/2011"/>
    <n v="3436"/>
    <n v="81.73"/>
    <n v="56.67"/>
    <n v="280824.28000000003"/>
    <n v="194718.12"/>
    <n v="86106.16"/>
  </r>
  <r>
    <x v="3"/>
    <s v="Qatar"/>
    <s v="Meat"/>
    <s v="Offline"/>
    <s v="C"/>
    <s v="10/28/2013"/>
    <n v="737340390"/>
    <d v="2013-01-11T00:00:00"/>
    <n v="4262"/>
    <n v="421.89"/>
    <n v="364.69"/>
    <n v="1798095.18"/>
    <n v="1554308.78"/>
    <n v="243786.4"/>
  </r>
  <r>
    <x v="5"/>
    <s v="Botswana"/>
    <s v="Office Supplies"/>
    <s v="Offline"/>
    <s v="C"/>
    <s v="11/29/2014"/>
    <n v="682278716"/>
    <d v="2015-01-01T00:00:00"/>
    <n v="289"/>
    <n v="651.21"/>
    <n v="524.96"/>
    <n v="188199.69"/>
    <n v="151713.44"/>
    <n v="36486.25"/>
  </r>
  <r>
    <x v="1"/>
    <s v="Ireland"/>
    <s v="Personal Care"/>
    <s v="Offline"/>
    <s v="L"/>
    <s v="1/21/2016"/>
    <n v="396462953"/>
    <s v="2/26/2016"/>
    <n v="1053"/>
    <n v="81.73"/>
    <n v="56.67"/>
    <n v="86061.69"/>
    <n v="59673.51"/>
    <n v="26388.18"/>
  </r>
  <r>
    <x v="2"/>
    <s v="Bangladesh"/>
    <s v="Meat"/>
    <s v="Online"/>
    <s v="H"/>
    <d v="2015-12-07T00:00:00"/>
    <n v="945566928"/>
    <s v="7/20/2015"/>
    <n v="3121"/>
    <n v="421.89"/>
    <n v="364.69"/>
    <n v="1316718.69"/>
    <n v="1138197.49"/>
    <n v="178521.2"/>
  </r>
  <r>
    <x v="2"/>
    <s v="South Korea"/>
    <s v="Cosmetics"/>
    <s v="Online"/>
    <s v="C"/>
    <s v="8/31/2012"/>
    <n v="315576970"/>
    <s v="9/14/2012"/>
    <n v="5093"/>
    <n v="437.2"/>
    <n v="263.33"/>
    <n v="2226659.6"/>
    <n v="1341139.69"/>
    <n v="885519.91"/>
  </r>
  <r>
    <x v="1"/>
    <s v="Russia"/>
    <s v="Beverages"/>
    <s v="Offline"/>
    <s v="M"/>
    <s v="8/30/2011"/>
    <n v="162791907"/>
    <s v="10/19/2011"/>
    <n v="2598"/>
    <n v="47.45"/>
    <n v="31.79"/>
    <n v="123275.1"/>
    <n v="82590.42"/>
    <n v="40684.68"/>
  </r>
  <r>
    <x v="2"/>
    <s v="North Korea"/>
    <s v="Household"/>
    <s v="Online"/>
    <s v="M"/>
    <d v="2010-12-03T00:00:00"/>
    <n v="863823068"/>
    <d v="2010-09-04T00:00:00"/>
    <n v="3297"/>
    <n v="668.27"/>
    <n v="502.54"/>
    <n v="2203286.19"/>
    <n v="1656874.38"/>
    <n v="546411.81000000006"/>
  </r>
  <r>
    <x v="2"/>
    <s v="Bangladesh"/>
    <s v="Meat"/>
    <s v="Online"/>
    <s v="L"/>
    <s v="10/19/2010"/>
    <n v="165594279"/>
    <d v="2010-08-12T00:00:00"/>
    <n v="1882"/>
    <n v="421.89"/>
    <n v="364.69"/>
    <n v="793996.98"/>
    <n v="686346.58"/>
    <n v="107650.4"/>
  </r>
  <r>
    <x v="1"/>
    <s v="Luxembourg"/>
    <s v="Cosmetics"/>
    <s v="Online"/>
    <s v="M"/>
    <s v="1/26/2017"/>
    <n v="835341870"/>
    <s v="2/24/2017"/>
    <n v="5077"/>
    <n v="437.2"/>
    <n v="263.33"/>
    <n v="2219664.4"/>
    <n v="1336926.4099999999"/>
    <n v="882737.99"/>
  </r>
  <r>
    <x v="5"/>
    <s v="Guinea-Bissau"/>
    <s v="Clothes"/>
    <s v="Offline"/>
    <s v="C"/>
    <s v="9/28/2014"/>
    <n v="310614669"/>
    <s v="10/15/2014"/>
    <n v="6638"/>
    <n v="109.28"/>
    <n v="35.840000000000003"/>
    <n v="725400.64"/>
    <n v="237905.92000000001"/>
    <n v="487494.72"/>
  </r>
  <r>
    <x v="1"/>
    <s v="Norway"/>
    <s v="Household"/>
    <s v="Offline"/>
    <s v="C"/>
    <s v="4/29/2013"/>
    <n v="149274003"/>
    <s v="5/29/2013"/>
    <n v="2350"/>
    <n v="668.27"/>
    <n v="502.54"/>
    <n v="1570434.5"/>
    <n v="1180969"/>
    <n v="389465.5"/>
  </r>
  <r>
    <x v="3"/>
    <s v="Libya"/>
    <s v="Beverages"/>
    <s v="Offline"/>
    <s v="H"/>
    <s v="1/17/2012"/>
    <n v="179493701"/>
    <d v="2012-07-02T00:00:00"/>
    <n v="5030"/>
    <n v="47.45"/>
    <n v="31.79"/>
    <n v="238673.5"/>
    <n v="159903.70000000001"/>
    <n v="78769.8"/>
  </r>
  <r>
    <x v="5"/>
    <s v="Chad"/>
    <s v="Clothes"/>
    <s v="Online"/>
    <s v="M"/>
    <d v="2011-08-03T00:00:00"/>
    <n v="749760091"/>
    <s v="3/15/2011"/>
    <n v="9527"/>
    <n v="109.28"/>
    <n v="35.840000000000003"/>
    <n v="1041110.56"/>
    <n v="341447.67999999999"/>
    <n v="699662.88"/>
  </r>
  <r>
    <x v="4"/>
    <s v="Tonga"/>
    <s v="Baby Food"/>
    <s v="Offline"/>
    <s v="C"/>
    <s v="11/15/2015"/>
    <n v="478872001"/>
    <s v="12/29/2015"/>
    <n v="7721"/>
    <n v="255.28"/>
    <n v="159.41999999999999"/>
    <n v="1971016.88"/>
    <n v="1230881.82"/>
    <n v="740135.06"/>
  </r>
  <r>
    <x v="4"/>
    <s v="Tonga"/>
    <s v="Beverages"/>
    <s v="Online"/>
    <s v="L"/>
    <d v="2017-04-03T00:00:00"/>
    <n v="305940759"/>
    <s v="4/23/2017"/>
    <n v="3524"/>
    <n v="47.45"/>
    <n v="31.79"/>
    <n v="167213.79999999999"/>
    <n v="112027.96"/>
    <n v="55185.84"/>
  </r>
  <r>
    <x v="2"/>
    <s v="India"/>
    <s v="Beverages"/>
    <s v="Online"/>
    <s v="C"/>
    <s v="12/27/2010"/>
    <n v="340390193"/>
    <s v="1/26/2011"/>
    <n v="7877"/>
    <n v="47.45"/>
    <n v="31.79"/>
    <n v="373763.65"/>
    <n v="250409.83"/>
    <n v="123353.82"/>
  </r>
  <r>
    <x v="1"/>
    <s v="Estonia"/>
    <s v="Cosmetics"/>
    <s v="Offline"/>
    <s v="C"/>
    <d v="2017-04-01T00:00:00"/>
    <n v="311956632"/>
    <d v="2017-10-01T00:00:00"/>
    <n v="3755"/>
    <n v="437.2"/>
    <n v="263.33"/>
    <n v="1641686"/>
    <n v="988804.15"/>
    <n v="652881.85"/>
  </r>
  <r>
    <x v="1"/>
    <s v="Ukraine"/>
    <s v="Baby Food"/>
    <s v="Offline"/>
    <s v="L"/>
    <d v="2014-05-05T00:00:00"/>
    <n v="920688903"/>
    <d v="2014-12-06T00:00:00"/>
    <n v="1161"/>
    <n v="255.28"/>
    <n v="159.41999999999999"/>
    <n v="296380.08"/>
    <n v="185086.62"/>
    <n v="111293.46"/>
  </r>
  <r>
    <x v="2"/>
    <s v="Laos"/>
    <s v="Meat"/>
    <s v="Online"/>
    <s v="L"/>
    <d v="2013-12-06T00:00:00"/>
    <n v="686948335"/>
    <s v="7/26/2013"/>
    <n v="2133"/>
    <n v="421.89"/>
    <n v="364.69"/>
    <n v="899891.37"/>
    <n v="777883.77"/>
    <n v="122007.6"/>
  </r>
  <r>
    <x v="5"/>
    <s v="South Africa"/>
    <s v="Household"/>
    <s v="Offline"/>
    <s v="C"/>
    <s v="6/27/2014"/>
    <n v="901408755"/>
    <d v="2014-01-08T00:00:00"/>
    <n v="5737"/>
    <n v="668.27"/>
    <n v="502.54"/>
    <n v="3833864.99"/>
    <n v="2883071.98"/>
    <n v="950793.01"/>
  </r>
  <r>
    <x v="5"/>
    <s v="Republic of the Congo"/>
    <s v="Meat"/>
    <s v="Online"/>
    <s v="C"/>
    <s v="2/15/2011"/>
    <n v="675056493"/>
    <s v="3/23/2011"/>
    <n v="3072"/>
    <n v="421.89"/>
    <n v="364.69"/>
    <n v="1296046.0800000001"/>
    <n v="1120327.6799999999"/>
    <n v="175718.39999999999"/>
  </r>
  <r>
    <x v="5"/>
    <s v="Guinea"/>
    <s v="Beverages"/>
    <s v="Offline"/>
    <s v="C"/>
    <d v="2017-05-01T00:00:00"/>
    <n v="989190375"/>
    <d v="2017-10-01T00:00:00"/>
    <n v="2269"/>
    <n v="47.45"/>
    <n v="31.79"/>
    <n v="107664.05"/>
    <n v="72131.509999999995"/>
    <n v="35532.54"/>
  </r>
  <r>
    <x v="2"/>
    <s v="Nepal"/>
    <s v="Household"/>
    <s v="Offline"/>
    <s v="L"/>
    <d v="2016-01-08T00:00:00"/>
    <n v="645421731"/>
    <s v="8/22/2016"/>
    <n v="3488"/>
    <n v="668.27"/>
    <n v="502.54"/>
    <n v="2330925.7599999998"/>
    <n v="1752859.52"/>
    <n v="578066.24"/>
  </r>
  <r>
    <x v="2"/>
    <s v="Vietnam"/>
    <s v="Meat"/>
    <s v="Online"/>
    <s v="H"/>
    <d v="2014-06-04T00:00:00"/>
    <n v="315674388"/>
    <s v="5/20/2014"/>
    <n v="3921"/>
    <n v="421.89"/>
    <n v="364.69"/>
    <n v="1654230.69"/>
    <n v="1429949.49"/>
    <n v="224281.2"/>
  </r>
  <r>
    <x v="3"/>
    <s v="Tunisia "/>
    <s v="Cereal"/>
    <s v="Offline"/>
    <s v="C"/>
    <s v="7/16/2015"/>
    <n v="292184674"/>
    <s v="7/16/2015"/>
    <n v="2793"/>
    <n v="205.7"/>
    <n v="117.11"/>
    <n v="574520.1"/>
    <n v="327088.23"/>
    <n v="247431.87"/>
  </r>
  <r>
    <x v="3"/>
    <s v="Algeria"/>
    <s v="Baby Food"/>
    <s v="Offline"/>
    <s v="M"/>
    <d v="2015-10-08T00:00:00"/>
    <n v="937501418"/>
    <s v="8/16/2015"/>
    <n v="6358"/>
    <n v="255.28"/>
    <n v="159.41999999999999"/>
    <n v="1623070.24"/>
    <n v="1013592.36"/>
    <n v="609477.88"/>
  </r>
  <r>
    <x v="1"/>
    <s v="San Marino"/>
    <s v="Personal Care"/>
    <s v="Online"/>
    <s v="L"/>
    <s v="9/25/2010"/>
    <n v="434485948"/>
    <d v="2010-03-11T00:00:00"/>
    <n v="2902"/>
    <n v="81.73"/>
    <n v="56.67"/>
    <n v="237180.46"/>
    <n v="164456.34"/>
    <n v="72724.12"/>
  </r>
  <r>
    <x v="3"/>
    <s v="Somalia"/>
    <s v="Personal Care"/>
    <s v="Offline"/>
    <s v="L"/>
    <d v="2017-04-03T00:00:00"/>
    <n v="636312091"/>
    <s v="3/18/2017"/>
    <n v="7743"/>
    <n v="81.73"/>
    <n v="56.67"/>
    <n v="632835.39"/>
    <n v="438795.81"/>
    <n v="194039.58"/>
  </r>
  <r>
    <x v="1"/>
    <s v="Estonia"/>
    <s v="Baby Food"/>
    <s v="Offline"/>
    <s v="H"/>
    <s v="5/22/2014"/>
    <n v="316466176"/>
    <d v="2014-02-06T00:00:00"/>
    <n v="8229"/>
    <n v="255.28"/>
    <n v="159.41999999999999"/>
    <n v="2100699.12"/>
    <n v="1311867.18"/>
    <n v="788831.94"/>
  </r>
  <r>
    <x v="2"/>
    <s v="Malaysia"/>
    <s v="Vegetables"/>
    <s v="Offline"/>
    <s v="H"/>
    <s v="12/24/2016"/>
    <n v="118747031"/>
    <d v="2017-10-02T00:00:00"/>
    <n v="8740"/>
    <n v="154.06"/>
    <n v="90.93"/>
    <n v="1346484.4"/>
    <n v="794728.2"/>
    <n v="551756.19999999995"/>
  </r>
  <r>
    <x v="0"/>
    <s v="Nicaragua"/>
    <s v="Household"/>
    <s v="Online"/>
    <s v="C"/>
    <s v="4/29/2010"/>
    <n v="307265985"/>
    <d v="2010-04-05T00:00:00"/>
    <n v="5688"/>
    <n v="668.27"/>
    <n v="502.54"/>
    <n v="3801119.76"/>
    <n v="2858447.52"/>
    <n v="942672.24"/>
  </r>
  <r>
    <x v="0"/>
    <s v="Cuba"/>
    <s v="Cereal"/>
    <s v="Offline"/>
    <s v="M"/>
    <d v="2014-10-12T00:00:00"/>
    <n v="316446864"/>
    <s v="12/13/2014"/>
    <n v="2514"/>
    <n v="205.7"/>
    <n v="117.11"/>
    <n v="517129.8"/>
    <n v="294414.53999999998"/>
    <n v="222715.26"/>
  </r>
  <r>
    <x v="1"/>
    <s v="Kosovo"/>
    <s v="Household"/>
    <s v="Online"/>
    <s v="M"/>
    <s v="7/18/2014"/>
    <n v="101025998"/>
    <d v="2014-11-08T00:00:00"/>
    <n v="4693"/>
    <n v="668.27"/>
    <n v="502.54"/>
    <n v="3136191.11"/>
    <n v="2358420.2200000002"/>
    <n v="777770.89"/>
  </r>
  <r>
    <x v="4"/>
    <s v="Fiji"/>
    <s v="Vegetables"/>
    <s v="Offline"/>
    <s v="H"/>
    <d v="2012-08-11T00:00:00"/>
    <n v="586052215"/>
    <s v="12/16/2012"/>
    <n v="4729"/>
    <n v="154.06"/>
    <n v="90.93"/>
    <n v="728549.74"/>
    <n v="430007.97"/>
    <n v="298541.77"/>
  </r>
  <r>
    <x v="4"/>
    <s v="Marshall Islands"/>
    <s v="Beverages"/>
    <s v="Offline"/>
    <s v="M"/>
    <s v="8/27/2014"/>
    <n v="516886842"/>
    <s v="9/25/2014"/>
    <n v="7158"/>
    <n v="47.45"/>
    <n v="31.79"/>
    <n v="339647.1"/>
    <n v="227552.82"/>
    <n v="112094.28"/>
  </r>
  <r>
    <x v="0"/>
    <s v="The Bahamas"/>
    <s v="Vegetables"/>
    <s v="Online"/>
    <s v="M"/>
    <d v="2014-04-06T00:00:00"/>
    <n v="509203708"/>
    <s v="6/24/2014"/>
    <n v="3548"/>
    <n v="154.06"/>
    <n v="90.93"/>
    <n v="546604.88"/>
    <n v="322619.64"/>
    <n v="223985.24"/>
  </r>
  <r>
    <x v="5"/>
    <s v="Mauritius "/>
    <s v="Cosmetics"/>
    <s v="Online"/>
    <s v="H"/>
    <s v="4/18/2015"/>
    <n v="798989140"/>
    <d v="2015-04-06T00:00:00"/>
    <n v="7497"/>
    <n v="437.2"/>
    <n v="263.33"/>
    <n v="3277688.4"/>
    <n v="1974185.01"/>
    <n v="1303503.3899999999"/>
  </r>
  <r>
    <x v="2"/>
    <s v="Uzbekistan"/>
    <s v="Cereal"/>
    <s v="Offline"/>
    <s v="L"/>
    <d v="2010-03-02T00:00:00"/>
    <n v="792541968"/>
    <d v="2010-08-03T00:00:00"/>
    <n v="9635"/>
    <n v="205.7"/>
    <n v="117.11"/>
    <n v="1981919.5"/>
    <n v="1128354.8500000001"/>
    <n v="853564.65"/>
  </r>
  <r>
    <x v="5"/>
    <s v="Namibia"/>
    <s v="Household"/>
    <s v="Online"/>
    <s v="H"/>
    <d v="2015-07-06T00:00:00"/>
    <n v="416473519"/>
    <s v="6/23/2015"/>
    <n v="2624"/>
    <n v="668.27"/>
    <n v="502.54"/>
    <n v="1753540.48"/>
    <n v="1318664.96"/>
    <n v="434875.52"/>
  </r>
  <r>
    <x v="0"/>
    <s v="El Salvador"/>
    <s v="Office Supplies"/>
    <s v="Offline"/>
    <s v="C"/>
    <d v="2014-01-12T00:00:00"/>
    <n v="567707622"/>
    <s v="12/22/2014"/>
    <n v="6156"/>
    <n v="651.21"/>
    <n v="524.96"/>
    <n v="4008848.76"/>
    <n v="3231653.76"/>
    <n v="777195"/>
  </r>
  <r>
    <x v="2"/>
    <s v="China"/>
    <s v="Household"/>
    <s v="Offline"/>
    <s v="C"/>
    <d v="2015-05-12T00:00:00"/>
    <n v="863480603"/>
    <d v="2016-12-01T00:00:00"/>
    <n v="1954"/>
    <n v="668.27"/>
    <n v="502.54"/>
    <n v="1305799.58"/>
    <n v="981963.16"/>
    <n v="323836.42"/>
  </r>
  <r>
    <x v="2"/>
    <s v="Philippines"/>
    <s v="Beverages"/>
    <s v="Offline"/>
    <s v="L"/>
    <s v="7/22/2015"/>
    <n v="991341292"/>
    <d v="2015-02-09T00:00:00"/>
    <n v="8773"/>
    <n v="47.45"/>
    <n v="31.79"/>
    <n v="416278.85"/>
    <n v="278893.67"/>
    <n v="137385.18"/>
  </r>
  <r>
    <x v="5"/>
    <s v="Central African Republic"/>
    <s v="Cereal"/>
    <s v="Online"/>
    <s v="H"/>
    <s v="12/15/2011"/>
    <n v="259151017"/>
    <d v="2012-09-01T00:00:00"/>
    <n v="7400"/>
    <n v="205.7"/>
    <n v="117.11"/>
    <n v="1522180"/>
    <n v="866614"/>
    <n v="655566"/>
  </r>
  <r>
    <x v="2"/>
    <s v="Mongolia"/>
    <s v="Household"/>
    <s v="Offline"/>
    <s v="C"/>
    <s v="9/15/2015"/>
    <n v="745083606"/>
    <s v="9/30/2015"/>
    <n v="5651"/>
    <n v="668.27"/>
    <n v="502.54"/>
    <n v="3776393.77"/>
    <n v="2839853.54"/>
    <n v="936540.23"/>
  </r>
  <r>
    <x v="1"/>
    <s v="Luxembourg"/>
    <s v="Personal Care"/>
    <s v="Offline"/>
    <s v="H"/>
    <s v="9/25/2015"/>
    <n v="547625386"/>
    <s v="9/29/2015"/>
    <n v="3376"/>
    <n v="81.73"/>
    <n v="56.67"/>
    <n v="275920.48"/>
    <n v="191317.92"/>
    <n v="84602.559999999998"/>
  </r>
  <r>
    <x v="3"/>
    <s v="Pakistan"/>
    <s v="Beverages"/>
    <s v="Offline"/>
    <s v="C"/>
    <s v="5/21/2013"/>
    <n v="535575187"/>
    <s v="6/13/2013"/>
    <n v="7454"/>
    <n v="47.45"/>
    <n v="31.79"/>
    <n v="353692.3"/>
    <n v="236962.66"/>
    <n v="116729.64"/>
  </r>
  <r>
    <x v="4"/>
    <s v="New Zealand"/>
    <s v="Meat"/>
    <s v="Online"/>
    <s v="M"/>
    <s v="1/30/2011"/>
    <n v="298044335"/>
    <s v="2/13/2011"/>
    <n v="6797"/>
    <n v="421.89"/>
    <n v="364.69"/>
    <n v="2867586.33"/>
    <n v="2478797.9300000002"/>
    <n v="388788.4"/>
  </r>
  <r>
    <x v="1"/>
    <s v="Montenegro"/>
    <s v="Fruits"/>
    <s v="Online"/>
    <s v="H"/>
    <s v="1/31/2016"/>
    <n v="394456660"/>
    <d v="2016-09-02T00:00:00"/>
    <n v="7346"/>
    <n v="9.33"/>
    <n v="6.92"/>
    <n v="68538.179999999993"/>
    <n v="50834.32"/>
    <n v="17703.86"/>
  </r>
  <r>
    <x v="1"/>
    <s v="Kosovo"/>
    <s v="Baby Food"/>
    <s v="Online"/>
    <s v="M"/>
    <d v="2014-01-01T00:00:00"/>
    <n v="104548490"/>
    <d v="2014-05-01T00:00:00"/>
    <n v="7076"/>
    <n v="255.28"/>
    <n v="159.41999999999999"/>
    <n v="1806361.28"/>
    <n v="1128055.92"/>
    <n v="678305.36"/>
  </r>
  <r>
    <x v="5"/>
    <s v="Zambia"/>
    <s v="Vegetables"/>
    <s v="Online"/>
    <s v="M"/>
    <s v="6/14/2010"/>
    <n v="578368651"/>
    <s v="7/17/2010"/>
    <n v="991"/>
    <n v="154.06"/>
    <n v="90.93"/>
    <n v="152673.46"/>
    <n v="90111.63"/>
    <n v="62561.83"/>
  </r>
  <r>
    <x v="2"/>
    <s v="Bhutan"/>
    <s v="Beverages"/>
    <s v="Offline"/>
    <s v="H"/>
    <d v="2012-07-02T00:00:00"/>
    <n v="786278474"/>
    <s v="3/19/2012"/>
    <n v="6128"/>
    <n v="47.45"/>
    <n v="31.79"/>
    <n v="290773.59999999998"/>
    <n v="194809.12"/>
    <n v="95964.479999999996"/>
  </r>
  <r>
    <x v="2"/>
    <s v="Laos"/>
    <s v="Office Supplies"/>
    <s v="Online"/>
    <s v="H"/>
    <d v="2015-03-05T00:00:00"/>
    <n v="668951785"/>
    <s v="5/15/2015"/>
    <n v="6554"/>
    <n v="651.21"/>
    <n v="524.96"/>
    <n v="4268030.34"/>
    <n v="3440587.84"/>
    <n v="827442.5"/>
  </r>
  <r>
    <x v="1"/>
    <s v="Greece"/>
    <s v="Cereal"/>
    <s v="Online"/>
    <s v="M"/>
    <d v="2010-10-01T00:00:00"/>
    <n v="687374913"/>
    <s v="2/26/2010"/>
    <n v="8367"/>
    <n v="205.7"/>
    <n v="117.11"/>
    <n v="1721091.9"/>
    <n v="979859.37"/>
    <n v="741232.53"/>
  </r>
  <r>
    <x v="0"/>
    <s v="Costa Rica"/>
    <s v="Meat"/>
    <s v="Online"/>
    <s v="L"/>
    <d v="2013-11-08T00:00:00"/>
    <n v="472846686"/>
    <d v="2013-10-09T00:00:00"/>
    <n v="4697"/>
    <n v="421.89"/>
    <n v="364.69"/>
    <n v="1981617.33"/>
    <n v="1712948.93"/>
    <n v="268668.40000000002"/>
  </r>
  <r>
    <x v="3"/>
    <s v="Turkey"/>
    <s v="Clothes"/>
    <s v="Online"/>
    <s v="C"/>
    <s v="4/23/2014"/>
    <n v="176978433"/>
    <d v="2014-05-05T00:00:00"/>
    <n v="706"/>
    <n v="109.28"/>
    <n v="35.840000000000003"/>
    <n v="77151.679999999993"/>
    <n v="25303.040000000001"/>
    <n v="51848.639999999999"/>
  </r>
  <r>
    <x v="1"/>
    <s v="Greece"/>
    <s v="Vegetables"/>
    <s v="Online"/>
    <s v="M"/>
    <d v="2012-04-10T00:00:00"/>
    <n v="921693980"/>
    <d v="2012-04-11T00:00:00"/>
    <n v="8586"/>
    <n v="154.06"/>
    <n v="90.93"/>
    <n v="1322759.1599999999"/>
    <n v="780724.98"/>
    <n v="542034.18000000005"/>
  </r>
  <r>
    <x v="5"/>
    <s v="Eritrea"/>
    <s v="Cosmetics"/>
    <s v="Online"/>
    <s v="M"/>
    <s v="8/31/2010"/>
    <n v="749229657"/>
    <d v="2010-08-10T00:00:00"/>
    <n v="2560"/>
    <n v="437.2"/>
    <n v="263.33"/>
    <n v="1119232"/>
    <n v="674124.80000000005"/>
    <n v="445107.20000000001"/>
  </r>
  <r>
    <x v="0"/>
    <s v="Haiti"/>
    <s v="Meat"/>
    <s v="Offline"/>
    <s v="M"/>
    <d v="2014-02-08T00:00:00"/>
    <n v="472134292"/>
    <s v="8/25/2014"/>
    <n v="3884"/>
    <n v="421.89"/>
    <n v="364.69"/>
    <n v="1638620.76"/>
    <n v="1416455.96"/>
    <n v="222164.8"/>
  </r>
  <r>
    <x v="2"/>
    <s v="Sri Lanka"/>
    <s v="Cosmetics"/>
    <s v="Online"/>
    <s v="M"/>
    <s v="12/28/2016"/>
    <n v="523269212"/>
    <d v="2017-04-02T00:00:00"/>
    <n v="5843"/>
    <n v="437.2"/>
    <n v="263.33"/>
    <n v="2554559.6"/>
    <n v="1538637.19"/>
    <n v="1015922.41"/>
  </r>
  <r>
    <x v="5"/>
    <s v="Ethiopia"/>
    <s v="Fruits"/>
    <s v="Online"/>
    <s v="H"/>
    <s v="3/19/2015"/>
    <n v="505808246"/>
    <d v="2015-12-04T00:00:00"/>
    <n v="8755"/>
    <n v="9.33"/>
    <n v="6.92"/>
    <n v="81684.149999999994"/>
    <n v="60584.6"/>
    <n v="21099.55"/>
  </r>
  <r>
    <x v="4"/>
    <s v="East Timor"/>
    <s v="Office Supplies"/>
    <s v="Online"/>
    <s v="H"/>
    <s v="3/19/2015"/>
    <n v="543237721"/>
    <s v="4/25/2015"/>
    <n v="4969"/>
    <n v="651.21"/>
    <n v="524.96"/>
    <n v="3235862.49"/>
    <n v="2608526.2400000002"/>
    <n v="627336.25"/>
  </r>
  <r>
    <x v="1"/>
    <s v="Montenegro"/>
    <s v="Household"/>
    <s v="Online"/>
    <s v="L"/>
    <s v="8/29/2012"/>
    <n v="829356467"/>
    <s v="9/16/2012"/>
    <n v="3864"/>
    <n v="668.27"/>
    <n v="502.54"/>
    <n v="2582195.2799999998"/>
    <n v="1941814.56"/>
    <n v="640380.72"/>
  </r>
  <r>
    <x v="4"/>
    <s v="Solomon Islands"/>
    <s v="Office Supplies"/>
    <s v="Online"/>
    <s v="H"/>
    <s v="11/13/2011"/>
    <n v="278275811"/>
    <d v="2011-07-12T00:00:00"/>
    <n v="6851"/>
    <n v="651.21"/>
    <n v="524.96"/>
    <n v="4461439.71"/>
    <n v="3596500.96"/>
    <n v="864938.75"/>
  </r>
  <r>
    <x v="0"/>
    <s v="Honduras"/>
    <s v="Office Supplies"/>
    <s v="Online"/>
    <s v="L"/>
    <s v="5/31/2014"/>
    <n v="574419581"/>
    <s v="7/19/2014"/>
    <n v="2374"/>
    <n v="651.21"/>
    <n v="524.96"/>
    <n v="1545972.54"/>
    <n v="1246255.04"/>
    <n v="299717.5"/>
  </r>
  <r>
    <x v="1"/>
    <s v="Czech Republic"/>
    <s v="Cereal"/>
    <s v="Offline"/>
    <s v="C"/>
    <s v="5/20/2015"/>
    <n v="322524106"/>
    <s v="5/20/2015"/>
    <n v="905"/>
    <n v="205.7"/>
    <n v="117.11"/>
    <n v="186158.5"/>
    <n v="105984.55"/>
    <n v="80173.95"/>
  </r>
  <r>
    <x v="1"/>
    <s v="Portugal"/>
    <s v="Cereal"/>
    <s v="Offline"/>
    <s v="M"/>
    <s v="9/14/2014"/>
    <n v="897638213"/>
    <d v="2014-08-10T00:00:00"/>
    <n v="9950"/>
    <n v="205.7"/>
    <n v="117.11"/>
    <n v="2046715"/>
    <n v="1165244.5"/>
    <n v="881470.5"/>
  </r>
  <r>
    <x v="3"/>
    <s v="Yemen"/>
    <s v="Personal Care"/>
    <s v="Offline"/>
    <s v="M"/>
    <s v="5/15/2013"/>
    <n v="595123231"/>
    <s v="6/13/2013"/>
    <n v="9044"/>
    <n v="81.73"/>
    <n v="56.67"/>
    <n v="739166.12"/>
    <n v="512523.48"/>
    <n v="226642.64"/>
  </r>
  <r>
    <x v="1"/>
    <s v="Italy"/>
    <s v="Baby Food"/>
    <s v="Offline"/>
    <s v="L"/>
    <s v="3/23/2017"/>
    <n v="480652987"/>
    <d v="2017-05-04T00:00:00"/>
    <n v="4755"/>
    <n v="255.28"/>
    <n v="159.41999999999999"/>
    <n v="1213856.3999999999"/>
    <n v="758042.1"/>
    <n v="455814.3"/>
  </r>
  <r>
    <x v="1"/>
    <s v="France"/>
    <s v="Office Supplies"/>
    <s v="Online"/>
    <s v="C"/>
    <s v="6/20/2010"/>
    <n v="340213811"/>
    <s v="7/26/2010"/>
    <n v="5682"/>
    <n v="651.21"/>
    <n v="524.96"/>
    <n v="3700175.22"/>
    <n v="2982822.72"/>
    <n v="717352.5"/>
  </r>
  <r>
    <x v="2"/>
    <s v="Malaysia"/>
    <s v="Cereal"/>
    <s v="Online"/>
    <s v="C"/>
    <d v="2012-05-06T00:00:00"/>
    <n v="930104529"/>
    <s v="7/24/2012"/>
    <n v="7454"/>
    <n v="205.7"/>
    <n v="117.11"/>
    <n v="1533287.8"/>
    <n v="872937.94"/>
    <n v="660349.86"/>
  </r>
  <r>
    <x v="1"/>
    <s v="Iceland"/>
    <s v="Baby Food"/>
    <s v="Online"/>
    <s v="H"/>
    <s v="3/20/2013"/>
    <n v="826936471"/>
    <s v="3/30/2013"/>
    <n v="7733"/>
    <n v="255.28"/>
    <n v="159.41999999999999"/>
    <n v="1974080.24"/>
    <n v="1232794.8600000001"/>
    <n v="741285.38"/>
  </r>
  <r>
    <x v="1"/>
    <s v="Norway"/>
    <s v="Cosmetics"/>
    <s v="Online"/>
    <s v="H"/>
    <s v="5/14/2015"/>
    <n v="477633464"/>
    <d v="2015-07-06T00:00:00"/>
    <n v="1211"/>
    <n v="437.2"/>
    <n v="263.33"/>
    <n v="529449.19999999995"/>
    <n v="318892.63"/>
    <n v="210556.57"/>
  </r>
  <r>
    <x v="1"/>
    <s v="Latvia"/>
    <s v="Meat"/>
    <s v="Online"/>
    <s v="L"/>
    <s v="11/25/2014"/>
    <n v="849431836"/>
    <s v="11/28/2014"/>
    <n v="4611"/>
    <n v="421.89"/>
    <n v="364.69"/>
    <n v="1945334.79"/>
    <n v="1681585.59"/>
    <n v="263749.2"/>
  </r>
  <r>
    <x v="5"/>
    <s v="Cape Verde"/>
    <s v="Snacks"/>
    <s v="Online"/>
    <s v="C"/>
    <d v="2012-12-09T00:00:00"/>
    <n v="279880416"/>
    <s v="10/31/2012"/>
    <n v="1689"/>
    <n v="152.58000000000001"/>
    <n v="97.44"/>
    <n v="257707.62"/>
    <n v="164576.16"/>
    <n v="93131.46"/>
  </r>
  <r>
    <x v="5"/>
    <s v="Republic of the Congo"/>
    <s v="Snacks"/>
    <s v="Online"/>
    <s v="L"/>
    <s v="9/13/2010"/>
    <n v="326840531"/>
    <d v="2010-10-10T00:00:00"/>
    <n v="8231"/>
    <n v="152.58000000000001"/>
    <n v="97.44"/>
    <n v="1255885.98"/>
    <n v="802028.64"/>
    <n v="453857.34"/>
  </r>
  <r>
    <x v="3"/>
    <s v="Qatar"/>
    <s v="Fruits"/>
    <s v="Online"/>
    <s v="M"/>
    <d v="2015-12-09T00:00:00"/>
    <n v="818486011"/>
    <s v="10/23/2015"/>
    <n v="7054"/>
    <n v="9.33"/>
    <n v="6.92"/>
    <n v="65813.820000000007"/>
    <n v="48813.68"/>
    <n v="17000.14"/>
  </r>
  <r>
    <x v="5"/>
    <s v="Sudan"/>
    <s v="Household"/>
    <s v="Offline"/>
    <s v="M"/>
    <s v="10/29/2012"/>
    <n v="303303182"/>
    <d v="2012-06-11T00:00:00"/>
    <n v="3006"/>
    <n v="668.27"/>
    <n v="502.54"/>
    <n v="2008819.62"/>
    <n v="1510635.24"/>
    <n v="498184.38"/>
  </r>
  <r>
    <x v="5"/>
    <s v="Cote d'Ivoire"/>
    <s v="Personal Care"/>
    <s v="Online"/>
    <s v="L"/>
    <s v="10/21/2014"/>
    <n v="100090873"/>
    <s v="11/24/2014"/>
    <n v="7968"/>
    <n v="81.73"/>
    <n v="56.67"/>
    <n v="651224.64"/>
    <n v="451546.56"/>
    <n v="199678.07999999999"/>
  </r>
  <r>
    <x v="5"/>
    <s v="Cape Verde"/>
    <s v="Vegetables"/>
    <s v="Offline"/>
    <s v="M"/>
    <d v="2012-05-09T00:00:00"/>
    <n v="247960412"/>
    <d v="2012-11-10T00:00:00"/>
    <n v="5851"/>
    <n v="154.06"/>
    <n v="90.93"/>
    <n v="901405.06"/>
    <n v="532031.43000000005"/>
    <n v="369373.63"/>
  </r>
  <r>
    <x v="2"/>
    <s v="Taiwan"/>
    <s v="Meat"/>
    <s v="Online"/>
    <s v="M"/>
    <d v="2017-05-07T00:00:00"/>
    <n v="856335628"/>
    <s v="7/26/2017"/>
    <n v="7597"/>
    <n v="421.89"/>
    <n v="364.69"/>
    <n v="3205098.33"/>
    <n v="2770549.93"/>
    <n v="434548.4"/>
  </r>
  <r>
    <x v="3"/>
    <s v="Libya"/>
    <s v="Cereal"/>
    <s v="Offline"/>
    <s v="H"/>
    <d v="2011-11-02T00:00:00"/>
    <n v="754952847"/>
    <s v="2/20/2011"/>
    <n v="6179"/>
    <n v="205.7"/>
    <n v="117.11"/>
    <n v="1271020.3"/>
    <n v="723622.69"/>
    <n v="547397.61"/>
  </r>
  <r>
    <x v="0"/>
    <s v="Belize"/>
    <s v="Meat"/>
    <s v="Online"/>
    <s v="C"/>
    <s v="6/19/2010"/>
    <n v="643860900"/>
    <s v="6/29/2010"/>
    <n v="1603"/>
    <n v="421.89"/>
    <n v="364.69"/>
    <n v="676289.67"/>
    <n v="584598.06999999995"/>
    <n v="91691.6"/>
  </r>
  <r>
    <x v="5"/>
    <s v="Republic of the Congo"/>
    <s v="Clothes"/>
    <s v="Offline"/>
    <s v="C"/>
    <s v="11/17/2010"/>
    <n v="843421113"/>
    <s v="12/31/2010"/>
    <n v="5905"/>
    <n v="109.28"/>
    <n v="35.840000000000003"/>
    <n v="645298.4"/>
    <n v="211635.20000000001"/>
    <n v="433663.2"/>
  </r>
  <r>
    <x v="1"/>
    <s v="United Kingdom"/>
    <s v="Baby Food"/>
    <s v="Online"/>
    <s v="H"/>
    <d v="2012-08-07T00:00:00"/>
    <n v="844307315"/>
    <s v="7/29/2012"/>
    <n v="8152"/>
    <n v="255.28"/>
    <n v="159.41999999999999"/>
    <n v="2081042.56"/>
    <n v="1299591.8400000001"/>
    <n v="781450.72"/>
  </r>
  <r>
    <x v="5"/>
    <s v="Guinea-Bissau"/>
    <s v="Baby Food"/>
    <s v="Offline"/>
    <s v="H"/>
    <s v="8/13/2016"/>
    <n v="657505834"/>
    <s v="8/28/2016"/>
    <n v="9442"/>
    <n v="255.28"/>
    <n v="159.41999999999999"/>
    <n v="2410353.7599999998"/>
    <n v="1505243.64"/>
    <n v="905110.12"/>
  </r>
  <r>
    <x v="0"/>
    <s v="Saint Kitts and Nevis "/>
    <s v="Snacks"/>
    <s v="Offline"/>
    <s v="H"/>
    <d v="2014-11-02T00:00:00"/>
    <n v="364315497"/>
    <s v="3/20/2014"/>
    <n v="7906"/>
    <n v="152.58000000000001"/>
    <n v="97.44"/>
    <n v="1206297.48"/>
    <n v="770360.64"/>
    <n v="435936.84"/>
  </r>
  <r>
    <x v="3"/>
    <s v="Israel"/>
    <s v="Fruits"/>
    <s v="Offline"/>
    <s v="C"/>
    <s v="2/25/2012"/>
    <n v="566347634"/>
    <d v="2012-06-03T00:00:00"/>
    <n v="3705"/>
    <n v="9.33"/>
    <n v="6.92"/>
    <n v="34567.65"/>
    <n v="25638.6"/>
    <n v="8929.0499999999993"/>
  </r>
  <r>
    <x v="5"/>
    <s v="Senegal"/>
    <s v="Baby Food"/>
    <s v="Offline"/>
    <s v="M"/>
    <s v="2/28/2015"/>
    <n v="135526072"/>
    <s v="2/28/2015"/>
    <n v="4031"/>
    <n v="255.28"/>
    <n v="159.41999999999999"/>
    <n v="1029033.68"/>
    <n v="642622.02"/>
    <n v="386411.66"/>
  </r>
  <r>
    <x v="4"/>
    <s v="Vanuatu"/>
    <s v="Household"/>
    <s v="Offline"/>
    <s v="M"/>
    <s v="6/26/2013"/>
    <n v="264087140"/>
    <s v="7/28/2013"/>
    <n v="8108"/>
    <n v="668.27"/>
    <n v="502.54"/>
    <n v="5418333.1600000001"/>
    <n v="4074594.32"/>
    <n v="1343738.84"/>
  </r>
  <r>
    <x v="1"/>
    <s v="Finland"/>
    <s v="Snacks"/>
    <s v="Online"/>
    <s v="H"/>
    <s v="6/20/2017"/>
    <n v="414579665"/>
    <d v="2017-10-07T00:00:00"/>
    <n v="2191"/>
    <n v="152.58000000000001"/>
    <n v="97.44"/>
    <n v="334302.78000000003"/>
    <n v="213491.04"/>
    <n v="120811.74"/>
  </r>
  <r>
    <x v="1"/>
    <s v="Switzerland"/>
    <s v="Cereal"/>
    <s v="Offline"/>
    <s v="M"/>
    <s v="10/18/2015"/>
    <n v="569864976"/>
    <s v="11/30/2015"/>
    <n v="4565"/>
    <n v="205.7"/>
    <n v="117.11"/>
    <n v="939020.5"/>
    <n v="534607.15"/>
    <n v="404413.35"/>
  </r>
  <r>
    <x v="1"/>
    <s v="United Kingdom"/>
    <s v="Clothes"/>
    <s v="Online"/>
    <s v="L"/>
    <s v="2/26/2017"/>
    <n v="783116900"/>
    <s v="3/14/2017"/>
    <n v="548"/>
    <n v="109.28"/>
    <n v="35.840000000000003"/>
    <n v="59885.440000000002"/>
    <n v="19640.32"/>
    <n v="40245.120000000003"/>
  </r>
  <r>
    <x v="1"/>
    <s v="Andorra"/>
    <s v="Cosmetics"/>
    <s v="Online"/>
    <s v="L"/>
    <s v="2/26/2016"/>
    <n v="727821767"/>
    <s v="3/16/2016"/>
    <n v="7489"/>
    <n v="437.2"/>
    <n v="263.33"/>
    <n v="3274190.8"/>
    <n v="1972078.37"/>
    <n v="1302112.43"/>
  </r>
  <r>
    <x v="2"/>
    <s v="Maldives"/>
    <s v="Clothes"/>
    <s v="Offline"/>
    <s v="C"/>
    <s v="3/30/2012"/>
    <n v="147778403"/>
    <s v="4/19/2012"/>
    <n v="9768"/>
    <n v="109.28"/>
    <n v="35.840000000000003"/>
    <n v="1067447.04"/>
    <n v="350085.12"/>
    <n v="717361.92"/>
  </r>
  <r>
    <x v="2"/>
    <s v="Philippines"/>
    <s v="Office Supplies"/>
    <s v="Online"/>
    <s v="C"/>
    <d v="2013-11-07T00:00:00"/>
    <n v="207098138"/>
    <s v="8/29/2013"/>
    <n v="3796"/>
    <n v="651.21"/>
    <n v="524.96"/>
    <n v="2471993.16"/>
    <n v="1992748.16"/>
    <n v="479245"/>
  </r>
  <r>
    <x v="4"/>
    <s v="East Timor"/>
    <s v="Meat"/>
    <s v="Online"/>
    <s v="L"/>
    <s v="3/21/2010"/>
    <n v="340204799"/>
    <s v="4/16/2010"/>
    <n v="3015"/>
    <n v="421.89"/>
    <n v="364.69"/>
    <n v="1271998.3500000001"/>
    <n v="1099540.3500000001"/>
    <n v="172458"/>
  </r>
  <r>
    <x v="2"/>
    <s v="China"/>
    <s v="Beverages"/>
    <s v="Offline"/>
    <s v="C"/>
    <d v="2016-04-05T00:00:00"/>
    <n v="501834714"/>
    <d v="2016-07-06T00:00:00"/>
    <n v="2899"/>
    <n v="47.45"/>
    <n v="31.79"/>
    <n v="137557.54999999999"/>
    <n v="92159.21"/>
    <n v="45398.34"/>
  </r>
  <r>
    <x v="3"/>
    <s v="Tunisia "/>
    <s v="Household"/>
    <s v="Offline"/>
    <s v="M"/>
    <s v="11/18/2012"/>
    <n v="717036712"/>
    <s v="12/30/2012"/>
    <n v="5952"/>
    <n v="668.27"/>
    <n v="502.54"/>
    <n v="3977543.04"/>
    <n v="2991118.08"/>
    <n v="986424.96"/>
  </r>
  <r>
    <x v="1"/>
    <s v="Georgia"/>
    <s v="Meat"/>
    <s v="Offline"/>
    <s v="C"/>
    <s v="3/15/2012"/>
    <n v="631172120"/>
    <s v="4/20/2012"/>
    <n v="6711"/>
    <n v="421.89"/>
    <n v="364.69"/>
    <n v="2831303.79"/>
    <n v="2447434.59"/>
    <n v="383869.2"/>
  </r>
  <r>
    <x v="1"/>
    <s v="San Marino"/>
    <s v="Office Supplies"/>
    <s v="Offline"/>
    <s v="M"/>
    <d v="2016-11-05T00:00:00"/>
    <n v="859914767"/>
    <s v="6/18/2016"/>
    <n v="6744"/>
    <n v="651.21"/>
    <n v="524.96"/>
    <n v="4391760.24"/>
    <n v="3540330.24"/>
    <n v="851430"/>
  </r>
  <r>
    <x v="0"/>
    <s v="Saint Kitts and Nevis "/>
    <s v="Beverages"/>
    <s v="Offline"/>
    <s v="L"/>
    <d v="2013-01-05T00:00:00"/>
    <n v="739250981"/>
    <d v="2013-03-06T00:00:00"/>
    <n v="9648"/>
    <n v="47.45"/>
    <n v="31.79"/>
    <n v="457797.6"/>
    <n v="306709.92"/>
    <n v="151087.67999999999"/>
  </r>
  <r>
    <x v="1"/>
    <s v="Andorra"/>
    <s v="Snacks"/>
    <s v="Online"/>
    <s v="L"/>
    <d v="2011-04-02T00:00:00"/>
    <n v="575479590"/>
    <s v="3/22/2011"/>
    <n v="6054"/>
    <n v="152.58000000000001"/>
    <n v="97.44"/>
    <n v="923719.32"/>
    <n v="589901.76"/>
    <n v="333817.56"/>
  </r>
  <r>
    <x v="5"/>
    <s v="Cameroon"/>
    <s v="Personal Care"/>
    <s v="Online"/>
    <s v="L"/>
    <s v="2/13/2011"/>
    <n v="295211923"/>
    <s v="2/25/2011"/>
    <n v="8623"/>
    <n v="81.73"/>
    <n v="56.67"/>
    <n v="704757.79"/>
    <n v="488665.41"/>
    <n v="216092.38"/>
  </r>
  <r>
    <x v="0"/>
    <s v="Costa Rica"/>
    <s v="Clothes"/>
    <s v="Offline"/>
    <s v="H"/>
    <s v="2/24/2012"/>
    <n v="795371806"/>
    <d v="2012-04-03T00:00:00"/>
    <n v="7047"/>
    <n v="109.28"/>
    <n v="35.840000000000003"/>
    <n v="770096.16"/>
    <n v="252564.48000000001"/>
    <n v="517531.68"/>
  </r>
  <r>
    <x v="6"/>
    <s v="Greenland"/>
    <s v="Personal Care"/>
    <s v="Offline"/>
    <s v="L"/>
    <s v="12/29/2013"/>
    <n v="793195569"/>
    <s v="1/24/2014"/>
    <n v="3050"/>
    <n v="81.73"/>
    <n v="56.67"/>
    <n v="249276.5"/>
    <n v="172843.5"/>
    <n v="76433"/>
  </r>
  <r>
    <x v="0"/>
    <s v="Antigua and Barbuda "/>
    <s v="Personal Care"/>
    <s v="Offline"/>
    <s v="H"/>
    <s v="9/30/2013"/>
    <n v="876232039"/>
    <d v="2013-07-11T00:00:00"/>
    <n v="5387"/>
    <n v="81.73"/>
    <n v="56.67"/>
    <n v="440279.51"/>
    <n v="305281.28999999998"/>
    <n v="134998.22"/>
  </r>
  <r>
    <x v="1"/>
    <s v="Spain"/>
    <s v="Snacks"/>
    <s v="Offline"/>
    <s v="M"/>
    <s v="2/19/2017"/>
    <n v="352342545"/>
    <s v="3/27/2017"/>
    <n v="4844"/>
    <n v="152.58000000000001"/>
    <n v="97.44"/>
    <n v="739097.52"/>
    <n v="471999.36"/>
    <n v="267098.15999999997"/>
  </r>
  <r>
    <x v="0"/>
    <s v="Panama"/>
    <s v="Household"/>
    <s v="Offline"/>
    <s v="C"/>
    <d v="2012-08-01T00:00:00"/>
    <n v="399700915"/>
    <s v="2/27/2012"/>
    <n v="9238"/>
    <n v="668.27"/>
    <n v="502.54"/>
    <n v="6173478.2599999998"/>
    <n v="4642464.5199999996"/>
    <n v="1531013.74"/>
  </r>
  <r>
    <x v="2"/>
    <s v="Taiwan"/>
    <s v="Baby Food"/>
    <s v="Online"/>
    <s v="C"/>
    <s v="1/16/2010"/>
    <n v="916793477"/>
    <d v="2010-04-02T00:00:00"/>
    <n v="8418"/>
    <n v="255.28"/>
    <n v="159.41999999999999"/>
    <n v="2148947.04"/>
    <n v="1341997.56"/>
    <n v="806949.48"/>
  </r>
  <r>
    <x v="1"/>
    <s v="Slovenia"/>
    <s v="Cereal"/>
    <s v="Online"/>
    <s v="H"/>
    <s v="7/22/2012"/>
    <n v="972419059"/>
    <s v="8/17/2012"/>
    <n v="9264"/>
    <n v="205.7"/>
    <n v="117.11"/>
    <n v="1905604.8"/>
    <n v="1084907.04"/>
    <n v="820697.76"/>
  </r>
  <r>
    <x v="3"/>
    <s v="Kuwait"/>
    <s v="Meat"/>
    <s v="Online"/>
    <s v="L"/>
    <s v="5/26/2014"/>
    <n v="155688989"/>
    <d v="2014-09-06T00:00:00"/>
    <n v="686"/>
    <n v="421.89"/>
    <n v="364.69"/>
    <n v="289416.53999999998"/>
    <n v="250177.34"/>
    <n v="39239.199999999997"/>
  </r>
  <r>
    <x v="2"/>
    <s v="South Korea"/>
    <s v="Meat"/>
    <s v="Offline"/>
    <s v="M"/>
    <d v="2015-08-04T00:00:00"/>
    <n v="826027095"/>
    <s v="4/22/2015"/>
    <n v="8628"/>
    <n v="421.89"/>
    <n v="364.69"/>
    <n v="3640066.92"/>
    <n v="3146545.32"/>
    <n v="493521.6"/>
  </r>
  <r>
    <x v="5"/>
    <s v="Lesotho"/>
    <s v="Meat"/>
    <s v="Offline"/>
    <s v="M"/>
    <d v="2015-01-12T00:00:00"/>
    <n v="463169705"/>
    <s v="12/22/2015"/>
    <n v="1063"/>
    <n v="421.89"/>
    <n v="364.69"/>
    <n v="448469.07"/>
    <n v="387665.47"/>
    <n v="60803.6"/>
  </r>
  <r>
    <x v="1"/>
    <s v="Spain"/>
    <s v="Meat"/>
    <s v="Offline"/>
    <s v="M"/>
    <s v="5/20/2014"/>
    <n v="217165648"/>
    <d v="2014-08-06T00:00:00"/>
    <n v="2996"/>
    <n v="421.89"/>
    <n v="364.69"/>
    <n v="1263982.44"/>
    <n v="1092611.24"/>
    <n v="171371.2"/>
  </r>
  <r>
    <x v="3"/>
    <s v="Israel"/>
    <s v="Snacks"/>
    <s v="Online"/>
    <s v="C"/>
    <d v="2017-05-05T00:00:00"/>
    <n v="858376252"/>
    <d v="2017-09-05T00:00:00"/>
    <n v="1463"/>
    <n v="152.58000000000001"/>
    <n v="97.44"/>
    <n v="223224.54"/>
    <n v="142554.72"/>
    <n v="80669.820000000007"/>
  </r>
  <r>
    <x v="3"/>
    <s v="Syria"/>
    <s v="Vegetables"/>
    <s v="Online"/>
    <s v="C"/>
    <d v="2013-08-08T00:00:00"/>
    <n v="527475345"/>
    <s v="8/20/2013"/>
    <n v="531"/>
    <n v="154.06"/>
    <n v="90.93"/>
    <n v="81805.86"/>
    <n v="48283.83"/>
    <n v="33522.03"/>
  </r>
  <r>
    <x v="4"/>
    <s v="Nauru"/>
    <s v="Cosmetics"/>
    <s v="Offline"/>
    <s v="M"/>
    <d v="2015-03-10T00:00:00"/>
    <n v="585449254"/>
    <s v="11/13/2015"/>
    <n v="6299"/>
    <n v="437.2"/>
    <n v="263.33"/>
    <n v="2753922.8"/>
    <n v="1658715.67"/>
    <n v="1095207.1299999999"/>
  </r>
  <r>
    <x v="4"/>
    <s v="Samoa "/>
    <s v="Baby Food"/>
    <s v="Offline"/>
    <s v="L"/>
    <d v="2010-12-12T00:00:00"/>
    <n v="663596808"/>
    <d v="2011-06-01T00:00:00"/>
    <n v="1897"/>
    <n v="255.28"/>
    <n v="159.41999999999999"/>
    <n v="484266.16"/>
    <n v="302419.74"/>
    <n v="181846.42"/>
  </r>
  <r>
    <x v="5"/>
    <s v="South Sudan"/>
    <s v="Baby Food"/>
    <s v="Offline"/>
    <s v="C"/>
    <d v="2010-11-02T00:00:00"/>
    <n v="913529336"/>
    <s v="2/27/2010"/>
    <n v="2486"/>
    <n v="255.28"/>
    <n v="159.41999999999999"/>
    <n v="634626.07999999996"/>
    <n v="396318.12"/>
    <n v="238307.96"/>
  </r>
  <r>
    <x v="0"/>
    <s v="Haiti"/>
    <s v="Office Supplies"/>
    <s v="Online"/>
    <s v="M"/>
    <s v="11/23/2013"/>
    <n v="657170665"/>
    <s v="11/24/2013"/>
    <n v="258"/>
    <n v="651.21"/>
    <n v="524.96"/>
    <n v="168012.18"/>
    <n v="135439.67999999999"/>
    <n v="32572.5"/>
  </r>
  <r>
    <x v="2"/>
    <s v="Cambodia"/>
    <s v="Vegetables"/>
    <s v="Offline"/>
    <s v="L"/>
    <d v="2016-04-06T00:00:00"/>
    <n v="636757123"/>
    <d v="2016-08-07T00:00:00"/>
    <n v="9438"/>
    <n v="154.06"/>
    <n v="90.93"/>
    <n v="1454018.28"/>
    <n v="858197.34"/>
    <n v="595820.93999999994"/>
  </r>
  <r>
    <x v="1"/>
    <s v="Denmark"/>
    <s v="Baby Food"/>
    <s v="Online"/>
    <s v="L"/>
    <d v="2016-06-09T00:00:00"/>
    <n v="764837539"/>
    <d v="2016-06-09T00:00:00"/>
    <n v="1279"/>
    <n v="255.28"/>
    <n v="159.41999999999999"/>
    <n v="326503.12"/>
    <n v="203898.18"/>
    <n v="122604.94"/>
  </r>
  <r>
    <x v="5"/>
    <s v="Burkina Faso"/>
    <s v="Fruits"/>
    <s v="Online"/>
    <s v="C"/>
    <s v="9/20/2014"/>
    <n v="574273240"/>
    <s v="9/25/2014"/>
    <n v="9068"/>
    <n v="9.33"/>
    <n v="6.92"/>
    <n v="84604.44"/>
    <n v="62750.559999999998"/>
    <n v="21853.88"/>
  </r>
  <r>
    <x v="0"/>
    <s v="Barbados"/>
    <s v="Cereal"/>
    <s v="Offline"/>
    <s v="C"/>
    <d v="2015-07-06T00:00:00"/>
    <n v="568238055"/>
    <s v="7/17/2015"/>
    <n v="3123"/>
    <n v="205.7"/>
    <n v="117.11"/>
    <n v="642401.1"/>
    <n v="365734.53"/>
    <n v="276666.57"/>
  </r>
  <r>
    <x v="1"/>
    <s v="Latvia"/>
    <s v="Fruits"/>
    <s v="Offline"/>
    <s v="H"/>
    <s v="3/19/2017"/>
    <n v="870218312"/>
    <s v="3/27/2017"/>
    <n v="5792"/>
    <n v="9.33"/>
    <n v="6.92"/>
    <n v="54039.360000000001"/>
    <n v="40080.639999999999"/>
    <n v="13958.72"/>
  </r>
  <r>
    <x v="4"/>
    <s v="Samoa "/>
    <s v="Personal Care"/>
    <s v="Online"/>
    <s v="C"/>
    <s v="9/26/2015"/>
    <n v="774012839"/>
    <s v="9/29/2015"/>
    <n v="6454"/>
    <n v="81.73"/>
    <n v="56.67"/>
    <n v="527485.42000000004"/>
    <n v="365748.18"/>
    <n v="161737.24"/>
  </r>
  <r>
    <x v="4"/>
    <s v="Tonga"/>
    <s v="Clothes"/>
    <s v="Online"/>
    <s v="C"/>
    <s v="4/21/2015"/>
    <n v="993732964"/>
    <s v="5/22/2015"/>
    <n v="6522"/>
    <n v="109.28"/>
    <n v="35.840000000000003"/>
    <n v="712724.16"/>
    <n v="233748.48000000001"/>
    <n v="478975.68"/>
  </r>
  <r>
    <x v="1"/>
    <s v="Spain"/>
    <s v="Office Supplies"/>
    <s v="Online"/>
    <s v="L"/>
    <d v="2017-02-07T00:00:00"/>
    <n v="513802516"/>
    <d v="2017-07-08T00:00:00"/>
    <n v="4437"/>
    <n v="651.21"/>
    <n v="524.96"/>
    <n v="2889418.77"/>
    <n v="2329247.52"/>
    <n v="560171.25"/>
  </r>
  <r>
    <x v="1"/>
    <s v="Slovakia"/>
    <s v="Beverages"/>
    <s v="Online"/>
    <s v="M"/>
    <s v="5/31/2017"/>
    <n v="638957822"/>
    <s v="6/24/2017"/>
    <n v="673"/>
    <n v="47.45"/>
    <n v="31.79"/>
    <n v="31933.85"/>
    <n v="21394.67"/>
    <n v="10539.18"/>
  </r>
  <r>
    <x v="1"/>
    <s v="Bulgaria"/>
    <s v="Baby Food"/>
    <s v="Online"/>
    <s v="H"/>
    <s v="12/19/2014"/>
    <n v="944247710"/>
    <s v="1/31/2015"/>
    <n v="2736"/>
    <n v="255.28"/>
    <n v="159.41999999999999"/>
    <n v="698446.08"/>
    <n v="436173.12"/>
    <n v="262272.96000000002"/>
  </r>
  <r>
    <x v="3"/>
    <s v="Morocco"/>
    <s v="Clothes"/>
    <s v="Online"/>
    <s v="L"/>
    <s v="2/26/2011"/>
    <n v="625033509"/>
    <s v="2/26/2011"/>
    <n v="160"/>
    <n v="109.28"/>
    <n v="35.840000000000003"/>
    <n v="17484.8"/>
    <n v="5734.4"/>
    <n v="11750.4"/>
  </r>
  <r>
    <x v="5"/>
    <s v="Niger"/>
    <s v="Household"/>
    <s v="Offline"/>
    <s v="H"/>
    <s v="10/29/2011"/>
    <n v="746989047"/>
    <s v="12/13/2011"/>
    <n v="9514"/>
    <n v="668.27"/>
    <n v="502.54"/>
    <n v="6357920.7800000003"/>
    <n v="4781165.5599999996"/>
    <n v="1576755.22"/>
  </r>
  <r>
    <x v="5"/>
    <s v="Central African Republic"/>
    <s v="Snacks"/>
    <s v="Online"/>
    <s v="C"/>
    <s v="4/24/2016"/>
    <n v="196100652"/>
    <s v="5/31/2016"/>
    <n v="9395"/>
    <n v="152.58000000000001"/>
    <n v="97.44"/>
    <n v="1433489.1"/>
    <n v="915448.8"/>
    <n v="518040.3"/>
  </r>
  <r>
    <x v="5"/>
    <s v="Eritrea"/>
    <s v="Office Supplies"/>
    <s v="Online"/>
    <s v="M"/>
    <d v="2013-01-09T00:00:00"/>
    <n v="628667151"/>
    <s v="9/26/2013"/>
    <n v="5435"/>
    <n v="651.21"/>
    <n v="524.96"/>
    <n v="3539326.35"/>
    <n v="2853157.6"/>
    <n v="686168.75"/>
  </r>
  <r>
    <x v="5"/>
    <s v="Ghana"/>
    <s v="Meat"/>
    <s v="Offline"/>
    <s v="L"/>
    <s v="9/17/2016"/>
    <n v="621299874"/>
    <d v="2016-08-10T00:00:00"/>
    <n v="5294"/>
    <n v="421.89"/>
    <n v="364.69"/>
    <n v="2233485.66"/>
    <n v="1930668.86"/>
    <n v="302816.8"/>
  </r>
  <r>
    <x v="4"/>
    <s v="Palau"/>
    <s v="Cereal"/>
    <s v="Online"/>
    <s v="H"/>
    <s v="10/31/2012"/>
    <n v="620922648"/>
    <s v="11/27/2012"/>
    <n v="3665"/>
    <n v="205.7"/>
    <n v="117.11"/>
    <n v="753890.5"/>
    <n v="429208.15"/>
    <n v="324682.34999999998"/>
  </r>
  <r>
    <x v="1"/>
    <s v="Netherlands"/>
    <s v="Baby Food"/>
    <s v="Offline"/>
    <s v="H"/>
    <s v="3/16/2013"/>
    <n v="694771802"/>
    <s v="3/21/2013"/>
    <n v="7270"/>
    <n v="255.28"/>
    <n v="159.41999999999999"/>
    <n v="1855885.6"/>
    <n v="1158983.3999999999"/>
    <n v="696902.2"/>
  </r>
  <r>
    <x v="5"/>
    <s v="Burkina Faso"/>
    <s v="Cosmetics"/>
    <s v="Online"/>
    <s v="H"/>
    <s v="2/16/2011"/>
    <n v="980396163"/>
    <s v="2/24/2011"/>
    <n v="9866"/>
    <n v="437.2"/>
    <n v="263.33"/>
    <n v="4313415.2"/>
    <n v="2598013.7799999998"/>
    <n v="1715401.42"/>
  </r>
  <r>
    <x v="2"/>
    <s v="Kazakhstan"/>
    <s v="Cosmetics"/>
    <s v="Online"/>
    <s v="M"/>
    <s v="2/13/2016"/>
    <n v="335657060"/>
    <s v="2/15/2016"/>
    <n v="7238"/>
    <n v="437.2"/>
    <n v="263.33"/>
    <n v="3164453.6"/>
    <n v="1905982.54"/>
    <n v="1258471.06"/>
  </r>
  <r>
    <x v="1"/>
    <s v="Bosnia and Herzegovina"/>
    <s v="Snacks"/>
    <s v="Offline"/>
    <s v="C"/>
    <s v="3/31/2012"/>
    <n v="388728320"/>
    <d v="2012-10-05T00:00:00"/>
    <n v="2203"/>
    <n v="152.58000000000001"/>
    <n v="97.44"/>
    <n v="336133.74"/>
    <n v="214660.32"/>
    <n v="121473.42"/>
  </r>
  <r>
    <x v="2"/>
    <s v="Taiwan"/>
    <s v="Clothes"/>
    <s v="Online"/>
    <s v="L"/>
    <s v="12/13/2014"/>
    <n v="588096272"/>
    <s v="1/20/2015"/>
    <n v="9611"/>
    <n v="109.28"/>
    <n v="35.840000000000003"/>
    <n v="1050290.08"/>
    <n v="344458.23999999999"/>
    <n v="705831.84"/>
  </r>
  <r>
    <x v="1"/>
    <s v="Vatican City"/>
    <s v="Vegetables"/>
    <s v="Offline"/>
    <s v="L"/>
    <s v="3/18/2014"/>
    <n v="452559745"/>
    <s v="3/19/2014"/>
    <n v="1340"/>
    <n v="154.06"/>
    <n v="90.93"/>
    <n v="206440.4"/>
    <n v="121846.2"/>
    <n v="84594.2"/>
  </r>
  <r>
    <x v="1"/>
    <s v="Portugal"/>
    <s v="Baby Food"/>
    <s v="Offline"/>
    <s v="M"/>
    <s v="3/27/2016"/>
    <n v="921230065"/>
    <s v="5/16/2016"/>
    <n v="1303"/>
    <n v="255.28"/>
    <n v="159.41999999999999"/>
    <n v="332629.84000000003"/>
    <n v="207724.26"/>
    <n v="124905.58"/>
  </r>
  <r>
    <x v="3"/>
    <s v="United Arab Emirates"/>
    <s v="Fruits"/>
    <s v="Offline"/>
    <s v="H"/>
    <d v="2016-05-12T00:00:00"/>
    <n v="303531062"/>
    <s v="1/14/2017"/>
    <n v="441"/>
    <n v="9.33"/>
    <n v="6.92"/>
    <n v="4114.53"/>
    <n v="3051.72"/>
    <n v="1062.81"/>
  </r>
  <r>
    <x v="2"/>
    <s v="Turkmenistan"/>
    <s v="Fruits"/>
    <s v="Offline"/>
    <s v="C"/>
    <d v="2013-06-04T00:00:00"/>
    <n v="129199063"/>
    <s v="5/17/2013"/>
    <n v="1729"/>
    <n v="9.33"/>
    <n v="6.92"/>
    <n v="16131.57"/>
    <n v="11964.68"/>
    <n v="4166.8900000000003"/>
  </r>
  <r>
    <x v="5"/>
    <s v="Cameroon"/>
    <s v="Cosmetics"/>
    <s v="Online"/>
    <s v="L"/>
    <s v="8/19/2014"/>
    <n v="198282897"/>
    <s v="8/30/2014"/>
    <n v="5170"/>
    <n v="437.2"/>
    <n v="263.33"/>
    <n v="2260324"/>
    <n v="1361416.1"/>
    <n v="898907.9"/>
  </r>
  <r>
    <x v="1"/>
    <s v="Malta"/>
    <s v="Fruits"/>
    <s v="Online"/>
    <s v="M"/>
    <d v="2016-09-05T00:00:00"/>
    <n v="831143891"/>
    <d v="2016-01-06T00:00:00"/>
    <n v="2802"/>
    <n v="9.33"/>
    <n v="6.92"/>
    <n v="26142.66"/>
    <n v="19389.84"/>
    <n v="6752.82"/>
  </r>
  <r>
    <x v="3"/>
    <s v="Saudi Arabia"/>
    <s v="Office Supplies"/>
    <s v="Offline"/>
    <s v="L"/>
    <d v="2011-08-01T00:00:00"/>
    <n v="618455874"/>
    <s v="2/13/2011"/>
    <n v="3692"/>
    <n v="651.21"/>
    <n v="524.96"/>
    <n v="2404267.3199999998"/>
    <n v="1938152.32"/>
    <n v="466115"/>
  </r>
  <r>
    <x v="5"/>
    <s v="Tanzania"/>
    <s v="Household"/>
    <s v="Online"/>
    <s v="L"/>
    <d v="2015-04-01T00:00:00"/>
    <n v="471205174"/>
    <s v="1/27/2015"/>
    <n v="8937"/>
    <n v="668.27"/>
    <n v="502.54"/>
    <n v="5972328.9900000002"/>
    <n v="4491199.9800000004"/>
    <n v="1481129.01"/>
  </r>
  <r>
    <x v="0"/>
    <s v="Costa Rica"/>
    <s v="Baby Food"/>
    <s v="Online"/>
    <s v="L"/>
    <d v="2011-08-09T00:00:00"/>
    <n v="470690619"/>
    <s v="10/24/2011"/>
    <n v="6669"/>
    <n v="255.28"/>
    <n v="159.41999999999999"/>
    <n v="1702462.32"/>
    <n v="1063171.98"/>
    <n v="639290.34"/>
  </r>
  <r>
    <x v="1"/>
    <s v="Estonia"/>
    <s v="Cereal"/>
    <s v="Online"/>
    <s v="M"/>
    <d v="2015-07-10T00:00:00"/>
    <n v="318523538"/>
    <d v="2015-05-11T00:00:00"/>
    <n v="7048"/>
    <n v="205.7"/>
    <n v="117.11"/>
    <n v="1449773.6"/>
    <n v="825391.28"/>
    <n v="624382.31999999995"/>
  </r>
  <r>
    <x v="0"/>
    <s v="Panama"/>
    <s v="Household"/>
    <s v="Offline"/>
    <s v="H"/>
    <s v="7/14/2016"/>
    <n v="686627757"/>
    <s v="8/18/2016"/>
    <n v="7267"/>
    <n v="668.27"/>
    <n v="502.54"/>
    <n v="4856318.09"/>
    <n v="3651958.18"/>
    <n v="1204359.9099999999"/>
  </r>
  <r>
    <x v="5"/>
    <s v="Mali"/>
    <s v="Office Supplies"/>
    <s v="Online"/>
    <s v="H"/>
    <s v="11/28/2011"/>
    <n v="967239606"/>
    <d v="2012-09-01T00:00:00"/>
    <n v="6548"/>
    <n v="651.21"/>
    <n v="524.96"/>
    <n v="4264123.08"/>
    <n v="3437438.08"/>
    <n v="826685"/>
  </r>
  <r>
    <x v="0"/>
    <s v="Dominican Republic"/>
    <s v="Beverages"/>
    <s v="Offline"/>
    <s v="H"/>
    <s v="3/24/2012"/>
    <n v="622907912"/>
    <d v="2012-05-04T00:00:00"/>
    <n v="1148"/>
    <n v="47.45"/>
    <n v="31.79"/>
    <n v="54472.6"/>
    <n v="36494.92"/>
    <n v="17977.68"/>
  </r>
  <r>
    <x v="0"/>
    <s v="Guatemala"/>
    <s v="Household"/>
    <s v="Offline"/>
    <s v="L"/>
    <d v="2013-04-10T00:00:00"/>
    <n v="536494004"/>
    <s v="10/29/2013"/>
    <n v="9353"/>
    <n v="668.27"/>
    <n v="502.54"/>
    <n v="6250329.3099999996"/>
    <n v="4700256.62"/>
    <n v="1550072.69"/>
  </r>
  <r>
    <x v="5"/>
    <s v="Sierra Leone"/>
    <s v="Cosmetics"/>
    <s v="Online"/>
    <s v="H"/>
    <s v="1/15/2010"/>
    <n v="761171710"/>
    <d v="2010-03-03T00:00:00"/>
    <n v="6479"/>
    <n v="437.2"/>
    <n v="263.33"/>
    <n v="2832618.8"/>
    <n v="1706115.07"/>
    <n v="1126503.73"/>
  </r>
  <r>
    <x v="1"/>
    <s v="Armenia"/>
    <s v="Meat"/>
    <s v="Offline"/>
    <s v="H"/>
    <s v="10/26/2010"/>
    <n v="970427358"/>
    <s v="10/31/2010"/>
    <n v="9875"/>
    <n v="421.89"/>
    <n v="364.69"/>
    <n v="4166163.75"/>
    <n v="3601313.75"/>
    <n v="564850"/>
  </r>
  <r>
    <x v="2"/>
    <s v="Vietnam"/>
    <s v="Fruits"/>
    <s v="Offline"/>
    <s v="L"/>
    <s v="7/23/2015"/>
    <n v="908059775"/>
    <d v="2015-11-08T00:00:00"/>
    <n v="3921"/>
    <n v="9.33"/>
    <n v="6.92"/>
    <n v="36582.93"/>
    <n v="27133.32"/>
    <n v="9449.61"/>
  </r>
  <r>
    <x v="0"/>
    <s v="Panama"/>
    <s v="Vegetables"/>
    <s v="Online"/>
    <s v="H"/>
    <s v="3/13/2017"/>
    <n v="838180291"/>
    <d v="2017-02-04T00:00:00"/>
    <n v="5029"/>
    <n v="154.06"/>
    <n v="90.93"/>
    <n v="774767.74"/>
    <n v="457286.97"/>
    <n v="317480.77"/>
  </r>
  <r>
    <x v="1"/>
    <s v="Estonia"/>
    <s v="Cereal"/>
    <s v="Offline"/>
    <s v="H"/>
    <s v="7/18/2013"/>
    <n v="195212733"/>
    <s v="8/14/2013"/>
    <n v="6641"/>
    <n v="205.7"/>
    <n v="117.11"/>
    <n v="1366053.7"/>
    <n v="777727.51"/>
    <n v="588326.18999999994"/>
  </r>
  <r>
    <x v="5"/>
    <s v="Republic of the Congo"/>
    <s v="Vegetables"/>
    <s v="Online"/>
    <s v="C"/>
    <s v="1/13/2011"/>
    <n v="733893430"/>
    <d v="2011-03-02T00:00:00"/>
    <n v="4229"/>
    <n v="154.06"/>
    <n v="90.93"/>
    <n v="651519.74"/>
    <n v="384542.97"/>
    <n v="266976.77"/>
  </r>
  <r>
    <x v="0"/>
    <s v="Panama"/>
    <s v="Cosmetics"/>
    <s v="Online"/>
    <s v="L"/>
    <s v="5/20/2013"/>
    <n v="679271209"/>
    <s v="6/14/2013"/>
    <n v="300"/>
    <n v="437.2"/>
    <n v="263.33"/>
    <n v="131160"/>
    <n v="78999"/>
    <n v="52161"/>
  </r>
  <r>
    <x v="5"/>
    <s v="Niger"/>
    <s v="Fruits"/>
    <s v="Online"/>
    <s v="L"/>
    <s v="3/23/2010"/>
    <n v="576707398"/>
    <s v="4/14/2010"/>
    <n v="9390"/>
    <n v="9.33"/>
    <n v="6.92"/>
    <n v="87608.7"/>
    <n v="64978.8"/>
    <n v="22629.9"/>
  </r>
  <r>
    <x v="1"/>
    <s v="Poland"/>
    <s v="Household"/>
    <s v="Online"/>
    <s v="C"/>
    <s v="3/13/2011"/>
    <n v="141875827"/>
    <s v="4/16/2011"/>
    <n v="3065"/>
    <n v="668.27"/>
    <n v="502.54"/>
    <n v="2048247.55"/>
    <n v="1540285.1"/>
    <n v="507962.45"/>
  </r>
  <r>
    <x v="1"/>
    <s v="Vatican City"/>
    <s v="Beverages"/>
    <s v="Offline"/>
    <s v="L"/>
    <d v="2011-04-11T00:00:00"/>
    <n v="510762822"/>
    <s v="12/22/2011"/>
    <n v="4924"/>
    <n v="47.45"/>
    <n v="31.79"/>
    <n v="233643.8"/>
    <n v="156533.96"/>
    <n v="77109.84"/>
  </r>
  <r>
    <x v="1"/>
    <s v="Russia"/>
    <s v="Snacks"/>
    <s v="Offline"/>
    <s v="H"/>
    <s v="7/28/2012"/>
    <n v="189667212"/>
    <d v="2012-03-09T00:00:00"/>
    <n v="5598"/>
    <n v="152.58000000000001"/>
    <n v="97.44"/>
    <n v="854142.84"/>
    <n v="545469.12"/>
    <n v="308673.71999999997"/>
  </r>
  <r>
    <x v="0"/>
    <s v="Grenada"/>
    <s v="Household"/>
    <s v="Offline"/>
    <s v="L"/>
    <d v="2014-07-11T00:00:00"/>
    <n v="905200326"/>
    <s v="12/15/2014"/>
    <n v="7747"/>
    <n v="668.27"/>
    <n v="502.54"/>
    <n v="5177087.6900000004"/>
    <n v="3893177.38"/>
    <n v="1283910.31"/>
  </r>
  <r>
    <x v="0"/>
    <s v="Honduras"/>
    <s v="Fruits"/>
    <s v="Online"/>
    <s v="L"/>
    <d v="2017-04-06T00:00:00"/>
    <n v="854285991"/>
    <s v="6/30/2017"/>
    <n v="1064"/>
    <n v="9.33"/>
    <n v="6.92"/>
    <n v="9927.1200000000008"/>
    <n v="7362.88"/>
    <n v="2564.2399999999998"/>
  </r>
  <r>
    <x v="2"/>
    <s v="Taiwan"/>
    <s v="Household"/>
    <s v="Offline"/>
    <s v="C"/>
    <s v="7/14/2012"/>
    <n v="554160535"/>
    <s v="8/25/2012"/>
    <n v="7272"/>
    <n v="668.27"/>
    <n v="502.54"/>
    <n v="4859659.4400000004"/>
    <n v="3654470.88"/>
    <n v="1205188.56"/>
  </r>
  <r>
    <x v="2"/>
    <s v="Laos"/>
    <s v="Meat"/>
    <s v="Offline"/>
    <s v="C"/>
    <s v="5/31/2012"/>
    <n v="592372786"/>
    <d v="2012-11-06T00:00:00"/>
    <n v="5126"/>
    <n v="421.89"/>
    <n v="364.69"/>
    <n v="2162608.14"/>
    <n v="1869400.94"/>
    <n v="293207.2"/>
  </r>
  <r>
    <x v="1"/>
    <s v="Germany"/>
    <s v="Clothes"/>
    <s v="Online"/>
    <s v="C"/>
    <s v="3/21/2015"/>
    <n v="276784074"/>
    <s v="4/15/2015"/>
    <n v="5413"/>
    <n v="109.28"/>
    <n v="35.840000000000003"/>
    <n v="591532.64"/>
    <n v="194001.92000000001"/>
    <n v="397530.72"/>
  </r>
  <r>
    <x v="3"/>
    <s v="Syria"/>
    <s v="Snacks"/>
    <s v="Online"/>
    <s v="H"/>
    <s v="5/19/2016"/>
    <n v="785568225"/>
    <s v="5/30/2016"/>
    <n v="5950"/>
    <n v="152.58000000000001"/>
    <n v="97.44"/>
    <n v="907851"/>
    <n v="579768"/>
    <n v="328083"/>
  </r>
  <r>
    <x v="5"/>
    <s v="Sudan"/>
    <s v="Household"/>
    <s v="Offline"/>
    <s v="C"/>
    <s v="5/26/2012"/>
    <n v="217211568"/>
    <d v="2012-07-06T00:00:00"/>
    <n v="6585"/>
    <n v="668.27"/>
    <n v="502.54"/>
    <n v="4400557.95"/>
    <n v="3309225.9"/>
    <n v="1091332.05"/>
  </r>
  <r>
    <x v="5"/>
    <s v="Mozambique"/>
    <s v="Office Supplies"/>
    <s v="Online"/>
    <s v="C"/>
    <s v="3/13/2012"/>
    <n v="340512931"/>
    <s v="3/21/2012"/>
    <n v="4198"/>
    <n v="651.21"/>
    <n v="524.96"/>
    <n v="2733779.58"/>
    <n v="2203782.08"/>
    <n v="529997.5"/>
  </r>
  <r>
    <x v="1"/>
    <s v="Spain"/>
    <s v="Clothes"/>
    <s v="Online"/>
    <s v="H"/>
    <s v="8/14/2010"/>
    <n v="744583642"/>
    <s v="9/26/2010"/>
    <n v="7701"/>
    <n v="109.28"/>
    <n v="35.840000000000003"/>
    <n v="841565.28"/>
    <n v="276003.84000000003"/>
    <n v="565561.43999999994"/>
  </r>
  <r>
    <x v="5"/>
    <s v="Djibouti"/>
    <s v="Snacks"/>
    <s v="Offline"/>
    <s v="C"/>
    <d v="2014-03-12T00:00:00"/>
    <n v="188847529"/>
    <s v="1/19/2015"/>
    <n v="3035"/>
    <n v="152.58000000000001"/>
    <n v="97.44"/>
    <n v="463080.3"/>
    <n v="295730.40000000002"/>
    <n v="167349.9"/>
  </r>
  <r>
    <x v="3"/>
    <s v="Syria"/>
    <s v="Fruits"/>
    <s v="Offline"/>
    <s v="L"/>
    <s v="9/23/2010"/>
    <n v="653040921"/>
    <d v="2010-09-10T00:00:00"/>
    <n v="8175"/>
    <n v="9.33"/>
    <n v="6.92"/>
    <n v="76272.75"/>
    <n v="56571"/>
    <n v="19701.75"/>
  </r>
  <r>
    <x v="2"/>
    <s v="Vietnam"/>
    <s v="Clothes"/>
    <s v="Offline"/>
    <s v="L"/>
    <s v="3/20/2011"/>
    <n v="587212646"/>
    <s v="4/24/2011"/>
    <n v="8126"/>
    <n v="109.28"/>
    <n v="35.840000000000003"/>
    <n v="888009.28"/>
    <n v="291235.84000000003"/>
    <n v="596773.43999999994"/>
  </r>
  <r>
    <x v="1"/>
    <s v="Moldova "/>
    <s v="Beverages"/>
    <s v="Online"/>
    <s v="H"/>
    <s v="6/26/2015"/>
    <n v="761724030"/>
    <s v="8/13/2015"/>
    <n v="9923"/>
    <n v="47.45"/>
    <n v="31.79"/>
    <n v="470846.35"/>
    <n v="315452.17"/>
    <n v="155394.18"/>
  </r>
  <r>
    <x v="1"/>
    <s v="Slovakia"/>
    <s v="Office Supplies"/>
    <s v="Online"/>
    <s v="C"/>
    <d v="2012-05-05T00:00:00"/>
    <n v="217248904"/>
    <s v="6/15/2012"/>
    <n v="7633"/>
    <n v="651.21"/>
    <n v="524.96"/>
    <n v="4970685.93"/>
    <n v="4007019.68"/>
    <n v="963666.25"/>
  </r>
  <r>
    <x v="0"/>
    <s v="Grenada"/>
    <s v="Meat"/>
    <s v="Online"/>
    <s v="M"/>
    <s v="5/20/2014"/>
    <n v="314773595"/>
    <d v="2014-01-06T00:00:00"/>
    <n v="7357"/>
    <n v="421.89"/>
    <n v="364.69"/>
    <n v="3103844.73"/>
    <n v="2683024.33"/>
    <n v="420820.4"/>
  </r>
  <r>
    <x v="1"/>
    <s v="Montenegro"/>
    <s v="Clothes"/>
    <s v="Online"/>
    <s v="L"/>
    <s v="4/29/2016"/>
    <n v="685596930"/>
    <s v="6/16/2016"/>
    <n v="2222"/>
    <n v="109.28"/>
    <n v="35.840000000000003"/>
    <n v="242820.16"/>
    <n v="79636.479999999996"/>
    <n v="163183.67999999999"/>
  </r>
  <r>
    <x v="0"/>
    <s v="Barbados"/>
    <s v="Office Supplies"/>
    <s v="Online"/>
    <s v="H"/>
    <s v="12/18/2013"/>
    <n v="581330239"/>
    <d v="2014-05-02T00:00:00"/>
    <n v="7391"/>
    <n v="651.21"/>
    <n v="524.96"/>
    <n v="4813093.1100000003"/>
    <n v="3879979.36"/>
    <n v="933113.75"/>
  </r>
  <r>
    <x v="4"/>
    <s v="Australia"/>
    <s v="Household"/>
    <s v="Online"/>
    <s v="L"/>
    <d v="2015-04-07T00:00:00"/>
    <n v="223897349"/>
    <d v="2015-04-07T00:00:00"/>
    <n v="5056"/>
    <n v="668.27"/>
    <n v="502.54"/>
    <n v="3378773.12"/>
    <n v="2540842.2400000002"/>
    <n v="837930.88"/>
  </r>
  <r>
    <x v="1"/>
    <s v="Greece"/>
    <s v="Clothes"/>
    <s v="Online"/>
    <s v="H"/>
    <s v="1/31/2015"/>
    <n v="355534589"/>
    <d v="2015-06-02T00:00:00"/>
    <n v="9440"/>
    <n v="109.28"/>
    <n v="35.840000000000003"/>
    <n v="1031603.2"/>
    <n v="338329.59999999998"/>
    <n v="693273.59999999998"/>
  </r>
  <r>
    <x v="2"/>
    <s v="Taiwan"/>
    <s v="Household"/>
    <s v="Offline"/>
    <s v="M"/>
    <d v="2011-06-09T00:00:00"/>
    <n v="888790786"/>
    <d v="2011-12-09T00:00:00"/>
    <n v="1799"/>
    <n v="668.27"/>
    <n v="502.54"/>
    <n v="1202217.73"/>
    <n v="904069.46"/>
    <n v="298148.27"/>
  </r>
  <r>
    <x v="1"/>
    <s v="Belgium"/>
    <s v="Office Supplies"/>
    <s v="Offline"/>
    <s v="L"/>
    <d v="2012-01-12T00:00:00"/>
    <n v="456527268"/>
    <d v="2012-02-12T00:00:00"/>
    <n v="5419"/>
    <n v="651.21"/>
    <n v="524.96"/>
    <n v="3528906.99"/>
    <n v="2844758.24"/>
    <n v="684148.75"/>
  </r>
  <r>
    <x v="1"/>
    <s v="Montenegro"/>
    <s v="Baby Food"/>
    <s v="Offline"/>
    <s v="C"/>
    <s v="2/15/2016"/>
    <n v="461917865"/>
    <s v="3/21/2016"/>
    <n v="616"/>
    <n v="255.28"/>
    <n v="159.41999999999999"/>
    <n v="157252.48000000001"/>
    <n v="98202.72"/>
    <n v="59049.760000000002"/>
  </r>
  <r>
    <x v="4"/>
    <s v="Fiji"/>
    <s v="Cosmetics"/>
    <s v="Online"/>
    <s v="L"/>
    <d v="2012-12-02T00:00:00"/>
    <n v="128448903"/>
    <s v="2/21/2012"/>
    <n v="9740"/>
    <n v="437.2"/>
    <n v="263.33"/>
    <n v="4258328"/>
    <n v="2564834.2000000002"/>
    <n v="1693493.8"/>
  </r>
  <r>
    <x v="0"/>
    <s v="Belize"/>
    <s v="Clothes"/>
    <s v="Offline"/>
    <s v="M"/>
    <s v="9/16/2011"/>
    <n v="549919211"/>
    <d v="2011-03-10T00:00:00"/>
    <n v="2170"/>
    <n v="109.28"/>
    <n v="35.840000000000003"/>
    <n v="237137.6"/>
    <n v="77772.800000000003"/>
    <n v="159364.79999999999"/>
  </r>
  <r>
    <x v="2"/>
    <s v="North Korea"/>
    <s v="Fruits"/>
    <s v="Online"/>
    <s v="L"/>
    <s v="8/22/2011"/>
    <n v="640440118"/>
    <d v="2011-07-09T00:00:00"/>
    <n v="9318"/>
    <n v="9.33"/>
    <n v="6.92"/>
    <n v="86936.94"/>
    <n v="64480.56"/>
    <n v="22456.38"/>
  </r>
  <r>
    <x v="1"/>
    <s v="Montenegro"/>
    <s v="Personal Care"/>
    <s v="Offline"/>
    <s v="C"/>
    <s v="6/29/2013"/>
    <n v="284435451"/>
    <s v="6/29/2013"/>
    <n v="9625"/>
    <n v="81.73"/>
    <n v="56.67"/>
    <n v="786651.25"/>
    <n v="545448.75"/>
    <n v="241202.5"/>
  </r>
  <r>
    <x v="5"/>
    <s v="Republic of the Congo"/>
    <s v="Baby Food"/>
    <s v="Online"/>
    <s v="C"/>
    <d v="2012-06-05T00:00:00"/>
    <n v="786641538"/>
    <d v="2012-01-06T00:00:00"/>
    <n v="3567"/>
    <n v="255.28"/>
    <n v="159.41999999999999"/>
    <n v="910583.76"/>
    <n v="568651.14"/>
    <n v="341932.62"/>
  </r>
  <r>
    <x v="3"/>
    <s v="Pakistan"/>
    <s v="Cereal"/>
    <s v="Offline"/>
    <s v="H"/>
    <s v="9/14/2015"/>
    <n v="822107207"/>
    <s v="10/24/2015"/>
    <n v="8647"/>
    <n v="205.7"/>
    <n v="117.11"/>
    <n v="1778687.9"/>
    <n v="1012650.17"/>
    <n v="766037.73"/>
  </r>
  <r>
    <x v="3"/>
    <s v="Oman"/>
    <s v="Cereal"/>
    <s v="Offline"/>
    <s v="H"/>
    <s v="12/26/2016"/>
    <n v="486193788"/>
    <s v="12/26/2016"/>
    <n v="4401"/>
    <n v="205.7"/>
    <n v="117.11"/>
    <n v="905285.7"/>
    <n v="515401.11"/>
    <n v="389884.59"/>
  </r>
  <r>
    <x v="1"/>
    <s v="Finland"/>
    <s v="Meat"/>
    <s v="Online"/>
    <s v="H"/>
    <s v="6/21/2014"/>
    <n v="844575107"/>
    <s v="6/26/2014"/>
    <n v="7397"/>
    <n v="421.89"/>
    <n v="364.69"/>
    <n v="3120720.33"/>
    <n v="2697611.93"/>
    <n v="423108.4"/>
  </r>
  <r>
    <x v="2"/>
    <s v="Taiwan"/>
    <s v="Office Supplies"/>
    <s v="Online"/>
    <s v="M"/>
    <s v="1/23/2015"/>
    <n v="783237493"/>
    <d v="2015-07-02T00:00:00"/>
    <n v="6234"/>
    <n v="651.21"/>
    <n v="524.96"/>
    <n v="4059643.14"/>
    <n v="3272600.64"/>
    <n v="787042.5"/>
  </r>
  <r>
    <x v="1"/>
    <s v="Russia"/>
    <s v="Baby Food"/>
    <s v="Offline"/>
    <s v="L"/>
    <s v="5/19/2015"/>
    <n v="158479773"/>
    <s v="6/18/2015"/>
    <n v="6542"/>
    <n v="255.28"/>
    <n v="159.41999999999999"/>
    <n v="1670041.76"/>
    <n v="1042925.64"/>
    <n v="627116.12"/>
  </r>
  <r>
    <x v="3"/>
    <s v="Morocco"/>
    <s v="Cosmetics"/>
    <s v="Online"/>
    <s v="H"/>
    <d v="2013-08-02T00:00:00"/>
    <n v="246913278"/>
    <s v="2/18/2013"/>
    <n v="5981"/>
    <n v="437.2"/>
    <n v="263.33"/>
    <n v="2614893.2000000002"/>
    <n v="1574976.73"/>
    <n v="1039916.47"/>
  </r>
  <r>
    <x v="6"/>
    <s v="Mexico"/>
    <s v="Cosmetics"/>
    <s v="Online"/>
    <s v="H"/>
    <d v="2010-10-10T00:00:00"/>
    <n v="595461833"/>
    <s v="10/17/2010"/>
    <n v="9244"/>
    <n v="437.2"/>
    <n v="263.33"/>
    <n v="4041476.8"/>
    <n v="2434222.52"/>
    <n v="1607254.28"/>
  </r>
  <r>
    <x v="6"/>
    <s v="United States of America"/>
    <s v="Household"/>
    <s v="Offline"/>
    <s v="C"/>
    <s v="12/25/2011"/>
    <n v="371361768"/>
    <s v="1/30/2012"/>
    <n v="3054"/>
    <n v="668.27"/>
    <n v="502.54"/>
    <n v="2040896.58"/>
    <n v="1534757.16"/>
    <n v="506139.42"/>
  </r>
  <r>
    <x v="5"/>
    <s v="Cote d'Ivoire"/>
    <s v="Personal Care"/>
    <s v="Offline"/>
    <s v="M"/>
    <d v="2010-11-01T00:00:00"/>
    <n v="612161910"/>
    <s v="2/27/2010"/>
    <n v="1168"/>
    <n v="81.73"/>
    <n v="56.67"/>
    <n v="95460.64"/>
    <n v="66190.559999999998"/>
    <n v="29270.080000000002"/>
  </r>
  <r>
    <x v="1"/>
    <s v="Monaco"/>
    <s v="Household"/>
    <s v="Online"/>
    <s v="L"/>
    <d v="2014-09-06T00:00:00"/>
    <n v="175723588"/>
    <s v="6/14/2014"/>
    <n v="9370"/>
    <n v="668.27"/>
    <n v="502.54"/>
    <n v="6261689.9000000004"/>
    <n v="4708799.8"/>
    <n v="1552890.1"/>
  </r>
  <r>
    <x v="1"/>
    <s v="Netherlands"/>
    <s v="Household"/>
    <s v="Online"/>
    <s v="C"/>
    <d v="2016-04-11T00:00:00"/>
    <n v="690220630"/>
    <s v="11/19/2016"/>
    <n v="477"/>
    <n v="668.27"/>
    <n v="502.54"/>
    <n v="318764.78999999998"/>
    <n v="239711.58"/>
    <n v="79053.210000000006"/>
  </r>
  <r>
    <x v="1"/>
    <s v="Macedonia"/>
    <s v="Beverages"/>
    <s v="Offline"/>
    <s v="M"/>
    <s v="7/17/2017"/>
    <n v="704139363"/>
    <s v="8/31/2017"/>
    <n v="9340"/>
    <n v="47.45"/>
    <n v="31.79"/>
    <n v="443183"/>
    <n v="296918.59999999998"/>
    <n v="146264.4"/>
  </r>
  <r>
    <x v="1"/>
    <s v="Italy"/>
    <s v="Fruits"/>
    <s v="Online"/>
    <s v="H"/>
    <d v="2014-02-02T00:00:00"/>
    <n v="636278617"/>
    <s v="3/22/2014"/>
    <n v="7837"/>
    <n v="9.33"/>
    <n v="6.92"/>
    <n v="73119.210000000006"/>
    <n v="54232.04"/>
    <n v="18887.169999999998"/>
  </r>
  <r>
    <x v="1"/>
    <s v="Belarus"/>
    <s v="Snacks"/>
    <s v="Online"/>
    <s v="L"/>
    <d v="2012-09-09T00:00:00"/>
    <n v="525749719"/>
    <s v="10/22/2012"/>
    <n v="9880"/>
    <n v="152.58000000000001"/>
    <n v="97.44"/>
    <n v="1507490.4"/>
    <n v="962707.2"/>
    <n v="544783.19999999995"/>
  </r>
  <r>
    <x v="1"/>
    <s v="Romania"/>
    <s v="Fruits"/>
    <s v="Online"/>
    <s v="H"/>
    <s v="10/27/2016"/>
    <n v="481976497"/>
    <d v="2016-03-12T00:00:00"/>
    <n v="6411"/>
    <n v="9.33"/>
    <n v="6.92"/>
    <n v="59814.63"/>
    <n v="44364.12"/>
    <n v="15450.51"/>
  </r>
  <r>
    <x v="2"/>
    <s v="Tajikistan"/>
    <s v="Meat"/>
    <s v="Offline"/>
    <s v="C"/>
    <s v="11/20/2015"/>
    <n v="234695279"/>
    <d v="2016-09-01T00:00:00"/>
    <n v="403"/>
    <n v="421.89"/>
    <n v="364.69"/>
    <n v="170021.67"/>
    <n v="146970.07"/>
    <n v="23051.599999999999"/>
  </r>
  <r>
    <x v="5"/>
    <s v="Sierra Leone"/>
    <s v="Cereal"/>
    <s v="Online"/>
    <s v="M"/>
    <s v="9/14/2011"/>
    <n v="483954894"/>
    <s v="10/24/2011"/>
    <n v="1863"/>
    <n v="205.7"/>
    <n v="117.11"/>
    <n v="383219.1"/>
    <n v="218175.93"/>
    <n v="165043.17000000001"/>
  </r>
  <r>
    <x v="3"/>
    <s v="Lebanon"/>
    <s v="Beverages"/>
    <s v="Online"/>
    <s v="H"/>
    <s v="9/25/2014"/>
    <n v="650116670"/>
    <s v="10/25/2014"/>
    <n v="2824"/>
    <n v="47.45"/>
    <n v="31.79"/>
    <n v="133998.79999999999"/>
    <n v="89774.96"/>
    <n v="44223.839999999997"/>
  </r>
  <r>
    <x v="2"/>
    <s v="Bhutan"/>
    <s v="Cereal"/>
    <s v="Offline"/>
    <s v="M"/>
    <s v="7/28/2017"/>
    <n v="223854434"/>
    <s v="8/25/2017"/>
    <n v="2356"/>
    <n v="205.7"/>
    <n v="117.11"/>
    <n v="484629.2"/>
    <n v="275911.15999999997"/>
    <n v="208718.04"/>
  </r>
  <r>
    <x v="2"/>
    <s v="Maldives"/>
    <s v="Personal Care"/>
    <s v="Offline"/>
    <s v="M"/>
    <s v="11/16/2013"/>
    <n v="116154515"/>
    <s v="11/24/2013"/>
    <n v="1557"/>
    <n v="81.73"/>
    <n v="56.67"/>
    <n v="127253.61"/>
    <n v="88235.19"/>
    <n v="39018.42"/>
  </r>
  <r>
    <x v="0"/>
    <s v="Belize"/>
    <s v="Vegetables"/>
    <s v="Online"/>
    <s v="L"/>
    <s v="4/21/2017"/>
    <n v="408315742"/>
    <s v="5/23/2017"/>
    <n v="8556"/>
    <n v="154.06"/>
    <n v="90.93"/>
    <n v="1318137.3600000001"/>
    <n v="777997.08"/>
    <n v="540140.28"/>
  </r>
  <r>
    <x v="0"/>
    <s v="Antigua and Barbuda "/>
    <s v="Baby Food"/>
    <s v="Online"/>
    <s v="M"/>
    <d v="2012-12-04T00:00:00"/>
    <n v="801949441"/>
    <d v="2012-07-05T00:00:00"/>
    <n v="3516"/>
    <n v="255.28"/>
    <n v="159.41999999999999"/>
    <n v="897564.48"/>
    <n v="560520.72"/>
    <n v="337043.76"/>
  </r>
  <r>
    <x v="1"/>
    <s v="San Marino"/>
    <s v="Meat"/>
    <s v="Online"/>
    <s v="H"/>
    <s v="10/22/2010"/>
    <n v="168979442"/>
    <d v="2010-10-12T00:00:00"/>
    <n v="3627"/>
    <n v="421.89"/>
    <n v="364.69"/>
    <n v="1530195.03"/>
    <n v="1322730.6299999999"/>
    <n v="207464.4"/>
  </r>
  <r>
    <x v="5"/>
    <s v="Burundi"/>
    <s v="Vegetables"/>
    <s v="Offline"/>
    <s v="H"/>
    <s v="10/21/2010"/>
    <n v="601642072"/>
    <s v="11/19/2010"/>
    <n v="8114"/>
    <n v="154.06"/>
    <n v="90.93"/>
    <n v="1250042.8400000001"/>
    <n v="737806.02"/>
    <n v="512236.82"/>
  </r>
  <r>
    <x v="5"/>
    <s v="Togo"/>
    <s v="Fruits"/>
    <s v="Offline"/>
    <s v="M"/>
    <s v="1/14/2015"/>
    <n v="662486159"/>
    <s v="2/15/2015"/>
    <n v="3231"/>
    <n v="9.33"/>
    <n v="6.92"/>
    <n v="30145.23"/>
    <n v="22358.52"/>
    <n v="7786.71"/>
  </r>
  <r>
    <x v="5"/>
    <s v="Ghana"/>
    <s v="Meat"/>
    <s v="Online"/>
    <s v="H"/>
    <s v="3/13/2012"/>
    <n v="334373033"/>
    <s v="4/18/2012"/>
    <n v="7266"/>
    <n v="421.89"/>
    <n v="364.69"/>
    <n v="3065452.74"/>
    <n v="2649837.54"/>
    <n v="415615.2"/>
  </r>
  <r>
    <x v="1"/>
    <s v="Albania"/>
    <s v="Household"/>
    <s v="Online"/>
    <s v="L"/>
    <s v="12/20/2010"/>
    <n v="570476520"/>
    <s v="12/24/2010"/>
    <n v="5534"/>
    <n v="668.27"/>
    <n v="502.54"/>
    <n v="3698206.18"/>
    <n v="2781056.36"/>
    <n v="917149.82"/>
  </r>
  <r>
    <x v="1"/>
    <s v="Finland"/>
    <s v="Cereal"/>
    <s v="Online"/>
    <s v="H"/>
    <s v="7/13/2013"/>
    <n v="144282948"/>
    <d v="2013-01-08T00:00:00"/>
    <n v="5386"/>
    <n v="205.7"/>
    <n v="117.11"/>
    <n v="1107900.2"/>
    <n v="630754.46"/>
    <n v="477145.74"/>
  </r>
  <r>
    <x v="3"/>
    <s v="Yemen"/>
    <s v="Baby Food"/>
    <s v="Offline"/>
    <s v="C"/>
    <d v="2011-08-10T00:00:00"/>
    <n v="599591147"/>
    <s v="11/25/2011"/>
    <n v="1200"/>
    <n v="255.28"/>
    <n v="159.41999999999999"/>
    <n v="306336"/>
    <n v="191304"/>
    <n v="115032"/>
  </r>
  <r>
    <x v="3"/>
    <s v="Saudi Arabia"/>
    <s v="Meat"/>
    <s v="Offline"/>
    <s v="L"/>
    <d v="2013-09-10T00:00:00"/>
    <n v="400512444"/>
    <s v="10/29/2013"/>
    <n v="9387"/>
    <n v="421.89"/>
    <n v="364.69"/>
    <n v="3960281.43"/>
    <n v="3423345.03"/>
    <n v="536936.4"/>
  </r>
  <r>
    <x v="5"/>
    <s v="Mauritania"/>
    <s v="Snacks"/>
    <s v="Online"/>
    <s v="H"/>
    <d v="2017-05-05T00:00:00"/>
    <n v="781470668"/>
    <d v="2017-10-05T00:00:00"/>
    <n v="3391"/>
    <n v="152.58000000000001"/>
    <n v="97.44"/>
    <n v="517398.78"/>
    <n v="330419.03999999998"/>
    <n v="186979.74"/>
  </r>
  <r>
    <x v="1"/>
    <s v="Russia"/>
    <s v="Beverages"/>
    <s v="Online"/>
    <s v="M"/>
    <d v="2013-10-10T00:00:00"/>
    <n v="797202146"/>
    <s v="11/17/2013"/>
    <n v="8685"/>
    <n v="47.45"/>
    <n v="31.79"/>
    <n v="412103.25"/>
    <n v="276096.15000000002"/>
    <n v="136007.1"/>
  </r>
  <r>
    <x v="2"/>
    <s v="Maldives"/>
    <s v="Snacks"/>
    <s v="Online"/>
    <s v="M"/>
    <d v="2014-10-05T00:00:00"/>
    <n v="472755706"/>
    <s v="6/15/2014"/>
    <n v="7774"/>
    <n v="152.58000000000001"/>
    <n v="97.44"/>
    <n v="1186156.92"/>
    <n v="757498.56"/>
    <n v="428658.36"/>
  </r>
  <r>
    <x v="1"/>
    <s v="Hungary"/>
    <s v="Fruits"/>
    <s v="Offline"/>
    <s v="C"/>
    <s v="4/17/2016"/>
    <n v="353492677"/>
    <s v="5/23/2016"/>
    <n v="5193"/>
    <n v="9.33"/>
    <n v="6.92"/>
    <n v="48450.69"/>
    <n v="35935.56"/>
    <n v="12515.13"/>
  </r>
  <r>
    <x v="1"/>
    <s v="Slovenia"/>
    <s v="Cosmetics"/>
    <s v="Offline"/>
    <s v="M"/>
    <s v="1/28/2014"/>
    <n v="155086886"/>
    <d v="2014-05-02T00:00:00"/>
    <n v="2511"/>
    <n v="437.2"/>
    <n v="263.33"/>
    <n v="1097809.2"/>
    <n v="661221.63"/>
    <n v="436587.57"/>
  </r>
  <r>
    <x v="1"/>
    <s v="Russia"/>
    <s v="Cosmetics"/>
    <s v="Online"/>
    <s v="L"/>
    <s v="10/29/2010"/>
    <n v="113524663"/>
    <d v="2010-09-12T00:00:00"/>
    <n v="3325"/>
    <n v="437.2"/>
    <n v="263.33"/>
    <n v="1453690"/>
    <n v="875572.25"/>
    <n v="578117.75"/>
  </r>
  <r>
    <x v="5"/>
    <s v="Equatorial Guinea"/>
    <s v="Beverages"/>
    <s v="Online"/>
    <s v="C"/>
    <d v="2014-10-07T00:00:00"/>
    <n v="535104835"/>
    <s v="7/15/2014"/>
    <n v="8267"/>
    <n v="47.45"/>
    <n v="31.79"/>
    <n v="392269.15"/>
    <n v="262807.93"/>
    <n v="129461.22"/>
  </r>
  <r>
    <x v="0"/>
    <s v="Dominica"/>
    <s v="Baby Food"/>
    <s v="Online"/>
    <s v="C"/>
    <s v="6/26/2011"/>
    <n v="446438729"/>
    <d v="2011-06-08T00:00:00"/>
    <n v="9996"/>
    <n v="255.28"/>
    <n v="159.41999999999999"/>
    <n v="2551778.88"/>
    <n v="1593562.32"/>
    <n v="958216.56"/>
  </r>
  <r>
    <x v="5"/>
    <s v="Cote d'Ivoire"/>
    <s v="Beverages"/>
    <s v="Online"/>
    <s v="L"/>
    <d v="2015-09-08T00:00:00"/>
    <n v="744450175"/>
    <s v="8/30/2015"/>
    <n v="8205"/>
    <n v="47.45"/>
    <n v="31.79"/>
    <n v="389327.25"/>
    <n v="260836.95"/>
    <n v="128490.3"/>
  </r>
  <r>
    <x v="5"/>
    <s v="Gabon"/>
    <s v="Beverages"/>
    <s v="Offline"/>
    <s v="H"/>
    <s v="7/20/2011"/>
    <n v="146375501"/>
    <s v="8/26/2011"/>
    <n v="4618"/>
    <n v="47.45"/>
    <n v="31.79"/>
    <n v="219124.1"/>
    <n v="146806.22"/>
    <n v="72317.88"/>
  </r>
  <r>
    <x v="0"/>
    <s v="Saint Lucia"/>
    <s v="Personal Care"/>
    <s v="Offline"/>
    <s v="C"/>
    <s v="7/21/2011"/>
    <n v="139763534"/>
    <d v="2011-03-08T00:00:00"/>
    <n v="7990"/>
    <n v="81.73"/>
    <n v="56.67"/>
    <n v="653022.69999999995"/>
    <n v="452793.3"/>
    <n v="200229.4"/>
  </r>
  <r>
    <x v="1"/>
    <s v="Andorra"/>
    <s v="Beverages"/>
    <s v="Offline"/>
    <s v="L"/>
    <d v="2013-09-10T00:00:00"/>
    <n v="932475602"/>
    <s v="11/21/2013"/>
    <n v="9107"/>
    <n v="47.45"/>
    <n v="31.79"/>
    <n v="432127.15"/>
    <n v="289511.53000000003"/>
    <n v="142615.62"/>
  </r>
  <r>
    <x v="5"/>
    <s v="Zimbabwe"/>
    <s v="Fruits"/>
    <s v="Online"/>
    <s v="L"/>
    <s v="8/22/2013"/>
    <n v="102685534"/>
    <s v="8/23/2013"/>
    <n v="5786"/>
    <n v="9.33"/>
    <n v="6.92"/>
    <n v="53983.38"/>
    <n v="40039.120000000003"/>
    <n v="13944.26"/>
  </r>
  <r>
    <x v="5"/>
    <s v="Republic of the Congo"/>
    <s v="Meat"/>
    <s v="Offline"/>
    <s v="H"/>
    <s v="3/25/2015"/>
    <n v="248879659"/>
    <s v="4/28/2015"/>
    <n v="7877"/>
    <n v="421.89"/>
    <n v="364.69"/>
    <n v="3323227.53"/>
    <n v="2872663.13"/>
    <n v="450564.4"/>
  </r>
  <r>
    <x v="3"/>
    <s v="Oman"/>
    <s v="Beverages"/>
    <s v="Offline"/>
    <s v="H"/>
    <s v="4/24/2012"/>
    <n v="439856803"/>
    <d v="2012-12-05T00:00:00"/>
    <n v="2257"/>
    <n v="47.45"/>
    <n v="31.79"/>
    <n v="107094.65"/>
    <n v="71750.03"/>
    <n v="35344.620000000003"/>
  </r>
  <r>
    <x v="5"/>
    <s v="Seychelles "/>
    <s v="Fruits"/>
    <s v="Online"/>
    <s v="H"/>
    <s v="11/18/2014"/>
    <n v="264728295"/>
    <d v="2015-07-01T00:00:00"/>
    <n v="7840"/>
    <n v="9.33"/>
    <n v="6.92"/>
    <n v="73147.199999999997"/>
    <n v="54252.800000000003"/>
    <n v="18894.400000000001"/>
  </r>
  <r>
    <x v="1"/>
    <s v="Russia"/>
    <s v="Office Supplies"/>
    <s v="Offline"/>
    <s v="L"/>
    <s v="1/20/2015"/>
    <n v="282917964"/>
    <s v="1/27/2015"/>
    <n v="567"/>
    <n v="651.21"/>
    <n v="524.96"/>
    <n v="369236.07"/>
    <n v="297652.32"/>
    <n v="71583.75"/>
  </r>
  <r>
    <x v="5"/>
    <s v="Ghana"/>
    <s v="Cosmetics"/>
    <s v="Offline"/>
    <s v="M"/>
    <d v="2013-03-08T00:00:00"/>
    <n v="674162137"/>
    <d v="2013-12-09T00:00:00"/>
    <n v="8413"/>
    <n v="437.2"/>
    <n v="263.33"/>
    <n v="3678163.6"/>
    <n v="2215395.29"/>
    <n v="1462768.31"/>
  </r>
  <r>
    <x v="5"/>
    <s v="Senegal"/>
    <s v="Fruits"/>
    <s v="Online"/>
    <s v="H"/>
    <d v="2016-04-02T00:00:00"/>
    <n v="788509643"/>
    <d v="2016-03-03T00:00:00"/>
    <n v="6381"/>
    <n v="9.33"/>
    <n v="6.92"/>
    <n v="59534.73"/>
    <n v="44156.52"/>
    <n v="15378.21"/>
  </r>
  <r>
    <x v="5"/>
    <s v="Equatorial Guinea"/>
    <s v="Cosmetics"/>
    <s v="Online"/>
    <s v="L"/>
    <d v="2014-05-02T00:00:00"/>
    <n v="496321809"/>
    <s v="2/23/2014"/>
    <n v="1507"/>
    <n v="437.2"/>
    <n v="263.33"/>
    <n v="658860.4"/>
    <n v="396838.31"/>
    <n v="262022.09"/>
  </r>
  <r>
    <x v="5"/>
    <s v="Madagascar"/>
    <s v="Household"/>
    <s v="Online"/>
    <s v="M"/>
    <s v="7/23/2011"/>
    <n v="638272464"/>
    <d v="2011-09-09T00:00:00"/>
    <n v="7861"/>
    <n v="668.27"/>
    <n v="502.54"/>
    <n v="5253270.47"/>
    <n v="3950466.94"/>
    <n v="1302803.53"/>
  </r>
  <r>
    <x v="1"/>
    <s v="Croatia"/>
    <s v="Baby Food"/>
    <s v="Offline"/>
    <s v="C"/>
    <s v="6/27/2013"/>
    <n v="775347936"/>
    <d v="2013-08-07T00:00:00"/>
    <n v="1539"/>
    <n v="255.28"/>
    <n v="159.41999999999999"/>
    <n v="392875.92"/>
    <n v="245347.38"/>
    <n v="147528.54"/>
  </r>
  <r>
    <x v="4"/>
    <s v="Palau"/>
    <s v="Household"/>
    <s v="Offline"/>
    <s v="H"/>
    <d v="2014-11-08T00:00:00"/>
    <n v="538847053"/>
    <s v="9/29/2014"/>
    <n v="5672"/>
    <n v="668.27"/>
    <n v="502.54"/>
    <n v="3790427.44"/>
    <n v="2850406.88"/>
    <n v="940020.56"/>
  </r>
  <r>
    <x v="1"/>
    <s v="Bulgaria"/>
    <s v="Baby Food"/>
    <s v="Offline"/>
    <s v="C"/>
    <s v="9/18/2010"/>
    <n v="980381143"/>
    <s v="9/26/2010"/>
    <n v="5421"/>
    <n v="255.28"/>
    <n v="159.41999999999999"/>
    <n v="1383872.88"/>
    <n v="864215.82"/>
    <n v="519657.06"/>
  </r>
  <r>
    <x v="1"/>
    <s v="Belarus"/>
    <s v="Cosmetics"/>
    <s v="Offline"/>
    <s v="M"/>
    <d v="2010-06-01T00:00:00"/>
    <n v="521874034"/>
    <d v="2010-03-02T00:00:00"/>
    <n v="2979"/>
    <n v="437.2"/>
    <n v="263.33"/>
    <n v="1302418.8"/>
    <n v="784460.07"/>
    <n v="517958.73"/>
  </r>
  <r>
    <x v="5"/>
    <s v="Ghana"/>
    <s v="Vegetables"/>
    <s v="Offline"/>
    <s v="C"/>
    <s v="3/20/2014"/>
    <n v="805562055"/>
    <s v="3/28/2014"/>
    <n v="2568"/>
    <n v="154.06"/>
    <n v="90.93"/>
    <n v="395626.08"/>
    <n v="233508.24"/>
    <n v="162117.84"/>
  </r>
  <r>
    <x v="4"/>
    <s v="Nauru"/>
    <s v="Personal Care"/>
    <s v="Online"/>
    <s v="M"/>
    <s v="9/22/2014"/>
    <n v="843994033"/>
    <d v="2014-02-11T00:00:00"/>
    <n v="5445"/>
    <n v="81.73"/>
    <n v="56.67"/>
    <n v="445019.85"/>
    <n v="308568.15000000002"/>
    <n v="136451.70000000001"/>
  </r>
  <r>
    <x v="4"/>
    <s v="Tonga"/>
    <s v="Snacks"/>
    <s v="Online"/>
    <s v="C"/>
    <d v="2011-05-08T00:00:00"/>
    <n v="170031297"/>
    <s v="8/31/2011"/>
    <n v="4894"/>
    <n v="152.58000000000001"/>
    <n v="97.44"/>
    <n v="746726.52"/>
    <n v="476871.36"/>
    <n v="269855.15999999997"/>
  </r>
  <r>
    <x v="1"/>
    <s v="Iceland"/>
    <s v="Cosmetics"/>
    <s v="Online"/>
    <s v="M"/>
    <s v="4/16/2017"/>
    <n v="186847674"/>
    <s v="4/23/2017"/>
    <n v="1234"/>
    <n v="437.2"/>
    <n v="263.33"/>
    <n v="539504.80000000005"/>
    <n v="324949.21999999997"/>
    <n v="214555.58"/>
  </r>
  <r>
    <x v="1"/>
    <s v="Vatican City"/>
    <s v="Fruits"/>
    <s v="Offline"/>
    <s v="H"/>
    <s v="1/24/2015"/>
    <n v="117929494"/>
    <d v="2015-02-03T00:00:00"/>
    <n v="6813"/>
    <n v="9.33"/>
    <n v="6.92"/>
    <n v="63565.29"/>
    <n v="47145.96"/>
    <n v="16419.330000000002"/>
  </r>
  <r>
    <x v="3"/>
    <s v="Qatar"/>
    <s v="Baby Food"/>
    <s v="Offline"/>
    <s v="M"/>
    <s v="9/24/2015"/>
    <n v="157075583"/>
    <d v="2015-03-10T00:00:00"/>
    <n v="1011"/>
    <n v="255.28"/>
    <n v="159.41999999999999"/>
    <n v="258088.08"/>
    <n v="161173.62"/>
    <n v="96914.46"/>
  </r>
  <r>
    <x v="3"/>
    <s v="Iraq"/>
    <s v="Baby Food"/>
    <s v="Online"/>
    <s v="C"/>
    <d v="2016-09-01T00:00:00"/>
    <n v="118397271"/>
    <d v="2016-08-02T00:00:00"/>
    <n v="5238"/>
    <n v="255.28"/>
    <n v="159.41999999999999"/>
    <n v="1337156.6399999999"/>
    <n v="835041.96"/>
    <n v="502114.68"/>
  </r>
  <r>
    <x v="1"/>
    <s v="Netherlands"/>
    <s v="Beverages"/>
    <s v="Offline"/>
    <s v="M"/>
    <d v="2017-11-07T00:00:00"/>
    <n v="786318385"/>
    <s v="8/23/2017"/>
    <n v="7939"/>
    <n v="47.45"/>
    <n v="31.79"/>
    <n v="376705.55"/>
    <n v="252380.81"/>
    <n v="124324.74"/>
  </r>
  <r>
    <x v="2"/>
    <s v="Bangladesh"/>
    <s v="Cosmetics"/>
    <s v="Offline"/>
    <s v="C"/>
    <s v="4/29/2015"/>
    <n v="765575253"/>
    <d v="2015-04-05T00:00:00"/>
    <n v="9585"/>
    <n v="437.2"/>
    <n v="263.33"/>
    <n v="4190562"/>
    <n v="2524018.0499999998"/>
    <n v="1666543.95"/>
  </r>
  <r>
    <x v="3"/>
    <s v="Kuwait"/>
    <s v="Vegetables"/>
    <s v="Offline"/>
    <s v="L"/>
    <s v="11/29/2016"/>
    <n v="531216704"/>
    <s v="12/13/2016"/>
    <n v="7682"/>
    <n v="154.06"/>
    <n v="90.93"/>
    <n v="1183488.92"/>
    <n v="698524.26"/>
    <n v="484964.66"/>
  </r>
  <r>
    <x v="1"/>
    <s v="Austria"/>
    <s v="Household"/>
    <s v="Online"/>
    <s v="C"/>
    <s v="9/20/2015"/>
    <n v="178604066"/>
    <s v="10/18/2015"/>
    <n v="1767"/>
    <n v="668.27"/>
    <n v="502.54"/>
    <n v="1180833.0900000001"/>
    <n v="887988.18"/>
    <n v="292844.90999999997"/>
  </r>
  <r>
    <x v="5"/>
    <s v="Zambia"/>
    <s v="Personal Care"/>
    <s v="Offline"/>
    <s v="M"/>
    <d v="2010-06-01T00:00:00"/>
    <n v="773411166"/>
    <s v="2/19/2010"/>
    <n v="8406"/>
    <n v="81.73"/>
    <n v="56.67"/>
    <n v="687022.38"/>
    <n v="476368.02"/>
    <n v="210654.36"/>
  </r>
  <r>
    <x v="0"/>
    <s v="El Salvador"/>
    <s v="Cosmetics"/>
    <s v="Online"/>
    <s v="H"/>
    <s v="4/13/2014"/>
    <n v="301624333"/>
    <d v="2014-05-05T00:00:00"/>
    <n v="6198"/>
    <n v="437.2"/>
    <n v="263.33"/>
    <n v="2709765.6"/>
    <n v="1632119.34"/>
    <n v="1077646.26"/>
  </r>
  <r>
    <x v="3"/>
    <s v="United Arab Emirates"/>
    <s v="Household"/>
    <s v="Online"/>
    <s v="C"/>
    <s v="7/26/2017"/>
    <n v="419542396"/>
    <d v="2017-08-08T00:00:00"/>
    <n v="773"/>
    <n v="668.27"/>
    <n v="502.54"/>
    <n v="516572.71"/>
    <n v="388463.42"/>
    <n v="128109.29"/>
  </r>
  <r>
    <x v="5"/>
    <s v="Cote d'Ivoire"/>
    <s v="Cereal"/>
    <s v="Offline"/>
    <s v="C"/>
    <s v="7/20/2017"/>
    <n v="603776681"/>
    <s v="8/17/2017"/>
    <n v="9792"/>
    <n v="205.7"/>
    <n v="117.11"/>
    <n v="2014214.4"/>
    <n v="1146741.1200000001"/>
    <n v="867473.28"/>
  </r>
  <r>
    <x v="3"/>
    <s v="Iraq"/>
    <s v="Office Supplies"/>
    <s v="Online"/>
    <s v="L"/>
    <d v="2016-05-10T00:00:00"/>
    <n v="401251018"/>
    <s v="10/22/2016"/>
    <n v="7948"/>
    <n v="651.21"/>
    <n v="524.96"/>
    <n v="5175817.08"/>
    <n v="4172382.08"/>
    <n v="1003435"/>
  </r>
  <r>
    <x v="5"/>
    <s v="Democratic Republic of the Congo"/>
    <s v="Meat"/>
    <s v="Online"/>
    <s v="C"/>
    <s v="3/26/2011"/>
    <n v="779201734"/>
    <d v="2011-10-05T00:00:00"/>
    <n v="1963"/>
    <n v="421.89"/>
    <n v="364.69"/>
    <n v="828170.07"/>
    <n v="715886.47"/>
    <n v="112283.6"/>
  </r>
  <r>
    <x v="5"/>
    <s v="Niger"/>
    <s v="Fruits"/>
    <s v="Offline"/>
    <s v="M"/>
    <s v="12/24/2016"/>
    <n v="975177657"/>
    <d v="2017-05-01T00:00:00"/>
    <n v="5594"/>
    <n v="9.33"/>
    <n v="6.92"/>
    <n v="52192.02"/>
    <n v="38710.480000000003"/>
    <n v="13481.54"/>
  </r>
  <r>
    <x v="5"/>
    <s v="Swaziland"/>
    <s v="Office Supplies"/>
    <s v="Online"/>
    <s v="H"/>
    <s v="3/24/2013"/>
    <n v="747040116"/>
    <s v="4/30/2013"/>
    <n v="4626"/>
    <n v="651.21"/>
    <n v="524.96"/>
    <n v="3012497.46"/>
    <n v="2428464.96"/>
    <n v="584032.5"/>
  </r>
  <r>
    <x v="0"/>
    <s v="Saint Vincent and the Grenadines"/>
    <s v="Personal Care"/>
    <s v="Online"/>
    <s v="H"/>
    <d v="2014-05-05T00:00:00"/>
    <n v="822962939"/>
    <s v="5/25/2014"/>
    <n v="1877"/>
    <n v="81.73"/>
    <n v="56.67"/>
    <n v="153407.21"/>
    <n v="106369.59"/>
    <n v="47037.62"/>
  </r>
  <r>
    <x v="5"/>
    <s v="Kenya"/>
    <s v="Office Supplies"/>
    <s v="Online"/>
    <s v="M"/>
    <s v="1/13/2013"/>
    <n v="651432454"/>
    <d v="2013-12-02T00:00:00"/>
    <n v="2194"/>
    <n v="651.21"/>
    <n v="524.96"/>
    <n v="1428754.74"/>
    <n v="1151762.24"/>
    <n v="276992.5"/>
  </r>
  <r>
    <x v="1"/>
    <s v="Bulgaria"/>
    <s v="Vegetables"/>
    <s v="Offline"/>
    <s v="C"/>
    <d v="2014-11-06T00:00:00"/>
    <n v="651247489"/>
    <d v="2014-02-07T00:00:00"/>
    <n v="7459"/>
    <n v="154.06"/>
    <n v="90.93"/>
    <n v="1149133.54"/>
    <n v="678246.87"/>
    <n v="470886.67"/>
  </r>
  <r>
    <x v="3"/>
    <s v="Jordan"/>
    <s v="Beverages"/>
    <s v="Online"/>
    <s v="H"/>
    <d v="2017-11-03T00:00:00"/>
    <n v="861519372"/>
    <s v="3/24/2017"/>
    <n v="1582"/>
    <n v="47.45"/>
    <n v="31.79"/>
    <n v="75065.899999999994"/>
    <n v="50291.78"/>
    <n v="24774.12"/>
  </r>
  <r>
    <x v="5"/>
    <s v="Equatorial Guinea"/>
    <s v="Office Supplies"/>
    <s v="Offline"/>
    <s v="L"/>
    <d v="2017-10-03T00:00:00"/>
    <n v="491671931"/>
    <s v="3/21/2017"/>
    <n v="5505"/>
    <n v="651.21"/>
    <n v="524.96"/>
    <n v="3584911.05"/>
    <n v="2889904.8"/>
    <n v="695006.25"/>
  </r>
  <r>
    <x v="3"/>
    <s v="Iran"/>
    <s v="Baby Food"/>
    <s v="Online"/>
    <s v="H"/>
    <s v="5/30/2011"/>
    <n v="171441495"/>
    <d v="2011-06-07T00:00:00"/>
    <n v="2203"/>
    <n v="255.28"/>
    <n v="159.41999999999999"/>
    <n v="562381.84"/>
    <n v="351202.26"/>
    <n v="211179.58"/>
  </r>
  <r>
    <x v="2"/>
    <s v="Sri Lanka"/>
    <s v="Cosmetics"/>
    <s v="Online"/>
    <s v="L"/>
    <s v="10/25/2016"/>
    <n v="600876891"/>
    <d v="2016-11-12T00:00:00"/>
    <n v="1680"/>
    <n v="437.2"/>
    <n v="263.33"/>
    <n v="734496"/>
    <n v="442394.4"/>
    <n v="292101.59999999998"/>
  </r>
  <r>
    <x v="2"/>
    <s v="Indonesia"/>
    <s v="Clothes"/>
    <s v="Online"/>
    <s v="M"/>
    <d v="2013-01-08T00:00:00"/>
    <n v="300339448"/>
    <s v="8/15/2013"/>
    <n v="5972"/>
    <n v="109.28"/>
    <n v="35.840000000000003"/>
    <n v="652620.16"/>
    <n v="214036.48000000001"/>
    <n v="438583.68"/>
  </r>
  <r>
    <x v="5"/>
    <s v="Rwanda"/>
    <s v="Baby Food"/>
    <s v="Offline"/>
    <s v="M"/>
    <d v="2017-08-01T00:00:00"/>
    <n v="560502994"/>
    <s v="2/26/2017"/>
    <n v="4146"/>
    <n v="255.28"/>
    <n v="159.41999999999999"/>
    <n v="1058390.8799999999"/>
    <n v="660955.31999999995"/>
    <n v="397435.56"/>
  </r>
  <r>
    <x v="1"/>
    <s v="Cyprus"/>
    <s v="Household"/>
    <s v="Online"/>
    <s v="L"/>
    <s v="3/20/2013"/>
    <n v="492353856"/>
    <d v="2013-11-04T00:00:00"/>
    <n v="7302"/>
    <n v="668.27"/>
    <n v="502.54"/>
    <n v="4879707.54"/>
    <n v="3669547.08"/>
    <n v="1210160.46"/>
  </r>
  <r>
    <x v="0"/>
    <s v="Nicaragua"/>
    <s v="Snacks"/>
    <s v="Offline"/>
    <s v="L"/>
    <s v="10/27/2015"/>
    <n v="177190864"/>
    <s v="12/14/2015"/>
    <n v="3569"/>
    <n v="152.58000000000001"/>
    <n v="97.44"/>
    <n v="544558.02"/>
    <n v="347763.36"/>
    <n v="196794.66"/>
  </r>
  <r>
    <x v="5"/>
    <s v="Namibia"/>
    <s v="Fruits"/>
    <s v="Offline"/>
    <s v="L"/>
    <d v="2016-03-11T00:00:00"/>
    <n v="216625344"/>
    <s v="12/22/2016"/>
    <n v="3108"/>
    <n v="9.33"/>
    <n v="6.92"/>
    <n v="28997.64"/>
    <n v="21507.360000000001"/>
    <n v="7490.28"/>
  </r>
  <r>
    <x v="1"/>
    <s v="Ireland"/>
    <s v="Personal Care"/>
    <s v="Offline"/>
    <s v="M"/>
    <s v="2/16/2013"/>
    <n v="382581126"/>
    <s v="3/27/2013"/>
    <n v="3112"/>
    <n v="81.73"/>
    <n v="56.67"/>
    <n v="254343.76"/>
    <n v="176357.04"/>
    <n v="77986.720000000001"/>
  </r>
  <r>
    <x v="0"/>
    <s v="Honduras"/>
    <s v="Meat"/>
    <s v="Online"/>
    <s v="L"/>
    <d v="2010-04-03T00:00:00"/>
    <n v="967294538"/>
    <s v="4/18/2010"/>
    <n v="2804"/>
    <n v="421.89"/>
    <n v="364.69"/>
    <n v="1182979.56"/>
    <n v="1022590.76"/>
    <n v="160388.79999999999"/>
  </r>
  <r>
    <x v="1"/>
    <s v="Andorra"/>
    <s v="Household"/>
    <s v="Online"/>
    <s v="C"/>
    <s v="9/29/2010"/>
    <n v="533314406"/>
    <s v="10/29/2010"/>
    <n v="8439"/>
    <n v="668.27"/>
    <n v="502.54"/>
    <n v="5639530.5300000003"/>
    <n v="4240935.0599999996"/>
    <n v="1398595.47"/>
  </r>
  <r>
    <x v="4"/>
    <s v="Solomon Islands"/>
    <s v="Meat"/>
    <s v="Online"/>
    <s v="C"/>
    <d v="2011-09-02T00:00:00"/>
    <n v="863502061"/>
    <d v="2011-05-03T00:00:00"/>
    <n v="8304"/>
    <n v="421.89"/>
    <n v="364.69"/>
    <n v="3503374.56"/>
    <n v="3028385.76"/>
    <n v="474988.79999999999"/>
  </r>
  <r>
    <x v="5"/>
    <s v="Eritrea"/>
    <s v="Office Supplies"/>
    <s v="Online"/>
    <s v="C"/>
    <s v="5/15/2012"/>
    <n v="211031329"/>
    <s v="6/25/2012"/>
    <n v="7715"/>
    <n v="651.21"/>
    <n v="524.96"/>
    <n v="5024085.1500000004"/>
    <n v="4050066.4"/>
    <n v="974018.75"/>
  </r>
  <r>
    <x v="1"/>
    <s v="Russia"/>
    <s v="Snacks"/>
    <s v="Online"/>
    <s v="M"/>
    <s v="9/18/2016"/>
    <n v="949388539"/>
    <s v="9/30/2016"/>
    <n v="4021"/>
    <n v="152.58000000000001"/>
    <n v="97.44"/>
    <n v="613524.18000000005"/>
    <n v="391806.24"/>
    <n v="221717.94"/>
  </r>
  <r>
    <x v="1"/>
    <s v="Portugal"/>
    <s v="Beverages"/>
    <s v="Offline"/>
    <s v="L"/>
    <d v="2016-10-01T00:00:00"/>
    <n v="122372519"/>
    <s v="1/13/2016"/>
    <n v="1603"/>
    <n v="47.45"/>
    <n v="31.79"/>
    <n v="76062.350000000006"/>
    <n v="50959.37"/>
    <n v="25102.98"/>
  </r>
  <r>
    <x v="5"/>
    <s v="Tanzania"/>
    <s v="Snacks"/>
    <s v="Offline"/>
    <s v="L"/>
    <s v="10/26/2010"/>
    <n v="694094598"/>
    <s v="12/13/2010"/>
    <n v="6871"/>
    <n v="152.58000000000001"/>
    <n v="97.44"/>
    <n v="1048377.18"/>
    <n v="669510.24"/>
    <n v="378866.94"/>
  </r>
  <r>
    <x v="1"/>
    <s v="France"/>
    <s v="Clothes"/>
    <s v="Offline"/>
    <s v="M"/>
    <s v="1/16/2014"/>
    <n v="298978602"/>
    <s v="1/28/2014"/>
    <n v="3267"/>
    <n v="109.28"/>
    <n v="35.840000000000003"/>
    <n v="357017.76"/>
    <n v="117089.28"/>
    <n v="239928.48"/>
  </r>
  <r>
    <x v="1"/>
    <s v="Belarus"/>
    <s v="Clothes"/>
    <s v="Offline"/>
    <s v="C"/>
    <s v="12/27/2016"/>
    <n v="691760861"/>
    <s v="1/28/2017"/>
    <n v="6266"/>
    <n v="109.28"/>
    <n v="35.840000000000003"/>
    <n v="684748.48"/>
    <n v="224573.44"/>
    <n v="460175.04"/>
  </r>
  <r>
    <x v="0"/>
    <s v="Dominica"/>
    <s v="Household"/>
    <s v="Online"/>
    <s v="M"/>
    <s v="10/21/2015"/>
    <n v="997490203"/>
    <s v="11/15/2015"/>
    <n v="8372"/>
    <n v="668.27"/>
    <n v="502.54"/>
    <n v="5594756.4400000004"/>
    <n v="4207264.88"/>
    <n v="1387491.56"/>
  </r>
  <r>
    <x v="4"/>
    <s v="Samoa "/>
    <s v="Office Supplies"/>
    <s v="Online"/>
    <s v="M"/>
    <d v="2015-07-04T00:00:00"/>
    <n v="861527955"/>
    <d v="2015-04-05T00:00:00"/>
    <n v="4122"/>
    <n v="651.21"/>
    <n v="524.96"/>
    <n v="2684287.62"/>
    <n v="2163885.12"/>
    <n v="520402.5"/>
  </r>
  <r>
    <x v="0"/>
    <s v="El Salvador"/>
    <s v="Snacks"/>
    <s v="Offline"/>
    <s v="M"/>
    <d v="2017-06-06T00:00:00"/>
    <n v="899547946"/>
    <s v="6/17/2017"/>
    <n v="5082"/>
    <n v="152.58000000000001"/>
    <n v="97.44"/>
    <n v="775411.56"/>
    <n v="495190.08"/>
    <n v="280221.48"/>
  </r>
  <r>
    <x v="1"/>
    <s v="Serbia"/>
    <s v="Meat"/>
    <s v="Offline"/>
    <s v="H"/>
    <s v="4/14/2010"/>
    <n v="447536504"/>
    <s v="4/25/2010"/>
    <n v="4852"/>
    <n v="421.89"/>
    <n v="364.69"/>
    <n v="2047010.28"/>
    <n v="1769475.88"/>
    <n v="277534.40000000002"/>
  </r>
  <r>
    <x v="2"/>
    <s v="South Korea"/>
    <s v="Fruits"/>
    <s v="Online"/>
    <s v="C"/>
    <d v="2016-11-12T00:00:00"/>
    <n v="711792457"/>
    <s v="12/13/2016"/>
    <n v="4060"/>
    <n v="9.33"/>
    <n v="6.92"/>
    <n v="37879.800000000003"/>
    <n v="28095.200000000001"/>
    <n v="9784.6"/>
  </r>
  <r>
    <x v="0"/>
    <s v="Nicaragua"/>
    <s v="Office Supplies"/>
    <s v="Offline"/>
    <s v="M"/>
    <s v="2/29/2016"/>
    <n v="718927133"/>
    <s v="3/22/2016"/>
    <n v="5370"/>
    <n v="651.21"/>
    <n v="524.96"/>
    <n v="3496997.7"/>
    <n v="2819035.2"/>
    <n v="677962.5"/>
  </r>
  <r>
    <x v="5"/>
    <s v="Tanzania"/>
    <s v="Clothes"/>
    <s v="Offline"/>
    <s v="L"/>
    <d v="2014-03-04T00:00:00"/>
    <n v="465864360"/>
    <s v="5/18/2014"/>
    <n v="8471"/>
    <n v="109.28"/>
    <n v="35.840000000000003"/>
    <n v="925710.88"/>
    <n v="303600.64000000001"/>
    <n v="622110.24"/>
  </r>
  <r>
    <x v="1"/>
    <s v="Poland"/>
    <s v="Vegetables"/>
    <s v="Offline"/>
    <s v="H"/>
    <s v="1/13/2011"/>
    <n v="469840466"/>
    <s v="1/22/2011"/>
    <n v="5090"/>
    <n v="154.06"/>
    <n v="90.93"/>
    <n v="784165.4"/>
    <n v="462833.7"/>
    <n v="321331.7"/>
  </r>
  <r>
    <x v="1"/>
    <s v="Armenia"/>
    <s v="Snacks"/>
    <s v="Offline"/>
    <s v="M"/>
    <d v="2011-02-03T00:00:00"/>
    <n v="418404281"/>
    <s v="4/15/2011"/>
    <n v="3979"/>
    <n v="152.58000000000001"/>
    <n v="97.44"/>
    <n v="607115.81999999995"/>
    <n v="387713.76"/>
    <n v="219402.06"/>
  </r>
  <r>
    <x v="3"/>
    <s v="United Arab Emirates"/>
    <s v="Cosmetics"/>
    <s v="Offline"/>
    <s v="C"/>
    <s v="10/20/2012"/>
    <n v="519417130"/>
    <s v="11/27/2012"/>
    <n v="5926"/>
    <n v="437.2"/>
    <n v="263.33"/>
    <n v="2590847.2000000002"/>
    <n v="1560493.58"/>
    <n v="1030353.62"/>
  </r>
  <r>
    <x v="0"/>
    <s v="Saint Vincent and the Grenadines"/>
    <s v="Clothes"/>
    <s v="Online"/>
    <s v="M"/>
    <s v="5/18/2011"/>
    <n v="151052844"/>
    <d v="2011-07-06T00:00:00"/>
    <n v="8748"/>
    <n v="109.28"/>
    <n v="35.840000000000003"/>
    <n v="955981.44"/>
    <n v="313528.32000000001"/>
    <n v="642453.12"/>
  </r>
  <r>
    <x v="0"/>
    <s v="Guatemala"/>
    <s v="Meat"/>
    <s v="Offline"/>
    <s v="L"/>
    <s v="12/17/2010"/>
    <n v="111797749"/>
    <s v="1/19/2011"/>
    <n v="2293"/>
    <n v="421.89"/>
    <n v="364.69"/>
    <n v="967393.77"/>
    <n v="836234.17"/>
    <n v="131159.6"/>
  </r>
  <r>
    <x v="5"/>
    <s v="Botswana"/>
    <s v="Personal Care"/>
    <s v="Online"/>
    <s v="M"/>
    <s v="11/25/2012"/>
    <n v="370450675"/>
    <d v="2012-01-12T00:00:00"/>
    <n v="3442"/>
    <n v="81.73"/>
    <n v="56.67"/>
    <n v="281314.65999999997"/>
    <n v="195058.14"/>
    <n v="86256.52"/>
  </r>
  <r>
    <x v="1"/>
    <s v="Austria"/>
    <s v="Snacks"/>
    <s v="Online"/>
    <s v="M"/>
    <s v="1/18/2012"/>
    <n v="516122949"/>
    <s v="2/21/2012"/>
    <n v="1105"/>
    <n v="152.58000000000001"/>
    <n v="97.44"/>
    <n v="168600.9"/>
    <n v="107671.2"/>
    <n v="60929.7"/>
  </r>
  <r>
    <x v="1"/>
    <s v="Albania"/>
    <s v="Cosmetics"/>
    <s v="Offline"/>
    <s v="L"/>
    <s v="8/29/2015"/>
    <n v="208238399"/>
    <s v="10/15/2015"/>
    <n v="1224"/>
    <n v="437.2"/>
    <n v="263.33"/>
    <n v="535132.80000000005"/>
    <n v="322315.92"/>
    <n v="212816.88"/>
  </r>
  <r>
    <x v="1"/>
    <s v="Georgia"/>
    <s v="Fruits"/>
    <s v="Online"/>
    <s v="M"/>
    <d v="2016-02-12T00:00:00"/>
    <n v="526533353"/>
    <d v="2017-12-01T00:00:00"/>
    <n v="1775"/>
    <n v="9.33"/>
    <n v="6.92"/>
    <n v="16560.75"/>
    <n v="12283"/>
    <n v="4277.75"/>
  </r>
  <r>
    <x v="0"/>
    <s v="Nicaragua"/>
    <s v="Beverages"/>
    <s v="Online"/>
    <s v="H"/>
    <s v="11/15/2013"/>
    <n v="821056640"/>
    <d v="2014-03-01T00:00:00"/>
    <n v="7760"/>
    <n v="47.45"/>
    <n v="31.79"/>
    <n v="368212"/>
    <n v="246690.4"/>
    <n v="121521.60000000001"/>
  </r>
  <r>
    <x v="2"/>
    <s v="Singapore"/>
    <s v="Personal Care"/>
    <s v="Offline"/>
    <s v="M"/>
    <d v="2013-09-03T00:00:00"/>
    <n v="962169587"/>
    <s v="3/26/2013"/>
    <n v="6217"/>
    <n v="81.73"/>
    <n v="56.67"/>
    <n v="508115.41"/>
    <n v="352317.39"/>
    <n v="155798.01999999999"/>
  </r>
  <r>
    <x v="3"/>
    <s v="Bahrain"/>
    <s v="Cereal"/>
    <s v="Online"/>
    <s v="H"/>
    <s v="3/31/2011"/>
    <n v="890546023"/>
    <d v="2011-02-05T00:00:00"/>
    <n v="1213"/>
    <n v="205.7"/>
    <n v="117.11"/>
    <n v="249514.1"/>
    <n v="142054.43"/>
    <n v="107459.67"/>
  </r>
  <r>
    <x v="2"/>
    <s v="Myanmar"/>
    <s v="Household"/>
    <s v="Offline"/>
    <s v="L"/>
    <s v="1/23/2013"/>
    <n v="167172276"/>
    <d v="2013-04-03T00:00:00"/>
    <n v="8846"/>
    <n v="668.27"/>
    <n v="502.54"/>
    <n v="5911516.4199999999"/>
    <n v="4445468.84"/>
    <n v="1466047.58"/>
  </r>
  <r>
    <x v="0"/>
    <s v="Antigua and Barbuda "/>
    <s v="Snacks"/>
    <s v="Online"/>
    <s v="H"/>
    <s v="5/13/2013"/>
    <n v="223347175"/>
    <d v="2013-10-06T00:00:00"/>
    <n v="2247"/>
    <n v="152.58000000000001"/>
    <n v="97.44"/>
    <n v="342847.26"/>
    <n v="218947.68"/>
    <n v="123899.58"/>
  </r>
  <r>
    <x v="2"/>
    <s v="Taiwan"/>
    <s v="Clothes"/>
    <s v="Online"/>
    <s v="L"/>
    <d v="2015-07-07T00:00:00"/>
    <n v="310682046"/>
    <s v="8/23/2015"/>
    <n v="6576"/>
    <n v="109.28"/>
    <n v="35.840000000000003"/>
    <n v="718625.28000000003"/>
    <n v="235683.84"/>
    <n v="482941.44"/>
  </r>
  <r>
    <x v="5"/>
    <s v="Djibouti"/>
    <s v="Snacks"/>
    <s v="Offline"/>
    <s v="M"/>
    <s v="7/28/2012"/>
    <n v="651100718"/>
    <s v="8/30/2012"/>
    <n v="4026"/>
    <n v="152.58000000000001"/>
    <n v="97.44"/>
    <n v="614287.07999999996"/>
    <n v="392293.44"/>
    <n v="221993.64"/>
  </r>
  <r>
    <x v="3"/>
    <s v="Saudi Arabia"/>
    <s v="Baby Food"/>
    <s v="Online"/>
    <s v="C"/>
    <s v="10/27/2013"/>
    <n v="186839520"/>
    <d v="2013-04-12T00:00:00"/>
    <n v="8821"/>
    <n v="255.28"/>
    <n v="159.41999999999999"/>
    <n v="2251824.88"/>
    <n v="1406243.82"/>
    <n v="845581.06"/>
  </r>
  <r>
    <x v="5"/>
    <s v="Seychelles "/>
    <s v="Household"/>
    <s v="Online"/>
    <s v="L"/>
    <d v="2010-02-09T00:00:00"/>
    <n v="630447280"/>
    <d v="2010-04-09T00:00:00"/>
    <n v="2215"/>
    <n v="668.27"/>
    <n v="502.54"/>
    <n v="1480218.05"/>
    <n v="1113126.1000000001"/>
    <n v="367091.95"/>
  </r>
  <r>
    <x v="5"/>
    <s v="Equatorial Guinea"/>
    <s v="Office Supplies"/>
    <s v="Offline"/>
    <s v="M"/>
    <s v="9/27/2010"/>
    <n v="614785325"/>
    <s v="10/26/2010"/>
    <n v="7494"/>
    <n v="651.21"/>
    <n v="524.96"/>
    <n v="4880167.74"/>
    <n v="3934050.24"/>
    <n v="946117.5"/>
  </r>
  <r>
    <x v="1"/>
    <s v="Iceland"/>
    <s v="Meat"/>
    <s v="Online"/>
    <s v="H"/>
    <d v="2011-11-05T00:00:00"/>
    <n v="643027484"/>
    <s v="5/18/2011"/>
    <n v="4977"/>
    <n v="421.89"/>
    <n v="364.69"/>
    <n v="2099746.5299999998"/>
    <n v="1815062.13"/>
    <n v="284684.40000000002"/>
  </r>
  <r>
    <x v="3"/>
    <s v="Israel"/>
    <s v="Personal Care"/>
    <s v="Offline"/>
    <s v="H"/>
    <s v="11/30/2010"/>
    <n v="838660085"/>
    <s v="1/13/2011"/>
    <n v="7011"/>
    <n v="81.73"/>
    <n v="56.67"/>
    <n v="573009.03"/>
    <n v="397313.37"/>
    <n v="175695.66"/>
  </r>
  <r>
    <x v="4"/>
    <s v="Nauru"/>
    <s v="Personal Care"/>
    <s v="Online"/>
    <s v="L"/>
    <s v="8/25/2012"/>
    <n v="495481956"/>
    <s v="9/24/2012"/>
    <n v="2976"/>
    <n v="81.73"/>
    <n v="56.67"/>
    <n v="243228.48"/>
    <n v="168649.92"/>
    <n v="74578.559999999998"/>
  </r>
  <r>
    <x v="1"/>
    <s v="Hungary"/>
    <s v="Beverages"/>
    <s v="Online"/>
    <s v="L"/>
    <s v="4/21/2013"/>
    <n v="327604424"/>
    <s v="5/13/2013"/>
    <n v="4284"/>
    <n v="47.45"/>
    <n v="31.79"/>
    <n v="203275.8"/>
    <n v="136188.35999999999"/>
    <n v="67087.44"/>
  </r>
  <r>
    <x v="1"/>
    <s v="Ukraine"/>
    <s v="Meat"/>
    <s v="Offline"/>
    <s v="M"/>
    <s v="6/18/2014"/>
    <n v="219451320"/>
    <d v="2014-02-07T00:00:00"/>
    <n v="9377"/>
    <n v="421.89"/>
    <n v="364.69"/>
    <n v="3956062.53"/>
    <n v="3419698.13"/>
    <n v="536364.4"/>
  </r>
  <r>
    <x v="1"/>
    <s v="France"/>
    <s v="Personal Care"/>
    <s v="Online"/>
    <s v="H"/>
    <s v="3/15/2011"/>
    <n v="575758969"/>
    <s v="3/29/2011"/>
    <n v="8729"/>
    <n v="81.73"/>
    <n v="56.67"/>
    <n v="713421.17"/>
    <n v="494672.43"/>
    <n v="218748.74"/>
  </r>
  <r>
    <x v="3"/>
    <s v="Saudi Arabia"/>
    <s v="Snacks"/>
    <s v="Online"/>
    <s v="H"/>
    <d v="2011-09-01T00:00:00"/>
    <n v="971576201"/>
    <s v="1/26/2011"/>
    <n v="9843"/>
    <n v="152.58000000000001"/>
    <n v="97.44"/>
    <n v="1501844.94"/>
    <n v="959101.92"/>
    <n v="542743.02"/>
  </r>
  <r>
    <x v="1"/>
    <s v="Malta"/>
    <s v="Office Supplies"/>
    <s v="Offline"/>
    <s v="H"/>
    <d v="2014-04-12T00:00:00"/>
    <n v="602264344"/>
    <d v="2015-07-01T00:00:00"/>
    <n v="2258"/>
    <n v="651.21"/>
    <n v="524.96"/>
    <n v="1470432.18"/>
    <n v="1185359.68"/>
    <n v="285072.5"/>
  </r>
  <r>
    <x v="6"/>
    <s v="United States of America"/>
    <s v="Snacks"/>
    <s v="Online"/>
    <s v="H"/>
    <d v="2013-09-08T00:00:00"/>
    <n v="533497226"/>
    <s v="8/19/2013"/>
    <n v="2539"/>
    <n v="152.58000000000001"/>
    <n v="97.44"/>
    <n v="387400.62"/>
    <n v="247400.16"/>
    <n v="140000.46"/>
  </r>
  <r>
    <x v="2"/>
    <s v="Uzbekistan"/>
    <s v="Cosmetics"/>
    <s v="Online"/>
    <s v="M"/>
    <s v="12/23/2013"/>
    <n v="551261174"/>
    <s v="12/30/2013"/>
    <n v="9287"/>
    <n v="437.2"/>
    <n v="263.33"/>
    <n v="4060276.4"/>
    <n v="2445545.71"/>
    <n v="1614730.69"/>
  </r>
  <r>
    <x v="2"/>
    <s v="Tajikistan"/>
    <s v="Personal Care"/>
    <s v="Offline"/>
    <s v="M"/>
    <s v="8/27/2012"/>
    <n v="511855018"/>
    <s v="9/20/2012"/>
    <n v="8129"/>
    <n v="81.73"/>
    <n v="56.67"/>
    <n v="664383.17000000004"/>
    <n v="460670.43"/>
    <n v="203712.74"/>
  </r>
  <r>
    <x v="1"/>
    <s v="Belgium"/>
    <s v="Cereal"/>
    <s v="Offline"/>
    <s v="H"/>
    <s v="11/22/2014"/>
    <n v="791890084"/>
    <s v="12/15/2014"/>
    <n v="6728"/>
    <n v="205.7"/>
    <n v="117.11"/>
    <n v="1383949.6"/>
    <n v="787916.08"/>
    <n v="596033.52"/>
  </r>
  <r>
    <x v="5"/>
    <s v="South Sudan"/>
    <s v="Snacks"/>
    <s v="Offline"/>
    <s v="L"/>
    <s v="8/26/2015"/>
    <n v="938290202"/>
    <s v="8/29/2015"/>
    <n v="9777"/>
    <n v="152.58000000000001"/>
    <n v="97.44"/>
    <n v="1491774.66"/>
    <n v="952670.88"/>
    <n v="539103.78"/>
  </r>
  <r>
    <x v="4"/>
    <s v="Nauru"/>
    <s v="Meat"/>
    <s v="Offline"/>
    <s v="M"/>
    <s v="12/15/2010"/>
    <n v="118291699"/>
    <s v="1/15/2011"/>
    <n v="3997"/>
    <n v="421.89"/>
    <n v="364.69"/>
    <n v="1686294.33"/>
    <n v="1457665.93"/>
    <n v="228628.4"/>
  </r>
  <r>
    <x v="2"/>
    <s v="Bangladesh"/>
    <s v="Cosmetics"/>
    <s v="Online"/>
    <s v="M"/>
    <s v="10/30/2016"/>
    <n v="269443404"/>
    <d v="2016-05-11T00:00:00"/>
    <n v="3146"/>
    <n v="437.2"/>
    <n v="263.33"/>
    <n v="1375431.2"/>
    <n v="828436.18"/>
    <n v="546995.02"/>
  </r>
  <r>
    <x v="1"/>
    <s v="Liechtenstein"/>
    <s v="Fruits"/>
    <s v="Offline"/>
    <s v="C"/>
    <s v="6/29/2012"/>
    <n v="249606645"/>
    <s v="8/14/2012"/>
    <n v="3008"/>
    <n v="9.33"/>
    <n v="6.92"/>
    <n v="28064.639999999999"/>
    <n v="20815.36"/>
    <n v="7249.28"/>
  </r>
  <r>
    <x v="4"/>
    <s v="Australia"/>
    <s v="Clothes"/>
    <s v="Offline"/>
    <s v="L"/>
    <s v="4/24/2012"/>
    <n v="786955249"/>
    <s v="4/26/2012"/>
    <n v="6401"/>
    <n v="109.28"/>
    <n v="35.840000000000003"/>
    <n v="699501.28"/>
    <n v="229411.84"/>
    <n v="470089.44"/>
  </r>
  <r>
    <x v="3"/>
    <s v="Lebanon"/>
    <s v="Baby Food"/>
    <s v="Online"/>
    <s v="L"/>
    <s v="7/29/2016"/>
    <n v="429975545"/>
    <d v="2016-11-09T00:00:00"/>
    <n v="8174"/>
    <n v="255.28"/>
    <n v="159.41999999999999"/>
    <n v="2086658.72"/>
    <n v="1303099.08"/>
    <n v="783559.64"/>
  </r>
  <r>
    <x v="1"/>
    <s v="Belgium"/>
    <s v="Household"/>
    <s v="Offline"/>
    <s v="C"/>
    <d v="2015-08-04T00:00:00"/>
    <n v="497466361"/>
    <d v="2015-01-05T00:00:00"/>
    <n v="206"/>
    <n v="668.27"/>
    <n v="502.54"/>
    <n v="137663.62"/>
    <n v="103523.24"/>
    <n v="34140.379999999997"/>
  </r>
  <r>
    <x v="3"/>
    <s v="Afghanistan"/>
    <s v="Cereal"/>
    <s v="Online"/>
    <s v="C"/>
    <d v="2014-05-08T00:00:00"/>
    <n v="128539025"/>
    <s v="8/16/2014"/>
    <n v="6409"/>
    <n v="205.7"/>
    <n v="117.11"/>
    <n v="1318331.3"/>
    <n v="750557.99"/>
    <n v="567773.31000000006"/>
  </r>
  <r>
    <x v="2"/>
    <s v="Malaysia"/>
    <s v="Clothes"/>
    <s v="Online"/>
    <s v="M"/>
    <s v="6/16/2010"/>
    <n v="332617366"/>
    <s v="6/30/2010"/>
    <n v="7725"/>
    <n v="109.28"/>
    <n v="35.840000000000003"/>
    <n v="844188"/>
    <n v="276864"/>
    <n v="567324"/>
  </r>
  <r>
    <x v="1"/>
    <s v="Belarus"/>
    <s v="Clothes"/>
    <s v="Offline"/>
    <s v="L"/>
    <s v="12/23/2014"/>
    <n v="839437711"/>
    <s v="12/24/2014"/>
    <n v="7128"/>
    <n v="109.28"/>
    <n v="35.840000000000003"/>
    <n v="778947.84"/>
    <n v="255467.51999999999"/>
    <n v="523480.32000000001"/>
  </r>
  <r>
    <x v="1"/>
    <s v="Luxembourg"/>
    <s v="Office Supplies"/>
    <s v="Online"/>
    <s v="H"/>
    <s v="10/31/2014"/>
    <n v="549048888"/>
    <d v="2014-02-12T00:00:00"/>
    <n v="4622"/>
    <n v="651.21"/>
    <n v="524.96"/>
    <n v="3009892.62"/>
    <n v="2426365.12"/>
    <n v="583527.5"/>
  </r>
  <r>
    <x v="4"/>
    <s v="Fiji"/>
    <s v="Clothes"/>
    <s v="Online"/>
    <s v="L"/>
    <s v="11/27/2012"/>
    <n v="681812226"/>
    <s v="12/24/2012"/>
    <n v="2244"/>
    <n v="109.28"/>
    <n v="35.840000000000003"/>
    <n v="245224.32000000001"/>
    <n v="80424.960000000006"/>
    <n v="164799.35999999999"/>
  </r>
  <r>
    <x v="5"/>
    <s v="Ethiopia"/>
    <s v="Baby Food"/>
    <s v="Offline"/>
    <s v="C"/>
    <d v="2016-11-12T00:00:00"/>
    <n v="728401553"/>
    <s v="1/27/2017"/>
    <n v="9061"/>
    <n v="255.28"/>
    <n v="159.41999999999999"/>
    <n v="2313092.08"/>
    <n v="1444504.62"/>
    <n v="868587.46"/>
  </r>
  <r>
    <x v="0"/>
    <s v="Nicaragua"/>
    <s v="Beverages"/>
    <s v="Offline"/>
    <s v="H"/>
    <d v="2013-10-01T00:00:00"/>
    <n v="699803197"/>
    <s v="1/24/2013"/>
    <n v="6172"/>
    <n v="47.45"/>
    <n v="31.79"/>
    <n v="292861.40000000002"/>
    <n v="196207.88"/>
    <n v="96653.52"/>
  </r>
  <r>
    <x v="5"/>
    <s v="Ethiopia"/>
    <s v="Personal Care"/>
    <s v="Online"/>
    <s v="H"/>
    <s v="10/24/2014"/>
    <n v="677315986"/>
    <d v="2014-04-12T00:00:00"/>
    <n v="1706"/>
    <n v="81.73"/>
    <n v="56.67"/>
    <n v="139431.38"/>
    <n v="96679.02"/>
    <n v="42752.36"/>
  </r>
  <r>
    <x v="3"/>
    <s v="Egypt"/>
    <s v="Personal Care"/>
    <s v="Offline"/>
    <s v="H"/>
    <s v="4/20/2014"/>
    <n v="362551248"/>
    <s v="4/20/2014"/>
    <n v="5826"/>
    <n v="81.73"/>
    <n v="56.67"/>
    <n v="476158.98"/>
    <n v="330159.42"/>
    <n v="145999.56"/>
  </r>
  <r>
    <x v="1"/>
    <s v="Finland"/>
    <s v="Snacks"/>
    <s v="Online"/>
    <s v="H"/>
    <d v="2015-03-12T00:00:00"/>
    <n v="427432811"/>
    <d v="2015-11-12T00:00:00"/>
    <n v="5722"/>
    <n v="152.58000000000001"/>
    <n v="97.44"/>
    <n v="873062.76"/>
    <n v="557551.68000000005"/>
    <n v="315511.08"/>
  </r>
  <r>
    <x v="0"/>
    <s v="Haiti"/>
    <s v="Snacks"/>
    <s v="Online"/>
    <s v="M"/>
    <d v="2010-06-01T00:00:00"/>
    <n v="264197003"/>
    <s v="2/14/2010"/>
    <n v="619"/>
    <n v="152.58000000000001"/>
    <n v="97.44"/>
    <n v="94447.02"/>
    <n v="60315.360000000001"/>
    <n v="34131.660000000003"/>
  </r>
  <r>
    <x v="5"/>
    <s v="Comoros"/>
    <s v="Vegetables"/>
    <s v="Online"/>
    <s v="C"/>
    <d v="2014-02-07T00:00:00"/>
    <n v="235392653"/>
    <d v="2014-08-07T00:00:00"/>
    <n v="6772"/>
    <n v="154.06"/>
    <n v="90.93"/>
    <n v="1043294.32"/>
    <n v="615777.96"/>
    <n v="427516.36"/>
  </r>
  <r>
    <x v="3"/>
    <s v="United Arab Emirates"/>
    <s v="Household"/>
    <s v="Offline"/>
    <s v="H"/>
    <s v="6/28/2010"/>
    <n v="323881089"/>
    <d v="2010-08-08T00:00:00"/>
    <n v="2467"/>
    <n v="668.27"/>
    <n v="502.54"/>
    <n v="1648622.09"/>
    <n v="1239766.18"/>
    <n v="408855.91"/>
  </r>
  <r>
    <x v="1"/>
    <s v="Andorra"/>
    <s v="Office Supplies"/>
    <s v="Online"/>
    <s v="H"/>
    <s v="3/31/2014"/>
    <n v="582836139"/>
    <d v="2014-05-04T00:00:00"/>
    <n v="3020"/>
    <n v="651.21"/>
    <n v="524.96"/>
    <n v="1966654.2"/>
    <n v="1585379.2"/>
    <n v="381275"/>
  </r>
  <r>
    <x v="5"/>
    <s v="Angola"/>
    <s v="Household"/>
    <s v="Online"/>
    <s v="H"/>
    <s v="10/19/2012"/>
    <n v="685744130"/>
    <s v="11/20/2012"/>
    <n v="5782"/>
    <n v="668.27"/>
    <n v="502.54"/>
    <n v="3863937.14"/>
    <n v="2905686.28"/>
    <n v="958250.86"/>
  </r>
  <r>
    <x v="5"/>
    <s v="Comoros"/>
    <s v="Baby Food"/>
    <s v="Offline"/>
    <s v="M"/>
    <d v="2013-07-03T00:00:00"/>
    <n v="376403892"/>
    <s v="4/14/2013"/>
    <n v="5131"/>
    <n v="255.28"/>
    <n v="159.41999999999999"/>
    <n v="1309841.68"/>
    <n v="817984.02"/>
    <n v="491857.66"/>
  </r>
  <r>
    <x v="0"/>
    <s v="Haiti"/>
    <s v="Vegetables"/>
    <s v="Online"/>
    <s v="C"/>
    <s v="11/29/2015"/>
    <n v="818926751"/>
    <d v="2015-02-12T00:00:00"/>
    <n v="7479"/>
    <n v="154.06"/>
    <n v="90.93"/>
    <n v="1152214.74"/>
    <n v="680065.47"/>
    <n v="472149.27"/>
  </r>
  <r>
    <x v="4"/>
    <s v="Federated States of Micronesia"/>
    <s v="Beverages"/>
    <s v="Online"/>
    <s v="C"/>
    <s v="3/20/2011"/>
    <n v="547736537"/>
    <d v="2011-07-05T00:00:00"/>
    <n v="6268"/>
    <n v="47.45"/>
    <n v="31.79"/>
    <n v="297416.59999999998"/>
    <n v="199259.72"/>
    <n v="98156.88"/>
  </r>
  <r>
    <x v="3"/>
    <s v="Iran"/>
    <s v="Household"/>
    <s v="Offline"/>
    <s v="C"/>
    <d v="2013-07-02T00:00:00"/>
    <n v="417569577"/>
    <d v="2013-10-02T00:00:00"/>
    <n v="6972"/>
    <n v="668.27"/>
    <n v="502.54"/>
    <n v="4659178.4400000004"/>
    <n v="3503708.88"/>
    <n v="1155469.56"/>
  </r>
  <r>
    <x v="3"/>
    <s v="Algeria"/>
    <s v="Clothes"/>
    <s v="Online"/>
    <s v="C"/>
    <s v="2/24/2010"/>
    <n v="453474700"/>
    <d v="2010-08-04T00:00:00"/>
    <n v="2096"/>
    <n v="109.28"/>
    <n v="35.840000000000003"/>
    <n v="229050.88"/>
    <n v="75120.639999999999"/>
    <n v="153930.23999999999"/>
  </r>
  <r>
    <x v="0"/>
    <s v="Saint Kitts and Nevis "/>
    <s v="Clothes"/>
    <s v="Offline"/>
    <s v="H"/>
    <s v="9/15/2014"/>
    <n v="300813233"/>
    <d v="2014-02-11T00:00:00"/>
    <n v="6175"/>
    <n v="109.28"/>
    <n v="35.840000000000003"/>
    <n v="674804"/>
    <n v="221312"/>
    <n v="453492"/>
  </r>
  <r>
    <x v="5"/>
    <s v="Ghana"/>
    <s v="Household"/>
    <s v="Online"/>
    <s v="L"/>
    <d v="2013-08-09T00:00:00"/>
    <n v="575259006"/>
    <s v="10/20/2013"/>
    <n v="778"/>
    <n v="668.27"/>
    <n v="502.54"/>
    <n v="519914.06"/>
    <n v="390976.12"/>
    <n v="128937.94"/>
  </r>
  <r>
    <x v="0"/>
    <s v="The Bahamas"/>
    <s v="Cereal"/>
    <s v="Online"/>
    <s v="C"/>
    <s v="3/20/2010"/>
    <n v="612798345"/>
    <s v="3/30/2010"/>
    <n v="9503"/>
    <n v="205.7"/>
    <n v="117.11"/>
    <n v="1954767.1"/>
    <n v="1112896.33"/>
    <n v="841870.77"/>
  </r>
  <r>
    <x v="1"/>
    <s v="Netherlands"/>
    <s v="Clothes"/>
    <s v="Offline"/>
    <s v="H"/>
    <d v="2012-08-04T00:00:00"/>
    <n v="719730079"/>
    <d v="2012-06-05T00:00:00"/>
    <n v="2979"/>
    <n v="109.28"/>
    <n v="35.840000000000003"/>
    <n v="325545.12"/>
    <n v="106767.36"/>
    <n v="218777.76"/>
  </r>
  <r>
    <x v="5"/>
    <s v="Djibouti"/>
    <s v="Cereal"/>
    <s v="Offline"/>
    <s v="M"/>
    <s v="9/28/2013"/>
    <n v="822665536"/>
    <s v="10/29/2013"/>
    <n v="3868"/>
    <n v="205.7"/>
    <n v="117.11"/>
    <n v="795647.6"/>
    <n v="452981.48"/>
    <n v="342666.12"/>
  </r>
  <r>
    <x v="2"/>
    <s v="Thailand"/>
    <s v="Clothes"/>
    <s v="Offline"/>
    <s v="H"/>
    <s v="5/19/2013"/>
    <n v="918528544"/>
    <d v="2013-04-07T00:00:00"/>
    <n v="1863"/>
    <n v="109.28"/>
    <n v="35.840000000000003"/>
    <n v="203588.64"/>
    <n v="66769.919999999998"/>
    <n v="136818.72"/>
  </r>
  <r>
    <x v="3"/>
    <s v="Oman"/>
    <s v="Baby Food"/>
    <s v="Offline"/>
    <s v="H"/>
    <s v="12/30/2010"/>
    <n v="624555432"/>
    <d v="2011-09-01T00:00:00"/>
    <n v="8686"/>
    <n v="255.28"/>
    <n v="159.41999999999999"/>
    <n v="2217362.08"/>
    <n v="1384722.12"/>
    <n v="832639.96"/>
  </r>
  <r>
    <x v="4"/>
    <s v="Tonga"/>
    <s v="Fruits"/>
    <s v="Online"/>
    <s v="H"/>
    <d v="2011-03-04T00:00:00"/>
    <n v="528295028"/>
    <d v="2011-04-04T00:00:00"/>
    <n v="3093"/>
    <n v="9.33"/>
    <n v="6.92"/>
    <n v="28857.69"/>
    <n v="21403.56"/>
    <n v="7454.13"/>
  </r>
  <r>
    <x v="1"/>
    <s v="Bulgaria"/>
    <s v="Household"/>
    <s v="Online"/>
    <s v="H"/>
    <s v="4/21/2012"/>
    <n v="837608659"/>
    <d v="2012-02-05T00:00:00"/>
    <n v="5871"/>
    <n v="668.27"/>
    <n v="502.54"/>
    <n v="3923413.17"/>
    <n v="2950412.34"/>
    <n v="973000.83"/>
  </r>
  <r>
    <x v="1"/>
    <s v="Norway"/>
    <s v="Meat"/>
    <s v="Online"/>
    <s v="L"/>
    <s v="2/26/2017"/>
    <n v="930670154"/>
    <s v="3/15/2017"/>
    <n v="4835"/>
    <n v="421.89"/>
    <n v="364.69"/>
    <n v="2039838.15"/>
    <n v="1763276.15"/>
    <n v="276562"/>
  </r>
  <r>
    <x v="0"/>
    <s v="Barbados"/>
    <s v="Clothes"/>
    <s v="Online"/>
    <s v="L"/>
    <s v="9/26/2014"/>
    <n v="705965840"/>
    <d v="2014-06-10T00:00:00"/>
    <n v="9835"/>
    <n v="109.28"/>
    <n v="35.840000000000003"/>
    <n v="1074768.8"/>
    <n v="352486.40000000002"/>
    <n v="722282.4"/>
  </r>
  <r>
    <x v="3"/>
    <s v="Jordan"/>
    <s v="Meat"/>
    <s v="Offline"/>
    <s v="H"/>
    <s v="12/18/2013"/>
    <n v="132294547"/>
    <d v="2014-10-01T00:00:00"/>
    <n v="7751"/>
    <n v="421.89"/>
    <n v="364.69"/>
    <n v="3270069.39"/>
    <n v="2826712.19"/>
    <n v="443357.2"/>
  </r>
  <r>
    <x v="5"/>
    <s v="Guinea-Bissau"/>
    <s v="Household"/>
    <s v="Offline"/>
    <s v="C"/>
    <d v="2017-04-04T00:00:00"/>
    <n v="598767602"/>
    <s v="5/21/2017"/>
    <n v="7494"/>
    <n v="668.27"/>
    <n v="502.54"/>
    <n v="5008015.38"/>
    <n v="3766034.76"/>
    <n v="1241980.6200000001"/>
  </r>
  <r>
    <x v="2"/>
    <s v="Uzbekistan"/>
    <s v="Cereal"/>
    <s v="Offline"/>
    <s v="C"/>
    <s v="9/25/2016"/>
    <n v="864808833"/>
    <d v="2016-09-10T00:00:00"/>
    <n v="5007"/>
    <n v="205.7"/>
    <n v="117.11"/>
    <n v="1029939.9"/>
    <n v="586369.77"/>
    <n v="443570.13"/>
  </r>
  <r>
    <x v="4"/>
    <s v="Vanuatu"/>
    <s v="Meat"/>
    <s v="Offline"/>
    <s v="L"/>
    <s v="2/25/2013"/>
    <n v="210154569"/>
    <s v="3/17/2013"/>
    <n v="8262"/>
    <n v="421.89"/>
    <n v="364.69"/>
    <n v="3485655.18"/>
    <n v="3013068.78"/>
    <n v="472586.4"/>
  </r>
  <r>
    <x v="1"/>
    <s v="Portugal"/>
    <s v="Clothes"/>
    <s v="Offline"/>
    <s v="H"/>
    <s v="2/15/2012"/>
    <n v="684853637"/>
    <d v="2012-03-04T00:00:00"/>
    <n v="2265"/>
    <n v="109.28"/>
    <n v="35.840000000000003"/>
    <n v="247519.2"/>
    <n v="81177.600000000006"/>
    <n v="166341.6"/>
  </r>
  <r>
    <x v="6"/>
    <s v="Canada"/>
    <s v="Fruits"/>
    <s v="Offline"/>
    <s v="M"/>
    <s v="9/30/2012"/>
    <n v="359267365"/>
    <s v="11/14/2012"/>
    <n v="4052"/>
    <n v="9.33"/>
    <n v="6.92"/>
    <n v="37805.160000000003"/>
    <n v="28039.84"/>
    <n v="9765.32"/>
  </r>
  <r>
    <x v="0"/>
    <s v="Dominican Republic"/>
    <s v="Clothes"/>
    <s v="Online"/>
    <s v="M"/>
    <s v="5/28/2011"/>
    <n v="974069583"/>
    <d v="2011-12-07T00:00:00"/>
    <n v="7690"/>
    <n v="109.28"/>
    <n v="35.840000000000003"/>
    <n v="840363.2"/>
    <n v="275609.59999999998"/>
    <n v="564753.6"/>
  </r>
  <r>
    <x v="4"/>
    <s v="East Timor"/>
    <s v="Meat"/>
    <s v="Offline"/>
    <s v="C"/>
    <d v="2013-10-02T00:00:00"/>
    <n v="290246617"/>
    <s v="3/28/2013"/>
    <n v="9279"/>
    <n v="421.89"/>
    <n v="364.69"/>
    <n v="3914717.31"/>
    <n v="3383958.51"/>
    <n v="530758.80000000005"/>
  </r>
  <r>
    <x v="3"/>
    <s v="Libya"/>
    <s v="Cereal"/>
    <s v="Online"/>
    <s v="H"/>
    <d v="2012-04-08T00:00:00"/>
    <n v="639097297"/>
    <d v="2012-08-09T00:00:00"/>
    <n v="1947"/>
    <n v="205.7"/>
    <n v="117.11"/>
    <n v="400497.9"/>
    <n v="228013.17"/>
    <n v="172484.73"/>
  </r>
  <r>
    <x v="4"/>
    <s v="Tuvalu"/>
    <s v="Household"/>
    <s v="Online"/>
    <s v="C"/>
    <s v="3/18/2013"/>
    <n v="372232949"/>
    <s v="3/30/2013"/>
    <n v="856"/>
    <n v="668.27"/>
    <n v="502.54"/>
    <n v="572039.12"/>
    <n v="430174.24"/>
    <n v="141864.88"/>
  </r>
  <r>
    <x v="3"/>
    <s v="Qatar"/>
    <s v="Household"/>
    <s v="Online"/>
    <s v="L"/>
    <d v="2015-08-08T00:00:00"/>
    <n v="611577403"/>
    <s v="8/23/2015"/>
    <n v="8199"/>
    <n v="668.27"/>
    <n v="502.54"/>
    <n v="5479145.7300000004"/>
    <n v="4120325.46"/>
    <n v="1358820.27"/>
  </r>
  <r>
    <x v="5"/>
    <s v="Ghana"/>
    <s v="Baby Food"/>
    <s v="Offline"/>
    <s v="M"/>
    <s v="11/25/2013"/>
    <n v="299366986"/>
    <d v="2014-10-01T00:00:00"/>
    <n v="8199"/>
    <n v="255.28"/>
    <n v="159.41999999999999"/>
    <n v="2093040.72"/>
    <n v="1307084.58"/>
    <n v="785956.14"/>
  </r>
  <r>
    <x v="5"/>
    <s v="Namibia"/>
    <s v="Snacks"/>
    <s v="Online"/>
    <s v="H"/>
    <s v="8/30/2014"/>
    <n v="248150527"/>
    <d v="2014-12-10T00:00:00"/>
    <n v="2110"/>
    <n v="152.58000000000001"/>
    <n v="97.44"/>
    <n v="321943.8"/>
    <n v="205598.4"/>
    <n v="116345.4"/>
  </r>
  <r>
    <x v="0"/>
    <s v="Antigua and Barbuda "/>
    <s v="Fruits"/>
    <s v="Online"/>
    <s v="H"/>
    <d v="2010-12-05T00:00:00"/>
    <n v="890789353"/>
    <s v="5/21/2010"/>
    <n v="3220"/>
    <n v="9.33"/>
    <n v="6.92"/>
    <n v="30042.6"/>
    <n v="22282.400000000001"/>
    <n v="7760.2"/>
  </r>
  <r>
    <x v="1"/>
    <s v="Montenegro"/>
    <s v="Cereal"/>
    <s v="Offline"/>
    <s v="H"/>
    <s v="6/20/2013"/>
    <n v="930457293"/>
    <s v="7/26/2013"/>
    <n v="1845"/>
    <n v="205.7"/>
    <n v="117.11"/>
    <n v="379516.5"/>
    <n v="216067.95"/>
    <n v="163448.54999999999"/>
  </r>
  <r>
    <x v="5"/>
    <s v="Uganda"/>
    <s v="Cereal"/>
    <s v="Online"/>
    <s v="M"/>
    <s v="10/22/2014"/>
    <n v="490640676"/>
    <s v="11/19/2014"/>
    <n v="334"/>
    <n v="205.7"/>
    <n v="117.11"/>
    <n v="68703.8"/>
    <n v="39114.74"/>
    <n v="29589.06"/>
  </r>
  <r>
    <x v="5"/>
    <s v="Equatorial Guinea"/>
    <s v="Fruits"/>
    <s v="Online"/>
    <s v="H"/>
    <s v="1/17/2010"/>
    <n v="665138328"/>
    <s v="2/14/2010"/>
    <n v="8067"/>
    <n v="9.33"/>
    <n v="6.92"/>
    <n v="75265.11"/>
    <n v="55823.64"/>
    <n v="19441.47"/>
  </r>
  <r>
    <x v="0"/>
    <s v="Jamaica"/>
    <s v="Baby Food"/>
    <s v="Online"/>
    <s v="M"/>
    <s v="1/23/2011"/>
    <n v="368061578"/>
    <d v="2011-06-03T00:00:00"/>
    <n v="6455"/>
    <n v="255.28"/>
    <n v="159.41999999999999"/>
    <n v="1647832.4"/>
    <n v="1029056.1"/>
    <n v="618776.30000000005"/>
  </r>
  <r>
    <x v="0"/>
    <s v="Saint Lucia"/>
    <s v="Cosmetics"/>
    <s v="Offline"/>
    <s v="M"/>
    <s v="11/15/2011"/>
    <n v="383834254"/>
    <s v="11/28/2011"/>
    <n v="3940"/>
    <n v="437.2"/>
    <n v="263.33"/>
    <n v="1722568"/>
    <n v="1037520.2"/>
    <n v="685047.8"/>
  </r>
  <r>
    <x v="5"/>
    <s v="Ghana"/>
    <s v="Cosmetics"/>
    <s v="Offline"/>
    <s v="C"/>
    <s v="2/15/2015"/>
    <n v="217192685"/>
    <s v="2/15/2015"/>
    <n v="997"/>
    <n v="437.2"/>
    <n v="263.33"/>
    <n v="435888.4"/>
    <n v="262540.01"/>
    <n v="173348.39"/>
  </r>
  <r>
    <x v="1"/>
    <s v="Estonia"/>
    <s v="Office Supplies"/>
    <s v="Offline"/>
    <s v="H"/>
    <d v="2013-07-03T00:00:00"/>
    <n v="343185698"/>
    <s v="4/25/2013"/>
    <n v="5129"/>
    <n v="651.21"/>
    <n v="524.96"/>
    <n v="3340056.09"/>
    <n v="2692519.84"/>
    <n v="647536.25"/>
  </r>
  <r>
    <x v="0"/>
    <s v="Honduras"/>
    <s v="Vegetables"/>
    <s v="Online"/>
    <s v="L"/>
    <d v="2014-09-08T00:00:00"/>
    <n v="857174623"/>
    <s v="8/27/2014"/>
    <n v="5874"/>
    <n v="154.06"/>
    <n v="90.93"/>
    <n v="904948.44"/>
    <n v="534122.81999999995"/>
    <n v="370825.62"/>
  </r>
  <r>
    <x v="3"/>
    <s v="Syria"/>
    <s v="Fruits"/>
    <s v="Offline"/>
    <s v="C"/>
    <d v="2010-05-02T00:00:00"/>
    <n v="124833285"/>
    <d v="2010-10-02T00:00:00"/>
    <n v="9798"/>
    <n v="9.33"/>
    <n v="6.92"/>
    <n v="91415.34"/>
    <n v="67802.16"/>
    <n v="23613.18"/>
  </r>
  <r>
    <x v="5"/>
    <s v="Eritrea"/>
    <s v="Fruits"/>
    <s v="Offline"/>
    <s v="L"/>
    <s v="2/22/2014"/>
    <n v="632148015"/>
    <s v="3/14/2014"/>
    <n v="5500"/>
    <n v="9.33"/>
    <n v="6.92"/>
    <n v="51315"/>
    <n v="38060"/>
    <n v="13255"/>
  </r>
  <r>
    <x v="2"/>
    <s v="Indonesia"/>
    <s v="Household"/>
    <s v="Online"/>
    <s v="M"/>
    <s v="10/15/2015"/>
    <n v="435417640"/>
    <s v="10/28/2015"/>
    <n v="8610"/>
    <n v="668.27"/>
    <n v="502.54"/>
    <n v="5753804.7000000002"/>
    <n v="4326869.4000000004"/>
    <n v="1426935.3"/>
  </r>
  <r>
    <x v="4"/>
    <s v="Kiribati"/>
    <s v="Office Supplies"/>
    <s v="Offline"/>
    <s v="L"/>
    <s v="9/15/2012"/>
    <n v="811253488"/>
    <s v="10/31/2012"/>
    <n v="6790"/>
    <n v="651.21"/>
    <n v="524.96"/>
    <n v="4421715.9000000004"/>
    <n v="3564478.4"/>
    <n v="857237.5"/>
  </r>
  <r>
    <x v="0"/>
    <s v="Saint Kitts and Nevis "/>
    <s v="Meat"/>
    <s v="Online"/>
    <s v="L"/>
    <d v="2015-05-01T00:00:00"/>
    <n v="406579387"/>
    <s v="1/24/2015"/>
    <n v="4730"/>
    <n v="421.89"/>
    <n v="364.69"/>
    <n v="1995539.7"/>
    <n v="1724983.7"/>
    <n v="270556"/>
  </r>
  <r>
    <x v="3"/>
    <s v="Tunisia "/>
    <s v="Clothes"/>
    <s v="Online"/>
    <s v="H"/>
    <s v="2/26/2011"/>
    <n v="188631665"/>
    <s v="4/13/2011"/>
    <n v="9156"/>
    <n v="109.28"/>
    <n v="35.840000000000003"/>
    <n v="1000567.68"/>
    <n v="328151.03999999998"/>
    <n v="672416.64"/>
  </r>
  <r>
    <x v="3"/>
    <s v="Somalia"/>
    <s v="Cosmetics"/>
    <s v="Online"/>
    <s v="C"/>
    <s v="2/25/2017"/>
    <n v="294959151"/>
    <s v="3/26/2017"/>
    <n v="3822"/>
    <n v="437.2"/>
    <n v="263.33"/>
    <n v="1670978.4"/>
    <n v="1006447.26"/>
    <n v="664531.14"/>
  </r>
  <r>
    <x v="4"/>
    <s v="Solomon Islands"/>
    <s v="Vegetables"/>
    <s v="Online"/>
    <s v="C"/>
    <s v="3/26/2012"/>
    <n v="483423173"/>
    <s v="4/29/2012"/>
    <n v="4514"/>
    <n v="154.06"/>
    <n v="90.93"/>
    <n v="695426.84"/>
    <n v="410458.02"/>
    <n v="284968.82"/>
  </r>
  <r>
    <x v="3"/>
    <s v="Tunisia "/>
    <s v="Cereal"/>
    <s v="Offline"/>
    <s v="M"/>
    <d v="2010-04-10T00:00:00"/>
    <n v="582197558"/>
    <s v="10/17/2010"/>
    <n v="4050"/>
    <n v="205.7"/>
    <n v="117.11"/>
    <n v="833085"/>
    <n v="474295.5"/>
    <n v="358789.5"/>
  </r>
  <r>
    <x v="5"/>
    <s v="Cameroon"/>
    <s v="Snacks"/>
    <s v="Online"/>
    <s v="H"/>
    <d v="2013-06-01T00:00:00"/>
    <n v="939768636"/>
    <d v="2013-10-02T00:00:00"/>
    <n v="7278"/>
    <n v="152.58000000000001"/>
    <n v="97.44"/>
    <n v="1110477.24"/>
    <n v="709168.32"/>
    <n v="401308.92"/>
  </r>
  <r>
    <x v="1"/>
    <s v="France"/>
    <s v="Cosmetics"/>
    <s v="Online"/>
    <s v="M"/>
    <s v="7/26/2016"/>
    <n v="174935233"/>
    <s v="7/29/2016"/>
    <n v="6078"/>
    <n v="437.2"/>
    <n v="263.33"/>
    <n v="2657301.6"/>
    <n v="1600519.74"/>
    <n v="1056781.8600000001"/>
  </r>
  <r>
    <x v="3"/>
    <s v="Egypt"/>
    <s v="Meat"/>
    <s v="Online"/>
    <s v="H"/>
    <s v="6/20/2012"/>
    <n v="126808679"/>
    <s v="7/29/2012"/>
    <n v="4361"/>
    <n v="421.89"/>
    <n v="364.69"/>
    <n v="1839862.29"/>
    <n v="1590413.09"/>
    <n v="249449.2"/>
  </r>
  <r>
    <x v="1"/>
    <s v="Romania"/>
    <s v="Fruits"/>
    <s v="Offline"/>
    <s v="M"/>
    <d v="2011-09-10T00:00:00"/>
    <n v="904812800"/>
    <s v="11/24/2011"/>
    <n v="3069"/>
    <n v="9.33"/>
    <n v="6.92"/>
    <n v="28633.77"/>
    <n v="21237.48"/>
    <n v="7396.29"/>
  </r>
  <r>
    <x v="1"/>
    <s v="Romania"/>
    <s v="Personal Care"/>
    <s v="Online"/>
    <s v="L"/>
    <s v="6/13/2011"/>
    <n v="438683927"/>
    <s v="7/29/2011"/>
    <n v="5177"/>
    <n v="81.73"/>
    <n v="56.67"/>
    <n v="423116.21"/>
    <n v="293380.59000000003"/>
    <n v="129735.62"/>
  </r>
  <r>
    <x v="5"/>
    <s v="Kenya"/>
    <s v="Snacks"/>
    <s v="Online"/>
    <s v="H"/>
    <s v="4/27/2013"/>
    <n v="328470885"/>
    <d v="2013-12-06T00:00:00"/>
    <n v="689"/>
    <n v="152.58000000000001"/>
    <n v="97.44"/>
    <n v="105127.62"/>
    <n v="67136.160000000003"/>
    <n v="37991.46"/>
  </r>
  <r>
    <x v="5"/>
    <s v="Tanzania"/>
    <s v="Baby Food"/>
    <s v="Offline"/>
    <s v="M"/>
    <s v="9/15/2012"/>
    <n v="894535005"/>
    <d v="2012-03-10T00:00:00"/>
    <n v="1641"/>
    <n v="255.28"/>
    <n v="159.41999999999999"/>
    <n v="418914.48"/>
    <n v="261608.22"/>
    <n v="157306.26"/>
  </r>
  <r>
    <x v="5"/>
    <s v="Comoros"/>
    <s v="Fruits"/>
    <s v="Online"/>
    <s v="L"/>
    <d v="2017-05-05T00:00:00"/>
    <n v="727550113"/>
    <s v="5/29/2017"/>
    <n v="7101"/>
    <n v="9.33"/>
    <n v="6.92"/>
    <n v="66252.33"/>
    <n v="49138.92"/>
    <n v="17113.41"/>
  </r>
  <r>
    <x v="4"/>
    <s v="Vanuatu"/>
    <s v="Office Supplies"/>
    <s v="Online"/>
    <s v="C"/>
    <s v="4/25/2013"/>
    <n v="738502538"/>
    <s v="5/29/2013"/>
    <n v="8167"/>
    <n v="651.21"/>
    <n v="524.96"/>
    <n v="5318432.07"/>
    <n v="4287348.32"/>
    <n v="1031083.75"/>
  </r>
  <r>
    <x v="4"/>
    <s v="Fiji"/>
    <s v="Office Supplies"/>
    <s v="Offline"/>
    <s v="C"/>
    <d v="2014-12-04T00:00:00"/>
    <n v="108691108"/>
    <s v="4/24/2014"/>
    <n v="2969"/>
    <n v="651.21"/>
    <n v="524.96"/>
    <n v="1933442.49"/>
    <n v="1558606.24"/>
    <n v="374836.25"/>
  </r>
  <r>
    <x v="0"/>
    <s v="Costa Rica"/>
    <s v="Cosmetics"/>
    <s v="Online"/>
    <s v="C"/>
    <s v="3/27/2012"/>
    <n v="339727151"/>
    <s v="4/27/2012"/>
    <n v="1668"/>
    <n v="437.2"/>
    <n v="263.33"/>
    <n v="729249.6"/>
    <n v="439234.44"/>
    <n v="290015.15999999997"/>
  </r>
  <r>
    <x v="1"/>
    <s v="Iceland"/>
    <s v="Fruits"/>
    <s v="Offline"/>
    <s v="H"/>
    <s v="8/13/2011"/>
    <n v="303534495"/>
    <s v="8/18/2011"/>
    <n v="1457"/>
    <n v="9.33"/>
    <n v="6.92"/>
    <n v="13593.81"/>
    <n v="10082.44"/>
    <n v="3511.37"/>
  </r>
  <r>
    <x v="5"/>
    <s v="Burkina Faso"/>
    <s v="Office Supplies"/>
    <s v="Online"/>
    <s v="L"/>
    <d v="2010-01-05T00:00:00"/>
    <n v="292349469"/>
    <d v="2010-11-05T00:00:00"/>
    <n v="1559"/>
    <n v="651.21"/>
    <n v="524.96"/>
    <n v="1015236.39"/>
    <n v="818412.64"/>
    <n v="196823.75"/>
  </r>
  <r>
    <x v="3"/>
    <s v="Morocco"/>
    <s v="Cosmetics"/>
    <s v="Offline"/>
    <s v="H"/>
    <s v="2/26/2011"/>
    <n v="668720901"/>
    <d v="2011-09-03T00:00:00"/>
    <n v="8230"/>
    <n v="437.2"/>
    <n v="263.33"/>
    <n v="3598156"/>
    <n v="2167205.9"/>
    <n v="1430950.1"/>
  </r>
  <r>
    <x v="0"/>
    <s v="Guatemala"/>
    <s v="Cereal"/>
    <s v="Offline"/>
    <s v="L"/>
    <d v="2010-07-05T00:00:00"/>
    <n v="515510118"/>
    <d v="2010-11-06T00:00:00"/>
    <n v="9754"/>
    <n v="205.7"/>
    <n v="117.11"/>
    <n v="2006397.8"/>
    <n v="1142290.94"/>
    <n v="864106.86"/>
  </r>
  <r>
    <x v="5"/>
    <s v="South Africa"/>
    <s v="Meat"/>
    <s v="Offline"/>
    <s v="C"/>
    <d v="2016-06-08T00:00:00"/>
    <n v="785890948"/>
    <s v="9/24/2016"/>
    <n v="1451"/>
    <n v="421.89"/>
    <n v="364.69"/>
    <n v="612162.39"/>
    <n v="529165.18999999994"/>
    <n v="82997.2"/>
  </r>
  <r>
    <x v="5"/>
    <s v="Zimbabwe"/>
    <s v="Snacks"/>
    <s v="Online"/>
    <s v="C"/>
    <d v="2016-06-12T00:00:00"/>
    <n v="253349721"/>
    <d v="2017-06-01T00:00:00"/>
    <n v="667"/>
    <n v="152.58000000000001"/>
    <n v="97.44"/>
    <n v="101770.86"/>
    <n v="64992.480000000003"/>
    <n v="36778.379999999997"/>
  </r>
  <r>
    <x v="2"/>
    <s v="India"/>
    <s v="Fruits"/>
    <s v="Offline"/>
    <s v="L"/>
    <s v="10/24/2010"/>
    <n v="461685264"/>
    <s v="10/24/2010"/>
    <n v="1784"/>
    <n v="9.33"/>
    <n v="6.92"/>
    <n v="16644.72"/>
    <n v="12345.28"/>
    <n v="4299.4399999999996"/>
  </r>
  <r>
    <x v="1"/>
    <s v="Liechtenstein"/>
    <s v="Baby Food"/>
    <s v="Online"/>
    <s v="M"/>
    <s v="11/26/2013"/>
    <n v="775008904"/>
    <d v="2014-02-01T00:00:00"/>
    <n v="1212"/>
    <n v="255.28"/>
    <n v="159.41999999999999"/>
    <n v="309399.36"/>
    <n v="193217.04"/>
    <n v="116182.32"/>
  </r>
  <r>
    <x v="0"/>
    <s v="Guatemala"/>
    <s v="Fruits"/>
    <s v="Online"/>
    <s v="C"/>
    <d v="2016-07-06T00:00:00"/>
    <n v="627744472"/>
    <s v="6/18/2016"/>
    <n v="2394"/>
    <n v="9.33"/>
    <n v="6.92"/>
    <n v="22336.02"/>
    <n v="16566.48"/>
    <n v="5769.54"/>
  </r>
  <r>
    <x v="2"/>
    <s v="Taiwan"/>
    <s v="Beverages"/>
    <s v="Online"/>
    <s v="H"/>
    <d v="2017-07-04T00:00:00"/>
    <n v="874628293"/>
    <d v="2017-11-04T00:00:00"/>
    <n v="803"/>
    <n v="47.45"/>
    <n v="31.79"/>
    <n v="38102.35"/>
    <n v="25527.37"/>
    <n v="12574.98"/>
  </r>
  <r>
    <x v="5"/>
    <s v="Lesotho"/>
    <s v="Baby Food"/>
    <s v="Online"/>
    <s v="M"/>
    <s v="7/17/2012"/>
    <n v="640709197"/>
    <s v="8/24/2012"/>
    <n v="8944"/>
    <n v="255.28"/>
    <n v="159.41999999999999"/>
    <n v="2283224.3199999998"/>
    <n v="1425852.48"/>
    <n v="857371.84"/>
  </r>
  <r>
    <x v="1"/>
    <s v="Greece"/>
    <s v="Fruits"/>
    <s v="Online"/>
    <s v="M"/>
    <s v="8/16/2014"/>
    <n v="471348512"/>
    <d v="2014-01-10T00:00:00"/>
    <n v="1354"/>
    <n v="9.33"/>
    <n v="6.92"/>
    <n v="12632.82"/>
    <n v="9369.68"/>
    <n v="3263.14"/>
  </r>
  <r>
    <x v="4"/>
    <s v="Tuvalu"/>
    <s v="Household"/>
    <s v="Offline"/>
    <s v="H"/>
    <d v="2010-01-06T00:00:00"/>
    <n v="982220065"/>
    <d v="2010-01-06T00:00:00"/>
    <n v="9599"/>
    <n v="668.27"/>
    <n v="502.54"/>
    <n v="6414723.7300000004"/>
    <n v="4823881.46"/>
    <n v="1590842.27"/>
  </r>
  <r>
    <x v="5"/>
    <s v="Cape Verde"/>
    <s v="Snacks"/>
    <s v="Offline"/>
    <s v="C"/>
    <s v="8/14/2010"/>
    <n v="609310185"/>
    <s v="9/21/2010"/>
    <n v="7279"/>
    <n v="152.58000000000001"/>
    <n v="97.44"/>
    <n v="1110629.82"/>
    <n v="709265.76"/>
    <n v="401364.06"/>
  </r>
  <r>
    <x v="5"/>
    <s v="Tanzania"/>
    <s v="Office Supplies"/>
    <s v="Offline"/>
    <s v="L"/>
    <s v="8/21/2015"/>
    <n v="558917701"/>
    <s v="9/21/2015"/>
    <n v="5023"/>
    <n v="651.21"/>
    <n v="524.96"/>
    <n v="3271027.83"/>
    <n v="2636874.08"/>
    <n v="634153.75"/>
  </r>
  <r>
    <x v="5"/>
    <s v="Togo"/>
    <s v="Beverages"/>
    <s v="Online"/>
    <s v="M"/>
    <s v="10/17/2011"/>
    <n v="757653939"/>
    <d v="2011-04-11T00:00:00"/>
    <n v="5492"/>
    <n v="47.45"/>
    <n v="31.79"/>
    <n v="260595.4"/>
    <n v="174590.68"/>
    <n v="86004.72"/>
  </r>
  <r>
    <x v="1"/>
    <s v="Malta"/>
    <s v="Baby Food"/>
    <s v="Offline"/>
    <s v="C"/>
    <s v="12/23/2012"/>
    <n v="302442729"/>
    <s v="1/17/2013"/>
    <n v="8379"/>
    <n v="255.28"/>
    <n v="159.41999999999999"/>
    <n v="2138991.12"/>
    <n v="1335780.18"/>
    <n v="803210.94"/>
  </r>
  <r>
    <x v="2"/>
    <s v="Kazakhstan"/>
    <s v="Snacks"/>
    <s v="Online"/>
    <s v="L"/>
    <d v="2011-06-06T00:00:00"/>
    <n v="610520398"/>
    <s v="7/15/2011"/>
    <n v="5408"/>
    <n v="152.58000000000001"/>
    <n v="97.44"/>
    <n v="825152.64"/>
    <n v="526955.52000000002"/>
    <n v="298197.12"/>
  </r>
  <r>
    <x v="5"/>
    <s v="Gabon"/>
    <s v="Beverages"/>
    <s v="Online"/>
    <s v="H"/>
    <s v="10/24/2011"/>
    <n v="469435775"/>
    <d v="2011-02-12T00:00:00"/>
    <n v="5333"/>
    <n v="47.45"/>
    <n v="31.79"/>
    <n v="253050.85"/>
    <n v="169536.07"/>
    <n v="83514.78"/>
  </r>
  <r>
    <x v="1"/>
    <s v="Macedonia"/>
    <s v="Vegetables"/>
    <s v="Online"/>
    <s v="C"/>
    <d v="2012-12-04T00:00:00"/>
    <n v="987050187"/>
    <s v="4/25/2012"/>
    <n v="8940"/>
    <n v="154.06"/>
    <n v="90.93"/>
    <n v="1377296.4"/>
    <n v="812914.2"/>
    <n v="564382.19999999995"/>
  </r>
  <r>
    <x v="1"/>
    <s v="Bulgaria"/>
    <s v="Office Supplies"/>
    <s v="Online"/>
    <s v="H"/>
    <d v="2015-02-11T00:00:00"/>
    <n v="641537463"/>
    <s v="12/14/2015"/>
    <n v="4047"/>
    <n v="651.21"/>
    <n v="524.96"/>
    <n v="2635446.87"/>
    <n v="2124513.12"/>
    <n v="510933.75"/>
  </r>
  <r>
    <x v="0"/>
    <s v="Cuba"/>
    <s v="Cosmetics"/>
    <s v="Offline"/>
    <s v="C"/>
    <s v="5/31/2011"/>
    <n v="231383931"/>
    <s v="6/16/2011"/>
    <n v="502"/>
    <n v="437.2"/>
    <n v="263.33"/>
    <n v="219474.4"/>
    <n v="132191.66"/>
    <n v="87282.74"/>
  </r>
  <r>
    <x v="5"/>
    <s v="Guinea-Bissau"/>
    <s v="Personal Care"/>
    <s v="Online"/>
    <s v="H"/>
    <d v="2015-02-07T00:00:00"/>
    <n v="625388419"/>
    <s v="7/19/2015"/>
    <n v="5186"/>
    <n v="81.73"/>
    <n v="56.67"/>
    <n v="423851.78"/>
    <n v="293890.62"/>
    <n v="129961.16"/>
  </r>
  <r>
    <x v="1"/>
    <s v="Czech Republic"/>
    <s v="Household"/>
    <s v="Offline"/>
    <s v="L"/>
    <s v="5/15/2015"/>
    <n v="512662255"/>
    <s v="6/22/2015"/>
    <n v="7009"/>
    <n v="668.27"/>
    <n v="502.54"/>
    <n v="4683904.43"/>
    <n v="3522302.86"/>
    <n v="1161601.57"/>
  </r>
  <r>
    <x v="2"/>
    <s v="Laos"/>
    <s v="Fruits"/>
    <s v="Online"/>
    <s v="L"/>
    <s v="9/17/2010"/>
    <n v="452629268"/>
    <s v="9/26/2010"/>
    <n v="1914"/>
    <n v="9.33"/>
    <n v="6.92"/>
    <n v="17857.62"/>
    <n v="13244.88"/>
    <n v="4612.74"/>
  </r>
  <r>
    <x v="5"/>
    <s v="Chad"/>
    <s v="Baby Food"/>
    <s v="Online"/>
    <s v="H"/>
    <d v="2017-07-06T00:00:00"/>
    <n v="625025784"/>
    <d v="2017-04-07T00:00:00"/>
    <n v="7874"/>
    <n v="255.28"/>
    <n v="159.41999999999999"/>
    <n v="2010074.72"/>
    <n v="1255273.08"/>
    <n v="754801.64"/>
  </r>
  <r>
    <x v="1"/>
    <s v="Germany"/>
    <s v="Clothes"/>
    <s v="Offline"/>
    <s v="L"/>
    <d v="2010-07-11T00:00:00"/>
    <n v="379900634"/>
    <d v="2010-02-12T00:00:00"/>
    <n v="9895"/>
    <n v="109.28"/>
    <n v="35.840000000000003"/>
    <n v="1081325.6000000001"/>
    <n v="354636.79999999999"/>
    <n v="726688.8"/>
  </r>
  <r>
    <x v="2"/>
    <s v="China"/>
    <s v="Cereal"/>
    <s v="Online"/>
    <s v="C"/>
    <d v="2012-12-10T00:00:00"/>
    <n v="487615144"/>
    <d v="2012-01-12T00:00:00"/>
    <n v="5012"/>
    <n v="205.7"/>
    <n v="117.11"/>
    <n v="1030968.4"/>
    <n v="586955.31999999995"/>
    <n v="444013.08"/>
  </r>
  <r>
    <x v="2"/>
    <s v="Myanmar"/>
    <s v="Personal Care"/>
    <s v="Offline"/>
    <s v="L"/>
    <s v="1/15/2012"/>
    <n v="888843142"/>
    <s v="2/19/2012"/>
    <n v="7293"/>
    <n v="81.73"/>
    <n v="56.67"/>
    <n v="596056.89"/>
    <n v="413294.31"/>
    <n v="182762.58"/>
  </r>
  <r>
    <x v="5"/>
    <s v="Namibia"/>
    <s v="Personal Care"/>
    <s v="Offline"/>
    <s v="H"/>
    <s v="8/20/2013"/>
    <n v="244570958"/>
    <s v="9/19/2013"/>
    <n v="2836"/>
    <n v="81.73"/>
    <n v="56.67"/>
    <n v="231786.28"/>
    <n v="160716.12"/>
    <n v="71070.16"/>
  </r>
  <r>
    <x v="4"/>
    <s v="Australia"/>
    <s v="Personal Care"/>
    <s v="Offline"/>
    <s v="L"/>
    <s v="4/17/2012"/>
    <n v="886097419"/>
    <d v="2012-08-05T00:00:00"/>
    <n v="4772"/>
    <n v="81.73"/>
    <n v="56.67"/>
    <n v="390015.56"/>
    <n v="270429.24"/>
    <n v="119586.32"/>
  </r>
  <r>
    <x v="4"/>
    <s v="Australia"/>
    <s v="Snacks"/>
    <s v="Offline"/>
    <s v="M"/>
    <s v="5/19/2011"/>
    <n v="265033853"/>
    <s v="5/26/2011"/>
    <n v="8261"/>
    <n v="152.58000000000001"/>
    <n v="97.44"/>
    <n v="1260463.3799999999"/>
    <n v="804951.84"/>
    <n v="455511.54"/>
  </r>
  <r>
    <x v="5"/>
    <s v="Lesotho"/>
    <s v="Household"/>
    <s v="Online"/>
    <s v="M"/>
    <s v="7/13/2011"/>
    <n v="403304088"/>
    <d v="2011-09-08T00:00:00"/>
    <n v="5497"/>
    <n v="668.27"/>
    <n v="502.54"/>
    <n v="3673480.19"/>
    <n v="2762462.38"/>
    <n v="911017.81"/>
  </r>
  <r>
    <x v="1"/>
    <s v="Georgia"/>
    <s v="Cereal"/>
    <s v="Online"/>
    <s v="H"/>
    <s v="6/14/2014"/>
    <n v="243144452"/>
    <s v="7/16/2014"/>
    <n v="701"/>
    <n v="205.7"/>
    <n v="117.11"/>
    <n v="144195.70000000001"/>
    <n v="82094.11"/>
    <n v="62101.59"/>
  </r>
  <r>
    <x v="5"/>
    <s v="Seychelles "/>
    <s v="Vegetables"/>
    <s v="Online"/>
    <s v="H"/>
    <s v="7/21/2011"/>
    <n v="597103774"/>
    <d v="2011-01-08T00:00:00"/>
    <n v="5131"/>
    <n v="154.06"/>
    <n v="90.93"/>
    <n v="790481.86"/>
    <n v="466561.83"/>
    <n v="323920.03000000003"/>
  </r>
  <r>
    <x v="1"/>
    <s v="Malta"/>
    <s v="Cosmetics"/>
    <s v="Online"/>
    <s v="H"/>
    <s v="6/15/2010"/>
    <n v="998043382"/>
    <d v="2010-03-07T00:00:00"/>
    <n v="2070"/>
    <n v="437.2"/>
    <n v="263.33"/>
    <n v="905004"/>
    <n v="545093.1"/>
    <n v="359910.9"/>
  </r>
  <r>
    <x v="0"/>
    <s v="Belize"/>
    <s v="Clothes"/>
    <s v="Offline"/>
    <s v="M"/>
    <s v="1/21/2016"/>
    <n v="149137103"/>
    <d v="2016-04-03T00:00:00"/>
    <n v="1838"/>
    <n v="109.28"/>
    <n v="35.840000000000003"/>
    <n v="200856.64"/>
    <n v="65873.919999999998"/>
    <n v="134982.72"/>
  </r>
  <r>
    <x v="5"/>
    <s v="Cameroon"/>
    <s v="Snacks"/>
    <s v="Offline"/>
    <s v="C"/>
    <d v="2011-09-08T00:00:00"/>
    <n v="873871266"/>
    <s v="9/19/2011"/>
    <n v="6782"/>
    <n v="152.58000000000001"/>
    <n v="97.44"/>
    <n v="1034797.56"/>
    <n v="660838.07999999996"/>
    <n v="373959.48"/>
  </r>
  <r>
    <x v="0"/>
    <s v="Dominica"/>
    <s v="Cosmetics"/>
    <s v="Offline"/>
    <s v="C"/>
    <s v="6/27/2015"/>
    <n v="666044700"/>
    <d v="2015-01-07T00:00:00"/>
    <n v="6282"/>
    <n v="437.2"/>
    <n v="263.33"/>
    <n v="2746490.4"/>
    <n v="1654239.06"/>
    <n v="1092251.3400000001"/>
  </r>
  <r>
    <x v="4"/>
    <s v="Marshall Islands"/>
    <s v="Vegetables"/>
    <s v="Online"/>
    <s v="L"/>
    <d v="2016-12-11T00:00:00"/>
    <n v="239768731"/>
    <s v="12/22/2016"/>
    <n v="1751"/>
    <n v="154.06"/>
    <n v="90.93"/>
    <n v="269759.06"/>
    <n v="159218.43"/>
    <n v="110540.63"/>
  </r>
  <r>
    <x v="5"/>
    <s v="Niger"/>
    <s v="Cereal"/>
    <s v="Offline"/>
    <s v="C"/>
    <s v="4/29/2017"/>
    <n v="379467189"/>
    <d v="2017-09-06T00:00:00"/>
    <n v="1629"/>
    <n v="205.7"/>
    <n v="117.11"/>
    <n v="335085.3"/>
    <n v="190772.19"/>
    <n v="144313.10999999999"/>
  </r>
  <r>
    <x v="3"/>
    <s v="Somalia"/>
    <s v="Beverages"/>
    <s v="Online"/>
    <s v="L"/>
    <s v="12/14/2011"/>
    <n v="589876401"/>
    <s v="12/29/2011"/>
    <n v="6390"/>
    <n v="47.45"/>
    <n v="31.79"/>
    <n v="303205.5"/>
    <n v="203138.1"/>
    <n v="100067.4"/>
  </r>
  <r>
    <x v="1"/>
    <s v="Spain"/>
    <s v="Fruits"/>
    <s v="Offline"/>
    <s v="L"/>
    <s v="10/24/2015"/>
    <n v="446045196"/>
    <d v="2015-01-11T00:00:00"/>
    <n v="3540"/>
    <n v="9.33"/>
    <n v="6.92"/>
    <n v="33028.199999999997"/>
    <n v="24496.799999999999"/>
    <n v="8531.4"/>
  </r>
  <r>
    <x v="5"/>
    <s v="South Sudan"/>
    <s v="Meat"/>
    <s v="Offline"/>
    <s v="M"/>
    <d v="2014-04-10T00:00:00"/>
    <n v="943334901"/>
    <d v="2014-03-11T00:00:00"/>
    <n v="2615"/>
    <n v="421.89"/>
    <n v="364.69"/>
    <n v="1103242.3500000001"/>
    <n v="953664.35"/>
    <n v="149578"/>
  </r>
  <r>
    <x v="2"/>
    <s v="Bangladesh"/>
    <s v="Beverages"/>
    <s v="Offline"/>
    <s v="H"/>
    <s v="8/21/2014"/>
    <n v="447419345"/>
    <s v="9/18/2014"/>
    <n v="182"/>
    <n v="47.45"/>
    <n v="31.79"/>
    <n v="8635.9"/>
    <n v="5785.78"/>
    <n v="2850.12"/>
  </r>
  <r>
    <x v="1"/>
    <s v="Lithuania"/>
    <s v="Household"/>
    <s v="Offline"/>
    <s v="M"/>
    <s v="10/14/2014"/>
    <n v="544284856"/>
    <s v="10/25/2014"/>
    <n v="4839"/>
    <n v="668.27"/>
    <n v="502.54"/>
    <n v="3233758.53"/>
    <n v="2431791.06"/>
    <n v="801967.47"/>
  </r>
  <r>
    <x v="2"/>
    <s v="Brunei"/>
    <s v="Baby Food"/>
    <s v="Online"/>
    <s v="L"/>
    <s v="10/27/2011"/>
    <n v="190230262"/>
    <s v="11/27/2011"/>
    <n v="2217"/>
    <n v="255.28"/>
    <n v="159.41999999999999"/>
    <n v="565955.76"/>
    <n v="353434.14"/>
    <n v="212521.62"/>
  </r>
  <r>
    <x v="0"/>
    <s v="Panama"/>
    <s v="Snacks"/>
    <s v="Online"/>
    <s v="L"/>
    <s v="12/30/2010"/>
    <n v="661866891"/>
    <s v="2/16/2011"/>
    <n v="9976"/>
    <n v="152.58000000000001"/>
    <n v="97.44"/>
    <n v="1522138.08"/>
    <n v="972061.44"/>
    <n v="550076.64"/>
  </r>
  <r>
    <x v="1"/>
    <s v="Romania"/>
    <s v="Vegetables"/>
    <s v="Offline"/>
    <s v="H"/>
    <d v="2014-06-11T00:00:00"/>
    <n v="606118571"/>
    <s v="11/18/2014"/>
    <n v="2809"/>
    <n v="154.06"/>
    <n v="90.93"/>
    <n v="432754.54"/>
    <n v="255422.37"/>
    <n v="177332.17"/>
  </r>
  <r>
    <x v="0"/>
    <s v="Guatemala"/>
    <s v="Cosmetics"/>
    <s v="Offline"/>
    <s v="H"/>
    <s v="10/28/2011"/>
    <n v="990221631"/>
    <d v="2011-06-12T00:00:00"/>
    <n v="7440"/>
    <n v="437.2"/>
    <n v="263.33"/>
    <n v="3252768"/>
    <n v="1959175.2"/>
    <n v="1293592.8"/>
  </r>
  <r>
    <x v="6"/>
    <s v="Canada"/>
    <s v="Office Supplies"/>
    <s v="Online"/>
    <s v="L"/>
    <s v="5/17/2010"/>
    <n v="151724898"/>
    <s v="6/16/2010"/>
    <n v="7624"/>
    <n v="651.21"/>
    <n v="524.96"/>
    <n v="4964825.04"/>
    <n v="4002295.04"/>
    <n v="962530"/>
  </r>
  <r>
    <x v="0"/>
    <s v="Jamaica"/>
    <s v="Personal Care"/>
    <s v="Offline"/>
    <s v="M"/>
    <d v="2012-11-06T00:00:00"/>
    <n v="548489701"/>
    <s v="7/31/2012"/>
    <n v="9146"/>
    <n v="81.73"/>
    <n v="56.67"/>
    <n v="747502.58"/>
    <n v="518303.82"/>
    <n v="229198.76"/>
  </r>
  <r>
    <x v="0"/>
    <s v="Saint Kitts and Nevis "/>
    <s v="Personal Care"/>
    <s v="Online"/>
    <s v="L"/>
    <d v="2017-01-04T00:00:00"/>
    <n v="208689868"/>
    <d v="2017-03-04T00:00:00"/>
    <n v="4824"/>
    <n v="81.73"/>
    <n v="56.67"/>
    <n v="394265.52"/>
    <n v="273376.08"/>
    <n v="120889.44"/>
  </r>
  <r>
    <x v="3"/>
    <s v="Somalia"/>
    <s v="Clothes"/>
    <s v="Online"/>
    <s v="H"/>
    <d v="2017-02-07T00:00:00"/>
    <n v="380811727"/>
    <d v="2017-06-07T00:00:00"/>
    <n v="9507"/>
    <n v="109.28"/>
    <n v="35.840000000000003"/>
    <n v="1038924.96"/>
    <n v="340730.88"/>
    <n v="698194.08"/>
  </r>
  <r>
    <x v="1"/>
    <s v="Portugal"/>
    <s v="Snacks"/>
    <s v="Online"/>
    <s v="C"/>
    <d v="2010-07-10T00:00:00"/>
    <n v="583654105"/>
    <s v="10/19/2010"/>
    <n v="5075"/>
    <n v="152.58000000000001"/>
    <n v="97.44"/>
    <n v="774343.5"/>
    <n v="494508"/>
    <n v="279835.5"/>
  </r>
  <r>
    <x v="3"/>
    <s v="Tunisia "/>
    <s v="Cereal"/>
    <s v="Online"/>
    <s v="L"/>
    <s v="10/25/2010"/>
    <n v="856328332"/>
    <d v="2010-08-12T00:00:00"/>
    <n v="5438"/>
    <n v="205.7"/>
    <n v="117.11"/>
    <n v="1118596.6000000001"/>
    <n v="636844.18000000005"/>
    <n v="481752.42"/>
  </r>
  <r>
    <x v="4"/>
    <s v="East Timor"/>
    <s v="Baby Food"/>
    <s v="Offline"/>
    <s v="C"/>
    <s v="7/23/2013"/>
    <n v="408258235"/>
    <s v="7/27/2013"/>
    <n v="1539"/>
    <n v="255.28"/>
    <n v="159.41999999999999"/>
    <n v="392875.92"/>
    <n v="245347.38"/>
    <n v="147528.54"/>
  </r>
  <r>
    <x v="5"/>
    <s v="Comoros"/>
    <s v="Household"/>
    <s v="Online"/>
    <s v="C"/>
    <s v="12/19/2015"/>
    <n v="769180142"/>
    <d v="2016-04-01T00:00:00"/>
    <n v="6352"/>
    <n v="668.27"/>
    <n v="502.54"/>
    <n v="4244851.04"/>
    <n v="3192134.08"/>
    <n v="1052716.96"/>
  </r>
  <r>
    <x v="3"/>
    <s v="Libya"/>
    <s v="Meat"/>
    <s v="Online"/>
    <s v="H"/>
    <s v="4/13/2012"/>
    <n v="839142882"/>
    <s v="5/20/2012"/>
    <n v="9881"/>
    <n v="421.89"/>
    <n v="364.69"/>
    <n v="4168695.09"/>
    <n v="3603501.89"/>
    <n v="565193.19999999995"/>
  </r>
  <r>
    <x v="4"/>
    <s v="Australia"/>
    <s v="Office Supplies"/>
    <s v="Online"/>
    <s v="L"/>
    <s v="12/23/2012"/>
    <n v="938507783"/>
    <s v="1/30/2013"/>
    <n v="4164"/>
    <n v="651.21"/>
    <n v="524.96"/>
    <n v="2711638.44"/>
    <n v="2185933.44"/>
    <n v="525705"/>
  </r>
  <r>
    <x v="5"/>
    <s v="Djibouti"/>
    <s v="Household"/>
    <s v="Offline"/>
    <s v="L"/>
    <s v="8/22/2010"/>
    <n v="557948672"/>
    <s v="9/19/2010"/>
    <n v="8266"/>
    <n v="668.27"/>
    <n v="502.54"/>
    <n v="5523919.8200000003"/>
    <n v="4153995.64"/>
    <n v="1369924.18"/>
  </r>
  <r>
    <x v="1"/>
    <s v="Moldova "/>
    <s v="Baby Food"/>
    <s v="Online"/>
    <s v="C"/>
    <s v="1/27/2014"/>
    <n v="608451879"/>
    <d v="2014-01-03T00:00:00"/>
    <n v="3287"/>
    <n v="255.28"/>
    <n v="159.41999999999999"/>
    <n v="839105.36"/>
    <n v="524013.54"/>
    <n v="315091.82"/>
  </r>
  <r>
    <x v="3"/>
    <s v="Iran"/>
    <s v="Meat"/>
    <s v="Offline"/>
    <s v="H"/>
    <s v="3/20/2014"/>
    <n v="271316230"/>
    <s v="3/31/2014"/>
    <n v="7356"/>
    <n v="421.89"/>
    <n v="364.69"/>
    <n v="3103422.84"/>
    <n v="2682659.64"/>
    <n v="420763.2"/>
  </r>
  <r>
    <x v="2"/>
    <s v="Japan"/>
    <s v="Snacks"/>
    <s v="Offline"/>
    <s v="H"/>
    <s v="8/23/2010"/>
    <n v="148153054"/>
    <d v="2010-02-10T00:00:00"/>
    <n v="636"/>
    <n v="152.58000000000001"/>
    <n v="97.44"/>
    <n v="97040.88"/>
    <n v="61971.839999999997"/>
    <n v="35069.040000000001"/>
  </r>
  <r>
    <x v="1"/>
    <s v="Romania"/>
    <s v="Beverages"/>
    <s v="Online"/>
    <s v="M"/>
    <d v="2015-10-05T00:00:00"/>
    <n v="910886180"/>
    <d v="2015-10-06T00:00:00"/>
    <n v="317"/>
    <n v="47.45"/>
    <n v="31.79"/>
    <n v="15041.65"/>
    <n v="10077.43"/>
    <n v="4964.22"/>
  </r>
  <r>
    <x v="5"/>
    <s v="Madagascar"/>
    <s v="Cereal"/>
    <s v="Online"/>
    <s v="C"/>
    <s v="2/13/2011"/>
    <n v="151751935"/>
    <s v="2/23/2011"/>
    <n v="5625"/>
    <n v="205.7"/>
    <n v="117.11"/>
    <n v="1157062.5"/>
    <n v="658743.75"/>
    <n v="498318.75"/>
  </r>
  <r>
    <x v="5"/>
    <s v="Guinea-Bissau"/>
    <s v="Fruits"/>
    <s v="Offline"/>
    <s v="L"/>
    <d v="2015-09-11T00:00:00"/>
    <n v="933299148"/>
    <s v="12/23/2015"/>
    <n v="2813"/>
    <n v="9.33"/>
    <n v="6.92"/>
    <n v="26245.29"/>
    <n v="19465.96"/>
    <n v="6779.33"/>
  </r>
  <r>
    <x v="2"/>
    <s v="Brunei"/>
    <s v="Personal Care"/>
    <s v="Offline"/>
    <s v="M"/>
    <d v="2010-05-09T00:00:00"/>
    <n v="538389146"/>
    <d v="2010-12-09T00:00:00"/>
    <n v="167"/>
    <n v="81.73"/>
    <n v="56.67"/>
    <n v="13648.91"/>
    <n v="9463.89"/>
    <n v="4185.0200000000004"/>
  </r>
  <r>
    <x v="1"/>
    <s v="Vatican City"/>
    <s v="Snacks"/>
    <s v="Offline"/>
    <s v="L"/>
    <d v="2011-05-11T00:00:00"/>
    <n v="820195758"/>
    <s v="11/24/2011"/>
    <n v="3006"/>
    <n v="152.58000000000001"/>
    <n v="97.44"/>
    <n v="458655.48"/>
    <n v="292904.64"/>
    <n v="165750.84"/>
  </r>
  <r>
    <x v="3"/>
    <s v="Qatar"/>
    <s v="Cereal"/>
    <s v="Online"/>
    <s v="H"/>
    <s v="12/18/2013"/>
    <n v="552205312"/>
    <s v="12/25/2013"/>
    <n v="8678"/>
    <n v="205.7"/>
    <n v="117.11"/>
    <n v="1785064.6"/>
    <n v="1016280.58"/>
    <n v="768784.02"/>
  </r>
  <r>
    <x v="1"/>
    <s v="Lithuania"/>
    <s v="Clothes"/>
    <s v="Online"/>
    <s v="H"/>
    <s v="6/28/2016"/>
    <n v="378216636"/>
    <d v="2016-08-08T00:00:00"/>
    <n v="1562"/>
    <n v="109.28"/>
    <n v="35.840000000000003"/>
    <n v="170695.36"/>
    <n v="55982.080000000002"/>
    <n v="114713.28"/>
  </r>
  <r>
    <x v="3"/>
    <s v="Tunisia "/>
    <s v="Beverages"/>
    <s v="Online"/>
    <s v="H"/>
    <s v="5/15/2012"/>
    <n v="562341058"/>
    <d v="2012-04-07T00:00:00"/>
    <n v="8070"/>
    <n v="47.45"/>
    <n v="31.79"/>
    <n v="382921.5"/>
    <n v="256545.3"/>
    <n v="126376.2"/>
  </r>
  <r>
    <x v="1"/>
    <s v="Denmark"/>
    <s v="Clothes"/>
    <s v="Online"/>
    <s v="C"/>
    <s v="7/21/2014"/>
    <n v="539002406"/>
    <s v="7/23/2014"/>
    <n v="1645"/>
    <n v="109.28"/>
    <n v="35.840000000000003"/>
    <n v="179765.6"/>
    <n v="58956.800000000003"/>
    <n v="120808.8"/>
  </r>
  <r>
    <x v="2"/>
    <s v="Tajikistan"/>
    <s v="Fruits"/>
    <s v="Online"/>
    <s v="L"/>
    <s v="4/30/2014"/>
    <n v="262937009"/>
    <d v="2014-02-06T00:00:00"/>
    <n v="7759"/>
    <n v="9.33"/>
    <n v="6.92"/>
    <n v="72391.47"/>
    <n v="53692.28"/>
    <n v="18699.189999999999"/>
  </r>
  <r>
    <x v="1"/>
    <s v="Serbia"/>
    <s v="Office Supplies"/>
    <s v="Online"/>
    <s v="M"/>
    <s v="5/31/2015"/>
    <n v="659193694"/>
    <d v="2015-11-06T00:00:00"/>
    <n v="8918"/>
    <n v="651.21"/>
    <n v="524.96"/>
    <n v="5807490.7800000003"/>
    <n v="4681593.28"/>
    <n v="1125897.5"/>
  </r>
  <r>
    <x v="3"/>
    <s v="Algeria"/>
    <s v="Baby Food"/>
    <s v="Online"/>
    <s v="L"/>
    <d v="2015-05-01T00:00:00"/>
    <n v="473133790"/>
    <s v="1/27/2015"/>
    <n v="9657"/>
    <n v="255.28"/>
    <n v="159.41999999999999"/>
    <n v="2465238.96"/>
    <n v="1539518.94"/>
    <n v="925720.02"/>
  </r>
  <r>
    <x v="1"/>
    <s v="Andorra"/>
    <s v="Beverages"/>
    <s v="Online"/>
    <s v="H"/>
    <d v="2015-11-03T00:00:00"/>
    <n v="320431125"/>
    <s v="4/17/2015"/>
    <n v="1545"/>
    <n v="47.45"/>
    <n v="31.79"/>
    <n v="73310.25"/>
    <n v="49115.55"/>
    <n v="24194.7"/>
  </r>
  <r>
    <x v="5"/>
    <s v="Swaziland"/>
    <s v="Clothes"/>
    <s v="Online"/>
    <s v="M"/>
    <d v="2011-01-07T00:00:00"/>
    <n v="437072026"/>
    <s v="8/13/2011"/>
    <n v="8180"/>
    <n v="109.28"/>
    <n v="35.840000000000003"/>
    <n v="893910.4"/>
    <n v="293171.20000000001"/>
    <n v="600739.19999999995"/>
  </r>
  <r>
    <x v="1"/>
    <s v="Liechtenstein"/>
    <s v="Vegetables"/>
    <s v="Offline"/>
    <s v="L"/>
    <s v="11/28/2011"/>
    <n v="229355323"/>
    <d v="2011-10-12T00:00:00"/>
    <n v="192"/>
    <n v="154.06"/>
    <n v="90.93"/>
    <n v="29579.52"/>
    <n v="17458.560000000001"/>
    <n v="12120.96"/>
  </r>
  <r>
    <x v="2"/>
    <s v="Turkmenistan"/>
    <s v="Baby Food"/>
    <s v="Offline"/>
    <s v="C"/>
    <s v="4/27/2010"/>
    <n v="523892343"/>
    <s v="5/31/2010"/>
    <n v="241"/>
    <n v="255.28"/>
    <n v="159.41999999999999"/>
    <n v="61522.48"/>
    <n v="38420.22"/>
    <n v="23102.26"/>
  </r>
  <r>
    <x v="5"/>
    <s v="Kenya"/>
    <s v="Office Supplies"/>
    <s v="Offline"/>
    <s v="H"/>
    <s v="1/18/2013"/>
    <n v="417606914"/>
    <s v="2/19/2013"/>
    <n v="8021"/>
    <n v="651.21"/>
    <n v="524.96"/>
    <n v="5223355.41"/>
    <n v="4210704.16"/>
    <n v="1012651.25"/>
  </r>
  <r>
    <x v="4"/>
    <s v="Fiji"/>
    <s v="Snacks"/>
    <s v="Online"/>
    <s v="H"/>
    <d v="2012-03-05T00:00:00"/>
    <n v="427735364"/>
    <s v="6/18/2012"/>
    <n v="5254"/>
    <n v="152.58000000000001"/>
    <n v="97.44"/>
    <n v="801655.32"/>
    <n v="511949.76"/>
    <n v="289705.56"/>
  </r>
  <r>
    <x v="0"/>
    <s v="Cuba"/>
    <s v="Clothes"/>
    <s v="Offline"/>
    <s v="L"/>
    <d v="2012-04-11T00:00:00"/>
    <n v="241826522"/>
    <d v="2012-06-11T00:00:00"/>
    <n v="697"/>
    <n v="109.28"/>
    <n v="35.840000000000003"/>
    <n v="76168.160000000003"/>
    <n v="24980.48"/>
    <n v="51187.68"/>
  </r>
  <r>
    <x v="0"/>
    <s v="Dominican Republic"/>
    <s v="Cosmetics"/>
    <s v="Offline"/>
    <s v="H"/>
    <s v="9/22/2012"/>
    <n v="967741715"/>
    <d v="2012-04-11T00:00:00"/>
    <n v="5134"/>
    <n v="437.2"/>
    <n v="263.33"/>
    <n v="2244584.7999999998"/>
    <n v="1351936.22"/>
    <n v="892648.58"/>
  </r>
  <r>
    <x v="3"/>
    <s v="Saudi Arabia"/>
    <s v="Personal Care"/>
    <s v="Offline"/>
    <s v="C"/>
    <s v="12/29/2014"/>
    <n v="183654773"/>
    <d v="2015-12-02T00:00:00"/>
    <n v="6383"/>
    <n v="81.73"/>
    <n v="56.67"/>
    <n v="521682.59"/>
    <n v="361724.61"/>
    <n v="159957.98000000001"/>
  </r>
  <r>
    <x v="5"/>
    <s v="Angola"/>
    <s v="Clothes"/>
    <s v="Online"/>
    <s v="M"/>
    <s v="2/19/2016"/>
    <n v="488052022"/>
    <s v="2/19/2016"/>
    <n v="4294"/>
    <n v="109.28"/>
    <n v="35.840000000000003"/>
    <n v="469248.32"/>
    <n v="153896.95999999999"/>
    <n v="315351.36"/>
  </r>
  <r>
    <x v="1"/>
    <s v="Macedonia"/>
    <s v="Beverages"/>
    <s v="Offline"/>
    <s v="L"/>
    <d v="2017-05-07T00:00:00"/>
    <n v="949732291"/>
    <s v="8/14/2017"/>
    <n v="5745"/>
    <n v="47.45"/>
    <n v="31.79"/>
    <n v="272600.25"/>
    <n v="182633.55"/>
    <n v="89966.7"/>
  </r>
  <r>
    <x v="4"/>
    <s v="Kiribati"/>
    <s v="Snacks"/>
    <s v="Online"/>
    <s v="C"/>
    <s v="12/15/2013"/>
    <n v="257806909"/>
    <s v="12/21/2013"/>
    <n v="9648"/>
    <n v="152.58000000000001"/>
    <n v="97.44"/>
    <n v="1472091.84"/>
    <n v="940101.12"/>
    <n v="531990.72"/>
  </r>
  <r>
    <x v="2"/>
    <s v="South Korea"/>
    <s v="Meat"/>
    <s v="Online"/>
    <s v="L"/>
    <s v="9/26/2012"/>
    <n v="771699702"/>
    <s v="10/29/2012"/>
    <n v="1946"/>
    <n v="421.89"/>
    <n v="364.69"/>
    <n v="820997.94"/>
    <n v="709686.74"/>
    <n v="111311.2"/>
  </r>
  <r>
    <x v="1"/>
    <s v="San Marino"/>
    <s v="Household"/>
    <s v="Online"/>
    <s v="C"/>
    <d v="2014-12-08T00:00:00"/>
    <n v="871147000"/>
    <s v="8/25/2014"/>
    <n v="611"/>
    <n v="668.27"/>
    <n v="502.54"/>
    <n v="408312.97"/>
    <n v="307051.94"/>
    <n v="101261.03"/>
  </r>
  <r>
    <x v="1"/>
    <s v="Cyprus"/>
    <s v="Baby Food"/>
    <s v="Online"/>
    <s v="M"/>
    <s v="1/18/2010"/>
    <n v="806197631"/>
    <s v="2/18/2010"/>
    <n v="649"/>
    <n v="255.28"/>
    <n v="159.41999999999999"/>
    <n v="165676.72"/>
    <n v="103463.58"/>
    <n v="62213.14"/>
  </r>
  <r>
    <x v="0"/>
    <s v="Cuba"/>
    <s v="Cereal"/>
    <s v="Online"/>
    <s v="L"/>
    <s v="4/16/2013"/>
    <n v="447212922"/>
    <s v="5/19/2013"/>
    <n v="9097"/>
    <n v="205.7"/>
    <n v="117.11"/>
    <n v="1871252.9"/>
    <n v="1065349.67"/>
    <n v="805903.23"/>
  </r>
  <r>
    <x v="0"/>
    <s v="Saint Lucia"/>
    <s v="Personal Care"/>
    <s v="Offline"/>
    <s v="M"/>
    <s v="2/22/2013"/>
    <n v="634866702"/>
    <s v="2/25/2013"/>
    <n v="20"/>
    <n v="81.73"/>
    <n v="56.67"/>
    <n v="1634.6"/>
    <n v="1133.4000000000001"/>
    <n v="501.2"/>
  </r>
  <r>
    <x v="5"/>
    <s v="Liberia"/>
    <s v="Clothes"/>
    <s v="Online"/>
    <s v="C"/>
    <s v="8/18/2014"/>
    <n v="930145299"/>
    <s v="9/30/2014"/>
    <n v="9519"/>
    <n v="109.28"/>
    <n v="35.840000000000003"/>
    <n v="1040236.32"/>
    <n v="341160.96000000002"/>
    <n v="699075.36"/>
  </r>
  <r>
    <x v="5"/>
    <s v="Central African Republic"/>
    <s v="Fruits"/>
    <s v="Offline"/>
    <s v="M"/>
    <s v="6/20/2012"/>
    <n v="964347541"/>
    <s v="7/24/2012"/>
    <n v="722"/>
    <n v="9.33"/>
    <n v="6.92"/>
    <n v="6736.26"/>
    <n v="4996.24"/>
    <n v="1740.02"/>
  </r>
  <r>
    <x v="4"/>
    <s v="Australia"/>
    <s v="Cosmetics"/>
    <s v="Offline"/>
    <s v="H"/>
    <d v="2010-09-01T00:00:00"/>
    <n v="889084756"/>
    <d v="2010-08-02T00:00:00"/>
    <n v="8792"/>
    <n v="437.2"/>
    <n v="263.33"/>
    <n v="3843862.4"/>
    <n v="2315197.36"/>
    <n v="1528665.04"/>
  </r>
  <r>
    <x v="1"/>
    <s v="Lithuania"/>
    <s v="Beverages"/>
    <s v="Offline"/>
    <s v="H"/>
    <d v="2015-05-07T00:00:00"/>
    <n v="926280772"/>
    <s v="7/21/2015"/>
    <n v="5919"/>
    <n v="47.45"/>
    <n v="31.79"/>
    <n v="280856.55"/>
    <n v="188165.01"/>
    <n v="92691.54"/>
  </r>
  <r>
    <x v="2"/>
    <s v="Bhutan"/>
    <s v="Office Supplies"/>
    <s v="Online"/>
    <s v="H"/>
    <s v="6/24/2015"/>
    <n v="918171918"/>
    <d v="2015-09-08T00:00:00"/>
    <n v="6329"/>
    <n v="651.21"/>
    <n v="524.96"/>
    <n v="4121508.09"/>
    <n v="3322471.84"/>
    <n v="799036.25"/>
  </r>
  <r>
    <x v="4"/>
    <s v="Nauru"/>
    <s v="Beverages"/>
    <s v="Online"/>
    <s v="H"/>
    <s v="6/28/2016"/>
    <n v="777307021"/>
    <d v="2016-05-07T00:00:00"/>
    <n v="1276"/>
    <n v="47.45"/>
    <n v="31.79"/>
    <n v="60546.2"/>
    <n v="40564.04"/>
    <n v="19982.16"/>
  </r>
  <r>
    <x v="1"/>
    <s v="Greece"/>
    <s v="Vegetables"/>
    <s v="Offline"/>
    <s v="L"/>
    <d v="2011-08-01T00:00:00"/>
    <n v="936547410"/>
    <d v="2011-12-01T00:00:00"/>
    <n v="4046"/>
    <n v="154.06"/>
    <n v="90.93"/>
    <n v="623326.76"/>
    <n v="367902.78"/>
    <n v="255423.98"/>
  </r>
  <r>
    <x v="5"/>
    <s v="Gabon"/>
    <s v="Household"/>
    <s v="Offline"/>
    <s v="C"/>
    <s v="7/17/2011"/>
    <n v="999066913"/>
    <s v="8/14/2011"/>
    <n v="4956"/>
    <n v="668.27"/>
    <n v="502.54"/>
    <n v="3311946.12"/>
    <n v="2490588.2400000002"/>
    <n v="821357.88"/>
  </r>
  <r>
    <x v="6"/>
    <s v="Canada"/>
    <s v="Household"/>
    <s v="Online"/>
    <s v="C"/>
    <d v="2016-11-06T00:00:00"/>
    <n v="188351857"/>
    <s v="7/13/2016"/>
    <n v="6355"/>
    <n v="668.27"/>
    <n v="502.54"/>
    <n v="4246855.8499999996"/>
    <n v="3193641.7"/>
    <n v="1053214.1499999999"/>
  </r>
  <r>
    <x v="1"/>
    <s v="Slovenia"/>
    <s v="Cosmetics"/>
    <s v="Online"/>
    <s v="H"/>
    <s v="10/29/2013"/>
    <n v="498201072"/>
    <d v="2013-07-11T00:00:00"/>
    <n v="7623"/>
    <n v="437.2"/>
    <n v="263.33"/>
    <n v="3332775.6"/>
    <n v="2007364.59"/>
    <n v="1325411.01"/>
  </r>
  <r>
    <x v="1"/>
    <s v="Cyprus"/>
    <s v="Snacks"/>
    <s v="Offline"/>
    <s v="H"/>
    <s v="7/27/2015"/>
    <n v="842725884"/>
    <d v="2015-11-08T00:00:00"/>
    <n v="171"/>
    <n v="152.58000000000001"/>
    <n v="97.44"/>
    <n v="26091.18"/>
    <n v="16662.240000000002"/>
    <n v="9428.94"/>
  </r>
  <r>
    <x v="2"/>
    <s v="Nepal"/>
    <s v="Fruits"/>
    <s v="Offline"/>
    <s v="C"/>
    <d v="2015-07-09T00:00:00"/>
    <n v="206350123"/>
    <s v="10/23/2015"/>
    <n v="2442"/>
    <n v="9.33"/>
    <n v="6.92"/>
    <n v="22783.86"/>
    <n v="16898.64"/>
    <n v="5885.22"/>
  </r>
  <r>
    <x v="5"/>
    <s v="Guinea-Bissau"/>
    <s v="Snacks"/>
    <s v="Online"/>
    <s v="C"/>
    <s v="10/27/2016"/>
    <n v="793810117"/>
    <d v="2016-03-11T00:00:00"/>
    <n v="4909"/>
    <n v="152.58000000000001"/>
    <n v="97.44"/>
    <n v="749015.22"/>
    <n v="478332.96"/>
    <n v="270682.26"/>
  </r>
  <r>
    <x v="5"/>
    <s v="Cote d'Ivoire"/>
    <s v="Vegetables"/>
    <s v="Offline"/>
    <s v="H"/>
    <d v="2011-05-05T00:00:00"/>
    <n v="380154693"/>
    <s v="6/20/2011"/>
    <n v="5076"/>
    <n v="154.06"/>
    <n v="90.93"/>
    <n v="782008.56"/>
    <n v="461560.68"/>
    <n v="320447.88"/>
  </r>
  <r>
    <x v="3"/>
    <s v="Kuwait"/>
    <s v="Clothes"/>
    <s v="Offline"/>
    <s v="M"/>
    <s v="5/21/2015"/>
    <n v="860745179"/>
    <d v="2015-10-06T00:00:00"/>
    <n v="2481"/>
    <n v="109.28"/>
    <n v="35.840000000000003"/>
    <n v="271123.68"/>
    <n v="88919.039999999994"/>
    <n v="182204.64"/>
  </r>
  <r>
    <x v="5"/>
    <s v="Mozambique"/>
    <s v="Household"/>
    <s v="Online"/>
    <s v="L"/>
    <s v="1/28/2012"/>
    <n v="601255404"/>
    <s v="2/26/2012"/>
    <n v="3690"/>
    <n v="668.27"/>
    <n v="502.54"/>
    <n v="2465916.2999999998"/>
    <n v="1854372.6"/>
    <n v="611543.69999999995"/>
  </r>
  <r>
    <x v="2"/>
    <s v="Uzbekistan"/>
    <s v="Cosmetics"/>
    <s v="Offline"/>
    <s v="L"/>
    <s v="11/25/2015"/>
    <n v="287671697"/>
    <s v="12/26/2015"/>
    <n v="7303"/>
    <n v="437.2"/>
    <n v="263.33"/>
    <n v="3192871.6"/>
    <n v="1923098.99"/>
    <n v="1269772.6100000001"/>
  </r>
  <r>
    <x v="2"/>
    <s v="South Korea"/>
    <s v="Office Supplies"/>
    <s v="Online"/>
    <s v="M"/>
    <s v="11/25/2015"/>
    <n v="676292884"/>
    <s v="12/21/2015"/>
    <n v="8948"/>
    <n v="651.21"/>
    <n v="524.96"/>
    <n v="5827027.0800000001"/>
    <n v="4697342.08"/>
    <n v="1129685"/>
  </r>
  <r>
    <x v="1"/>
    <s v="Latvia"/>
    <s v="Office Supplies"/>
    <s v="Online"/>
    <s v="L"/>
    <d v="2017-01-05T00:00:00"/>
    <n v="343730294"/>
    <s v="5/28/2017"/>
    <n v="6287"/>
    <n v="651.21"/>
    <n v="524.96"/>
    <n v="4094157.27"/>
    <n v="3300423.52"/>
    <n v="793733.75"/>
  </r>
  <r>
    <x v="1"/>
    <s v="Georgia"/>
    <s v="Vegetables"/>
    <s v="Online"/>
    <s v="C"/>
    <s v="2/26/2015"/>
    <n v="636907756"/>
    <d v="2015-01-04T00:00:00"/>
    <n v="4013"/>
    <n v="154.06"/>
    <n v="90.93"/>
    <n v="618242.78"/>
    <n v="364902.09"/>
    <n v="253340.69"/>
  </r>
  <r>
    <x v="2"/>
    <s v="China"/>
    <s v="Clothes"/>
    <s v="Online"/>
    <s v="L"/>
    <s v="12/19/2012"/>
    <n v="723061597"/>
    <s v="12/29/2012"/>
    <n v="8849"/>
    <n v="109.28"/>
    <n v="35.840000000000003"/>
    <n v="967018.72"/>
    <n v="317148.15999999997"/>
    <n v="649870.56000000006"/>
  </r>
  <r>
    <x v="5"/>
    <s v="Tanzania"/>
    <s v="Snacks"/>
    <s v="Online"/>
    <s v="L"/>
    <s v="8/24/2011"/>
    <n v="739740645"/>
    <d v="2011-01-09T00:00:00"/>
    <n v="4551"/>
    <n v="152.58000000000001"/>
    <n v="97.44"/>
    <n v="694391.58"/>
    <n v="443449.44"/>
    <n v="250942.14"/>
  </r>
  <r>
    <x v="1"/>
    <s v="Czech Republic"/>
    <s v="Cereal"/>
    <s v="Online"/>
    <s v="H"/>
    <s v="2/16/2013"/>
    <n v="444806230"/>
    <d v="2013-01-04T00:00:00"/>
    <n v="6903"/>
    <n v="205.7"/>
    <n v="117.11"/>
    <n v="1419947.1"/>
    <n v="808410.33"/>
    <n v="611536.77"/>
  </r>
  <r>
    <x v="2"/>
    <s v="Nepal"/>
    <s v="Vegetables"/>
    <s v="Online"/>
    <s v="H"/>
    <s v="8/21/2016"/>
    <n v="566432178"/>
    <d v="2016-09-09T00:00:00"/>
    <n v="8724"/>
    <n v="154.06"/>
    <n v="90.93"/>
    <n v="1344019.44"/>
    <n v="793273.32"/>
    <n v="550746.12"/>
  </r>
  <r>
    <x v="5"/>
    <s v="Sao Tome and Principe"/>
    <s v="Baby Food"/>
    <s v="Online"/>
    <s v="H"/>
    <s v="11/21/2014"/>
    <n v="553104817"/>
    <s v="11/23/2014"/>
    <n v="4862"/>
    <n v="255.28"/>
    <n v="159.41999999999999"/>
    <n v="1241171.3600000001"/>
    <n v="775100.04"/>
    <n v="466071.32"/>
  </r>
  <r>
    <x v="0"/>
    <s v="Saint Kitts and Nevis "/>
    <s v="Clothes"/>
    <s v="Offline"/>
    <s v="C"/>
    <d v="2013-04-01T00:00:00"/>
    <n v="823622977"/>
    <s v="2/22/2013"/>
    <n v="7197"/>
    <n v="109.28"/>
    <n v="35.840000000000003"/>
    <n v="786488.16"/>
    <n v="257940.48000000001"/>
    <n v="528547.68000000005"/>
  </r>
  <r>
    <x v="1"/>
    <s v="Latvia"/>
    <s v="Snacks"/>
    <s v="Online"/>
    <s v="M"/>
    <s v="3/18/2017"/>
    <n v="517097985"/>
    <s v="4/14/2017"/>
    <n v="9640"/>
    <n v="152.58000000000001"/>
    <n v="97.44"/>
    <n v="1470871.2"/>
    <n v="939321.6"/>
    <n v="531549.6"/>
  </r>
  <r>
    <x v="1"/>
    <s v="Netherlands"/>
    <s v="Beverages"/>
    <s v="Offline"/>
    <s v="M"/>
    <s v="10/27/2015"/>
    <n v="642953670"/>
    <d v="2015-09-12T00:00:00"/>
    <n v="3134"/>
    <n v="47.45"/>
    <n v="31.79"/>
    <n v="148708.29999999999"/>
    <n v="99629.86"/>
    <n v="49078.44"/>
  </r>
  <r>
    <x v="2"/>
    <s v="Brunei"/>
    <s v="Beverages"/>
    <s v="Online"/>
    <s v="M"/>
    <s v="5/19/2013"/>
    <n v="930926358"/>
    <d v="2013-04-06T00:00:00"/>
    <n v="651"/>
    <n v="47.45"/>
    <n v="31.79"/>
    <n v="30889.95"/>
    <n v="20695.29"/>
    <n v="10194.66"/>
  </r>
  <r>
    <x v="5"/>
    <s v="Central African Republic"/>
    <s v="Vegetables"/>
    <s v="Offline"/>
    <s v="L"/>
    <s v="9/20/2011"/>
    <n v="281064879"/>
    <s v="9/26/2011"/>
    <n v="2199"/>
    <n v="154.06"/>
    <n v="90.93"/>
    <n v="338777.94"/>
    <n v="199955.07"/>
    <n v="138822.87"/>
  </r>
  <r>
    <x v="2"/>
    <s v="Bhutan"/>
    <s v="Baby Food"/>
    <s v="Offline"/>
    <s v="C"/>
    <s v="9/21/2013"/>
    <n v="813730561"/>
    <s v="10/26/2013"/>
    <n v="9811"/>
    <n v="255.28"/>
    <n v="159.41999999999999"/>
    <n v="2504552.08"/>
    <n v="1564069.62"/>
    <n v="940482.46"/>
  </r>
  <r>
    <x v="5"/>
    <s v="Mauritius "/>
    <s v="Fruits"/>
    <s v="Offline"/>
    <s v="H"/>
    <s v="12/25/2011"/>
    <n v="219597232"/>
    <d v="2012-05-01T00:00:00"/>
    <n v="2556"/>
    <n v="9.33"/>
    <n v="6.92"/>
    <n v="23847.48"/>
    <n v="17687.52"/>
    <n v="6159.96"/>
  </r>
  <r>
    <x v="4"/>
    <s v="Australia"/>
    <s v="Snacks"/>
    <s v="Offline"/>
    <s v="H"/>
    <s v="4/22/2015"/>
    <n v="309651219"/>
    <d v="2015-01-05T00:00:00"/>
    <n v="1532"/>
    <n v="152.58000000000001"/>
    <n v="97.44"/>
    <n v="233752.56"/>
    <n v="149278.07999999999"/>
    <n v="84474.48"/>
  </r>
  <r>
    <x v="1"/>
    <s v="Serbia"/>
    <s v="Snacks"/>
    <s v="Offline"/>
    <s v="M"/>
    <s v="8/18/2014"/>
    <n v="265191352"/>
    <s v="9/26/2014"/>
    <n v="4869"/>
    <n v="152.58000000000001"/>
    <n v="97.44"/>
    <n v="742912.02"/>
    <n v="474435.36"/>
    <n v="268476.65999999997"/>
  </r>
  <r>
    <x v="0"/>
    <s v="Barbados"/>
    <s v="Snacks"/>
    <s v="Offline"/>
    <s v="L"/>
    <d v="2017-04-02T00:00:00"/>
    <n v="687828958"/>
    <d v="2017-02-03T00:00:00"/>
    <n v="2728"/>
    <n v="152.58000000000001"/>
    <n v="97.44"/>
    <n v="416238.24"/>
    <n v="265816.32000000001"/>
    <n v="150421.92000000001"/>
  </r>
  <r>
    <x v="0"/>
    <s v="Honduras"/>
    <s v="Household"/>
    <s v="Offline"/>
    <s v="C"/>
    <s v="12/29/2011"/>
    <n v="449487864"/>
    <d v="2012-01-02T00:00:00"/>
    <n v="2303"/>
    <n v="668.27"/>
    <n v="502.54"/>
    <n v="1539025.81"/>
    <n v="1157349.6200000001"/>
    <n v="381676.19"/>
  </r>
  <r>
    <x v="4"/>
    <s v="Tonga"/>
    <s v="Baby Food"/>
    <s v="Online"/>
    <s v="L"/>
    <s v="5/19/2012"/>
    <n v="742404401"/>
    <s v="6/27/2012"/>
    <n v="2815"/>
    <n v="255.28"/>
    <n v="159.41999999999999"/>
    <n v="718613.2"/>
    <n v="448767.3"/>
    <n v="269845.90000000002"/>
  </r>
  <r>
    <x v="1"/>
    <s v="Latvia"/>
    <s v="Office Supplies"/>
    <s v="Online"/>
    <s v="L"/>
    <s v="6/16/2013"/>
    <n v="129127395"/>
    <s v="6/20/2013"/>
    <n v="520"/>
    <n v="651.21"/>
    <n v="524.96"/>
    <n v="338629.2"/>
    <n v="272979.20000000001"/>
    <n v="65650"/>
  </r>
  <r>
    <x v="1"/>
    <s v="Serbia"/>
    <s v="Vegetables"/>
    <s v="Offline"/>
    <s v="M"/>
    <s v="6/25/2011"/>
    <n v="392518174"/>
    <d v="2011-03-07T00:00:00"/>
    <n v="3705"/>
    <n v="154.06"/>
    <n v="90.93"/>
    <n v="570792.30000000005"/>
    <n v="336895.65"/>
    <n v="233896.65"/>
  </r>
  <r>
    <x v="3"/>
    <s v="Tunisia "/>
    <s v="Vegetables"/>
    <s v="Online"/>
    <s v="H"/>
    <s v="2/21/2015"/>
    <n v="685750567"/>
    <d v="2015-11-03T00:00:00"/>
    <n v="7687"/>
    <n v="154.06"/>
    <n v="90.93"/>
    <n v="1184259.22"/>
    <n v="698978.91"/>
    <n v="485280.31"/>
  </r>
  <r>
    <x v="0"/>
    <s v="Guatemala"/>
    <s v="Personal Care"/>
    <s v="Offline"/>
    <s v="L"/>
    <s v="6/21/2011"/>
    <n v="682310903"/>
    <d v="2011-03-07T00:00:00"/>
    <n v="9813"/>
    <n v="81.73"/>
    <n v="56.67"/>
    <n v="802016.49"/>
    <n v="556102.71"/>
    <n v="245913.78"/>
  </r>
  <r>
    <x v="5"/>
    <s v="Rwanda"/>
    <s v="Office Supplies"/>
    <s v="Online"/>
    <s v="C"/>
    <s v="1/25/2015"/>
    <n v="125998008"/>
    <d v="2015-03-02T00:00:00"/>
    <n v="4465"/>
    <n v="651.21"/>
    <n v="524.96"/>
    <n v="2907652.65"/>
    <n v="2343946.4"/>
    <n v="563706.25"/>
  </r>
  <r>
    <x v="3"/>
    <s v="Azerbaijan"/>
    <s v="Baby Food"/>
    <s v="Online"/>
    <s v="M"/>
    <s v="4/24/2011"/>
    <n v="180923211"/>
    <d v="2011-02-06T00:00:00"/>
    <n v="8054"/>
    <n v="255.28"/>
    <n v="159.41999999999999"/>
    <n v="2056025.12"/>
    <n v="1283968.68"/>
    <n v="772056.44"/>
  </r>
  <r>
    <x v="2"/>
    <s v="Taiwan"/>
    <s v="Meat"/>
    <s v="Online"/>
    <s v="M"/>
    <s v="2/22/2013"/>
    <n v="281510341"/>
    <s v="3/16/2013"/>
    <n v="4020"/>
    <n v="421.89"/>
    <n v="364.69"/>
    <n v="1695997.8"/>
    <n v="1466053.8"/>
    <n v="229944"/>
  </r>
  <r>
    <x v="3"/>
    <s v="Jordan"/>
    <s v="Clothes"/>
    <s v="Offline"/>
    <s v="L"/>
    <d v="2011-11-11T00:00:00"/>
    <n v="382495725"/>
    <s v="12/21/2011"/>
    <n v="7840"/>
    <n v="109.28"/>
    <n v="35.840000000000003"/>
    <n v="856755.19999999995"/>
    <n v="280985.59999999998"/>
    <n v="575769.59999999998"/>
  </r>
  <r>
    <x v="3"/>
    <s v="Somalia"/>
    <s v="Baby Food"/>
    <s v="Online"/>
    <s v="L"/>
    <d v="2011-07-03T00:00:00"/>
    <n v="508928191"/>
    <s v="3/19/2011"/>
    <n v="2016"/>
    <n v="255.28"/>
    <n v="159.41999999999999"/>
    <n v="514644.47999999998"/>
    <n v="321390.71999999997"/>
    <n v="193253.76000000001"/>
  </r>
  <r>
    <x v="2"/>
    <s v="Bhutan"/>
    <s v="Snacks"/>
    <s v="Online"/>
    <s v="M"/>
    <s v="11/16/2015"/>
    <n v="306169068"/>
    <d v="2015-12-12T00:00:00"/>
    <n v="1086"/>
    <n v="152.58000000000001"/>
    <n v="97.44"/>
    <n v="165701.88"/>
    <n v="105819.84"/>
    <n v="59882.04"/>
  </r>
  <r>
    <x v="0"/>
    <s v="Panama"/>
    <s v="Fruits"/>
    <s v="Online"/>
    <s v="M"/>
    <d v="2012-12-11T00:00:00"/>
    <n v="389892184"/>
    <s v="11/14/2012"/>
    <n v="6616"/>
    <n v="9.33"/>
    <n v="6.92"/>
    <n v="61727.28"/>
    <n v="45782.720000000001"/>
    <n v="15944.56"/>
  </r>
  <r>
    <x v="3"/>
    <s v="Afghanistan"/>
    <s v="Snacks"/>
    <s v="Offline"/>
    <s v="H"/>
    <d v="2012-05-11T00:00:00"/>
    <n v="996083867"/>
    <d v="2012-01-12T00:00:00"/>
    <n v="2206"/>
    <n v="152.58000000000001"/>
    <n v="97.44"/>
    <n v="336591.48"/>
    <n v="214952.64"/>
    <n v="121638.84"/>
  </r>
  <r>
    <x v="4"/>
    <s v="Samoa "/>
    <s v="Vegetables"/>
    <s v="Offline"/>
    <s v="C"/>
    <s v="3/23/2016"/>
    <n v="631042945"/>
    <s v="4/14/2016"/>
    <n v="8485"/>
    <n v="154.06"/>
    <n v="90.93"/>
    <n v="1307199.1000000001"/>
    <n v="771541.05"/>
    <n v="535658.05000000005"/>
  </r>
  <r>
    <x v="1"/>
    <s v="Malta"/>
    <s v="Fruits"/>
    <s v="Online"/>
    <s v="C"/>
    <s v="11/21/2016"/>
    <n v="121380746"/>
    <s v="12/18/2016"/>
    <n v="8115"/>
    <n v="9.33"/>
    <n v="6.92"/>
    <n v="75712.95"/>
    <n v="56155.8"/>
    <n v="19557.150000000001"/>
  </r>
  <r>
    <x v="3"/>
    <s v="Kuwait"/>
    <s v="Baby Food"/>
    <s v="Offline"/>
    <s v="M"/>
    <d v="2013-05-08T00:00:00"/>
    <n v="364021098"/>
    <s v="8/22/2013"/>
    <n v="787"/>
    <n v="255.28"/>
    <n v="159.41999999999999"/>
    <n v="200905.36"/>
    <n v="125463.54"/>
    <n v="75441.820000000007"/>
  </r>
  <r>
    <x v="5"/>
    <s v="Sudan"/>
    <s v="Baby Food"/>
    <s v="Online"/>
    <s v="M"/>
    <s v="9/19/2013"/>
    <n v="976200330"/>
    <s v="10/20/2013"/>
    <n v="8226"/>
    <n v="255.28"/>
    <n v="159.41999999999999"/>
    <n v="2099933.2799999998"/>
    <n v="1311388.92"/>
    <n v="788544.36"/>
  </r>
  <r>
    <x v="1"/>
    <s v="Russia"/>
    <s v="Clothes"/>
    <s v="Offline"/>
    <s v="M"/>
    <d v="2014-08-05T00:00:00"/>
    <n v="745467269"/>
    <s v="6/23/2014"/>
    <n v="9186"/>
    <n v="109.28"/>
    <n v="35.840000000000003"/>
    <n v="1003846.08"/>
    <n v="329226.23999999999"/>
    <n v="674619.84"/>
  </r>
  <r>
    <x v="5"/>
    <s v="Namibia"/>
    <s v="Fruits"/>
    <s v="Offline"/>
    <s v="M"/>
    <s v="8/25/2013"/>
    <n v="779683244"/>
    <s v="8/25/2013"/>
    <n v="4453"/>
    <n v="9.33"/>
    <n v="6.92"/>
    <n v="41546.49"/>
    <n v="30814.76"/>
    <n v="10731.73"/>
  </r>
  <r>
    <x v="3"/>
    <s v="Oman"/>
    <s v="Snacks"/>
    <s v="Online"/>
    <s v="C"/>
    <s v="8/15/2014"/>
    <n v="457022082"/>
    <d v="2014-10-09T00:00:00"/>
    <n v="1845"/>
    <n v="152.58000000000001"/>
    <n v="97.44"/>
    <n v="281510.09999999998"/>
    <n v="179776.8"/>
    <n v="101733.3"/>
  </r>
  <r>
    <x v="5"/>
    <s v="Malawi"/>
    <s v="Meat"/>
    <s v="Offline"/>
    <s v="M"/>
    <d v="2013-04-10T00:00:00"/>
    <n v="575970113"/>
    <s v="10/16/2013"/>
    <n v="1211"/>
    <n v="421.89"/>
    <n v="364.69"/>
    <n v="510908.79"/>
    <n v="441639.59"/>
    <n v="69269.2"/>
  </r>
  <r>
    <x v="2"/>
    <s v="Tajikistan"/>
    <s v="Vegetables"/>
    <s v="Online"/>
    <s v="H"/>
    <d v="2012-02-06T00:00:00"/>
    <n v="205326163"/>
    <d v="2012-12-07T00:00:00"/>
    <n v="9429"/>
    <n v="154.06"/>
    <n v="90.93"/>
    <n v="1452631.74"/>
    <n v="857378.97"/>
    <n v="595252.77"/>
  </r>
  <r>
    <x v="0"/>
    <s v="Haiti"/>
    <s v="Cosmetics"/>
    <s v="Offline"/>
    <s v="M"/>
    <d v="2013-05-01T00:00:00"/>
    <n v="734201562"/>
    <d v="2013-08-01T00:00:00"/>
    <n v="5413"/>
    <n v="437.2"/>
    <n v="263.33"/>
    <n v="2366563.6"/>
    <n v="1425405.29"/>
    <n v="941158.31"/>
  </r>
  <r>
    <x v="2"/>
    <s v="Singapore"/>
    <s v="Baby Food"/>
    <s v="Offline"/>
    <s v="C"/>
    <s v="3/27/2015"/>
    <n v="922020137"/>
    <s v="4/30/2015"/>
    <n v="5103"/>
    <n v="255.28"/>
    <n v="159.41999999999999"/>
    <n v="1302693.8400000001"/>
    <n v="813520.26"/>
    <n v="489173.58"/>
  </r>
  <r>
    <x v="1"/>
    <s v="Bulgaria"/>
    <s v="Meat"/>
    <s v="Offline"/>
    <s v="H"/>
    <d v="2012-07-04T00:00:00"/>
    <n v="948518216"/>
    <d v="2012-04-05T00:00:00"/>
    <n v="6473"/>
    <n v="421.89"/>
    <n v="364.69"/>
    <n v="2730893.97"/>
    <n v="2360638.37"/>
    <n v="370255.6"/>
  </r>
  <r>
    <x v="1"/>
    <s v="Finland"/>
    <s v="Office Supplies"/>
    <s v="Offline"/>
    <s v="L"/>
    <s v="4/17/2017"/>
    <n v="163744628"/>
    <d v="2017-01-05T00:00:00"/>
    <n v="4529"/>
    <n v="651.21"/>
    <n v="524.96"/>
    <n v="2949330.09"/>
    <n v="2377543.84"/>
    <n v="571786.25"/>
  </r>
  <r>
    <x v="3"/>
    <s v="Kuwait"/>
    <s v="Fruits"/>
    <s v="Offline"/>
    <s v="L"/>
    <d v="2014-09-04T00:00:00"/>
    <n v="238060700"/>
    <s v="5/24/2014"/>
    <n v="6306"/>
    <n v="9.33"/>
    <n v="6.92"/>
    <n v="58834.98"/>
    <n v="43637.52"/>
    <n v="15197.46"/>
  </r>
  <r>
    <x v="3"/>
    <s v="United Arab Emirates"/>
    <s v="Clothes"/>
    <s v="Offline"/>
    <s v="M"/>
    <s v="9/22/2014"/>
    <n v="212140262"/>
    <s v="9/22/2014"/>
    <n v="5872"/>
    <n v="109.28"/>
    <n v="35.840000000000003"/>
    <n v="641692.16000000003"/>
    <n v="210452.48000000001"/>
    <n v="431239.67999999999"/>
  </r>
  <r>
    <x v="5"/>
    <s v="Mauritius "/>
    <s v="Fruits"/>
    <s v="Offline"/>
    <s v="C"/>
    <d v="2016-06-02T00:00:00"/>
    <n v="546969640"/>
    <d v="2016-10-03T00:00:00"/>
    <n v="9326"/>
    <n v="9.33"/>
    <n v="6.92"/>
    <n v="87011.58"/>
    <n v="64535.92"/>
    <n v="22475.66"/>
  </r>
  <r>
    <x v="6"/>
    <s v="Greenland"/>
    <s v="Cosmetics"/>
    <s v="Online"/>
    <s v="M"/>
    <d v="2013-12-02T00:00:00"/>
    <n v="873847663"/>
    <d v="2013-10-03T00:00:00"/>
    <n v="9797"/>
    <n v="437.2"/>
    <n v="263.33"/>
    <n v="4283248.4000000004"/>
    <n v="2579844.0099999998"/>
    <n v="1703404.39"/>
  </r>
  <r>
    <x v="4"/>
    <s v="Samoa "/>
    <s v="Household"/>
    <s v="Online"/>
    <s v="M"/>
    <s v="9/18/2016"/>
    <n v="444385659"/>
    <s v="10/18/2016"/>
    <n v="2447"/>
    <n v="668.27"/>
    <n v="502.54"/>
    <n v="1635256.69"/>
    <n v="1229715.3799999999"/>
    <n v="405541.31"/>
  </r>
  <r>
    <x v="2"/>
    <s v="Nepal"/>
    <s v="Fruits"/>
    <s v="Online"/>
    <s v="M"/>
    <s v="5/20/2012"/>
    <n v="380507457"/>
    <s v="6/23/2012"/>
    <n v="9467"/>
    <n v="9.33"/>
    <n v="6.92"/>
    <n v="88327.11"/>
    <n v="65511.64"/>
    <n v="22815.47"/>
  </r>
  <r>
    <x v="5"/>
    <s v="Cote d'Ivoire"/>
    <s v="Beverages"/>
    <s v="Offline"/>
    <s v="M"/>
    <s v="12/22/2016"/>
    <n v="524449384"/>
    <s v="1/29/2017"/>
    <n v="5082"/>
    <n v="47.45"/>
    <n v="31.79"/>
    <n v="241140.9"/>
    <n v="161556.78"/>
    <n v="79584.12"/>
  </r>
  <r>
    <x v="2"/>
    <s v="Sri Lanka"/>
    <s v="Clothes"/>
    <s v="Offline"/>
    <s v="L"/>
    <s v="4/30/2014"/>
    <n v="788760268"/>
    <d v="2014-01-06T00:00:00"/>
    <n v="546"/>
    <n v="109.28"/>
    <n v="35.840000000000003"/>
    <n v="59666.879999999997"/>
    <n v="19568.64"/>
    <n v="40098.239999999998"/>
  </r>
  <r>
    <x v="1"/>
    <s v="Greece"/>
    <s v="Household"/>
    <s v="Offline"/>
    <s v="M"/>
    <s v="1/23/2012"/>
    <n v="706301438"/>
    <d v="2012-11-02T00:00:00"/>
    <n v="9146"/>
    <n v="668.27"/>
    <n v="502.54"/>
    <n v="6111997.4199999999"/>
    <n v="4596230.84"/>
    <n v="1515766.58"/>
  </r>
  <r>
    <x v="2"/>
    <s v="Bhutan"/>
    <s v="Snacks"/>
    <s v="Online"/>
    <s v="C"/>
    <s v="1/27/2015"/>
    <n v="780246722"/>
    <d v="2015-09-03T00:00:00"/>
    <n v="1199"/>
    <n v="152.58000000000001"/>
    <n v="97.44"/>
    <n v="182943.42"/>
    <n v="116830.56"/>
    <n v="66112.86"/>
  </r>
  <r>
    <x v="1"/>
    <s v="Montenegro"/>
    <s v="Clothes"/>
    <s v="Online"/>
    <s v="C"/>
    <d v="2014-09-03T00:00:00"/>
    <n v="234082448"/>
    <d v="2014-09-03T00:00:00"/>
    <n v="9053"/>
    <n v="109.28"/>
    <n v="35.840000000000003"/>
    <n v="989311.84"/>
    <n v="324459.52000000002"/>
    <n v="664852.31999999995"/>
  </r>
  <r>
    <x v="1"/>
    <s v="Romania"/>
    <s v="Meat"/>
    <s v="Offline"/>
    <s v="L"/>
    <s v="8/22/2012"/>
    <n v="161607444"/>
    <d v="2012-03-10T00:00:00"/>
    <n v="2089"/>
    <n v="421.89"/>
    <n v="364.69"/>
    <n v="881328.21"/>
    <n v="761837.41"/>
    <n v="119490.8"/>
  </r>
  <r>
    <x v="5"/>
    <s v="Ghana"/>
    <s v="Meat"/>
    <s v="Offline"/>
    <s v="C"/>
    <s v="9/29/2014"/>
    <n v="376933038"/>
    <s v="10/19/2014"/>
    <n v="1717"/>
    <n v="421.89"/>
    <n v="364.69"/>
    <n v="724385.13"/>
    <n v="626172.73"/>
    <n v="98212.4"/>
  </r>
  <r>
    <x v="1"/>
    <s v="Lithuania"/>
    <s v="Meat"/>
    <s v="Offline"/>
    <s v="C"/>
    <d v="2014-06-07T00:00:00"/>
    <n v="764483058"/>
    <d v="2014-05-08T00:00:00"/>
    <n v="6380"/>
    <n v="421.89"/>
    <n v="364.69"/>
    <n v="2691658.2"/>
    <n v="2326722.2000000002"/>
    <n v="364936"/>
  </r>
  <r>
    <x v="1"/>
    <s v="Iceland"/>
    <s v="Baby Food"/>
    <s v="Offline"/>
    <s v="M"/>
    <d v="2014-05-08T00:00:00"/>
    <n v="828993833"/>
    <d v="2014-02-09T00:00:00"/>
    <n v="6552"/>
    <n v="255.28"/>
    <n v="159.41999999999999"/>
    <n v="1672594.56"/>
    <n v="1044519.84"/>
    <n v="628074.72"/>
  </r>
  <r>
    <x v="2"/>
    <s v="Brunei"/>
    <s v="Meat"/>
    <s v="Online"/>
    <s v="H"/>
    <d v="2014-02-12T00:00:00"/>
    <n v="145514190"/>
    <s v="12/13/2014"/>
    <n v="9737"/>
    <n v="421.89"/>
    <n v="364.69"/>
    <n v="4107942.93"/>
    <n v="3550986.53"/>
    <n v="556956.4"/>
  </r>
  <r>
    <x v="0"/>
    <s v="Cuba"/>
    <s v="Fruits"/>
    <s v="Online"/>
    <s v="L"/>
    <s v="6/25/2016"/>
    <n v="609405457"/>
    <d v="2016-03-08T00:00:00"/>
    <n v="5472"/>
    <n v="9.33"/>
    <n v="6.92"/>
    <n v="51053.760000000002"/>
    <n v="37866.239999999998"/>
    <n v="13187.52"/>
  </r>
  <r>
    <x v="5"/>
    <s v="Chad"/>
    <s v="Household"/>
    <s v="Online"/>
    <s v="L"/>
    <s v="7/24/2017"/>
    <n v="586341464"/>
    <s v="7/31/2017"/>
    <n v="324"/>
    <n v="668.27"/>
    <n v="502.54"/>
    <n v="216519.48"/>
    <n v="162822.96"/>
    <n v="53696.52"/>
  </r>
  <r>
    <x v="4"/>
    <s v="East Timor"/>
    <s v="Beverages"/>
    <s v="Offline"/>
    <s v="C"/>
    <s v="6/27/2017"/>
    <n v="762308537"/>
    <s v="7/25/2017"/>
    <n v="2891"/>
    <n v="47.45"/>
    <n v="31.79"/>
    <n v="137177.95000000001"/>
    <n v="91904.89"/>
    <n v="45273.06"/>
  </r>
  <r>
    <x v="3"/>
    <s v="Bahrain"/>
    <s v="Cereal"/>
    <s v="Online"/>
    <s v="H"/>
    <s v="11/17/2012"/>
    <n v="993605506"/>
    <s v="11/17/2012"/>
    <n v="8804"/>
    <n v="205.7"/>
    <n v="117.11"/>
    <n v="1810982.8"/>
    <n v="1031036.44"/>
    <n v="779946.36"/>
  </r>
  <r>
    <x v="3"/>
    <s v="Oman"/>
    <s v="Fruits"/>
    <s v="Online"/>
    <s v="H"/>
    <s v="7/26/2016"/>
    <n v="756843698"/>
    <s v="8/30/2016"/>
    <n v="5724"/>
    <n v="9.33"/>
    <n v="6.92"/>
    <n v="53404.92"/>
    <n v="39610.080000000002"/>
    <n v="13794.84"/>
  </r>
  <r>
    <x v="1"/>
    <s v="Bosnia and Herzegovina"/>
    <s v="Meat"/>
    <s v="Offline"/>
    <s v="C"/>
    <d v="2015-09-12T00:00:00"/>
    <n v="498946940"/>
    <d v="2016-11-01T00:00:00"/>
    <n v="8342"/>
    <n v="421.89"/>
    <n v="364.69"/>
    <n v="3519406.38"/>
    <n v="3042243.98"/>
    <n v="477162.4"/>
  </r>
  <r>
    <x v="1"/>
    <s v="Switzerland"/>
    <s v="Personal Care"/>
    <s v="Offline"/>
    <s v="M"/>
    <d v="2014-02-08T00:00:00"/>
    <n v="287151563"/>
    <d v="2014-11-08T00:00:00"/>
    <n v="3383"/>
    <n v="81.73"/>
    <n v="56.67"/>
    <n v="276492.59000000003"/>
    <n v="191714.61"/>
    <n v="84777.98"/>
  </r>
  <r>
    <x v="1"/>
    <s v="Croatia"/>
    <s v="Office Supplies"/>
    <s v="Online"/>
    <s v="C"/>
    <s v="5/22/2013"/>
    <n v="259006392"/>
    <d v="2013-06-06T00:00:00"/>
    <n v="4602"/>
    <n v="651.21"/>
    <n v="524.96"/>
    <n v="2996868.42"/>
    <n v="2415865.92"/>
    <n v="581002.5"/>
  </r>
  <r>
    <x v="2"/>
    <s v="Nepal"/>
    <s v="Clothes"/>
    <s v="Online"/>
    <s v="H"/>
    <s v="4/15/2014"/>
    <n v="172372758"/>
    <s v="4/30/2014"/>
    <n v="7784"/>
    <n v="109.28"/>
    <n v="35.840000000000003"/>
    <n v="850635.52"/>
    <n v="278978.56"/>
    <n v="571656.95999999996"/>
  </r>
  <r>
    <x v="0"/>
    <s v="Haiti"/>
    <s v="Cosmetics"/>
    <s v="Online"/>
    <s v="C"/>
    <d v="2016-03-07T00:00:00"/>
    <n v="755424487"/>
    <s v="7/17/2016"/>
    <n v="5748"/>
    <n v="437.2"/>
    <n v="263.33"/>
    <n v="2513025.6"/>
    <n v="1513620.84"/>
    <n v="999404.76"/>
  </r>
  <r>
    <x v="1"/>
    <s v="United Kingdom"/>
    <s v="Vegetables"/>
    <s v="Online"/>
    <s v="C"/>
    <s v="9/30/2012"/>
    <n v="556647908"/>
    <s v="10/29/2012"/>
    <n v="3341"/>
    <n v="154.06"/>
    <n v="90.93"/>
    <n v="514714.46"/>
    <n v="303797.13"/>
    <n v="210917.33"/>
  </r>
  <r>
    <x v="5"/>
    <s v="South Africa"/>
    <s v="Clothes"/>
    <s v="Online"/>
    <s v="M"/>
    <s v="9/25/2015"/>
    <n v="894841849"/>
    <d v="2015-08-10T00:00:00"/>
    <n v="2443"/>
    <n v="109.28"/>
    <n v="35.840000000000003"/>
    <n v="266971.03999999998"/>
    <n v="87557.119999999995"/>
    <n v="179413.92"/>
  </r>
  <r>
    <x v="0"/>
    <s v="Grenada"/>
    <s v="Snacks"/>
    <s v="Online"/>
    <s v="L"/>
    <d v="2016-03-07T00:00:00"/>
    <n v="909117639"/>
    <d v="2016-10-08T00:00:00"/>
    <n v="6967"/>
    <n v="152.58000000000001"/>
    <n v="97.44"/>
    <n v="1063024.8600000001"/>
    <n v="678864.48"/>
    <n v="384160.38"/>
  </r>
  <r>
    <x v="2"/>
    <s v="India"/>
    <s v="Baby Food"/>
    <s v="Offline"/>
    <s v="M"/>
    <s v="12/24/2010"/>
    <n v="708899104"/>
    <d v="2011-01-01T00:00:00"/>
    <n v="7853"/>
    <n v="255.28"/>
    <n v="159.41999999999999"/>
    <n v="2004713.84"/>
    <n v="1251925.26"/>
    <n v="752788.58"/>
  </r>
  <r>
    <x v="1"/>
    <s v="Ireland"/>
    <s v="Vegetables"/>
    <s v="Offline"/>
    <s v="M"/>
    <d v="2011-09-04T00:00:00"/>
    <n v="923922574"/>
    <s v="5/23/2011"/>
    <n v="8076"/>
    <n v="154.06"/>
    <n v="90.93"/>
    <n v="1244188.56"/>
    <n v="734350.68"/>
    <n v="509837.88"/>
  </r>
  <r>
    <x v="3"/>
    <s v="Tunisia "/>
    <s v="Vegetables"/>
    <s v="Offline"/>
    <s v="M"/>
    <s v="8/18/2011"/>
    <n v="454236876"/>
    <s v="8/22/2011"/>
    <n v="7641"/>
    <n v="154.06"/>
    <n v="90.93"/>
    <n v="1177172.46"/>
    <n v="694796.13"/>
    <n v="482376.33"/>
  </r>
  <r>
    <x v="3"/>
    <s v="Algeria"/>
    <s v="Snacks"/>
    <s v="Online"/>
    <s v="L"/>
    <d v="2014-09-12T00:00:00"/>
    <n v="520203340"/>
    <s v="12/19/2014"/>
    <n v="8583"/>
    <n v="152.58000000000001"/>
    <n v="97.44"/>
    <n v="1309594.1399999999"/>
    <n v="836327.52"/>
    <n v="473266.62"/>
  </r>
  <r>
    <x v="4"/>
    <s v="Papua New Guinea"/>
    <s v="Cereal"/>
    <s v="Online"/>
    <s v="L"/>
    <s v="10/19/2013"/>
    <n v="612495791"/>
    <d v="2013-10-11T00:00:00"/>
    <n v="9971"/>
    <n v="205.7"/>
    <n v="117.11"/>
    <n v="2051034.7"/>
    <n v="1167703.81"/>
    <n v="883330.89"/>
  </r>
  <r>
    <x v="1"/>
    <s v="San Marino"/>
    <s v="Snacks"/>
    <s v="Offline"/>
    <s v="C"/>
    <d v="2017-04-01T00:00:00"/>
    <n v="742100560"/>
    <s v="1/17/2017"/>
    <n v="2902"/>
    <n v="152.58000000000001"/>
    <n v="97.44"/>
    <n v="442787.16"/>
    <n v="282770.88"/>
    <n v="160016.28"/>
  </r>
  <r>
    <x v="5"/>
    <s v="Senegal"/>
    <s v="Fruits"/>
    <s v="Online"/>
    <s v="H"/>
    <d v="2015-07-07T00:00:00"/>
    <n v="990316474"/>
    <s v="8/21/2015"/>
    <n v="5507"/>
    <n v="9.33"/>
    <n v="6.92"/>
    <n v="51380.31"/>
    <n v="38108.44"/>
    <n v="13271.87"/>
  </r>
  <r>
    <x v="3"/>
    <s v="Algeria"/>
    <s v="Beverages"/>
    <s v="Offline"/>
    <s v="M"/>
    <s v="6/13/2016"/>
    <n v="158754861"/>
    <s v="7/24/2016"/>
    <n v="7946"/>
    <n v="47.45"/>
    <n v="31.79"/>
    <n v="377037.7"/>
    <n v="252603.34"/>
    <n v="124434.36"/>
  </r>
  <r>
    <x v="5"/>
    <s v="Niger"/>
    <s v="Household"/>
    <s v="Offline"/>
    <s v="C"/>
    <d v="2016-05-09T00:00:00"/>
    <n v="719339549"/>
    <s v="9/21/2016"/>
    <n v="7413"/>
    <n v="668.27"/>
    <n v="502.54"/>
    <n v="4953885.51"/>
    <n v="3725329.02"/>
    <n v="1228556.49"/>
  </r>
  <r>
    <x v="3"/>
    <s v="Saudi Arabia"/>
    <s v="Cereal"/>
    <s v="Online"/>
    <s v="L"/>
    <d v="2014-12-02T00:00:00"/>
    <n v="264306867"/>
    <s v="3/29/2014"/>
    <n v="3130"/>
    <n v="205.7"/>
    <n v="117.11"/>
    <n v="643841"/>
    <n v="366554.3"/>
    <n v="277286.7"/>
  </r>
  <r>
    <x v="2"/>
    <s v="Mongolia"/>
    <s v="Snacks"/>
    <s v="Offline"/>
    <s v="C"/>
    <s v="7/13/2011"/>
    <n v="956205642"/>
    <s v="8/25/2011"/>
    <n v="1353"/>
    <n v="152.58000000000001"/>
    <n v="97.44"/>
    <n v="206440.74"/>
    <n v="131836.32"/>
    <n v="74604.42"/>
  </r>
  <r>
    <x v="2"/>
    <s v="Brunei"/>
    <s v="Vegetables"/>
    <s v="Offline"/>
    <s v="L"/>
    <d v="2012-04-10T00:00:00"/>
    <n v="977897202"/>
    <d v="2012-11-11T00:00:00"/>
    <n v="368"/>
    <n v="154.06"/>
    <n v="90.93"/>
    <n v="56694.080000000002"/>
    <n v="33462.239999999998"/>
    <n v="23231.84"/>
  </r>
  <r>
    <x v="2"/>
    <s v="India"/>
    <s v="Baby Food"/>
    <s v="Online"/>
    <s v="L"/>
    <d v="2011-04-05T00:00:00"/>
    <n v="382555377"/>
    <s v="6/19/2011"/>
    <n v="5492"/>
    <n v="255.28"/>
    <n v="159.41999999999999"/>
    <n v="1401997.76"/>
    <n v="875534.64"/>
    <n v="526463.12"/>
  </r>
  <r>
    <x v="2"/>
    <s v="Kazakhstan"/>
    <s v="Fruits"/>
    <s v="Offline"/>
    <s v="L"/>
    <d v="2017-08-01T00:00:00"/>
    <n v="643666493"/>
    <s v="2/23/2017"/>
    <n v="4074"/>
    <n v="9.33"/>
    <n v="6.92"/>
    <n v="38010.42"/>
    <n v="28192.080000000002"/>
    <n v="9818.34"/>
  </r>
  <r>
    <x v="1"/>
    <s v="France"/>
    <s v="Fruits"/>
    <s v="Offline"/>
    <s v="H"/>
    <d v="2014-12-02T00:00:00"/>
    <n v="605029380"/>
    <s v="2/18/2014"/>
    <n v="493"/>
    <n v="9.33"/>
    <n v="6.92"/>
    <n v="4599.6899999999996"/>
    <n v="3411.56"/>
    <n v="1188.1300000000001"/>
  </r>
  <r>
    <x v="2"/>
    <s v="Turkmenistan"/>
    <s v="Fruits"/>
    <s v="Online"/>
    <s v="L"/>
    <s v="9/22/2010"/>
    <n v="530755364"/>
    <s v="9/29/2010"/>
    <n v="1162"/>
    <n v="9.33"/>
    <n v="6.92"/>
    <n v="10841.46"/>
    <n v="8041.04"/>
    <n v="2800.42"/>
  </r>
  <r>
    <x v="4"/>
    <s v="Palau"/>
    <s v="Vegetables"/>
    <s v="Offline"/>
    <s v="M"/>
    <s v="3/18/2012"/>
    <n v="755268275"/>
    <d v="2012-06-04T00:00:00"/>
    <n v="9521"/>
    <n v="154.06"/>
    <n v="90.93"/>
    <n v="1466805.26"/>
    <n v="865744.53"/>
    <n v="601060.73"/>
  </r>
  <r>
    <x v="1"/>
    <s v="Cyprus"/>
    <s v="Meat"/>
    <s v="Online"/>
    <s v="L"/>
    <d v="2017-11-06T00:00:00"/>
    <n v="333304440"/>
    <d v="2017-05-07T00:00:00"/>
    <n v="1046"/>
    <n v="421.89"/>
    <n v="364.69"/>
    <n v="441296.94"/>
    <n v="381465.74"/>
    <n v="59831.199999999997"/>
  </r>
  <r>
    <x v="2"/>
    <s v="South Korea"/>
    <s v="Snacks"/>
    <s v="Offline"/>
    <s v="M"/>
    <s v="12/28/2014"/>
    <n v="189912688"/>
    <d v="2015-09-02T00:00:00"/>
    <n v="8240"/>
    <n v="152.58000000000001"/>
    <n v="97.44"/>
    <n v="1257259.2"/>
    <n v="802905.59999999998"/>
    <n v="454353.6"/>
  </r>
  <r>
    <x v="4"/>
    <s v="Australia"/>
    <s v="Beverages"/>
    <s v="Online"/>
    <s v="M"/>
    <s v="3/18/2017"/>
    <n v="870454347"/>
    <s v="3/26/2017"/>
    <n v="5639"/>
    <n v="47.45"/>
    <n v="31.79"/>
    <n v="267570.55"/>
    <n v="179263.81"/>
    <n v="88306.74"/>
  </r>
  <r>
    <x v="2"/>
    <s v="Kazakhstan"/>
    <s v="Beverages"/>
    <s v="Online"/>
    <s v="C"/>
    <d v="2011-06-01T00:00:00"/>
    <n v="290603244"/>
    <s v="2/21/2011"/>
    <n v="4813"/>
    <n v="47.45"/>
    <n v="31.79"/>
    <n v="228376.85"/>
    <n v="153005.26999999999"/>
    <n v="75371.58"/>
  </r>
  <r>
    <x v="1"/>
    <s v="Russia"/>
    <s v="Cosmetics"/>
    <s v="Offline"/>
    <s v="H"/>
    <d v="2014-03-09T00:00:00"/>
    <n v="486345708"/>
    <d v="2014-11-10T00:00:00"/>
    <n v="9357"/>
    <n v="437.2"/>
    <n v="263.33"/>
    <n v="4090880.4"/>
    <n v="2463978.81"/>
    <n v="1626901.59"/>
  </r>
  <r>
    <x v="0"/>
    <s v="Haiti"/>
    <s v="Personal Care"/>
    <s v="Offline"/>
    <s v="M"/>
    <d v="2013-10-06T00:00:00"/>
    <n v="863980567"/>
    <s v="6/20/2013"/>
    <n v="9904"/>
    <n v="81.73"/>
    <n v="56.67"/>
    <n v="809453.92"/>
    <n v="561259.68000000005"/>
    <n v="248194.24"/>
  </r>
  <r>
    <x v="5"/>
    <s v="Kenya"/>
    <s v="Personal Care"/>
    <s v="Offline"/>
    <s v="C"/>
    <d v="2016-12-05T00:00:00"/>
    <n v="450119149"/>
    <d v="2016-01-07T00:00:00"/>
    <n v="9114"/>
    <n v="81.73"/>
    <n v="56.67"/>
    <n v="744887.22"/>
    <n v="516490.38"/>
    <n v="228396.84"/>
  </r>
  <r>
    <x v="5"/>
    <s v="Burkina Faso"/>
    <s v="Snacks"/>
    <s v="Online"/>
    <s v="H"/>
    <d v="2014-12-08T00:00:00"/>
    <n v="141685283"/>
    <d v="2014-12-09T00:00:00"/>
    <n v="6679"/>
    <n v="152.58000000000001"/>
    <n v="97.44"/>
    <n v="1019081.82"/>
    <n v="650801.76"/>
    <n v="368280.06"/>
  </r>
  <r>
    <x v="5"/>
    <s v="Togo"/>
    <s v="Office Supplies"/>
    <s v="Online"/>
    <s v="L"/>
    <s v="7/28/2015"/>
    <n v="455915296"/>
    <d v="2015-11-09T00:00:00"/>
    <n v="4322"/>
    <n v="651.21"/>
    <n v="524.96"/>
    <n v="2814529.62"/>
    <n v="2268877.12"/>
    <n v="545652.5"/>
  </r>
  <r>
    <x v="1"/>
    <s v="Malta"/>
    <s v="Beverages"/>
    <s v="Online"/>
    <s v="M"/>
    <s v="4/30/2016"/>
    <n v="180358016"/>
    <s v="5/16/2016"/>
    <n v="800"/>
    <n v="47.45"/>
    <n v="31.79"/>
    <n v="37960"/>
    <n v="25432"/>
    <n v="12528"/>
  </r>
  <r>
    <x v="2"/>
    <s v="Thailand"/>
    <s v="Meat"/>
    <s v="Offline"/>
    <s v="H"/>
    <s v="1/17/2015"/>
    <n v="422874772"/>
    <s v="2/23/2015"/>
    <n v="6897"/>
    <n v="421.89"/>
    <n v="364.69"/>
    <n v="2909775.33"/>
    <n v="2515266.9300000002"/>
    <n v="394508.4"/>
  </r>
  <r>
    <x v="3"/>
    <s v="Yemen"/>
    <s v="Vegetables"/>
    <s v="Offline"/>
    <s v="M"/>
    <s v="9/20/2014"/>
    <n v="561639392"/>
    <s v="10/25/2014"/>
    <n v="432"/>
    <n v="154.06"/>
    <n v="90.93"/>
    <n v="66553.919999999998"/>
    <n v="39281.760000000002"/>
    <n v="27272.16"/>
  </r>
  <r>
    <x v="2"/>
    <s v="Bhutan"/>
    <s v="Meat"/>
    <s v="Offline"/>
    <s v="L"/>
    <d v="2011-09-11T00:00:00"/>
    <n v="495138204"/>
    <d v="2011-11-11T00:00:00"/>
    <n v="1252"/>
    <n v="421.89"/>
    <n v="364.69"/>
    <n v="528206.28"/>
    <n v="456591.88"/>
    <n v="71614.399999999994"/>
  </r>
  <r>
    <x v="5"/>
    <s v="Tanzania"/>
    <s v="Baby Food"/>
    <s v="Online"/>
    <s v="H"/>
    <s v="5/17/2015"/>
    <n v="192170035"/>
    <d v="2015-05-06T00:00:00"/>
    <n v="6239"/>
    <n v="255.28"/>
    <n v="159.41999999999999"/>
    <n v="1592691.92"/>
    <n v="994621.38"/>
    <n v="598070.54"/>
  </r>
  <r>
    <x v="1"/>
    <s v="Georgia"/>
    <s v="Clothes"/>
    <s v="Online"/>
    <s v="H"/>
    <s v="7/18/2012"/>
    <n v="141846215"/>
    <s v="8/16/2012"/>
    <n v="4302"/>
    <n v="109.28"/>
    <n v="35.840000000000003"/>
    <n v="470122.56"/>
    <n v="154183.67999999999"/>
    <n v="315938.88"/>
  </r>
  <r>
    <x v="3"/>
    <s v="Oman"/>
    <s v="Clothes"/>
    <s v="Offline"/>
    <s v="L"/>
    <s v="8/19/2010"/>
    <n v="903590571"/>
    <d v="2010-01-09T00:00:00"/>
    <n v="1385"/>
    <n v="109.28"/>
    <n v="35.840000000000003"/>
    <n v="151352.79999999999"/>
    <n v="49638.400000000001"/>
    <n v="101714.4"/>
  </r>
  <r>
    <x v="3"/>
    <s v="Libya"/>
    <s v="Meat"/>
    <s v="Online"/>
    <s v="L"/>
    <s v="5/24/2010"/>
    <n v="857139432"/>
    <d v="2010-11-06T00:00:00"/>
    <n v="5460"/>
    <n v="421.89"/>
    <n v="364.69"/>
    <n v="2303519.4"/>
    <n v="1991207.4"/>
    <n v="312312"/>
  </r>
  <r>
    <x v="1"/>
    <s v="Moldova "/>
    <s v="Baby Food"/>
    <s v="Offline"/>
    <s v="C"/>
    <d v="2017-09-06T00:00:00"/>
    <n v="252541625"/>
    <d v="2017-05-07T00:00:00"/>
    <n v="1534"/>
    <n v="255.28"/>
    <n v="159.41999999999999"/>
    <n v="391599.52"/>
    <n v="244550.28"/>
    <n v="147049.24"/>
  </r>
  <r>
    <x v="5"/>
    <s v="South Sudan"/>
    <s v="Household"/>
    <s v="Offline"/>
    <s v="H"/>
    <s v="9/22/2015"/>
    <n v="760158479"/>
    <s v="10/26/2015"/>
    <n v="6641"/>
    <n v="668.27"/>
    <n v="502.54"/>
    <n v="4437981.07"/>
    <n v="3337368.14"/>
    <n v="1100612.93"/>
  </r>
  <r>
    <x v="4"/>
    <s v="Marshall Islands"/>
    <s v="Cosmetics"/>
    <s v="Offline"/>
    <s v="C"/>
    <d v="2016-11-10T00:00:00"/>
    <n v="520663821"/>
    <d v="2016-06-11T00:00:00"/>
    <n v="4850"/>
    <n v="437.2"/>
    <n v="263.33"/>
    <n v="2120420"/>
    <n v="1277150.5"/>
    <n v="843269.5"/>
  </r>
  <r>
    <x v="5"/>
    <s v="Uganda"/>
    <s v="Snacks"/>
    <s v="Offline"/>
    <s v="H"/>
    <s v="6/20/2010"/>
    <n v="895043981"/>
    <s v="6/21/2010"/>
    <n v="2259"/>
    <n v="152.58000000000001"/>
    <n v="97.44"/>
    <n v="344678.22"/>
    <n v="220116.96"/>
    <n v="124561.26"/>
  </r>
  <r>
    <x v="1"/>
    <s v="Montenegro"/>
    <s v="Cosmetics"/>
    <s v="Offline"/>
    <s v="C"/>
    <s v="3/29/2014"/>
    <n v="614597785"/>
    <s v="5/14/2014"/>
    <n v="1997"/>
    <n v="437.2"/>
    <n v="263.33"/>
    <n v="873088.4"/>
    <n v="525870.01"/>
    <n v="347218.39"/>
  </r>
  <r>
    <x v="2"/>
    <s v="Philippines"/>
    <s v="Office Supplies"/>
    <s v="Online"/>
    <s v="L"/>
    <s v="4/21/2016"/>
    <n v="730936563"/>
    <s v="4/30/2016"/>
    <n v="9227"/>
    <n v="651.21"/>
    <n v="524.96"/>
    <n v="6008714.6699999999"/>
    <n v="4843805.92"/>
    <n v="1164908.75"/>
  </r>
  <r>
    <x v="5"/>
    <s v="Nigeria"/>
    <s v="Snacks"/>
    <s v="Online"/>
    <s v="C"/>
    <s v="4/22/2017"/>
    <n v="565984141"/>
    <s v="5/22/2017"/>
    <n v="6140"/>
    <n v="152.58000000000001"/>
    <n v="97.44"/>
    <n v="936841.2"/>
    <n v="598281.6"/>
    <n v="338559.6"/>
  </r>
  <r>
    <x v="1"/>
    <s v="Sweden"/>
    <s v="Personal Care"/>
    <s v="Offline"/>
    <s v="H"/>
    <s v="5/17/2011"/>
    <n v="861976850"/>
    <s v="5/25/2011"/>
    <n v="6960"/>
    <n v="81.73"/>
    <n v="56.67"/>
    <n v="568840.80000000005"/>
    <n v="394423.2"/>
    <n v="174417.6"/>
  </r>
  <r>
    <x v="1"/>
    <s v="Czech Republic"/>
    <s v="Clothes"/>
    <s v="Offline"/>
    <s v="L"/>
    <s v="8/21/2012"/>
    <n v="631463515"/>
    <s v="9/25/2012"/>
    <n v="2942"/>
    <n v="109.28"/>
    <n v="35.840000000000003"/>
    <n v="321501.76"/>
    <n v="105441.28"/>
    <n v="216060.48"/>
  </r>
  <r>
    <x v="1"/>
    <s v="Moldova "/>
    <s v="Fruits"/>
    <s v="Online"/>
    <s v="M"/>
    <s v="7/29/2013"/>
    <n v="307305467"/>
    <d v="2013-10-08T00:00:00"/>
    <n v="7371"/>
    <n v="9.33"/>
    <n v="6.92"/>
    <n v="68771.429999999993"/>
    <n v="51007.32"/>
    <n v="17764.11"/>
  </r>
  <r>
    <x v="1"/>
    <s v="Cyprus"/>
    <s v="Cereal"/>
    <s v="Offline"/>
    <s v="H"/>
    <d v="2011-05-07T00:00:00"/>
    <n v="392676532"/>
    <d v="2011-06-08T00:00:00"/>
    <n v="567"/>
    <n v="205.7"/>
    <n v="117.11"/>
    <n v="116631.9"/>
    <n v="66401.37"/>
    <n v="50230.53"/>
  </r>
  <r>
    <x v="1"/>
    <s v="Luxembourg"/>
    <s v="Baby Food"/>
    <s v="Online"/>
    <s v="L"/>
    <s v="5/26/2012"/>
    <n v="111063039"/>
    <s v="7/13/2012"/>
    <n v="4876"/>
    <n v="255.28"/>
    <n v="159.41999999999999"/>
    <n v="1244745.28"/>
    <n v="777331.92"/>
    <n v="467413.36"/>
  </r>
  <r>
    <x v="1"/>
    <s v="Spain"/>
    <s v="Beverages"/>
    <s v="Online"/>
    <s v="M"/>
    <d v="2011-05-12T00:00:00"/>
    <n v="556263816"/>
    <d v="2011-07-12T00:00:00"/>
    <n v="9679"/>
    <n v="47.45"/>
    <n v="31.79"/>
    <n v="459268.55"/>
    <n v="307695.40999999997"/>
    <n v="151573.14000000001"/>
  </r>
  <r>
    <x v="3"/>
    <s v="Yemen"/>
    <s v="Vegetables"/>
    <s v="Online"/>
    <s v="C"/>
    <s v="5/24/2014"/>
    <n v="642390191"/>
    <s v="5/26/2014"/>
    <n v="6388"/>
    <n v="154.06"/>
    <n v="90.93"/>
    <n v="984135.28"/>
    <n v="580860.84"/>
    <n v="403274.44"/>
  </r>
  <r>
    <x v="5"/>
    <s v="Liberia"/>
    <s v="Baby Food"/>
    <s v="Online"/>
    <s v="M"/>
    <s v="10/24/2013"/>
    <n v="253865993"/>
    <d v="2013-04-12T00:00:00"/>
    <n v="3444"/>
    <n v="255.28"/>
    <n v="159.41999999999999"/>
    <n v="879184.32"/>
    <n v="549042.48"/>
    <n v="330141.84000000003"/>
  </r>
  <r>
    <x v="2"/>
    <s v="Indonesia"/>
    <s v="Vegetables"/>
    <s v="Offline"/>
    <s v="M"/>
    <d v="2012-02-11T00:00:00"/>
    <n v="695427548"/>
    <s v="11/29/2012"/>
    <n v="1320"/>
    <n v="154.06"/>
    <n v="90.93"/>
    <n v="203359.2"/>
    <n v="120027.6"/>
    <n v="83331.600000000006"/>
  </r>
  <r>
    <x v="1"/>
    <s v="Greece"/>
    <s v="Beverages"/>
    <s v="Online"/>
    <s v="M"/>
    <s v="5/25/2011"/>
    <n v="642123687"/>
    <s v="5/30/2011"/>
    <n v="7523"/>
    <n v="47.45"/>
    <n v="31.79"/>
    <n v="356966.35"/>
    <n v="239156.17"/>
    <n v="117810.18"/>
  </r>
  <r>
    <x v="2"/>
    <s v="China"/>
    <s v="Beverages"/>
    <s v="Online"/>
    <s v="M"/>
    <s v="6/26/2010"/>
    <n v="189315736"/>
    <d v="2010-01-08T00:00:00"/>
    <n v="1588"/>
    <n v="47.45"/>
    <n v="31.79"/>
    <n v="75350.600000000006"/>
    <n v="50482.52"/>
    <n v="24868.080000000002"/>
  </r>
  <r>
    <x v="0"/>
    <s v="Trinidad and Tobago"/>
    <s v="Snacks"/>
    <s v="Offline"/>
    <s v="C"/>
    <d v="2015-12-12T00:00:00"/>
    <n v="402677524"/>
    <s v="12/27/2015"/>
    <n v="82"/>
    <n v="152.58000000000001"/>
    <n v="97.44"/>
    <n v="12511.56"/>
    <n v="7990.08"/>
    <n v="4521.4799999999996"/>
  </r>
  <r>
    <x v="5"/>
    <s v="Kenya"/>
    <s v="Clothes"/>
    <s v="Offline"/>
    <s v="L"/>
    <s v="12/23/2011"/>
    <n v="168195378"/>
    <s v="12/27/2011"/>
    <n v="1605"/>
    <n v="109.28"/>
    <n v="35.840000000000003"/>
    <n v="175394.4"/>
    <n v="57523.199999999997"/>
    <n v="117871.2"/>
  </r>
  <r>
    <x v="1"/>
    <s v="Czech Republic"/>
    <s v="Beverages"/>
    <s v="Online"/>
    <s v="M"/>
    <d v="2010-02-05T00:00:00"/>
    <n v="242168128"/>
    <d v="2010-03-05T00:00:00"/>
    <n v="1785"/>
    <n v="47.45"/>
    <n v="31.79"/>
    <n v="84698.25"/>
    <n v="56745.15"/>
    <n v="27953.1"/>
  </r>
  <r>
    <x v="2"/>
    <s v="Singapore"/>
    <s v="Fruits"/>
    <s v="Offline"/>
    <s v="C"/>
    <d v="2016-11-04T00:00:00"/>
    <n v="101207101"/>
    <d v="2016-02-05T00:00:00"/>
    <n v="8285"/>
    <n v="9.33"/>
    <n v="6.92"/>
    <n v="77299.05"/>
    <n v="57332.2"/>
    <n v="19966.849999999999"/>
  </r>
  <r>
    <x v="1"/>
    <s v="Croatia"/>
    <s v="Beverages"/>
    <s v="Offline"/>
    <s v="H"/>
    <d v="2017-11-03T00:00:00"/>
    <n v="192236125"/>
    <s v="3/22/2017"/>
    <n v="5796"/>
    <n v="47.45"/>
    <n v="31.79"/>
    <n v="275020.2"/>
    <n v="184254.84"/>
    <n v="90765.36"/>
  </r>
  <r>
    <x v="2"/>
    <s v="South Korea"/>
    <s v="Personal Care"/>
    <s v="Offline"/>
    <s v="M"/>
    <d v="2016-03-09T00:00:00"/>
    <n v="582491528"/>
    <d v="2016-10-10T00:00:00"/>
    <n v="1042"/>
    <n v="81.73"/>
    <n v="56.67"/>
    <n v="85162.66"/>
    <n v="59050.14"/>
    <n v="26112.52"/>
  </r>
  <r>
    <x v="5"/>
    <s v="Madagascar"/>
    <s v="Fruits"/>
    <s v="Offline"/>
    <s v="L"/>
    <d v="2015-09-08T00:00:00"/>
    <n v="509522140"/>
    <s v="9/28/2015"/>
    <n v="7779"/>
    <n v="9.33"/>
    <n v="6.92"/>
    <n v="72578.070000000007"/>
    <n v="53830.68"/>
    <n v="18747.39"/>
  </r>
  <r>
    <x v="4"/>
    <s v="Australia"/>
    <s v="Personal Care"/>
    <s v="Offline"/>
    <s v="M"/>
    <d v="2015-02-12T00:00:00"/>
    <n v="631189286"/>
    <s v="12/17/2015"/>
    <n v="1791"/>
    <n v="81.73"/>
    <n v="56.67"/>
    <n v="146378.43"/>
    <n v="101495.97"/>
    <n v="44882.46"/>
  </r>
  <r>
    <x v="3"/>
    <s v="Jordan"/>
    <s v="Fruits"/>
    <s v="Online"/>
    <s v="C"/>
    <d v="2016-03-11T00:00:00"/>
    <n v="775666797"/>
    <d v="2016-11-12T00:00:00"/>
    <n v="5897"/>
    <n v="9.33"/>
    <n v="6.92"/>
    <n v="55019.01"/>
    <n v="40807.24"/>
    <n v="14211.77"/>
  </r>
  <r>
    <x v="3"/>
    <s v="United Arab Emirates"/>
    <s v="Beverages"/>
    <s v="Offline"/>
    <s v="L"/>
    <s v="1/31/2011"/>
    <n v="391440999"/>
    <d v="2011-05-03T00:00:00"/>
    <n v="4945"/>
    <n v="47.45"/>
    <n v="31.79"/>
    <n v="234640.25"/>
    <n v="157201.54999999999"/>
    <n v="77438.7"/>
  </r>
  <r>
    <x v="3"/>
    <s v="Iran"/>
    <s v="Baby Food"/>
    <s v="Offline"/>
    <s v="C"/>
    <d v="2011-08-05T00:00:00"/>
    <n v="797310721"/>
    <s v="5/14/2011"/>
    <n v="815"/>
    <n v="255.28"/>
    <n v="159.41999999999999"/>
    <n v="208053.2"/>
    <n v="129927.3"/>
    <n v="78125.899999999994"/>
  </r>
  <r>
    <x v="5"/>
    <s v="South Africa"/>
    <s v="Baby Food"/>
    <s v="Offline"/>
    <s v="H"/>
    <d v="2016-10-04T00:00:00"/>
    <n v="232387292"/>
    <d v="2016-07-05T00:00:00"/>
    <n v="7419"/>
    <n v="255.28"/>
    <n v="159.41999999999999"/>
    <n v="1893922.32"/>
    <n v="1182736.98"/>
    <n v="711185.34"/>
  </r>
  <r>
    <x v="5"/>
    <s v="Burkina Faso"/>
    <s v="Fruits"/>
    <s v="Offline"/>
    <s v="L"/>
    <d v="2014-09-03T00:00:00"/>
    <n v="606094539"/>
    <d v="2014-10-03T00:00:00"/>
    <n v="5698"/>
    <n v="9.33"/>
    <n v="6.92"/>
    <n v="53162.34"/>
    <n v="39430.160000000003"/>
    <n v="13732.18"/>
  </r>
  <r>
    <x v="5"/>
    <s v="Mali"/>
    <s v="Baby Food"/>
    <s v="Offline"/>
    <s v="M"/>
    <s v="3/16/2017"/>
    <n v="748168790"/>
    <d v="2017-05-05T00:00:00"/>
    <n v="8626"/>
    <n v="255.28"/>
    <n v="159.41999999999999"/>
    <n v="2202045.2799999998"/>
    <n v="1375156.92"/>
    <n v="826888.36"/>
  </r>
  <r>
    <x v="5"/>
    <s v="Sierra Leone"/>
    <s v="Meat"/>
    <s v="Offline"/>
    <s v="M"/>
    <d v="2012-04-01T00:00:00"/>
    <n v="458658874"/>
    <d v="2012-03-02T00:00:00"/>
    <n v="6208"/>
    <n v="421.89"/>
    <n v="364.69"/>
    <n v="2619093.12"/>
    <n v="2263995.52"/>
    <n v="355097.59999999998"/>
  </r>
  <r>
    <x v="1"/>
    <s v="Greece"/>
    <s v="Snacks"/>
    <s v="Online"/>
    <s v="L"/>
    <s v="8/18/2016"/>
    <n v="957926118"/>
    <d v="2016-01-09T00:00:00"/>
    <n v="480"/>
    <n v="152.58000000000001"/>
    <n v="97.44"/>
    <n v="73238.399999999994"/>
    <n v="46771.199999999997"/>
    <n v="26467.200000000001"/>
  </r>
  <r>
    <x v="3"/>
    <s v="Iraq"/>
    <s v="Baby Food"/>
    <s v="Offline"/>
    <s v="L"/>
    <d v="2016-02-02T00:00:00"/>
    <n v="836644351"/>
    <s v="2/13/2016"/>
    <n v="510"/>
    <n v="255.28"/>
    <n v="159.41999999999999"/>
    <n v="130192.8"/>
    <n v="81304.2"/>
    <n v="48888.6"/>
  </r>
  <r>
    <x v="2"/>
    <s v="Philippines"/>
    <s v="Cereal"/>
    <s v="Online"/>
    <s v="C"/>
    <s v="8/14/2011"/>
    <n v="105799901"/>
    <s v="9/29/2011"/>
    <n v="7397"/>
    <n v="205.7"/>
    <n v="117.11"/>
    <n v="1521562.9"/>
    <n v="866262.67"/>
    <n v="655300.23"/>
  </r>
  <r>
    <x v="1"/>
    <s v="Austria"/>
    <s v="Beverages"/>
    <s v="Online"/>
    <s v="H"/>
    <s v="11/14/2016"/>
    <n v="646691596"/>
    <s v="12/13/2016"/>
    <n v="9269"/>
    <n v="47.45"/>
    <n v="31.79"/>
    <n v="439814.05"/>
    <n v="294661.51"/>
    <n v="145152.54"/>
  </r>
  <r>
    <x v="5"/>
    <s v="Mali"/>
    <s v="Cosmetics"/>
    <s v="Offline"/>
    <s v="M"/>
    <d v="2016-11-04T00:00:00"/>
    <n v="360930764"/>
    <s v="5/15/2016"/>
    <n v="6289"/>
    <n v="437.2"/>
    <n v="263.33"/>
    <n v="2749550.8"/>
    <n v="1656082.37"/>
    <n v="1093468.43"/>
  </r>
  <r>
    <x v="2"/>
    <s v="Sri Lanka"/>
    <s v="Snacks"/>
    <s v="Online"/>
    <s v="C"/>
    <d v="2014-07-04T00:00:00"/>
    <n v="820441234"/>
    <d v="2014-02-05T00:00:00"/>
    <n v="5648"/>
    <n v="152.58000000000001"/>
    <n v="97.44"/>
    <n v="861771.84"/>
    <n v="550341.12"/>
    <n v="311430.71999999997"/>
  </r>
  <r>
    <x v="6"/>
    <s v="Mexico"/>
    <s v="Vegetables"/>
    <s v="Online"/>
    <s v="C"/>
    <s v="4/28/2016"/>
    <n v="517459332"/>
    <s v="5/27/2016"/>
    <n v="6570"/>
    <n v="154.06"/>
    <n v="90.93"/>
    <n v="1012174.2"/>
    <n v="597410.1"/>
    <n v="414764.1"/>
  </r>
  <r>
    <x v="5"/>
    <s v="Niger"/>
    <s v="Office Supplies"/>
    <s v="Online"/>
    <s v="H"/>
    <s v="1/29/2010"/>
    <n v="714533889"/>
    <d v="2010-07-02T00:00:00"/>
    <n v="5311"/>
    <n v="651.21"/>
    <n v="524.96"/>
    <n v="3458576.31"/>
    <n v="2788062.56"/>
    <n v="670513.75"/>
  </r>
  <r>
    <x v="0"/>
    <s v="Guatemala"/>
    <s v="Office Supplies"/>
    <s v="Online"/>
    <s v="M"/>
    <d v="2014-05-07T00:00:00"/>
    <n v="494526231"/>
    <s v="8/19/2014"/>
    <n v="156"/>
    <n v="651.21"/>
    <n v="524.96"/>
    <n v="101588.76"/>
    <n v="81893.759999999995"/>
    <n v="19695"/>
  </r>
  <r>
    <x v="5"/>
    <s v="South Sudan"/>
    <s v="Beverages"/>
    <s v="Offline"/>
    <s v="L"/>
    <s v="7/31/2015"/>
    <n v="810610187"/>
    <s v="7/31/2015"/>
    <n v="6423"/>
    <n v="47.45"/>
    <n v="31.79"/>
    <n v="304771.34999999998"/>
    <n v="204187.17"/>
    <n v="100584.18"/>
  </r>
  <r>
    <x v="6"/>
    <s v="United States of America"/>
    <s v="Cereal"/>
    <s v="Online"/>
    <s v="L"/>
    <s v="6/22/2015"/>
    <n v="436272084"/>
    <s v="6/28/2015"/>
    <n v="1460"/>
    <n v="205.7"/>
    <n v="117.11"/>
    <n v="300322"/>
    <n v="170980.6"/>
    <n v="129341.4"/>
  </r>
  <r>
    <x v="5"/>
    <s v="Zimbabwe"/>
    <s v="Vegetables"/>
    <s v="Online"/>
    <s v="L"/>
    <s v="8/23/2013"/>
    <n v="915310752"/>
    <s v="9/23/2013"/>
    <n v="9647"/>
    <n v="154.06"/>
    <n v="90.93"/>
    <n v="1486216.82"/>
    <n v="877201.71"/>
    <n v="609015.11"/>
  </r>
  <r>
    <x v="3"/>
    <s v="Egypt"/>
    <s v="Household"/>
    <s v="Offline"/>
    <s v="M"/>
    <d v="2010-11-08T00:00:00"/>
    <n v="711837518"/>
    <s v="8/14/2010"/>
    <n v="7395"/>
    <n v="668.27"/>
    <n v="502.54"/>
    <n v="4941856.6500000004"/>
    <n v="3716283.3"/>
    <n v="1225573.3500000001"/>
  </r>
  <r>
    <x v="5"/>
    <s v="South Sudan"/>
    <s v="Office Supplies"/>
    <s v="Online"/>
    <s v="M"/>
    <d v="2011-01-10T00:00:00"/>
    <n v="160276210"/>
    <s v="11/15/2011"/>
    <n v="8147"/>
    <n v="651.21"/>
    <n v="524.96"/>
    <n v="5305407.87"/>
    <n v="4276849.12"/>
    <n v="1028558.75"/>
  </r>
  <r>
    <x v="1"/>
    <s v="Ukraine"/>
    <s v="Office Supplies"/>
    <s v="Offline"/>
    <s v="H"/>
    <d v="2015-04-12T00:00:00"/>
    <n v="115363156"/>
    <d v="2016-10-01T00:00:00"/>
    <n v="7376"/>
    <n v="651.21"/>
    <n v="524.96"/>
    <n v="4803324.96"/>
    <n v="3872104.96"/>
    <n v="931220"/>
  </r>
  <r>
    <x v="4"/>
    <s v="Kiribati"/>
    <s v="Snacks"/>
    <s v="Offline"/>
    <s v="H"/>
    <s v="9/15/2011"/>
    <n v="602147185"/>
    <s v="9/15/2011"/>
    <n v="7588"/>
    <n v="152.58000000000001"/>
    <n v="97.44"/>
    <n v="1157777.04"/>
    <n v="739374.72"/>
    <n v="418402.32"/>
  </r>
  <r>
    <x v="5"/>
    <s v="Tanzania"/>
    <s v="Fruits"/>
    <s v="Online"/>
    <s v="C"/>
    <s v="6/13/2011"/>
    <n v="365989625"/>
    <d v="2011-02-07T00:00:00"/>
    <n v="3318"/>
    <n v="9.33"/>
    <n v="6.92"/>
    <n v="30956.94"/>
    <n v="22960.560000000001"/>
    <n v="7996.38"/>
  </r>
  <r>
    <x v="1"/>
    <s v="Vatican City"/>
    <s v="Household"/>
    <s v="Offline"/>
    <s v="L"/>
    <s v="3/17/2017"/>
    <n v="922564303"/>
    <d v="2017-02-04T00:00:00"/>
    <n v="6134"/>
    <n v="668.27"/>
    <n v="502.54"/>
    <n v="4099168.18"/>
    <n v="3082580.36"/>
    <n v="1016587.82"/>
  </r>
  <r>
    <x v="5"/>
    <s v="Senegal"/>
    <s v="Household"/>
    <s v="Online"/>
    <s v="M"/>
    <s v="12/20/2016"/>
    <n v="707857549"/>
    <s v="1/16/2017"/>
    <n v="9634"/>
    <n v="668.27"/>
    <n v="502.54"/>
    <n v="6438113.1799999997"/>
    <n v="4841470.3600000003"/>
    <n v="1596642.82"/>
  </r>
  <r>
    <x v="1"/>
    <s v="Bulgaria"/>
    <s v="Cereal"/>
    <s v="Offline"/>
    <s v="H"/>
    <s v="2/17/2011"/>
    <n v="928168189"/>
    <s v="3/15/2011"/>
    <n v="4448"/>
    <n v="205.7"/>
    <n v="117.11"/>
    <n v="914953.6"/>
    <n v="520905.28"/>
    <n v="394048.32"/>
  </r>
  <r>
    <x v="3"/>
    <s v="Kuwait"/>
    <s v="Fruits"/>
    <s v="Online"/>
    <s v="M"/>
    <s v="4/23/2016"/>
    <n v="610107553"/>
    <d v="2016-12-06T00:00:00"/>
    <n v="3238"/>
    <n v="9.33"/>
    <n v="6.92"/>
    <n v="30210.54"/>
    <n v="22406.959999999999"/>
    <n v="7803.58"/>
  </r>
  <r>
    <x v="3"/>
    <s v="Pakistan"/>
    <s v="Clothes"/>
    <s v="Offline"/>
    <s v="H"/>
    <d v="2016-07-02T00:00:00"/>
    <n v="650599467"/>
    <d v="2016-01-03T00:00:00"/>
    <n v="5695"/>
    <n v="109.28"/>
    <n v="35.840000000000003"/>
    <n v="622349.6"/>
    <n v="204108.79999999999"/>
    <n v="418240.8"/>
  </r>
  <r>
    <x v="4"/>
    <s v="Samoa "/>
    <s v="Baby Food"/>
    <s v="Online"/>
    <s v="M"/>
    <s v="4/29/2010"/>
    <n v="666880261"/>
    <d v="2010-04-06T00:00:00"/>
    <n v="3544"/>
    <n v="255.28"/>
    <n v="159.41999999999999"/>
    <n v="904712.32"/>
    <n v="564984.48"/>
    <n v="339727.84"/>
  </r>
  <r>
    <x v="1"/>
    <s v="Monaco"/>
    <s v="Vegetables"/>
    <s v="Online"/>
    <s v="L"/>
    <s v="3/18/2011"/>
    <n v="346498763"/>
    <d v="2011-02-04T00:00:00"/>
    <n v="5539"/>
    <n v="154.06"/>
    <n v="90.93"/>
    <n v="853338.34"/>
    <n v="503661.27"/>
    <n v="349677.07"/>
  </r>
  <r>
    <x v="1"/>
    <s v="Serbia"/>
    <s v="Beverages"/>
    <s v="Offline"/>
    <s v="H"/>
    <s v="11/29/2016"/>
    <n v="797316300"/>
    <s v="11/29/2016"/>
    <n v="2466"/>
    <n v="47.45"/>
    <n v="31.79"/>
    <n v="117011.7"/>
    <n v="78394.14"/>
    <n v="38617.56"/>
  </r>
  <r>
    <x v="1"/>
    <s v="Ireland"/>
    <s v="Baby Food"/>
    <s v="Online"/>
    <s v="H"/>
    <s v="4/18/2015"/>
    <n v="497506701"/>
    <d v="2015-10-05T00:00:00"/>
    <n v="2144"/>
    <n v="255.28"/>
    <n v="159.41999999999999"/>
    <n v="547320.31999999995"/>
    <n v="341796.48"/>
    <n v="205523.84"/>
  </r>
  <r>
    <x v="1"/>
    <s v="Andorra"/>
    <s v="Personal Care"/>
    <s v="Online"/>
    <s v="C"/>
    <d v="2010-05-06T00:00:00"/>
    <n v="245556294"/>
    <s v="6/25/2010"/>
    <n v="4419"/>
    <n v="81.73"/>
    <n v="56.67"/>
    <n v="361164.87"/>
    <n v="250424.73"/>
    <n v="110740.14"/>
  </r>
  <r>
    <x v="5"/>
    <s v="Democratic Republic of the Congo"/>
    <s v="Snacks"/>
    <s v="Offline"/>
    <s v="M"/>
    <s v="3/26/2011"/>
    <n v="910263907"/>
    <s v="4/21/2011"/>
    <n v="6173"/>
    <n v="152.58000000000001"/>
    <n v="97.44"/>
    <n v="941876.34"/>
    <n v="601497.12"/>
    <n v="340379.22"/>
  </r>
  <r>
    <x v="3"/>
    <s v="Algeria"/>
    <s v="Meat"/>
    <s v="Online"/>
    <s v="H"/>
    <s v="7/19/2012"/>
    <n v="280740869"/>
    <s v="8/20/2012"/>
    <n v="6317"/>
    <n v="421.89"/>
    <n v="364.69"/>
    <n v="2665079.13"/>
    <n v="2303746.73"/>
    <n v="361332.4"/>
  </r>
  <r>
    <x v="1"/>
    <s v="Latvia"/>
    <s v="Personal Care"/>
    <s v="Online"/>
    <s v="L"/>
    <s v="1/27/2014"/>
    <n v="716411006"/>
    <s v="2/17/2014"/>
    <n v="792"/>
    <n v="81.73"/>
    <n v="56.67"/>
    <n v="64730.16"/>
    <n v="44882.64"/>
    <n v="19847.52"/>
  </r>
  <r>
    <x v="3"/>
    <s v="Egypt"/>
    <s v="Clothes"/>
    <s v="Offline"/>
    <s v="L"/>
    <s v="7/25/2016"/>
    <n v="597010648"/>
    <d v="2016-02-09T00:00:00"/>
    <n v="7572"/>
    <n v="109.28"/>
    <n v="35.840000000000003"/>
    <n v="827468.16"/>
    <n v="271380.47999999998"/>
    <n v="556087.68000000005"/>
  </r>
  <r>
    <x v="0"/>
    <s v="Costa Rica"/>
    <s v="Clothes"/>
    <s v="Offline"/>
    <s v="L"/>
    <s v="6/26/2010"/>
    <n v="172588622"/>
    <d v="2010-12-07T00:00:00"/>
    <n v="1663"/>
    <n v="109.28"/>
    <n v="35.840000000000003"/>
    <n v="181732.64"/>
    <n v="59601.919999999998"/>
    <n v="122130.72"/>
  </r>
  <r>
    <x v="0"/>
    <s v="Honduras"/>
    <s v="Fruits"/>
    <s v="Offline"/>
    <s v="L"/>
    <s v="1/30/2010"/>
    <n v="213506257"/>
    <s v="1/31/2010"/>
    <n v="101"/>
    <n v="9.33"/>
    <n v="6.92"/>
    <n v="942.33"/>
    <n v="698.92"/>
    <n v="243.41"/>
  </r>
  <r>
    <x v="5"/>
    <s v="Burundi"/>
    <s v="Clothes"/>
    <s v="Offline"/>
    <s v="M"/>
    <s v="9/25/2011"/>
    <n v="660437381"/>
    <s v="10/24/2011"/>
    <n v="6952"/>
    <n v="109.28"/>
    <n v="35.840000000000003"/>
    <n v="759714.56"/>
    <n v="249159.67999999999"/>
    <n v="510554.88"/>
  </r>
  <r>
    <x v="2"/>
    <s v="South Korea"/>
    <s v="Personal Care"/>
    <s v="Online"/>
    <s v="C"/>
    <s v="11/19/2012"/>
    <n v="174368321"/>
    <d v="2013-06-01T00:00:00"/>
    <n v="8316"/>
    <n v="81.73"/>
    <n v="56.67"/>
    <n v="679666.68"/>
    <n v="471267.72"/>
    <n v="208398.96"/>
  </r>
  <r>
    <x v="1"/>
    <s v="Liechtenstein"/>
    <s v="Office Supplies"/>
    <s v="Online"/>
    <s v="M"/>
    <d v="2015-01-11T00:00:00"/>
    <n v="186597907"/>
    <s v="12/15/2015"/>
    <n v="7322"/>
    <n v="651.21"/>
    <n v="524.96"/>
    <n v="4768159.62"/>
    <n v="3843757.12"/>
    <n v="924402.5"/>
  </r>
  <r>
    <x v="1"/>
    <s v="Armenia"/>
    <s v="Vegetables"/>
    <s v="Online"/>
    <s v="L"/>
    <s v="5/15/2016"/>
    <n v="848737466"/>
    <s v="5/31/2016"/>
    <n v="9132"/>
    <n v="154.06"/>
    <n v="90.93"/>
    <n v="1406875.92"/>
    <n v="830372.76"/>
    <n v="576503.16"/>
  </r>
  <r>
    <x v="0"/>
    <s v="Saint Vincent and the Grenadines"/>
    <s v="Household"/>
    <s v="Online"/>
    <s v="C"/>
    <s v="2/17/2015"/>
    <n v="582710826"/>
    <s v="2/20/2015"/>
    <n v="5937"/>
    <n v="668.27"/>
    <n v="502.54"/>
    <n v="3967518.99"/>
    <n v="2983579.98"/>
    <n v="983939.01"/>
  </r>
  <r>
    <x v="1"/>
    <s v="France"/>
    <s v="Office Supplies"/>
    <s v="Online"/>
    <s v="H"/>
    <s v="10/27/2013"/>
    <n v="130754315"/>
    <d v="2013-02-11T00:00:00"/>
    <n v="1962"/>
    <n v="651.21"/>
    <n v="524.96"/>
    <n v="1277674.02"/>
    <n v="1029971.52"/>
    <n v="247702.5"/>
  </r>
  <r>
    <x v="0"/>
    <s v="Guatemala"/>
    <s v="Beverages"/>
    <s v="Online"/>
    <s v="L"/>
    <d v="2011-04-06T00:00:00"/>
    <n v="305416762"/>
    <s v="6/20/2011"/>
    <n v="8462"/>
    <n v="47.45"/>
    <n v="31.79"/>
    <n v="401521.9"/>
    <n v="269006.98"/>
    <n v="132514.92000000001"/>
  </r>
  <r>
    <x v="0"/>
    <s v="Antigua and Barbuda "/>
    <s v="Beverages"/>
    <s v="Offline"/>
    <s v="L"/>
    <s v="7/24/2015"/>
    <n v="639559495"/>
    <s v="8/27/2015"/>
    <n v="8722"/>
    <n v="47.45"/>
    <n v="31.79"/>
    <n v="413858.9"/>
    <n v="277272.38"/>
    <n v="136586.51999999999"/>
  </r>
  <r>
    <x v="5"/>
    <s v="Central African Republic"/>
    <s v="Personal Care"/>
    <s v="Online"/>
    <s v="L"/>
    <s v="12/27/2015"/>
    <n v="736356341"/>
    <s v="12/28/2015"/>
    <n v="3060"/>
    <n v="81.73"/>
    <n v="56.67"/>
    <n v="250093.8"/>
    <n v="173410.2"/>
    <n v="76683.600000000006"/>
  </r>
  <r>
    <x v="1"/>
    <s v="Netherlands"/>
    <s v="Office Supplies"/>
    <s v="Offline"/>
    <s v="M"/>
    <d v="2011-02-02T00:00:00"/>
    <n v="719293630"/>
    <s v="2/25/2011"/>
    <n v="3824"/>
    <n v="651.21"/>
    <n v="524.96"/>
    <n v="2490227.04"/>
    <n v="2007447.04"/>
    <n v="482780"/>
  </r>
  <r>
    <x v="0"/>
    <s v="El Salvador"/>
    <s v="Personal Care"/>
    <s v="Online"/>
    <s v="L"/>
    <d v="2011-09-09T00:00:00"/>
    <n v="782170188"/>
    <s v="10/21/2011"/>
    <n v="395"/>
    <n v="81.73"/>
    <n v="56.67"/>
    <n v="32283.35"/>
    <n v="22384.65"/>
    <n v="9898.7000000000007"/>
  </r>
  <r>
    <x v="5"/>
    <s v="Niger"/>
    <s v="Vegetables"/>
    <s v="Offline"/>
    <s v="M"/>
    <d v="2014-08-07T00:00:00"/>
    <n v="739097344"/>
    <s v="7/20/2014"/>
    <n v="4183"/>
    <n v="154.06"/>
    <n v="90.93"/>
    <n v="644432.98"/>
    <n v="380360.19"/>
    <n v="264072.78999999998"/>
  </r>
  <r>
    <x v="3"/>
    <s v="Saudi Arabia"/>
    <s v="Household"/>
    <s v="Online"/>
    <s v="H"/>
    <d v="2013-03-08T00:00:00"/>
    <n v="474498927"/>
    <d v="2013-03-09T00:00:00"/>
    <n v="3632"/>
    <n v="668.27"/>
    <n v="502.54"/>
    <n v="2427156.64"/>
    <n v="1825225.28"/>
    <n v="601931.36"/>
  </r>
  <r>
    <x v="5"/>
    <s v="The Gambia"/>
    <s v="Snacks"/>
    <s v="Online"/>
    <s v="M"/>
    <s v="7/23/2011"/>
    <n v="393111264"/>
    <s v="7/26/2011"/>
    <n v="9214"/>
    <n v="152.58000000000001"/>
    <n v="97.44"/>
    <n v="1405872.12"/>
    <n v="897812.16"/>
    <n v="508059.96"/>
  </r>
  <r>
    <x v="5"/>
    <s v="Kenya"/>
    <s v="Meat"/>
    <s v="Online"/>
    <s v="C"/>
    <d v="2015-02-12T00:00:00"/>
    <n v="969983184"/>
    <s v="12/29/2015"/>
    <n v="8434"/>
    <n v="421.89"/>
    <n v="364.69"/>
    <n v="3558220.26"/>
    <n v="3075795.46"/>
    <n v="482424.8"/>
  </r>
  <r>
    <x v="6"/>
    <s v="Canada"/>
    <s v="Snacks"/>
    <s v="Offline"/>
    <s v="M"/>
    <d v="2012-12-07T00:00:00"/>
    <n v="500476014"/>
    <s v="7/22/2012"/>
    <n v="829"/>
    <n v="152.58000000000001"/>
    <n v="97.44"/>
    <n v="126488.82"/>
    <n v="80777.759999999995"/>
    <n v="45711.06"/>
  </r>
  <r>
    <x v="5"/>
    <s v="Angola"/>
    <s v="Fruits"/>
    <s v="Offline"/>
    <s v="H"/>
    <s v="10/21/2014"/>
    <n v="950263583"/>
    <s v="10/21/2014"/>
    <n v="2966"/>
    <n v="9.33"/>
    <n v="6.92"/>
    <n v="27672.78"/>
    <n v="20524.72"/>
    <n v="7148.06"/>
  </r>
  <r>
    <x v="5"/>
    <s v="Central African Republic"/>
    <s v="Snacks"/>
    <s v="Offline"/>
    <s v="L"/>
    <d v="2014-05-07T00:00:00"/>
    <n v="305332219"/>
    <d v="2014-12-07T00:00:00"/>
    <n v="3444"/>
    <n v="152.58000000000001"/>
    <n v="97.44"/>
    <n v="525485.52"/>
    <n v="335583.36"/>
    <n v="189902.16"/>
  </r>
  <r>
    <x v="0"/>
    <s v="The Bahamas"/>
    <s v="Baby Food"/>
    <s v="Online"/>
    <s v="C"/>
    <d v="2015-01-11T00:00:00"/>
    <n v="221980750"/>
    <d v="2015-03-12T00:00:00"/>
    <n v="7892"/>
    <n v="255.28"/>
    <n v="159.41999999999999"/>
    <n v="2014669.76"/>
    <n v="1258142.6399999999"/>
    <n v="756527.12"/>
  </r>
  <r>
    <x v="2"/>
    <s v="South Korea"/>
    <s v="Meat"/>
    <s v="Online"/>
    <s v="H"/>
    <s v="6/17/2016"/>
    <n v="176820504"/>
    <s v="7/22/2016"/>
    <n v="3971"/>
    <n v="421.89"/>
    <n v="364.69"/>
    <n v="1675325.19"/>
    <n v="1448183.99"/>
    <n v="227141.2"/>
  </r>
  <r>
    <x v="1"/>
    <s v="Kosovo"/>
    <s v="Office Supplies"/>
    <s v="Offline"/>
    <s v="C"/>
    <d v="2011-07-05T00:00:00"/>
    <n v="616775310"/>
    <s v="5/24/2011"/>
    <n v="6375"/>
    <n v="651.21"/>
    <n v="524.96"/>
    <n v="4151463.75"/>
    <n v="3346620"/>
    <n v="804843.75"/>
  </r>
  <r>
    <x v="5"/>
    <s v="Angola"/>
    <s v="Clothes"/>
    <s v="Online"/>
    <s v="L"/>
    <d v="2011-01-09T00:00:00"/>
    <n v="709081494"/>
    <s v="10/13/2011"/>
    <n v="1826"/>
    <n v="109.28"/>
    <n v="35.840000000000003"/>
    <n v="199545.28"/>
    <n v="65443.839999999997"/>
    <n v="134101.44"/>
  </r>
  <r>
    <x v="1"/>
    <s v="Finland"/>
    <s v="Fruits"/>
    <s v="Offline"/>
    <s v="L"/>
    <s v="9/20/2010"/>
    <n v="591287887"/>
    <d v="2010-02-10T00:00:00"/>
    <n v="4080"/>
    <n v="9.33"/>
    <n v="6.92"/>
    <n v="38066.400000000001"/>
    <n v="28233.599999999999"/>
    <n v="9832.7999999999993"/>
  </r>
  <r>
    <x v="5"/>
    <s v="Mauritania"/>
    <s v="Personal Care"/>
    <s v="Offline"/>
    <s v="H"/>
    <s v="6/14/2010"/>
    <n v="921255815"/>
    <s v="7/28/2010"/>
    <n v="8923"/>
    <n v="81.73"/>
    <n v="56.67"/>
    <n v="729276.79"/>
    <n v="505666.41"/>
    <n v="223610.38"/>
  </r>
  <r>
    <x v="5"/>
    <s v="Niger"/>
    <s v="Meat"/>
    <s v="Online"/>
    <s v="M"/>
    <s v="1/29/2010"/>
    <n v="627159106"/>
    <d v="2010-09-03T00:00:00"/>
    <n v="9171"/>
    <n v="421.89"/>
    <n v="364.69"/>
    <n v="3869153.19"/>
    <n v="3344571.99"/>
    <n v="524581.19999999995"/>
  </r>
  <r>
    <x v="2"/>
    <s v="South Korea"/>
    <s v="Household"/>
    <s v="Online"/>
    <s v="L"/>
    <s v="6/18/2017"/>
    <n v="957484090"/>
    <d v="2017-03-07T00:00:00"/>
    <n v="9674"/>
    <n v="668.27"/>
    <n v="502.54"/>
    <n v="6464843.9800000004"/>
    <n v="4861571.96"/>
    <n v="1603272.02"/>
  </r>
  <r>
    <x v="6"/>
    <s v="Greenland"/>
    <s v="Office Supplies"/>
    <s v="Online"/>
    <s v="C"/>
    <d v="2015-06-01T00:00:00"/>
    <n v="531029593"/>
    <d v="2015-02-02T00:00:00"/>
    <n v="2312"/>
    <n v="651.21"/>
    <n v="524.96"/>
    <n v="1505597.52"/>
    <n v="1213707.52"/>
    <n v="291890"/>
  </r>
  <r>
    <x v="3"/>
    <s v="Lebanon"/>
    <s v="Vegetables"/>
    <s v="Offline"/>
    <s v="C"/>
    <d v="2016-07-07T00:00:00"/>
    <n v="286906945"/>
    <s v="8/21/2016"/>
    <n v="996"/>
    <n v="154.06"/>
    <n v="90.93"/>
    <n v="153443.76"/>
    <n v="90566.28"/>
    <n v="62877.48"/>
  </r>
  <r>
    <x v="1"/>
    <s v="Italy"/>
    <s v="Clothes"/>
    <s v="Online"/>
    <s v="M"/>
    <s v="4/18/2010"/>
    <n v="334539973"/>
    <d v="2010-11-05T00:00:00"/>
    <n v="6667"/>
    <n v="109.28"/>
    <n v="35.840000000000003"/>
    <n v="728569.76"/>
    <n v="238945.28"/>
    <n v="489624.48"/>
  </r>
  <r>
    <x v="1"/>
    <s v="Belarus"/>
    <s v="Snacks"/>
    <s v="Offline"/>
    <s v="C"/>
    <s v="1/16/2016"/>
    <n v="403665006"/>
    <s v="2/19/2016"/>
    <n v="2300"/>
    <n v="152.58000000000001"/>
    <n v="97.44"/>
    <n v="350934"/>
    <n v="224112"/>
    <n v="126822"/>
  </r>
  <r>
    <x v="6"/>
    <s v="United States of America"/>
    <s v="Beverages"/>
    <s v="Offline"/>
    <s v="C"/>
    <d v="2012-12-11T00:00:00"/>
    <n v="294330871"/>
    <s v="12/16/2012"/>
    <n v="7900"/>
    <n v="47.45"/>
    <n v="31.79"/>
    <n v="374855"/>
    <n v="251141"/>
    <n v="123714"/>
  </r>
  <r>
    <x v="0"/>
    <s v="Saint Kitts and Nevis "/>
    <s v="Baby Food"/>
    <s v="Offline"/>
    <s v="H"/>
    <s v="3/22/2011"/>
    <n v="326898896"/>
    <d v="2011-07-05T00:00:00"/>
    <n v="5503"/>
    <n v="255.28"/>
    <n v="159.41999999999999"/>
    <n v="1404805.84"/>
    <n v="877288.26"/>
    <n v="527517.57999999996"/>
  </r>
  <r>
    <x v="1"/>
    <s v="Poland"/>
    <s v="Cosmetics"/>
    <s v="Offline"/>
    <s v="H"/>
    <s v="4/13/2011"/>
    <n v="892042911"/>
    <d v="2011-12-05T00:00:00"/>
    <n v="4175"/>
    <n v="437.2"/>
    <n v="263.33"/>
    <n v="1825310"/>
    <n v="1099402.75"/>
    <n v="725907.25"/>
  </r>
  <r>
    <x v="5"/>
    <s v="Kenya"/>
    <s v="Office Supplies"/>
    <s v="Offline"/>
    <s v="H"/>
    <d v="2014-09-04T00:00:00"/>
    <n v="200749242"/>
    <s v="4/15/2014"/>
    <n v="5017"/>
    <n v="651.21"/>
    <n v="524.96"/>
    <n v="3267120.57"/>
    <n v="2633724.3199999998"/>
    <n v="633396.25"/>
  </r>
  <r>
    <x v="5"/>
    <s v="Kenya"/>
    <s v="Clothes"/>
    <s v="Offline"/>
    <s v="L"/>
    <s v="2/17/2011"/>
    <n v="134316718"/>
    <s v="3/30/2011"/>
    <n v="6157"/>
    <n v="109.28"/>
    <n v="35.840000000000003"/>
    <n v="672836.96"/>
    <n v="220666.88"/>
    <n v="452170.08"/>
  </r>
  <r>
    <x v="1"/>
    <s v="United Kingdom"/>
    <s v="Household"/>
    <s v="Online"/>
    <s v="C"/>
    <s v="7/30/2016"/>
    <n v="394356667"/>
    <d v="2016-04-08T00:00:00"/>
    <n v="7756"/>
    <n v="668.27"/>
    <n v="502.54"/>
    <n v="5183102.12"/>
    <n v="3897700.24"/>
    <n v="1285401.8799999999"/>
  </r>
  <r>
    <x v="1"/>
    <s v="Norway"/>
    <s v="Fruits"/>
    <s v="Offline"/>
    <s v="M"/>
    <s v="4/29/2012"/>
    <n v="752792918"/>
    <d v="2012-12-05T00:00:00"/>
    <n v="7008"/>
    <n v="9.33"/>
    <n v="6.92"/>
    <n v="65384.639999999999"/>
    <n v="48495.360000000001"/>
    <n v="16889.28"/>
  </r>
  <r>
    <x v="5"/>
    <s v="Zimbabwe"/>
    <s v="Snacks"/>
    <s v="Offline"/>
    <s v="L"/>
    <d v="2011-08-06T00:00:00"/>
    <n v="601861798"/>
    <s v="7/20/2011"/>
    <n v="3136"/>
    <n v="152.58000000000001"/>
    <n v="97.44"/>
    <n v="478490.88"/>
    <n v="305571.84000000003"/>
    <n v="172919.04000000001"/>
  </r>
  <r>
    <x v="0"/>
    <s v="Saint Lucia"/>
    <s v="Fruits"/>
    <s v="Offline"/>
    <s v="H"/>
    <d v="2016-03-09T00:00:00"/>
    <n v="304112136"/>
    <d v="2016-07-09T00:00:00"/>
    <n v="2394"/>
    <n v="9.33"/>
    <n v="6.92"/>
    <n v="22336.02"/>
    <n v="16566.48"/>
    <n v="5769.54"/>
  </r>
  <r>
    <x v="3"/>
    <s v="United Arab Emirates"/>
    <s v="Clothes"/>
    <s v="Online"/>
    <s v="M"/>
    <s v="9/24/2016"/>
    <n v="742405259"/>
    <s v="10/24/2016"/>
    <n v="3069"/>
    <n v="109.28"/>
    <n v="35.840000000000003"/>
    <n v="335380.32"/>
    <n v="109992.96000000001"/>
    <n v="225387.36"/>
  </r>
  <r>
    <x v="5"/>
    <s v="Lesotho"/>
    <s v="Baby Food"/>
    <s v="Online"/>
    <s v="L"/>
    <s v="9/21/2012"/>
    <n v="169914996"/>
    <s v="10/25/2012"/>
    <n v="478"/>
    <n v="255.28"/>
    <n v="159.41999999999999"/>
    <n v="122023.84"/>
    <n v="76202.759999999995"/>
    <n v="45821.08"/>
  </r>
  <r>
    <x v="2"/>
    <s v="Sri Lanka"/>
    <s v="Cereal"/>
    <s v="Offline"/>
    <s v="H"/>
    <s v="5/26/2014"/>
    <n v="960127675"/>
    <d v="2014-11-07T00:00:00"/>
    <n v="1970"/>
    <n v="205.7"/>
    <n v="117.11"/>
    <n v="405229"/>
    <n v="230706.7"/>
    <n v="174522.3"/>
  </r>
  <r>
    <x v="6"/>
    <s v="Mexico"/>
    <s v="Personal Care"/>
    <s v="Offline"/>
    <s v="M"/>
    <s v="8/22/2013"/>
    <n v="156842124"/>
    <s v="9/25/2013"/>
    <n v="1925"/>
    <n v="81.73"/>
    <n v="56.67"/>
    <n v="157330.25"/>
    <n v="109089.75"/>
    <n v="48240.5"/>
  </r>
  <r>
    <x v="3"/>
    <s v="Yemen"/>
    <s v="Vegetables"/>
    <s v="Offline"/>
    <s v="L"/>
    <s v="12/21/2010"/>
    <n v="724169671"/>
    <s v="1/18/2011"/>
    <n v="6753"/>
    <n v="154.06"/>
    <n v="90.93"/>
    <n v="1040367.18"/>
    <n v="614050.29"/>
    <n v="426316.89"/>
  </r>
  <r>
    <x v="5"/>
    <s v="Sao Tome and Principe"/>
    <s v="Clothes"/>
    <s v="Offline"/>
    <s v="C"/>
    <d v="2011-06-10T00:00:00"/>
    <n v="296534144"/>
    <s v="11/24/2011"/>
    <n v="9898"/>
    <n v="109.28"/>
    <n v="35.840000000000003"/>
    <n v="1081653.44"/>
    <n v="354744.32000000001"/>
    <n v="726909.12"/>
  </r>
  <r>
    <x v="5"/>
    <s v="Guinea"/>
    <s v="Personal Care"/>
    <s v="Online"/>
    <s v="C"/>
    <s v="11/17/2014"/>
    <n v="628671872"/>
    <s v="12/15/2014"/>
    <n v="6832"/>
    <n v="81.73"/>
    <n v="56.67"/>
    <n v="558379.36"/>
    <n v="387169.44"/>
    <n v="171209.92"/>
  </r>
  <r>
    <x v="5"/>
    <s v="Sudan"/>
    <s v="Baby Food"/>
    <s v="Online"/>
    <s v="M"/>
    <s v="6/19/2016"/>
    <n v="845631682"/>
    <s v="7/26/2016"/>
    <n v="61"/>
    <n v="255.28"/>
    <n v="159.41999999999999"/>
    <n v="15572.08"/>
    <n v="9724.6200000000008"/>
    <n v="5847.46"/>
  </r>
  <r>
    <x v="4"/>
    <s v="Kiribati"/>
    <s v="Household"/>
    <s v="Offline"/>
    <s v="M"/>
    <s v="9/24/2013"/>
    <n v="592774903"/>
    <d v="2013-02-10T00:00:00"/>
    <n v="4122"/>
    <n v="668.27"/>
    <n v="502.54"/>
    <n v="2754608.94"/>
    <n v="2071469.88"/>
    <n v="683139.06"/>
  </r>
  <r>
    <x v="2"/>
    <s v="Laos"/>
    <s v="Personal Care"/>
    <s v="Offline"/>
    <s v="L"/>
    <s v="4/21/2016"/>
    <n v="485775363"/>
    <d v="2016-07-05T00:00:00"/>
    <n v="580"/>
    <n v="81.73"/>
    <n v="56.67"/>
    <n v="47403.4"/>
    <n v="32868.6"/>
    <n v="14534.8"/>
  </r>
  <r>
    <x v="1"/>
    <s v="Bosnia and Herzegovina"/>
    <s v="Vegetables"/>
    <s v="Online"/>
    <s v="C"/>
    <d v="2012-02-03T00:00:00"/>
    <n v="760619390"/>
    <s v="4/16/2012"/>
    <n v="3035"/>
    <n v="154.06"/>
    <n v="90.93"/>
    <n v="467572.1"/>
    <n v="275972.55"/>
    <n v="191599.55"/>
  </r>
  <r>
    <x v="2"/>
    <s v="Malaysia"/>
    <s v="Household"/>
    <s v="Offline"/>
    <s v="M"/>
    <s v="11/13/2016"/>
    <n v="823605811"/>
    <d v="2016-03-12T00:00:00"/>
    <n v="2117"/>
    <n v="668.27"/>
    <n v="502.54"/>
    <n v="1414727.59"/>
    <n v="1063877.18"/>
    <n v="350850.41"/>
  </r>
  <r>
    <x v="5"/>
    <s v="Burkina Faso"/>
    <s v="Baby Food"/>
    <s v="Offline"/>
    <s v="H"/>
    <s v="9/23/2016"/>
    <n v="601345956"/>
    <s v="10/20/2016"/>
    <n v="486"/>
    <n v="255.28"/>
    <n v="159.41999999999999"/>
    <n v="124066.08"/>
    <n v="77478.12"/>
    <n v="46587.96"/>
  </r>
  <r>
    <x v="5"/>
    <s v="Namibia"/>
    <s v="Beverages"/>
    <s v="Offline"/>
    <s v="L"/>
    <s v="6/30/2010"/>
    <n v="990763652"/>
    <d v="2010-12-08T00:00:00"/>
    <n v="7836"/>
    <n v="47.45"/>
    <n v="31.79"/>
    <n v="371818.2"/>
    <n v="249106.44"/>
    <n v="122711.76"/>
  </r>
  <r>
    <x v="2"/>
    <s v="Taiwan"/>
    <s v="Clothes"/>
    <s v="Online"/>
    <s v="M"/>
    <s v="2/15/2013"/>
    <n v="709095227"/>
    <s v="2/20/2013"/>
    <n v="5890"/>
    <n v="109.28"/>
    <n v="35.840000000000003"/>
    <n v="643659.19999999995"/>
    <n v="211097.60000000001"/>
    <n v="432561.6"/>
  </r>
  <r>
    <x v="1"/>
    <s v="Ukraine"/>
    <s v="Beverages"/>
    <s v="Online"/>
    <s v="M"/>
    <s v="2/19/2014"/>
    <n v="343889510"/>
    <d v="2014-02-04T00:00:00"/>
    <n v="3403"/>
    <n v="47.45"/>
    <n v="31.79"/>
    <n v="161472.35"/>
    <n v="108181.37"/>
    <n v="53290.98"/>
  </r>
  <r>
    <x v="5"/>
    <s v="Uganda"/>
    <s v="Meat"/>
    <s v="Offline"/>
    <s v="M"/>
    <d v="2011-07-09T00:00:00"/>
    <n v="103007829"/>
    <s v="10/20/2011"/>
    <n v="1160"/>
    <n v="421.89"/>
    <n v="364.69"/>
    <n v="489392.4"/>
    <n v="423040.4"/>
    <n v="66352"/>
  </r>
  <r>
    <x v="0"/>
    <s v="Antigua and Barbuda "/>
    <s v="Snacks"/>
    <s v="Offline"/>
    <s v="H"/>
    <d v="2016-05-05T00:00:00"/>
    <n v="264624011"/>
    <d v="2016-12-06T00:00:00"/>
    <n v="6980"/>
    <n v="152.58000000000001"/>
    <n v="97.44"/>
    <n v="1065008.3999999999"/>
    <n v="680131.2"/>
    <n v="384877.2"/>
  </r>
  <r>
    <x v="0"/>
    <s v="Guatemala"/>
    <s v="Beverages"/>
    <s v="Online"/>
    <s v="C"/>
    <s v="1/16/2017"/>
    <n v="727224385"/>
    <d v="2017-01-02T00:00:00"/>
    <n v="711"/>
    <n v="47.45"/>
    <n v="31.79"/>
    <n v="33736.949999999997"/>
    <n v="22602.69"/>
    <n v="11134.26"/>
  </r>
  <r>
    <x v="0"/>
    <s v="Honduras"/>
    <s v="Snacks"/>
    <s v="Offline"/>
    <s v="H"/>
    <s v="2/18/2015"/>
    <n v="559607779"/>
    <d v="2015-01-03T00:00:00"/>
    <n v="9233"/>
    <n v="152.58000000000001"/>
    <n v="97.44"/>
    <n v="1408771.14"/>
    <n v="899663.52"/>
    <n v="509107.62"/>
  </r>
  <r>
    <x v="2"/>
    <s v="Cambodia"/>
    <s v="Office Supplies"/>
    <s v="Online"/>
    <s v="L"/>
    <d v="2013-10-01T00:00:00"/>
    <n v="250885522"/>
    <s v="1/24/2013"/>
    <n v="1456"/>
    <n v="651.21"/>
    <n v="524.96"/>
    <n v="948161.76"/>
    <n v="764341.76000000001"/>
    <n v="183820"/>
  </r>
  <r>
    <x v="0"/>
    <s v="Panama"/>
    <s v="Household"/>
    <s v="Offline"/>
    <s v="C"/>
    <d v="2010-02-06T00:00:00"/>
    <n v="360481441"/>
    <d v="2010-09-06T00:00:00"/>
    <n v="3324"/>
    <n v="668.27"/>
    <n v="502.54"/>
    <n v="2221329.48"/>
    <n v="1670442.96"/>
    <n v="550886.52"/>
  </r>
  <r>
    <x v="3"/>
    <s v="Jordan"/>
    <s v="Cosmetics"/>
    <s v="Online"/>
    <s v="L"/>
    <s v="8/22/2015"/>
    <n v="168131864"/>
    <s v="9/28/2015"/>
    <n v="2810"/>
    <n v="437.2"/>
    <n v="263.33"/>
    <n v="1228532"/>
    <n v="739957.3"/>
    <n v="488574.7"/>
  </r>
  <r>
    <x v="5"/>
    <s v="Lesotho"/>
    <s v="Clothes"/>
    <s v="Offline"/>
    <s v="C"/>
    <s v="7/30/2011"/>
    <n v="823885619"/>
    <d v="2011-02-09T00:00:00"/>
    <n v="4918"/>
    <n v="109.28"/>
    <n v="35.840000000000003"/>
    <n v="537439.04"/>
    <n v="176261.12"/>
    <n v="361177.92"/>
  </r>
  <r>
    <x v="1"/>
    <s v="Malta"/>
    <s v="Baby Food"/>
    <s v="Offline"/>
    <s v="L"/>
    <s v="6/25/2012"/>
    <n v="398104035"/>
    <d v="2012-12-08T00:00:00"/>
    <n v="6686"/>
    <n v="255.28"/>
    <n v="159.41999999999999"/>
    <n v="1706802.08"/>
    <n v="1065882.1200000001"/>
    <n v="640919.96"/>
  </r>
  <r>
    <x v="1"/>
    <s v="Slovenia"/>
    <s v="Meat"/>
    <s v="Offline"/>
    <s v="M"/>
    <s v="9/25/2014"/>
    <n v="631460940"/>
    <d v="2014-05-10T00:00:00"/>
    <n v="2180"/>
    <n v="421.89"/>
    <n v="364.69"/>
    <n v="919720.2"/>
    <n v="795024.2"/>
    <n v="124696"/>
  </r>
  <r>
    <x v="3"/>
    <s v="Yemen"/>
    <s v="Personal Care"/>
    <s v="Online"/>
    <s v="C"/>
    <d v="2015-10-10T00:00:00"/>
    <n v="184942662"/>
    <d v="2015-02-11T00:00:00"/>
    <n v="7498"/>
    <n v="81.73"/>
    <n v="56.67"/>
    <n v="612811.54"/>
    <n v="424911.66"/>
    <n v="187899.88"/>
  </r>
  <r>
    <x v="1"/>
    <s v="Moldova "/>
    <s v="Snacks"/>
    <s v="Offline"/>
    <s v="M"/>
    <d v="2010-01-05T00:00:00"/>
    <n v="489848029"/>
    <s v="5/20/2010"/>
    <n v="5772"/>
    <n v="152.58000000000001"/>
    <n v="97.44"/>
    <n v="880691.76"/>
    <n v="562423.68000000005"/>
    <n v="318268.08"/>
  </r>
  <r>
    <x v="1"/>
    <s v="Vatican City"/>
    <s v="Office Supplies"/>
    <s v="Online"/>
    <s v="L"/>
    <s v="11/27/2016"/>
    <n v="797788369"/>
    <s v="11/28/2016"/>
    <n v="2162"/>
    <n v="651.21"/>
    <n v="524.96"/>
    <n v="1407916.02"/>
    <n v="1134963.52"/>
    <n v="272952.5"/>
  </r>
  <r>
    <x v="1"/>
    <s v="United Kingdom"/>
    <s v="Personal Care"/>
    <s v="Online"/>
    <s v="C"/>
    <d v="2013-05-06T00:00:00"/>
    <n v="430687510"/>
    <d v="2013-10-06T00:00:00"/>
    <n v="8860"/>
    <n v="81.73"/>
    <n v="56.67"/>
    <n v="724127.8"/>
    <n v="502096.2"/>
    <n v="222031.6"/>
  </r>
  <r>
    <x v="3"/>
    <s v="Tunisia "/>
    <s v="Meat"/>
    <s v="Offline"/>
    <s v="M"/>
    <s v="9/27/2016"/>
    <n v="130781781"/>
    <s v="10/31/2016"/>
    <n v="90"/>
    <n v="421.89"/>
    <n v="364.69"/>
    <n v="37970.1"/>
    <n v="32822.1"/>
    <n v="5148"/>
  </r>
  <r>
    <x v="4"/>
    <s v="Federated States of Micronesia"/>
    <s v="Vegetables"/>
    <s v="Offline"/>
    <s v="H"/>
    <d v="2010-06-09T00:00:00"/>
    <n v="710620009"/>
    <d v="2010-01-10T00:00:00"/>
    <n v="7107"/>
    <n v="154.06"/>
    <n v="90.93"/>
    <n v="1094904.42"/>
    <n v="646239.51"/>
    <n v="448664.91"/>
  </r>
  <r>
    <x v="5"/>
    <s v="Equatorial Guinea"/>
    <s v="Snacks"/>
    <s v="Online"/>
    <s v="M"/>
    <s v="6/13/2010"/>
    <n v="803063523"/>
    <s v="7/16/2010"/>
    <n v="3197"/>
    <n v="152.58000000000001"/>
    <n v="97.44"/>
    <n v="487798.26"/>
    <n v="311515.68"/>
    <n v="176282.58"/>
  </r>
  <r>
    <x v="2"/>
    <s v="Uzbekistan"/>
    <s v="Fruits"/>
    <s v="Online"/>
    <s v="L"/>
    <s v="5/13/2013"/>
    <n v="911286151"/>
    <d v="2013-01-07T00:00:00"/>
    <n v="8678"/>
    <n v="9.33"/>
    <n v="6.92"/>
    <n v="80965.740000000005"/>
    <n v="60051.76"/>
    <n v="20913.98"/>
  </r>
  <r>
    <x v="6"/>
    <s v="Mexico"/>
    <s v="Cereal"/>
    <s v="Offline"/>
    <s v="M"/>
    <d v="2010-02-04T00:00:00"/>
    <n v="258774220"/>
    <s v="4/28/2010"/>
    <n v="5897"/>
    <n v="205.7"/>
    <n v="117.11"/>
    <n v="1213012.8999999999"/>
    <n v="690597.67"/>
    <n v="522415.23"/>
  </r>
  <r>
    <x v="5"/>
    <s v="The Gambia"/>
    <s v="Vegetables"/>
    <s v="Offline"/>
    <s v="C"/>
    <d v="2011-04-12T00:00:00"/>
    <n v="839326560"/>
    <d v="2011-12-12T00:00:00"/>
    <n v="4236"/>
    <n v="154.06"/>
    <n v="90.93"/>
    <n v="652598.16"/>
    <n v="385179.48"/>
    <n v="267418.68"/>
  </r>
  <r>
    <x v="1"/>
    <s v="Portugal"/>
    <s v="Personal Care"/>
    <s v="Online"/>
    <s v="H"/>
    <d v="2015-11-02T00:00:00"/>
    <n v="667054498"/>
    <d v="2015-12-02T00:00:00"/>
    <n v="5104"/>
    <n v="81.73"/>
    <n v="56.67"/>
    <n v="417149.92"/>
    <n v="289243.68"/>
    <n v="127906.24000000001"/>
  </r>
  <r>
    <x v="5"/>
    <s v="Equatorial Guinea"/>
    <s v="Meat"/>
    <s v="Offline"/>
    <s v="M"/>
    <d v="2013-02-11T00:00:00"/>
    <n v="526381862"/>
    <s v="12/21/2013"/>
    <n v="6945"/>
    <n v="421.89"/>
    <n v="364.69"/>
    <n v="2930026.05"/>
    <n v="2532772.0499999998"/>
    <n v="397254"/>
  </r>
  <r>
    <x v="6"/>
    <s v="United States of America"/>
    <s v="Personal Care"/>
    <s v="Online"/>
    <s v="C"/>
    <s v="9/30/2010"/>
    <n v="822044980"/>
    <d v="2010-09-10T00:00:00"/>
    <n v="232"/>
    <n v="81.73"/>
    <n v="56.67"/>
    <n v="18961.36"/>
    <n v="13147.44"/>
    <n v="5813.92"/>
  </r>
  <r>
    <x v="3"/>
    <s v="Turkey"/>
    <s v="Fruits"/>
    <s v="Offline"/>
    <s v="C"/>
    <d v="2013-05-05T00:00:00"/>
    <n v="229092681"/>
    <d v="2013-01-06T00:00:00"/>
    <n v="2470"/>
    <n v="9.33"/>
    <n v="6.92"/>
    <n v="23045.1"/>
    <n v="17092.400000000001"/>
    <n v="5952.7"/>
  </r>
  <r>
    <x v="2"/>
    <s v="Singapore"/>
    <s v="Snacks"/>
    <s v="Online"/>
    <s v="C"/>
    <s v="1/18/2015"/>
    <n v="642886292"/>
    <s v="1/31/2015"/>
    <n v="3195"/>
    <n v="152.58000000000001"/>
    <n v="97.44"/>
    <n v="487493.1"/>
    <n v="311320.8"/>
    <n v="176172.3"/>
  </r>
  <r>
    <x v="5"/>
    <s v="Djibouti"/>
    <s v="Snacks"/>
    <s v="Offline"/>
    <s v="H"/>
    <s v="2/19/2014"/>
    <n v="429099643"/>
    <d v="2014-04-03T00:00:00"/>
    <n v="8975"/>
    <n v="152.58000000000001"/>
    <n v="97.44"/>
    <n v="1369405.5"/>
    <n v="874524"/>
    <n v="494881.5"/>
  </r>
  <r>
    <x v="5"/>
    <s v="Burkina Faso"/>
    <s v="Cosmetics"/>
    <s v="Offline"/>
    <s v="C"/>
    <d v="2017-08-07T00:00:00"/>
    <n v="273719060"/>
    <s v="8/17/2017"/>
    <n v="8407"/>
    <n v="437.2"/>
    <n v="263.33"/>
    <n v="3675540.4"/>
    <n v="2213815.31"/>
    <n v="1461725.09"/>
  </r>
  <r>
    <x v="5"/>
    <s v="Sao Tome and Principe"/>
    <s v="Cosmetics"/>
    <s v="Offline"/>
    <s v="L"/>
    <s v="3/27/2014"/>
    <n v="933043372"/>
    <d v="2014-06-05T00:00:00"/>
    <n v="7123"/>
    <n v="437.2"/>
    <n v="263.33"/>
    <n v="3114175.6"/>
    <n v="1875699.59"/>
    <n v="1238476.01"/>
  </r>
  <r>
    <x v="2"/>
    <s v="Laos"/>
    <s v="Snacks"/>
    <s v="Online"/>
    <s v="M"/>
    <d v="2017-11-02T00:00:00"/>
    <n v="983683907"/>
    <d v="2017-10-03T00:00:00"/>
    <n v="2783"/>
    <n v="152.58000000000001"/>
    <n v="97.44"/>
    <n v="424630.14"/>
    <n v="271175.52"/>
    <n v="153454.62"/>
  </r>
  <r>
    <x v="6"/>
    <s v="Canada"/>
    <s v="Fruits"/>
    <s v="Offline"/>
    <s v="C"/>
    <s v="7/19/2013"/>
    <n v="872564494"/>
    <s v="7/19/2013"/>
    <n v="79"/>
    <n v="9.33"/>
    <n v="6.92"/>
    <n v="737.07"/>
    <n v="546.67999999999995"/>
    <n v="190.39"/>
  </r>
  <r>
    <x v="1"/>
    <s v="Denmark"/>
    <s v="Cereal"/>
    <s v="Online"/>
    <s v="H"/>
    <s v="9/14/2014"/>
    <n v="666921460"/>
    <d v="2014-10-10T00:00:00"/>
    <n v="5735"/>
    <n v="205.7"/>
    <n v="117.11"/>
    <n v="1179689.5"/>
    <n v="671625.85"/>
    <n v="508063.65"/>
  </r>
  <r>
    <x v="4"/>
    <s v="Nauru"/>
    <s v="Office Supplies"/>
    <s v="Online"/>
    <s v="C"/>
    <s v="11/19/2013"/>
    <n v="504303634"/>
    <s v="11/22/2013"/>
    <n v="3507"/>
    <n v="651.21"/>
    <n v="524.96"/>
    <n v="2283793.4700000002"/>
    <n v="1841034.72"/>
    <n v="442758.75"/>
  </r>
  <r>
    <x v="5"/>
    <s v="Ghana"/>
    <s v="Clothes"/>
    <s v="Offline"/>
    <s v="H"/>
    <d v="2013-11-01T00:00:00"/>
    <n v="142572343"/>
    <d v="2013-02-03T00:00:00"/>
    <n v="9179"/>
    <n v="109.28"/>
    <n v="35.840000000000003"/>
    <n v="1003081.12"/>
    <n v="328975.35999999999"/>
    <n v="674105.76"/>
  </r>
  <r>
    <x v="6"/>
    <s v="Greenland"/>
    <s v="Baby Food"/>
    <s v="Offline"/>
    <s v="C"/>
    <s v="5/14/2011"/>
    <n v="309901416"/>
    <d v="2011-01-06T00:00:00"/>
    <n v="5570"/>
    <n v="255.28"/>
    <n v="159.41999999999999"/>
    <n v="1421909.6"/>
    <n v="887969.4"/>
    <n v="533940.19999999995"/>
  </r>
  <r>
    <x v="4"/>
    <s v="Australia"/>
    <s v="Personal Care"/>
    <s v="Offline"/>
    <s v="H"/>
    <s v="9/28/2016"/>
    <n v="454777181"/>
    <s v="10/23/2016"/>
    <n v="7529"/>
    <n v="81.73"/>
    <n v="56.67"/>
    <n v="615345.17000000004"/>
    <n v="426668.43"/>
    <n v="188676.74"/>
  </r>
  <r>
    <x v="4"/>
    <s v="Palau"/>
    <s v="Cereal"/>
    <s v="Online"/>
    <s v="H"/>
    <d v="2011-01-08T00:00:00"/>
    <n v="995998466"/>
    <s v="8/27/2011"/>
    <n v="6934"/>
    <n v="205.7"/>
    <n v="117.11"/>
    <n v="1426323.8"/>
    <n v="812040.74"/>
    <n v="614283.06000000006"/>
  </r>
  <r>
    <x v="0"/>
    <s v="El Salvador"/>
    <s v="Snacks"/>
    <s v="Offline"/>
    <s v="C"/>
    <s v="3/25/2017"/>
    <n v="172676599"/>
    <d v="2017-04-05T00:00:00"/>
    <n v="7698"/>
    <n v="152.58000000000001"/>
    <n v="97.44"/>
    <n v="1174560.8400000001"/>
    <n v="750093.12"/>
    <n v="424467.72"/>
  </r>
  <r>
    <x v="3"/>
    <s v="Algeria"/>
    <s v="Vegetables"/>
    <s v="Online"/>
    <s v="H"/>
    <s v="6/13/2014"/>
    <n v="794235408"/>
    <d v="2014-06-07T00:00:00"/>
    <n v="762"/>
    <n v="154.06"/>
    <n v="90.93"/>
    <n v="117393.72"/>
    <n v="69288.66"/>
    <n v="48105.06"/>
  </r>
  <r>
    <x v="5"/>
    <s v="Sao Tome and Principe"/>
    <s v="Snacks"/>
    <s v="Online"/>
    <s v="L"/>
    <d v="2015-09-05T00:00:00"/>
    <n v="790411221"/>
    <s v="6/24/2015"/>
    <n v="9100"/>
    <n v="152.58000000000001"/>
    <n v="97.44"/>
    <n v="1388478"/>
    <n v="886704"/>
    <n v="501774"/>
  </r>
  <r>
    <x v="1"/>
    <s v="Austria"/>
    <s v="Office Supplies"/>
    <s v="Online"/>
    <s v="L"/>
    <d v="2014-12-03T00:00:00"/>
    <n v="861252868"/>
    <s v="3/28/2014"/>
    <n v="2717"/>
    <n v="651.21"/>
    <n v="524.96"/>
    <n v="1769337.57"/>
    <n v="1426316.32"/>
    <n v="343021.25"/>
  </r>
  <r>
    <x v="4"/>
    <s v="Samoa "/>
    <s v="Vegetables"/>
    <s v="Offline"/>
    <s v="L"/>
    <d v="2013-10-11T00:00:00"/>
    <n v="427121675"/>
    <s v="11/15/2013"/>
    <n v="3650"/>
    <n v="154.06"/>
    <n v="90.93"/>
    <n v="562319"/>
    <n v="331894.5"/>
    <n v="230424.5"/>
  </r>
  <r>
    <x v="5"/>
    <s v="Liberia"/>
    <s v="Personal Care"/>
    <s v="Offline"/>
    <s v="L"/>
    <d v="2014-08-07T00:00:00"/>
    <n v="778691470"/>
    <d v="2014-01-08T00:00:00"/>
    <n v="965"/>
    <n v="81.73"/>
    <n v="56.67"/>
    <n v="78869.45"/>
    <n v="54686.55"/>
    <n v="24182.9"/>
  </r>
  <r>
    <x v="1"/>
    <s v="Vatican City"/>
    <s v="Baby Food"/>
    <s v="Online"/>
    <s v="C"/>
    <s v="5/24/2017"/>
    <n v="126948583"/>
    <d v="2017-09-07T00:00:00"/>
    <n v="5762"/>
    <n v="255.28"/>
    <n v="159.41999999999999"/>
    <n v="1470923.36"/>
    <n v="918578.04"/>
    <n v="552345.31999999995"/>
  </r>
  <r>
    <x v="1"/>
    <s v="Estonia"/>
    <s v="Clothes"/>
    <s v="Offline"/>
    <s v="H"/>
    <d v="2013-08-06T00:00:00"/>
    <n v="353191840"/>
    <d v="2013-09-07T00:00:00"/>
    <n v="6169"/>
    <n v="109.28"/>
    <n v="35.840000000000003"/>
    <n v="674148.32"/>
    <n v="221096.95999999999"/>
    <n v="453051.36"/>
  </r>
  <r>
    <x v="1"/>
    <s v="Belgium"/>
    <s v="Vegetables"/>
    <s v="Online"/>
    <s v="L"/>
    <d v="2017-09-05T00:00:00"/>
    <n v="259032571"/>
    <s v="5/13/2017"/>
    <n v="2349"/>
    <n v="154.06"/>
    <n v="90.93"/>
    <n v="361886.94"/>
    <n v="213594.57"/>
    <n v="148292.37"/>
  </r>
  <r>
    <x v="5"/>
    <s v="Senegal"/>
    <s v="Clothes"/>
    <s v="Online"/>
    <s v="M"/>
    <d v="2010-10-11T00:00:00"/>
    <n v="516394603"/>
    <d v="2010-09-12T00:00:00"/>
    <n v="1493"/>
    <n v="109.28"/>
    <n v="35.840000000000003"/>
    <n v="163155.04"/>
    <n v="53509.120000000003"/>
    <n v="109645.92"/>
  </r>
  <r>
    <x v="1"/>
    <s v="Georgia"/>
    <s v="Meat"/>
    <s v="Offline"/>
    <s v="L"/>
    <d v="2014-03-08T00:00:00"/>
    <n v="517514264"/>
    <d v="2014-04-09T00:00:00"/>
    <n v="2826"/>
    <n v="421.89"/>
    <n v="364.69"/>
    <n v="1192261.1399999999"/>
    <n v="1030613.94"/>
    <n v="161647.20000000001"/>
  </r>
  <r>
    <x v="1"/>
    <s v="United Kingdom"/>
    <s v="Cosmetics"/>
    <s v="Offline"/>
    <s v="H"/>
    <d v="2016-02-03T00:00:00"/>
    <n v="624940383"/>
    <s v="3/30/2016"/>
    <n v="2602"/>
    <n v="437.2"/>
    <n v="263.33"/>
    <n v="1137594.3999999999"/>
    <n v="685184.66"/>
    <n v="452409.74"/>
  </r>
  <r>
    <x v="4"/>
    <s v="Solomon Islands"/>
    <s v="Fruits"/>
    <s v="Offline"/>
    <s v="L"/>
    <d v="2011-09-11T00:00:00"/>
    <n v="821534287"/>
    <s v="12/23/2011"/>
    <n v="9107"/>
    <n v="9.33"/>
    <n v="6.92"/>
    <n v="84968.31"/>
    <n v="63020.44"/>
    <n v="21947.87"/>
  </r>
  <r>
    <x v="5"/>
    <s v="Gabon"/>
    <s v="Fruits"/>
    <s v="Online"/>
    <s v="M"/>
    <d v="2010-04-05T00:00:00"/>
    <n v="260469806"/>
    <s v="6/19/2010"/>
    <n v="7659"/>
    <n v="9.33"/>
    <n v="6.92"/>
    <n v="71458.47"/>
    <n v="53000.28"/>
    <n v="18458.189999999999"/>
  </r>
  <r>
    <x v="5"/>
    <s v="Equatorial Guinea"/>
    <s v="Vegetables"/>
    <s v="Online"/>
    <s v="H"/>
    <s v="10/18/2013"/>
    <n v="415233266"/>
    <s v="10/31/2013"/>
    <n v="5606"/>
    <n v="154.06"/>
    <n v="90.93"/>
    <n v="863660.36"/>
    <n v="509753.58"/>
    <n v="353906.78"/>
  </r>
  <r>
    <x v="3"/>
    <s v="Saudi Arabia"/>
    <s v="Baby Food"/>
    <s v="Online"/>
    <s v="M"/>
    <d v="2014-10-02T00:00:00"/>
    <n v="129623496"/>
    <s v="2/25/2014"/>
    <n v="7328"/>
    <n v="255.28"/>
    <n v="159.41999999999999"/>
    <n v="1870691.84"/>
    <n v="1168229.76"/>
    <n v="702462.08"/>
  </r>
  <r>
    <x v="1"/>
    <s v="Malta"/>
    <s v="Cosmetics"/>
    <s v="Online"/>
    <s v="C"/>
    <s v="10/21/2011"/>
    <n v="567751824"/>
    <s v="11/21/2011"/>
    <n v="9236"/>
    <n v="437.2"/>
    <n v="263.33"/>
    <n v="4037979.2"/>
    <n v="2432115.88"/>
    <n v="1605863.32"/>
  </r>
  <r>
    <x v="5"/>
    <s v="Swaziland"/>
    <s v="Cosmetics"/>
    <s v="Online"/>
    <s v="L"/>
    <s v="3/31/2012"/>
    <n v="264042079"/>
    <d v="2012-01-05T00:00:00"/>
    <n v="4774"/>
    <n v="437.2"/>
    <n v="263.33"/>
    <n v="2087192.8"/>
    <n v="1257137.42"/>
    <n v="830055.38"/>
  </r>
  <r>
    <x v="2"/>
    <s v="Myanmar"/>
    <s v="Snacks"/>
    <s v="Online"/>
    <s v="H"/>
    <s v="4/22/2014"/>
    <n v="973230588"/>
    <d v="2014-08-06T00:00:00"/>
    <n v="9413"/>
    <n v="152.58000000000001"/>
    <n v="97.44"/>
    <n v="1436235.54"/>
    <n v="917202.72"/>
    <n v="519032.82"/>
  </r>
  <r>
    <x v="5"/>
    <s v="Swaziland"/>
    <s v="Vegetables"/>
    <s v="Online"/>
    <s v="C"/>
    <s v="2/15/2014"/>
    <n v="920366179"/>
    <s v="2/15/2014"/>
    <n v="5660"/>
    <n v="154.06"/>
    <n v="90.93"/>
    <n v="871979.6"/>
    <n v="514663.8"/>
    <n v="357315.8"/>
  </r>
  <r>
    <x v="2"/>
    <s v="Indonesia"/>
    <s v="Vegetables"/>
    <s v="Offline"/>
    <s v="M"/>
    <s v="6/26/2016"/>
    <n v="650810182"/>
    <s v="7/21/2016"/>
    <n v="8050"/>
    <n v="154.06"/>
    <n v="90.93"/>
    <n v="1240183"/>
    <n v="731986.5"/>
    <n v="508196.5"/>
  </r>
  <r>
    <x v="5"/>
    <s v="Benin"/>
    <s v="Clothes"/>
    <s v="Offline"/>
    <s v="H"/>
    <s v="11/15/2015"/>
    <n v="780236423"/>
    <s v="12/29/2015"/>
    <n v="8151"/>
    <n v="109.28"/>
    <n v="35.840000000000003"/>
    <n v="890741.28"/>
    <n v="292131.84000000003"/>
    <n v="598609.43999999994"/>
  </r>
  <r>
    <x v="5"/>
    <s v="Mauritania"/>
    <s v="Fruits"/>
    <s v="Offline"/>
    <s v="C"/>
    <s v="5/31/2015"/>
    <n v="644631230"/>
    <d v="2015-11-07T00:00:00"/>
    <n v="9561"/>
    <n v="9.33"/>
    <n v="6.92"/>
    <n v="89204.13"/>
    <n v="66162.12"/>
    <n v="23042.01"/>
  </r>
  <r>
    <x v="5"/>
    <s v="Tanzania"/>
    <s v="Meat"/>
    <s v="Online"/>
    <s v="C"/>
    <d v="2015-04-07T00:00:00"/>
    <n v="550293433"/>
    <s v="8/15/2015"/>
    <n v="2910"/>
    <n v="421.89"/>
    <n v="364.69"/>
    <n v="1227699.8999999999"/>
    <n v="1061247.8999999999"/>
    <n v="166452"/>
  </r>
  <r>
    <x v="3"/>
    <s v="Pakistan"/>
    <s v="Baby Food"/>
    <s v="Offline"/>
    <s v="H"/>
    <s v="1/18/2010"/>
    <n v="423834359"/>
    <s v="2/20/2010"/>
    <n v="860"/>
    <n v="255.28"/>
    <n v="159.41999999999999"/>
    <n v="219540.8"/>
    <n v="137101.20000000001"/>
    <n v="82439.600000000006"/>
  </r>
  <r>
    <x v="1"/>
    <s v="Spain"/>
    <s v="Fruits"/>
    <s v="Offline"/>
    <s v="H"/>
    <d v="2012-06-12T00:00:00"/>
    <n v="262177836"/>
    <s v="1/16/2013"/>
    <n v="3103"/>
    <n v="9.33"/>
    <n v="6.92"/>
    <n v="28950.99"/>
    <n v="21472.76"/>
    <n v="7478.23"/>
  </r>
  <r>
    <x v="1"/>
    <s v="Croatia"/>
    <s v="Household"/>
    <s v="Online"/>
    <s v="L"/>
    <s v="5/25/2016"/>
    <n v="582560193"/>
    <s v="5/28/2016"/>
    <n v="1362"/>
    <n v="668.27"/>
    <n v="502.54"/>
    <n v="910183.74"/>
    <n v="684459.48"/>
    <n v="225724.26"/>
  </r>
  <r>
    <x v="0"/>
    <s v="Trinidad and Tobago"/>
    <s v="Household"/>
    <s v="Online"/>
    <s v="H"/>
    <s v="7/14/2017"/>
    <n v="172530257"/>
    <s v="8/31/2017"/>
    <n v="4392"/>
    <n v="668.27"/>
    <n v="502.54"/>
    <n v="2935041.84"/>
    <n v="2207155.6800000002"/>
    <n v="727886.16"/>
  </r>
  <r>
    <x v="1"/>
    <s v="Kosovo"/>
    <s v="Vegetables"/>
    <s v="Online"/>
    <s v="H"/>
    <d v="2014-01-07T00:00:00"/>
    <n v="139949357"/>
    <s v="7/14/2014"/>
    <n v="2980"/>
    <n v="154.06"/>
    <n v="90.93"/>
    <n v="459098.8"/>
    <n v="270971.40000000002"/>
    <n v="188127.4"/>
  </r>
  <r>
    <x v="5"/>
    <s v="Lesotho"/>
    <s v="Beverages"/>
    <s v="Offline"/>
    <s v="L"/>
    <s v="4/16/2010"/>
    <n v="762991321"/>
    <s v="5/17/2010"/>
    <n v="4942"/>
    <n v="47.45"/>
    <n v="31.79"/>
    <n v="234497.9"/>
    <n v="157106.18"/>
    <n v="77391.72"/>
  </r>
  <r>
    <x v="4"/>
    <s v="Vanuatu"/>
    <s v="Meat"/>
    <s v="Offline"/>
    <s v="C"/>
    <s v="7/23/2016"/>
    <n v="140142476"/>
    <d v="2016-02-09T00:00:00"/>
    <n v="128"/>
    <n v="421.89"/>
    <n v="364.69"/>
    <n v="54001.919999999998"/>
    <n v="46680.32"/>
    <n v="7321.6"/>
  </r>
  <r>
    <x v="0"/>
    <s v="Costa Rica"/>
    <s v="Cereal"/>
    <s v="Offline"/>
    <s v="C"/>
    <d v="2011-08-12T00:00:00"/>
    <n v="940201652"/>
    <d v="2012-01-01T00:00:00"/>
    <n v="5417"/>
    <n v="205.7"/>
    <n v="117.11"/>
    <n v="1114276.8999999999"/>
    <n v="634384.87"/>
    <n v="479892.03"/>
  </r>
  <r>
    <x v="4"/>
    <s v="Marshall Islands"/>
    <s v="Personal Care"/>
    <s v="Offline"/>
    <s v="M"/>
    <s v="12/23/2013"/>
    <n v="952280175"/>
    <s v="1/15/2014"/>
    <n v="9720"/>
    <n v="81.73"/>
    <n v="56.67"/>
    <n v="794415.6"/>
    <n v="550832.4"/>
    <n v="243583.2"/>
  </r>
  <r>
    <x v="4"/>
    <s v="Kiribati"/>
    <s v="Beverages"/>
    <s v="Online"/>
    <s v="M"/>
    <s v="10/23/2014"/>
    <n v="735801875"/>
    <s v="11/13/2014"/>
    <n v="8981"/>
    <n v="47.45"/>
    <n v="31.79"/>
    <n v="426148.45"/>
    <n v="285505.99"/>
    <n v="140642.46"/>
  </r>
  <r>
    <x v="1"/>
    <s v="Albania"/>
    <s v="Clothes"/>
    <s v="Offline"/>
    <s v="H"/>
    <d v="2015-09-03T00:00:00"/>
    <n v="470503079"/>
    <s v="3/21/2015"/>
    <n v="1172"/>
    <n v="109.28"/>
    <n v="35.840000000000003"/>
    <n v="128076.16"/>
    <n v="42004.480000000003"/>
    <n v="86071.679999999993"/>
  </r>
  <r>
    <x v="2"/>
    <s v="South Korea"/>
    <s v="Beverages"/>
    <s v="Online"/>
    <s v="H"/>
    <s v="2/21/2013"/>
    <n v="406432616"/>
    <s v="3/23/2013"/>
    <n v="1298"/>
    <n v="47.45"/>
    <n v="31.79"/>
    <n v="61590.1"/>
    <n v="41263.42"/>
    <n v="20326.68"/>
  </r>
  <r>
    <x v="1"/>
    <s v="Austria"/>
    <s v="Beverages"/>
    <s v="Offline"/>
    <s v="C"/>
    <d v="2015-10-05T00:00:00"/>
    <n v="413951814"/>
    <s v="5/31/2015"/>
    <n v="6395"/>
    <n v="47.45"/>
    <n v="31.79"/>
    <n v="303442.75"/>
    <n v="203297.05"/>
    <n v="100145.7"/>
  </r>
  <r>
    <x v="1"/>
    <s v="Germany"/>
    <s v="Office Supplies"/>
    <s v="Offline"/>
    <s v="L"/>
    <s v="8/19/2010"/>
    <n v="433734500"/>
    <d v="2010-08-09T00:00:00"/>
    <n v="532"/>
    <n v="651.21"/>
    <n v="524.96"/>
    <n v="346443.72"/>
    <n v="279278.71999999997"/>
    <n v="67165"/>
  </r>
  <r>
    <x v="6"/>
    <s v="Mexico"/>
    <s v="Clothes"/>
    <s v="Offline"/>
    <s v="H"/>
    <s v="7/25/2011"/>
    <n v="926767003"/>
    <s v="8/20/2011"/>
    <n v="9806"/>
    <n v="109.28"/>
    <n v="35.840000000000003"/>
    <n v="1071599.68"/>
    <n v="351447.03999999998"/>
    <n v="720152.64"/>
  </r>
  <r>
    <x v="1"/>
    <s v="Ukraine"/>
    <s v="Office Supplies"/>
    <s v="Online"/>
    <s v="C"/>
    <s v="11/14/2012"/>
    <n v="624348151"/>
    <d v="2012-08-12T00:00:00"/>
    <n v="7347"/>
    <n v="651.21"/>
    <n v="524.96"/>
    <n v="4784439.87"/>
    <n v="3856881.12"/>
    <n v="927558.75"/>
  </r>
  <r>
    <x v="5"/>
    <s v="Nigeria"/>
    <s v="Household"/>
    <s v="Online"/>
    <s v="C"/>
    <d v="2010-06-05T00:00:00"/>
    <n v="578089272"/>
    <s v="5/20/2010"/>
    <n v="8317"/>
    <n v="668.27"/>
    <n v="502.54"/>
    <n v="5558001.5899999999"/>
    <n v="4179625.18"/>
    <n v="1378376.41"/>
  </r>
  <r>
    <x v="1"/>
    <s v="Poland"/>
    <s v="Clothes"/>
    <s v="Offline"/>
    <s v="M"/>
    <d v="2012-12-03T00:00:00"/>
    <n v="109914195"/>
    <s v="4/16/2012"/>
    <n v="4908"/>
    <n v="109.28"/>
    <n v="35.840000000000003"/>
    <n v="536346.24"/>
    <n v="175902.72"/>
    <n v="360443.52"/>
  </r>
  <r>
    <x v="3"/>
    <s v="Oman"/>
    <s v="Clothes"/>
    <s v="Online"/>
    <s v="H"/>
    <s v="7/23/2012"/>
    <n v="862059247"/>
    <s v="8/30/2012"/>
    <n v="1343"/>
    <n v="109.28"/>
    <n v="35.840000000000003"/>
    <n v="146763.04"/>
    <n v="48133.120000000003"/>
    <n v="98629.92"/>
  </r>
  <r>
    <x v="1"/>
    <s v="Georgia"/>
    <s v="Snacks"/>
    <s v="Online"/>
    <s v="C"/>
    <s v="5/31/2010"/>
    <n v="947073256"/>
    <d v="2010-12-06T00:00:00"/>
    <n v="8878"/>
    <n v="152.58000000000001"/>
    <n v="97.44"/>
    <n v="1354605.24"/>
    <n v="865072.32"/>
    <n v="489532.92"/>
  </r>
  <r>
    <x v="4"/>
    <s v="Tuvalu"/>
    <s v="Beverages"/>
    <s v="Offline"/>
    <s v="M"/>
    <s v="5/19/2013"/>
    <n v="797817552"/>
    <s v="5/29/2013"/>
    <n v="798"/>
    <n v="47.45"/>
    <n v="31.79"/>
    <n v="37865.1"/>
    <n v="25368.42"/>
    <n v="12496.68"/>
  </r>
  <r>
    <x v="0"/>
    <s v="Panama"/>
    <s v="Cereal"/>
    <s v="Offline"/>
    <s v="C"/>
    <s v="3/21/2011"/>
    <n v="917465960"/>
    <s v="4/14/2011"/>
    <n v="7421"/>
    <n v="205.7"/>
    <n v="117.11"/>
    <n v="1526499.7"/>
    <n v="869073.31"/>
    <n v="657426.39"/>
  </r>
  <r>
    <x v="5"/>
    <s v="Central African Republic"/>
    <s v="Beverages"/>
    <s v="Offline"/>
    <s v="C"/>
    <s v="6/17/2017"/>
    <n v="529504811"/>
    <s v="6/24/2017"/>
    <n v="1095"/>
    <n v="47.45"/>
    <n v="31.79"/>
    <n v="51957.75"/>
    <n v="34810.050000000003"/>
    <n v="17147.7"/>
  </r>
  <r>
    <x v="4"/>
    <s v="Solomon Islands"/>
    <s v="Vegetables"/>
    <s v="Offline"/>
    <s v="L"/>
    <s v="8/18/2012"/>
    <n v="727732932"/>
    <s v="8/21/2012"/>
    <n v="1201"/>
    <n v="154.06"/>
    <n v="90.93"/>
    <n v="185026.06"/>
    <n v="109206.93"/>
    <n v="75819.13"/>
  </r>
  <r>
    <x v="3"/>
    <s v="Algeria"/>
    <s v="Baby Food"/>
    <s v="Offline"/>
    <s v="H"/>
    <d v="2016-08-03T00:00:00"/>
    <n v="426261651"/>
    <s v="3/26/2016"/>
    <n v="9150"/>
    <n v="255.28"/>
    <n v="159.41999999999999"/>
    <n v="2335812"/>
    <n v="1458693"/>
    <n v="877119"/>
  </r>
  <r>
    <x v="1"/>
    <s v="Bosnia and Herzegovina"/>
    <s v="Personal Care"/>
    <s v="Online"/>
    <s v="L"/>
    <s v="7/24/2014"/>
    <n v="409514796"/>
    <d v="2014-07-09T00:00:00"/>
    <n v="3383"/>
    <n v="81.73"/>
    <n v="56.67"/>
    <n v="276492.59000000003"/>
    <n v="191714.61"/>
    <n v="84777.98"/>
  </r>
  <r>
    <x v="1"/>
    <s v="Latvia"/>
    <s v="Office Supplies"/>
    <s v="Online"/>
    <s v="L"/>
    <s v="5/31/2010"/>
    <n v="182228696"/>
    <d v="2010-12-07T00:00:00"/>
    <n v="4375"/>
    <n v="651.21"/>
    <n v="524.96"/>
    <n v="2849043.75"/>
    <n v="2296700"/>
    <n v="552343.75"/>
  </r>
  <r>
    <x v="5"/>
    <s v="Liberia"/>
    <s v="Fruits"/>
    <s v="Offline"/>
    <s v="C"/>
    <s v="3/29/2011"/>
    <n v="219452178"/>
    <d v="2011-03-04T00:00:00"/>
    <n v="9631"/>
    <n v="9.33"/>
    <n v="6.92"/>
    <n v="89857.23"/>
    <n v="66646.52"/>
    <n v="23210.71"/>
  </r>
  <r>
    <x v="5"/>
    <s v="Equatorial Guinea"/>
    <s v="Cereal"/>
    <s v="Offline"/>
    <s v="M"/>
    <s v="6/20/2010"/>
    <n v="616546571"/>
    <d v="2010-03-08T00:00:00"/>
    <n v="8686"/>
    <n v="205.7"/>
    <n v="117.11"/>
    <n v="1786710.2"/>
    <n v="1017217.46"/>
    <n v="769492.74"/>
  </r>
  <r>
    <x v="5"/>
    <s v="Sierra Leone"/>
    <s v="Personal Care"/>
    <s v="Offline"/>
    <s v="H"/>
    <d v="2013-10-12T00:00:00"/>
    <n v="639185702"/>
    <s v="12/15/2013"/>
    <n v="8108"/>
    <n v="81.73"/>
    <n v="56.67"/>
    <n v="662666.84"/>
    <n v="459480.36"/>
    <n v="203186.48"/>
  </r>
  <r>
    <x v="5"/>
    <s v="Republic of the Congo"/>
    <s v="Personal Care"/>
    <s v="Online"/>
    <s v="M"/>
    <d v="2013-04-06T00:00:00"/>
    <n v="973355901"/>
    <s v="7/24/2013"/>
    <n v="6496"/>
    <n v="81.73"/>
    <n v="56.67"/>
    <n v="530918.07999999996"/>
    <n v="368128.32"/>
    <n v="162789.76000000001"/>
  </r>
  <r>
    <x v="3"/>
    <s v="Libya"/>
    <s v="Personal Care"/>
    <s v="Online"/>
    <s v="C"/>
    <d v="2013-08-02T00:00:00"/>
    <n v="575355994"/>
    <d v="2013-06-03T00:00:00"/>
    <n v="9479"/>
    <n v="81.73"/>
    <n v="56.67"/>
    <n v="774718.67"/>
    <n v="537174.93000000005"/>
    <n v="237543.74"/>
  </r>
  <r>
    <x v="2"/>
    <s v="Vietnam"/>
    <s v="Office Supplies"/>
    <s v="Online"/>
    <s v="H"/>
    <d v="2010-02-09T00:00:00"/>
    <n v="721797311"/>
    <s v="10/19/2010"/>
    <n v="4719"/>
    <n v="651.21"/>
    <n v="524.96"/>
    <n v="3073059.99"/>
    <n v="2477286.2400000002"/>
    <n v="595773.75"/>
  </r>
  <r>
    <x v="5"/>
    <s v="Djibouti"/>
    <s v="Cosmetics"/>
    <s v="Offline"/>
    <s v="H"/>
    <s v="3/22/2016"/>
    <n v="959603679"/>
    <d v="2016-04-04T00:00:00"/>
    <n v="6908"/>
    <n v="437.2"/>
    <n v="263.33"/>
    <n v="3020177.6"/>
    <n v="1819083.64"/>
    <n v="1201093.96"/>
  </r>
  <r>
    <x v="2"/>
    <s v="Kyrgyzstan"/>
    <s v="Personal Care"/>
    <s v="Online"/>
    <s v="H"/>
    <s v="8/22/2010"/>
    <n v="456011426"/>
    <s v="9/29/2010"/>
    <n v="2769"/>
    <n v="81.73"/>
    <n v="56.67"/>
    <n v="226310.37"/>
    <n v="156919.23000000001"/>
    <n v="69391.14"/>
  </r>
  <r>
    <x v="0"/>
    <s v="Jamaica"/>
    <s v="Clothes"/>
    <s v="Online"/>
    <s v="M"/>
    <d v="2017-09-07T00:00:00"/>
    <n v="248569381"/>
    <d v="2017-01-08T00:00:00"/>
    <n v="6058"/>
    <n v="109.28"/>
    <n v="35.840000000000003"/>
    <n v="662018.24"/>
    <n v="217118.72"/>
    <n v="444899.52"/>
  </r>
  <r>
    <x v="5"/>
    <s v="Kenya"/>
    <s v="Cosmetics"/>
    <s v="Offline"/>
    <s v="M"/>
    <s v="1/31/2016"/>
    <n v="995138871"/>
    <d v="2016-05-03T00:00:00"/>
    <n v="2561"/>
    <n v="437.2"/>
    <n v="263.33"/>
    <n v="1119669.2"/>
    <n v="674388.13"/>
    <n v="445281.07"/>
  </r>
  <r>
    <x v="1"/>
    <s v="Bosnia and Herzegovina"/>
    <s v="Household"/>
    <s v="Online"/>
    <s v="C"/>
    <s v="2/13/2013"/>
    <n v="723893725"/>
    <d v="2013-11-03T00:00:00"/>
    <n v="5095"/>
    <n v="668.27"/>
    <n v="502.54"/>
    <n v="3404835.65"/>
    <n v="2560441.2999999998"/>
    <n v="844394.35"/>
  </r>
  <r>
    <x v="5"/>
    <s v="Rwanda"/>
    <s v="Household"/>
    <s v="Online"/>
    <s v="C"/>
    <s v="6/30/2016"/>
    <n v="683320271"/>
    <s v="7/13/2016"/>
    <n v="8508"/>
    <n v="668.27"/>
    <n v="502.54"/>
    <n v="5685641.1600000001"/>
    <n v="4275610.32"/>
    <n v="1410030.84"/>
  </r>
  <r>
    <x v="1"/>
    <s v="Norway"/>
    <s v="Snacks"/>
    <s v="Offline"/>
    <s v="L"/>
    <d v="2016-12-03T00:00:00"/>
    <n v="392217338"/>
    <s v="3/15/2016"/>
    <n v="4681"/>
    <n v="152.58000000000001"/>
    <n v="97.44"/>
    <n v="714226.98"/>
    <n v="456116.64"/>
    <n v="258110.34"/>
  </r>
  <r>
    <x v="2"/>
    <s v="South Korea"/>
    <s v="Personal Care"/>
    <s v="Offline"/>
    <s v="H"/>
    <d v="2010-05-11T00:00:00"/>
    <n v="789696252"/>
    <s v="11/19/2010"/>
    <n v="7525"/>
    <n v="81.73"/>
    <n v="56.67"/>
    <n v="615018.25"/>
    <n v="426441.75"/>
    <n v="188576.5"/>
  </r>
  <r>
    <x v="4"/>
    <s v="Tonga"/>
    <s v="Fruits"/>
    <s v="Offline"/>
    <s v="M"/>
    <d v="2011-03-07T00:00:00"/>
    <n v="185180842"/>
    <d v="2011-04-07T00:00:00"/>
    <n v="7981"/>
    <n v="9.33"/>
    <n v="6.92"/>
    <n v="74462.73"/>
    <n v="55228.52"/>
    <n v="19234.21"/>
  </r>
  <r>
    <x v="1"/>
    <s v="Romania"/>
    <s v="Baby Food"/>
    <s v="Offline"/>
    <s v="C"/>
    <s v="2/19/2015"/>
    <n v="108407437"/>
    <s v="3/27/2015"/>
    <n v="9025"/>
    <n v="255.28"/>
    <n v="159.41999999999999"/>
    <n v="2303902"/>
    <n v="1438765.5"/>
    <n v="865136.5"/>
  </r>
  <r>
    <x v="2"/>
    <s v="Nepal"/>
    <s v="Cosmetics"/>
    <s v="Offline"/>
    <s v="L"/>
    <s v="12/30/2015"/>
    <n v="359424865"/>
    <s v="1/25/2016"/>
    <n v="660"/>
    <n v="437.2"/>
    <n v="263.33"/>
    <n v="288552"/>
    <n v="173797.8"/>
    <n v="114754.2"/>
  </r>
  <r>
    <x v="1"/>
    <s v="Iceland"/>
    <s v="Snacks"/>
    <s v="Offline"/>
    <s v="L"/>
    <s v="12/20/2016"/>
    <n v="358594453"/>
    <d v="2017-02-02T00:00:00"/>
    <n v="4922"/>
    <n v="152.58000000000001"/>
    <n v="97.44"/>
    <n v="750998.76"/>
    <n v="479599.68"/>
    <n v="271399.08"/>
  </r>
  <r>
    <x v="3"/>
    <s v="Jordan"/>
    <s v="Cereal"/>
    <s v="Online"/>
    <s v="L"/>
    <s v="8/27/2010"/>
    <n v="496590030"/>
    <s v="10/14/2010"/>
    <n v="880"/>
    <n v="205.7"/>
    <n v="117.11"/>
    <n v="181016"/>
    <n v="103056.8"/>
    <n v="77959.199999999997"/>
  </r>
  <r>
    <x v="1"/>
    <s v="Denmark"/>
    <s v="Snacks"/>
    <s v="Offline"/>
    <s v="C"/>
    <d v="2013-03-06T00:00:00"/>
    <n v="784397923"/>
    <s v="6/15/2013"/>
    <n v="9631"/>
    <n v="152.58000000000001"/>
    <n v="97.44"/>
    <n v="1469497.98"/>
    <n v="938444.64"/>
    <n v="531053.34"/>
  </r>
  <r>
    <x v="4"/>
    <s v="New Zealand"/>
    <s v="Beverages"/>
    <s v="Online"/>
    <s v="H"/>
    <s v="3/18/2016"/>
    <n v="403316962"/>
    <d v="2016-06-05T00:00:00"/>
    <n v="9307"/>
    <n v="47.45"/>
    <n v="31.79"/>
    <n v="441617.15"/>
    <n v="295869.53000000003"/>
    <n v="145747.62"/>
  </r>
  <r>
    <x v="2"/>
    <s v="Vietnam"/>
    <s v="Fruits"/>
    <s v="Online"/>
    <s v="L"/>
    <d v="2011-10-01T00:00:00"/>
    <n v="854958474"/>
    <d v="2011-10-02T00:00:00"/>
    <n v="66"/>
    <n v="9.33"/>
    <n v="6.92"/>
    <n v="615.78"/>
    <n v="456.72"/>
    <n v="159.06"/>
  </r>
  <r>
    <x v="1"/>
    <s v="Cyprus"/>
    <s v="Meat"/>
    <s v="Offline"/>
    <s v="M"/>
    <d v="2017-09-06T00:00:00"/>
    <n v="111246287"/>
    <d v="2017-02-07T00:00:00"/>
    <n v="9103"/>
    <n v="421.89"/>
    <n v="364.69"/>
    <n v="3840464.67"/>
    <n v="3319773.07"/>
    <n v="520691.6"/>
  </r>
  <r>
    <x v="5"/>
    <s v="Sao Tome and Principe"/>
    <s v="Vegetables"/>
    <s v="Online"/>
    <s v="C"/>
    <s v="8/24/2010"/>
    <n v="264416730"/>
    <s v="8/24/2010"/>
    <n v="5641"/>
    <n v="154.06"/>
    <n v="90.93"/>
    <n v="869052.46"/>
    <n v="512936.13"/>
    <n v="356116.33"/>
  </r>
  <r>
    <x v="1"/>
    <s v="Poland"/>
    <s v="Vegetables"/>
    <s v="Online"/>
    <s v="L"/>
    <s v="2/19/2016"/>
    <n v="777018630"/>
    <s v="3/19/2016"/>
    <n v="5935"/>
    <n v="154.06"/>
    <n v="90.93"/>
    <n v="914346.1"/>
    <n v="539669.55000000005"/>
    <n v="374676.55"/>
  </r>
  <r>
    <x v="5"/>
    <s v="Ghana"/>
    <s v="Beverages"/>
    <s v="Offline"/>
    <s v="M"/>
    <d v="2015-10-01T00:00:00"/>
    <n v="731913316"/>
    <s v="2/14/2015"/>
    <n v="8270"/>
    <n v="47.45"/>
    <n v="31.79"/>
    <n v="392411.5"/>
    <n v="262903.3"/>
    <n v="129508.2"/>
  </r>
  <r>
    <x v="5"/>
    <s v="Lesotho"/>
    <s v="Household"/>
    <s v="Online"/>
    <s v="H"/>
    <d v="2016-01-01T00:00:00"/>
    <n v="182274615"/>
    <d v="2016-05-02T00:00:00"/>
    <n v="7964"/>
    <n v="668.27"/>
    <n v="502.54"/>
    <n v="5322102.28"/>
    <n v="4002228.56"/>
    <n v="1319873.72"/>
  </r>
  <r>
    <x v="1"/>
    <s v="Moldova "/>
    <s v="Clothes"/>
    <s v="Offline"/>
    <s v="H"/>
    <d v="2013-01-09T00:00:00"/>
    <n v="601588857"/>
    <d v="2013-10-09T00:00:00"/>
    <n v="2366"/>
    <n v="109.28"/>
    <n v="35.840000000000003"/>
    <n v="258556.48"/>
    <n v="84797.440000000002"/>
    <n v="173759.04"/>
  </r>
  <r>
    <x v="4"/>
    <s v="Tonga"/>
    <s v="Personal Care"/>
    <s v="Offline"/>
    <s v="C"/>
    <s v="1/20/2015"/>
    <n v="833654868"/>
    <s v="2/13/2015"/>
    <n v="5856"/>
    <n v="81.73"/>
    <n v="56.67"/>
    <n v="478610.88"/>
    <n v="331859.52"/>
    <n v="146751.35999999999"/>
  </r>
  <r>
    <x v="0"/>
    <s v="Saint Lucia"/>
    <s v="Cosmetics"/>
    <s v="Online"/>
    <s v="L"/>
    <d v="2013-09-02T00:00:00"/>
    <n v="242583978"/>
    <s v="2/20/2013"/>
    <n v="4845"/>
    <n v="437.2"/>
    <n v="263.33"/>
    <n v="2118234"/>
    <n v="1275833.8500000001"/>
    <n v="842400.15"/>
  </r>
  <r>
    <x v="4"/>
    <s v="Tonga"/>
    <s v="Snacks"/>
    <s v="Online"/>
    <s v="L"/>
    <s v="3/16/2013"/>
    <n v="962800014"/>
    <s v="4/26/2013"/>
    <n v="2774"/>
    <n v="152.58000000000001"/>
    <n v="97.44"/>
    <n v="423256.92"/>
    <n v="270298.56"/>
    <n v="152958.35999999999"/>
  </r>
  <r>
    <x v="1"/>
    <s v="Russia"/>
    <s v="Vegetables"/>
    <s v="Offline"/>
    <s v="L"/>
    <s v="3/17/2014"/>
    <n v="249039304"/>
    <d v="2014-01-05T00:00:00"/>
    <n v="5119"/>
    <n v="154.06"/>
    <n v="90.93"/>
    <n v="788633.14"/>
    <n v="465470.67"/>
    <n v="323162.46999999997"/>
  </r>
  <r>
    <x v="4"/>
    <s v="New Zealand"/>
    <s v="Beverages"/>
    <s v="Online"/>
    <s v="C"/>
    <d v="2012-05-04T00:00:00"/>
    <n v="826350677"/>
    <s v="5/18/2012"/>
    <n v="4383"/>
    <n v="47.45"/>
    <n v="31.79"/>
    <n v="207973.35"/>
    <n v="139335.57"/>
    <n v="68637.78"/>
  </r>
  <r>
    <x v="3"/>
    <s v="Lebanon"/>
    <s v="Cosmetics"/>
    <s v="Online"/>
    <s v="L"/>
    <s v="2/22/2012"/>
    <n v="540095460"/>
    <s v="3/13/2012"/>
    <n v="5104"/>
    <n v="437.2"/>
    <n v="263.33"/>
    <n v="2231468.7999999998"/>
    <n v="1344036.32"/>
    <n v="887432.48"/>
  </r>
  <r>
    <x v="1"/>
    <s v="Denmark"/>
    <s v="Cereal"/>
    <s v="Online"/>
    <s v="C"/>
    <s v="11/30/2015"/>
    <n v="905947482"/>
    <s v="1/18/2016"/>
    <n v="8847"/>
    <n v="205.7"/>
    <n v="117.11"/>
    <n v="1819827.9"/>
    <n v="1036072.17"/>
    <n v="783755.73"/>
  </r>
  <r>
    <x v="1"/>
    <s v="Italy"/>
    <s v="Vegetables"/>
    <s v="Online"/>
    <s v="H"/>
    <s v="7/22/2011"/>
    <n v="359893071"/>
    <d v="2011-06-08T00:00:00"/>
    <n v="9212"/>
    <n v="154.06"/>
    <n v="90.93"/>
    <n v="1419200.72"/>
    <n v="837647.16"/>
    <n v="581553.56000000006"/>
  </r>
  <r>
    <x v="5"/>
    <s v="Kenya"/>
    <s v="Meat"/>
    <s v="Online"/>
    <s v="L"/>
    <s v="8/13/2014"/>
    <n v="108231055"/>
    <s v="9/24/2014"/>
    <n v="6829"/>
    <n v="421.89"/>
    <n v="364.69"/>
    <n v="2881086.81"/>
    <n v="2490468.0099999998"/>
    <n v="390618.8"/>
  </r>
  <r>
    <x v="5"/>
    <s v="Namibia"/>
    <s v="Cosmetics"/>
    <s v="Online"/>
    <s v="M"/>
    <s v="5/31/2011"/>
    <n v="977572762"/>
    <s v="6/17/2011"/>
    <n v="4359"/>
    <n v="437.2"/>
    <n v="263.33"/>
    <n v="1905754.8"/>
    <n v="1147855.47"/>
    <n v="757899.33"/>
  </r>
  <r>
    <x v="3"/>
    <s v="Qatar"/>
    <s v="Snacks"/>
    <s v="Online"/>
    <s v="H"/>
    <d v="2015-05-11T00:00:00"/>
    <n v="264842021"/>
    <s v="11/22/2015"/>
    <n v="1494"/>
    <n v="152.58000000000001"/>
    <n v="97.44"/>
    <n v="227954.52"/>
    <n v="145575.35999999999"/>
    <n v="82379.16"/>
  </r>
  <r>
    <x v="0"/>
    <s v="Cuba"/>
    <s v="Snacks"/>
    <s v="Offline"/>
    <s v="H"/>
    <s v="7/28/2012"/>
    <n v="287275159"/>
    <s v="8/26/2012"/>
    <n v="9958"/>
    <n v="152.58000000000001"/>
    <n v="97.44"/>
    <n v="1519391.64"/>
    <n v="970307.52"/>
    <n v="549084.12"/>
  </r>
  <r>
    <x v="5"/>
    <s v="Senegal"/>
    <s v="Personal Care"/>
    <s v="Online"/>
    <s v="M"/>
    <d v="2013-01-11T00:00:00"/>
    <n v="732421004"/>
    <d v="2013-01-12T00:00:00"/>
    <n v="8506"/>
    <n v="81.73"/>
    <n v="56.67"/>
    <n v="695195.38"/>
    <n v="482035.02"/>
    <n v="213160.36"/>
  </r>
  <r>
    <x v="4"/>
    <s v="Kiribati"/>
    <s v="Vegetables"/>
    <s v="Online"/>
    <s v="H"/>
    <s v="3/19/2010"/>
    <n v="908140885"/>
    <s v="3/31/2010"/>
    <n v="7924"/>
    <n v="154.06"/>
    <n v="90.93"/>
    <n v="1220771.44"/>
    <n v="720529.32"/>
    <n v="500242.12"/>
  </r>
  <r>
    <x v="2"/>
    <s v="Mongolia"/>
    <s v="Cosmetics"/>
    <s v="Offline"/>
    <s v="H"/>
    <s v="4/14/2012"/>
    <n v="192608630"/>
    <s v="4/16/2012"/>
    <n v="6029"/>
    <n v="437.2"/>
    <n v="263.33"/>
    <n v="2635878.7999999998"/>
    <n v="1587616.57"/>
    <n v="1048262.23"/>
  </r>
  <r>
    <x v="1"/>
    <s v="Poland"/>
    <s v="Cosmetics"/>
    <s v="Offline"/>
    <s v="M"/>
    <s v="7/20/2016"/>
    <n v="284310567"/>
    <d v="2016-02-09T00:00:00"/>
    <n v="2670"/>
    <n v="437.2"/>
    <n v="263.33"/>
    <n v="1167324"/>
    <n v="703091.1"/>
    <n v="464232.9"/>
  </r>
  <r>
    <x v="0"/>
    <s v="Dominican Republic"/>
    <s v="Meat"/>
    <s v="Offline"/>
    <s v="H"/>
    <s v="10/13/2016"/>
    <n v="252045524"/>
    <s v="10/28/2016"/>
    <n v="4726"/>
    <n v="421.89"/>
    <n v="364.69"/>
    <n v="1993852.14"/>
    <n v="1723524.94"/>
    <n v="270327.2"/>
  </r>
  <r>
    <x v="4"/>
    <s v="Fiji"/>
    <s v="Snacks"/>
    <s v="Offline"/>
    <s v="M"/>
    <s v="5/28/2015"/>
    <n v="584924829"/>
    <d v="2015-08-06T00:00:00"/>
    <n v="1110"/>
    <n v="152.58000000000001"/>
    <n v="97.44"/>
    <n v="169363.8"/>
    <n v="108158.39999999999"/>
    <n v="61205.4"/>
  </r>
  <r>
    <x v="1"/>
    <s v="Bosnia and Herzegovina"/>
    <s v="Vegetables"/>
    <s v="Offline"/>
    <s v="M"/>
    <d v="2012-06-02T00:00:00"/>
    <n v="942372310"/>
    <s v="2/19/2012"/>
    <n v="7763"/>
    <n v="154.06"/>
    <n v="90.93"/>
    <n v="1195967.78"/>
    <n v="705889.59"/>
    <n v="490078.19"/>
  </r>
  <r>
    <x v="1"/>
    <s v="Macedonia"/>
    <s v="Meat"/>
    <s v="Online"/>
    <s v="C"/>
    <s v="3/16/2015"/>
    <n v="604124295"/>
    <d v="2015-02-04T00:00:00"/>
    <n v="2659"/>
    <n v="421.89"/>
    <n v="364.69"/>
    <n v="1121805.51"/>
    <n v="969710.71"/>
    <n v="152094.79999999999"/>
  </r>
  <r>
    <x v="1"/>
    <s v="Kosovo"/>
    <s v="Fruits"/>
    <s v="Online"/>
    <s v="C"/>
    <d v="2015-07-03T00:00:00"/>
    <n v="720229613"/>
    <d v="2015-11-03T00:00:00"/>
    <n v="803"/>
    <n v="9.33"/>
    <n v="6.92"/>
    <n v="7491.99"/>
    <n v="5556.76"/>
    <n v="1935.23"/>
  </r>
  <r>
    <x v="3"/>
    <s v="Oman"/>
    <s v="Cereal"/>
    <s v="Online"/>
    <s v="L"/>
    <s v="2/17/2011"/>
    <n v="261049592"/>
    <d v="2011-12-03T00:00:00"/>
    <n v="9230"/>
    <n v="205.7"/>
    <n v="117.11"/>
    <n v="1898611"/>
    <n v="1080925.3"/>
    <n v="817685.7"/>
  </r>
  <r>
    <x v="1"/>
    <s v="Austria"/>
    <s v="Personal Care"/>
    <s v="Online"/>
    <s v="M"/>
    <s v="7/31/2014"/>
    <n v="967258059"/>
    <d v="2014-08-08T00:00:00"/>
    <n v="2009"/>
    <n v="81.73"/>
    <n v="56.67"/>
    <n v="164195.57"/>
    <n v="113850.03"/>
    <n v="50345.54"/>
  </r>
  <r>
    <x v="5"/>
    <s v="Sudan"/>
    <s v="Cosmetics"/>
    <s v="Offline"/>
    <s v="L"/>
    <s v="5/26/2015"/>
    <n v="599841344"/>
    <d v="2015-01-06T00:00:00"/>
    <n v="5238"/>
    <n v="437.2"/>
    <n v="263.33"/>
    <n v="2290053.6"/>
    <n v="1379322.54"/>
    <n v="910731.06"/>
  </r>
  <r>
    <x v="5"/>
    <s v="Benin"/>
    <s v="Fruits"/>
    <s v="Offline"/>
    <s v="M"/>
    <s v="11/20/2015"/>
    <n v="590098273"/>
    <s v="11/26/2015"/>
    <n v="2047"/>
    <n v="9.33"/>
    <n v="6.92"/>
    <n v="19098.509999999998"/>
    <n v="14165.24"/>
    <n v="4933.2700000000004"/>
  </r>
  <r>
    <x v="3"/>
    <s v="Libya"/>
    <s v="Cereal"/>
    <s v="Offline"/>
    <s v="L"/>
    <s v="10/30/2011"/>
    <n v="189640176"/>
    <d v="2011-04-11T00:00:00"/>
    <n v="7597"/>
    <n v="205.7"/>
    <n v="117.11"/>
    <n v="1562702.9"/>
    <n v="889684.67"/>
    <n v="673018.23"/>
  </r>
  <r>
    <x v="1"/>
    <s v="Poland"/>
    <s v="Cereal"/>
    <s v="Offline"/>
    <s v="M"/>
    <d v="2011-10-06T00:00:00"/>
    <n v="520390880"/>
    <s v="7/24/2011"/>
    <n v="4080"/>
    <n v="205.7"/>
    <n v="117.11"/>
    <n v="839256"/>
    <n v="477808.8"/>
    <n v="361447.2"/>
  </r>
  <r>
    <x v="3"/>
    <s v="Tunisia "/>
    <s v="Cosmetics"/>
    <s v="Offline"/>
    <s v="C"/>
    <d v="2016-03-06T00:00:00"/>
    <n v="524586713"/>
    <s v="6/24/2016"/>
    <n v="5721"/>
    <n v="437.2"/>
    <n v="263.33"/>
    <n v="2501221.2000000002"/>
    <n v="1506510.93"/>
    <n v="994710.27"/>
  </r>
  <r>
    <x v="5"/>
    <s v="Mozambique"/>
    <s v="Personal Care"/>
    <s v="Offline"/>
    <s v="H"/>
    <s v="8/14/2010"/>
    <n v="114776504"/>
    <d v="2010-10-09T00:00:00"/>
    <n v="3773"/>
    <n v="81.73"/>
    <n v="56.67"/>
    <n v="308367.28999999998"/>
    <n v="213815.91"/>
    <n v="94551.38"/>
  </r>
  <r>
    <x v="1"/>
    <s v="Bosnia and Herzegovina"/>
    <s v="Fruits"/>
    <s v="Offline"/>
    <s v="L"/>
    <s v="10/15/2016"/>
    <n v="623821580"/>
    <s v="10/31/2016"/>
    <n v="1523"/>
    <n v="9.33"/>
    <n v="6.92"/>
    <n v="14209.59"/>
    <n v="10539.16"/>
    <n v="3670.43"/>
  </r>
  <r>
    <x v="3"/>
    <s v="Lebanon"/>
    <s v="Cereal"/>
    <s v="Online"/>
    <s v="M"/>
    <d v="2017-12-02T00:00:00"/>
    <n v="754895770"/>
    <d v="2017-12-03T00:00:00"/>
    <n v="9289"/>
    <n v="205.7"/>
    <n v="117.11"/>
    <n v="1910747.3"/>
    <n v="1087834.79"/>
    <n v="822912.51"/>
  </r>
  <r>
    <x v="4"/>
    <s v="Australia"/>
    <s v="Beverages"/>
    <s v="Online"/>
    <s v="L"/>
    <s v="7/26/2017"/>
    <n v="631485402"/>
    <d v="2017-12-08T00:00:00"/>
    <n v="9418"/>
    <n v="47.45"/>
    <n v="31.79"/>
    <n v="446884.1"/>
    <n v="299398.21999999997"/>
    <n v="147485.88"/>
  </r>
  <r>
    <x v="3"/>
    <s v="United Arab Emirates"/>
    <s v="Personal Care"/>
    <s v="Online"/>
    <s v="L"/>
    <s v="10/23/2013"/>
    <n v="447389304"/>
    <s v="11/19/2013"/>
    <n v="1292"/>
    <n v="81.73"/>
    <n v="56.67"/>
    <n v="105595.16"/>
    <n v="73217.64"/>
    <n v="32377.52"/>
  </r>
  <r>
    <x v="5"/>
    <s v="Zambia"/>
    <s v="Household"/>
    <s v="Online"/>
    <s v="M"/>
    <s v="2/25/2010"/>
    <n v="916718804"/>
    <d v="2010-09-03T00:00:00"/>
    <n v="6321"/>
    <n v="668.27"/>
    <n v="502.54"/>
    <n v="4224134.67"/>
    <n v="3176555.34"/>
    <n v="1047579.33"/>
  </r>
  <r>
    <x v="4"/>
    <s v="Kiribati"/>
    <s v="Snacks"/>
    <s v="Offline"/>
    <s v="M"/>
    <d v="2015-04-10T00:00:00"/>
    <n v="123897731"/>
    <s v="10/23/2015"/>
    <n v="2947"/>
    <n v="152.58000000000001"/>
    <n v="97.44"/>
    <n v="449653.26"/>
    <n v="287155.68"/>
    <n v="162497.57999999999"/>
  </r>
  <r>
    <x v="1"/>
    <s v="Bulgaria"/>
    <s v="Meat"/>
    <s v="Online"/>
    <s v="C"/>
    <s v="7/20/2010"/>
    <n v="273662412"/>
    <s v="7/23/2010"/>
    <n v="1644"/>
    <n v="421.89"/>
    <n v="364.69"/>
    <n v="693587.16"/>
    <n v="599550.36"/>
    <n v="94036.800000000003"/>
  </r>
  <r>
    <x v="1"/>
    <s v="Kosovo"/>
    <s v="Vegetables"/>
    <s v="Offline"/>
    <s v="M"/>
    <d v="2017-08-03T00:00:00"/>
    <n v="941061675"/>
    <s v="3/20/2017"/>
    <n v="9917"/>
    <n v="154.06"/>
    <n v="90.93"/>
    <n v="1527813.02"/>
    <n v="901752.81"/>
    <n v="626060.21"/>
  </r>
  <r>
    <x v="1"/>
    <s v="Moldova "/>
    <s v="Meat"/>
    <s v="Online"/>
    <s v="M"/>
    <d v="2013-07-12T00:00:00"/>
    <n v="421456849"/>
    <d v="2013-10-12T00:00:00"/>
    <n v="7302"/>
    <n v="421.89"/>
    <n v="364.69"/>
    <n v="3080640.78"/>
    <n v="2662966.38"/>
    <n v="417674.4"/>
  </r>
  <r>
    <x v="2"/>
    <s v="Kyrgyzstan"/>
    <s v="Meat"/>
    <s v="Offline"/>
    <s v="L"/>
    <s v="3/21/2014"/>
    <n v="680521762"/>
    <s v="4/15/2014"/>
    <n v="367"/>
    <n v="421.89"/>
    <n v="364.69"/>
    <n v="154833.63"/>
    <n v="133841.23000000001"/>
    <n v="20992.400000000001"/>
  </r>
  <r>
    <x v="5"/>
    <s v="Mozambique"/>
    <s v="Fruits"/>
    <s v="Online"/>
    <s v="M"/>
    <s v="5/18/2017"/>
    <n v="604242742"/>
    <s v="6/25/2017"/>
    <n v="7710"/>
    <n v="9.33"/>
    <n v="6.92"/>
    <n v="71934.3"/>
    <n v="53353.2"/>
    <n v="18581.099999999999"/>
  </r>
  <r>
    <x v="0"/>
    <s v="Jamaica"/>
    <s v="Cosmetics"/>
    <s v="Offline"/>
    <s v="M"/>
    <s v="6/14/2012"/>
    <n v="948918616"/>
    <s v="7/25/2012"/>
    <n v="4960"/>
    <n v="437.2"/>
    <n v="263.33"/>
    <n v="2168512"/>
    <n v="1306116.8"/>
    <n v="862395.2"/>
  </r>
  <r>
    <x v="1"/>
    <s v="Andorra"/>
    <s v="Cosmetics"/>
    <s v="Online"/>
    <s v="H"/>
    <d v="2012-10-04T00:00:00"/>
    <n v="291160714"/>
    <s v="5/26/2012"/>
    <n v="9780"/>
    <n v="437.2"/>
    <n v="263.33"/>
    <n v="4275816"/>
    <n v="2575367.4"/>
    <n v="1700448.6"/>
  </r>
  <r>
    <x v="4"/>
    <s v="Vanuatu"/>
    <s v="Fruits"/>
    <s v="Online"/>
    <s v="C"/>
    <s v="10/19/2011"/>
    <n v="877892863"/>
    <s v="10/21/2011"/>
    <n v="6862"/>
    <n v="9.33"/>
    <n v="6.92"/>
    <n v="64022.46"/>
    <n v="47485.04"/>
    <n v="16537.419999999998"/>
  </r>
  <r>
    <x v="5"/>
    <s v="Seychelles "/>
    <s v="Vegetables"/>
    <s v="Online"/>
    <s v="M"/>
    <s v="8/16/2014"/>
    <n v="976351392"/>
    <d v="2014-12-09T00:00:00"/>
    <n v="2928"/>
    <n v="154.06"/>
    <n v="90.93"/>
    <n v="451087.68"/>
    <n v="266243.03999999998"/>
    <n v="184844.64"/>
  </r>
  <r>
    <x v="1"/>
    <s v="Georgia"/>
    <s v="Fruits"/>
    <s v="Offline"/>
    <s v="M"/>
    <s v="1/21/2014"/>
    <n v="724085128"/>
    <d v="2014-10-02T00:00:00"/>
    <n v="1735"/>
    <n v="9.33"/>
    <n v="6.92"/>
    <n v="16187.55"/>
    <n v="12006.2"/>
    <n v="4181.3500000000004"/>
  </r>
  <r>
    <x v="5"/>
    <s v="Seychelles "/>
    <s v="Clothes"/>
    <s v="Offline"/>
    <s v="H"/>
    <s v="1/13/2012"/>
    <n v="778955399"/>
    <s v="2/29/2012"/>
    <n v="9068"/>
    <n v="109.28"/>
    <n v="35.840000000000003"/>
    <n v="990951.04"/>
    <n v="324997.12"/>
    <n v="665953.92000000004"/>
  </r>
  <r>
    <x v="2"/>
    <s v="Turkmenistan"/>
    <s v="Meat"/>
    <s v="Online"/>
    <s v="M"/>
    <d v="2015-09-05T00:00:00"/>
    <n v="969136035"/>
    <s v="5/20/2015"/>
    <n v="7744"/>
    <n v="421.89"/>
    <n v="364.69"/>
    <n v="3267116.16"/>
    <n v="2824159.36"/>
    <n v="442956.79999999999"/>
  </r>
  <r>
    <x v="5"/>
    <s v="Namibia"/>
    <s v="Baby Food"/>
    <s v="Online"/>
    <s v="H"/>
    <s v="9/21/2016"/>
    <n v="743113362"/>
    <s v="10/21/2016"/>
    <n v="2612"/>
    <n v="255.28"/>
    <n v="159.41999999999999"/>
    <n v="666791.36"/>
    <n v="416405.04"/>
    <n v="250386.32"/>
  </r>
  <r>
    <x v="2"/>
    <s v="Bangladesh"/>
    <s v="Snacks"/>
    <s v="Offline"/>
    <s v="L"/>
    <s v="9/15/2013"/>
    <n v="519686210"/>
    <s v="9/24/2013"/>
    <n v="5553"/>
    <n v="152.58000000000001"/>
    <n v="97.44"/>
    <n v="847276.74"/>
    <n v="541084.31999999995"/>
    <n v="306192.42"/>
  </r>
  <r>
    <x v="0"/>
    <s v="Costa Rica"/>
    <s v="Meat"/>
    <s v="Online"/>
    <s v="C"/>
    <d v="2012-04-07T00:00:00"/>
    <n v="337965905"/>
    <s v="7/20/2012"/>
    <n v="477"/>
    <n v="421.89"/>
    <n v="364.69"/>
    <n v="201241.53"/>
    <n v="173957.13"/>
    <n v="27284.400000000001"/>
  </r>
  <r>
    <x v="5"/>
    <s v="Sudan"/>
    <s v="Fruits"/>
    <s v="Offline"/>
    <s v="C"/>
    <d v="2016-08-08T00:00:00"/>
    <n v="307376277"/>
    <s v="8/15/2016"/>
    <n v="8326"/>
    <n v="9.33"/>
    <n v="6.92"/>
    <n v="77681.58"/>
    <n v="57615.92"/>
    <n v="20065.66"/>
  </r>
  <r>
    <x v="2"/>
    <s v="Vietnam"/>
    <s v="Vegetables"/>
    <s v="Offline"/>
    <s v="H"/>
    <s v="5/23/2015"/>
    <n v="157653653"/>
    <s v="5/27/2015"/>
    <n v="2074"/>
    <n v="154.06"/>
    <n v="90.93"/>
    <n v="319520.44"/>
    <n v="188588.82"/>
    <n v="130931.62"/>
  </r>
  <r>
    <x v="4"/>
    <s v="New Zealand"/>
    <s v="Cosmetics"/>
    <s v="Offline"/>
    <s v="C"/>
    <d v="2010-12-09T00:00:00"/>
    <n v="588846862"/>
    <s v="9/26/2010"/>
    <n v="1727"/>
    <n v="437.2"/>
    <n v="263.33"/>
    <n v="755044.4"/>
    <n v="454770.91"/>
    <n v="300273.49"/>
  </r>
  <r>
    <x v="5"/>
    <s v="Niger"/>
    <s v="Personal Care"/>
    <s v="Offline"/>
    <s v="C"/>
    <s v="12/24/2012"/>
    <n v="121317231"/>
    <d v="2013-02-01T00:00:00"/>
    <n v="9319"/>
    <n v="81.73"/>
    <n v="56.67"/>
    <n v="761641.87"/>
    <n v="528107.73"/>
    <n v="233534.14"/>
  </r>
  <r>
    <x v="0"/>
    <s v="Trinidad and Tobago"/>
    <s v="Snacks"/>
    <s v="Online"/>
    <s v="C"/>
    <d v="2014-02-11T00:00:00"/>
    <n v="945738589"/>
    <s v="12/22/2014"/>
    <n v="3920"/>
    <n v="152.58000000000001"/>
    <n v="97.44"/>
    <n v="598113.6"/>
    <n v="381964.79999999999"/>
    <n v="216148.8"/>
  </r>
  <r>
    <x v="3"/>
    <s v="Lebanon"/>
    <s v="Clothes"/>
    <s v="Offline"/>
    <s v="H"/>
    <s v="6/29/2017"/>
    <n v="373097264"/>
    <d v="2017-06-07T00:00:00"/>
    <n v="6626"/>
    <n v="109.28"/>
    <n v="35.840000000000003"/>
    <n v="724089.28"/>
    <n v="237475.84"/>
    <n v="486613.44"/>
  </r>
  <r>
    <x v="0"/>
    <s v="Saint Lucia"/>
    <s v="Vegetables"/>
    <s v="Offline"/>
    <s v="M"/>
    <s v="11/22/2011"/>
    <n v="284692084"/>
    <d v="2012-07-01T00:00:00"/>
    <n v="5569"/>
    <n v="154.06"/>
    <n v="90.93"/>
    <n v="857960.14"/>
    <n v="506389.17"/>
    <n v="351570.97"/>
  </r>
  <r>
    <x v="2"/>
    <s v="Kazakhstan"/>
    <s v="Fruits"/>
    <s v="Online"/>
    <s v="C"/>
    <s v="9/30/2012"/>
    <n v="382134377"/>
    <d v="2012-06-11T00:00:00"/>
    <n v="909"/>
    <n v="9.33"/>
    <n v="6.92"/>
    <n v="8480.9699999999993"/>
    <n v="6290.28"/>
    <n v="2190.69"/>
  </r>
  <r>
    <x v="5"/>
    <s v="Sao Tome and Principe"/>
    <s v="Office Supplies"/>
    <s v="Online"/>
    <s v="C"/>
    <d v="2016-01-12T00:00:00"/>
    <n v="437347972"/>
    <s v="1/16/2017"/>
    <n v="9839"/>
    <n v="651.21"/>
    <n v="524.96"/>
    <n v="6407255.1900000004"/>
    <n v="5165081.4400000004"/>
    <n v="1242173.75"/>
  </r>
  <r>
    <x v="1"/>
    <s v="Luxembourg"/>
    <s v="Vegetables"/>
    <s v="Online"/>
    <s v="M"/>
    <s v="9/30/2014"/>
    <n v="742569196"/>
    <s v="11/17/2014"/>
    <n v="1581"/>
    <n v="154.06"/>
    <n v="90.93"/>
    <n v="243568.86"/>
    <n v="143760.32999999999"/>
    <n v="99808.53"/>
  </r>
  <r>
    <x v="1"/>
    <s v="Poland"/>
    <s v="Household"/>
    <s v="Online"/>
    <s v="M"/>
    <s v="7/29/2016"/>
    <n v="760346877"/>
    <d v="2016-06-08T00:00:00"/>
    <n v="2392"/>
    <n v="668.27"/>
    <n v="502.54"/>
    <n v="1598501.84"/>
    <n v="1202075.68"/>
    <n v="396426.16"/>
  </r>
  <r>
    <x v="0"/>
    <s v="Guatemala"/>
    <s v="Snacks"/>
    <s v="Online"/>
    <s v="H"/>
    <d v="2011-05-02T00:00:00"/>
    <n v="473542344"/>
    <d v="2011-09-02T00:00:00"/>
    <n v="558"/>
    <n v="152.58000000000001"/>
    <n v="97.44"/>
    <n v="85139.64"/>
    <n v="54371.519999999997"/>
    <n v="30768.12"/>
  </r>
  <r>
    <x v="5"/>
    <s v="Sudan"/>
    <s v="Vegetables"/>
    <s v="Online"/>
    <s v="M"/>
    <s v="7/25/2014"/>
    <n v="835329425"/>
    <s v="7/27/2014"/>
    <n v="1395"/>
    <n v="154.06"/>
    <n v="90.93"/>
    <n v="214913.7"/>
    <n v="126847.35"/>
    <n v="88066.35"/>
  </r>
  <r>
    <x v="3"/>
    <s v="Iraq"/>
    <s v="Vegetables"/>
    <s v="Online"/>
    <s v="L"/>
    <d v="2014-05-01T00:00:00"/>
    <n v="619194447"/>
    <d v="2014-07-02T00:00:00"/>
    <n v="2252"/>
    <n v="154.06"/>
    <n v="90.93"/>
    <n v="346943.12"/>
    <n v="204774.36"/>
    <n v="142168.76"/>
  </r>
  <r>
    <x v="5"/>
    <s v="Malawi"/>
    <s v="Vegetables"/>
    <s v="Online"/>
    <s v="M"/>
    <s v="6/21/2016"/>
    <n v="468936240"/>
    <d v="2016-02-07T00:00:00"/>
    <n v="7509"/>
    <n v="154.06"/>
    <n v="90.93"/>
    <n v="1156836.54"/>
    <n v="682793.37"/>
    <n v="474043.17"/>
  </r>
  <r>
    <x v="4"/>
    <s v="Fiji"/>
    <s v="Office Supplies"/>
    <s v="Offline"/>
    <s v="L"/>
    <s v="11/21/2014"/>
    <n v="648666131"/>
    <d v="2014-12-12T00:00:00"/>
    <n v="3578"/>
    <n v="651.21"/>
    <n v="524.96"/>
    <n v="2330029.38"/>
    <n v="1878306.88"/>
    <n v="451722.5"/>
  </r>
  <r>
    <x v="3"/>
    <s v="Afghanistan"/>
    <s v="Household"/>
    <s v="Offline"/>
    <s v="C"/>
    <s v="8/21/2014"/>
    <n v="592807948"/>
    <s v="9/19/2014"/>
    <n v="3900"/>
    <n v="668.27"/>
    <n v="502.54"/>
    <n v="2606253"/>
    <n v="1959906"/>
    <n v="646347"/>
  </r>
  <r>
    <x v="5"/>
    <s v="Zimbabwe"/>
    <s v="Baby Food"/>
    <s v="Offline"/>
    <s v="M"/>
    <d v="2014-01-08T00:00:00"/>
    <n v="256098020"/>
    <s v="8/21/2014"/>
    <n v="3950"/>
    <n v="255.28"/>
    <n v="159.41999999999999"/>
    <n v="1008356"/>
    <n v="629709"/>
    <n v="378647"/>
  </r>
  <r>
    <x v="2"/>
    <s v="Nepal"/>
    <s v="Household"/>
    <s v="Online"/>
    <s v="C"/>
    <s v="11/13/2010"/>
    <n v="563585174"/>
    <s v="11/26/2010"/>
    <n v="6232"/>
    <n v="668.27"/>
    <n v="502.54"/>
    <n v="4164658.64"/>
    <n v="3131829.28"/>
    <n v="1032829.36"/>
  </r>
  <r>
    <x v="1"/>
    <s v="Moldova "/>
    <s v="Cosmetics"/>
    <s v="Online"/>
    <s v="M"/>
    <d v="2015-05-11T00:00:00"/>
    <n v="260630738"/>
    <s v="12/19/2015"/>
    <n v="5282"/>
    <n v="437.2"/>
    <n v="263.33"/>
    <n v="2309290.4"/>
    <n v="1390909.06"/>
    <n v="918381.34"/>
  </r>
  <r>
    <x v="2"/>
    <s v="Kyrgyzstan"/>
    <s v="Household"/>
    <s v="Offline"/>
    <s v="H"/>
    <d v="2016-06-06T00:00:00"/>
    <n v="862908542"/>
    <d v="2016-09-07T00:00:00"/>
    <n v="2668"/>
    <n v="668.27"/>
    <n v="502.54"/>
    <n v="1782944.36"/>
    <n v="1340776.72"/>
    <n v="442167.64"/>
  </r>
  <r>
    <x v="2"/>
    <s v="China"/>
    <s v="Personal Care"/>
    <s v="Offline"/>
    <s v="C"/>
    <s v="9/30/2015"/>
    <n v="806404912"/>
    <s v="10/17/2015"/>
    <n v="1988"/>
    <n v="81.73"/>
    <n v="56.67"/>
    <n v="162479.24"/>
    <n v="112659.96"/>
    <n v="49819.28"/>
  </r>
  <r>
    <x v="5"/>
    <s v="Djibouti"/>
    <s v="Household"/>
    <s v="Offline"/>
    <s v="C"/>
    <s v="3/13/2014"/>
    <n v="397418677"/>
    <d v="2014-02-04T00:00:00"/>
    <n v="3873"/>
    <n v="668.27"/>
    <n v="502.54"/>
    <n v="2588209.71"/>
    <n v="1946337.42"/>
    <n v="641872.29"/>
  </r>
  <r>
    <x v="1"/>
    <s v="Spain"/>
    <s v="Meat"/>
    <s v="Online"/>
    <s v="H"/>
    <d v="2013-02-04T00:00:00"/>
    <n v="462561166"/>
    <d v="2013-02-05T00:00:00"/>
    <n v="983"/>
    <n v="421.89"/>
    <n v="364.69"/>
    <n v="414717.87"/>
    <n v="358490.27"/>
    <n v="56227.6"/>
  </r>
  <r>
    <x v="2"/>
    <s v="China"/>
    <s v="Personal Care"/>
    <s v="Online"/>
    <s v="M"/>
    <s v="8/28/2011"/>
    <n v="998756206"/>
    <s v="9/18/2011"/>
    <n v="3011"/>
    <n v="81.73"/>
    <n v="56.67"/>
    <n v="246089.03"/>
    <n v="170633.37"/>
    <n v="75455.66"/>
  </r>
  <r>
    <x v="5"/>
    <s v="Uganda"/>
    <s v="Cosmetics"/>
    <s v="Offline"/>
    <s v="H"/>
    <s v="10/16/2016"/>
    <n v="723240125"/>
    <s v="11/18/2016"/>
    <n v="1680"/>
    <n v="437.2"/>
    <n v="263.33"/>
    <n v="734496"/>
    <n v="442394.4"/>
    <n v="292101.59999999998"/>
  </r>
  <r>
    <x v="2"/>
    <s v="Tajikistan"/>
    <s v="Clothes"/>
    <s v="Offline"/>
    <s v="H"/>
    <d v="2010-10-08T00:00:00"/>
    <n v="223561751"/>
    <s v="9/21/2010"/>
    <n v="5745"/>
    <n v="109.28"/>
    <n v="35.840000000000003"/>
    <n v="627813.6"/>
    <n v="205900.79999999999"/>
    <n v="421912.8"/>
  </r>
  <r>
    <x v="6"/>
    <s v="United States of America"/>
    <s v="Meat"/>
    <s v="Offline"/>
    <s v="M"/>
    <s v="12/22/2013"/>
    <n v="607582414"/>
    <s v="1/30/2014"/>
    <n v="5993"/>
    <n v="421.89"/>
    <n v="364.69"/>
    <n v="2528386.77"/>
    <n v="2185587.17"/>
    <n v="342799.6"/>
  </r>
  <r>
    <x v="1"/>
    <s v="Netherlands"/>
    <s v="Personal Care"/>
    <s v="Offline"/>
    <s v="H"/>
    <d v="2014-02-10T00:00:00"/>
    <n v="353475940"/>
    <d v="2014-04-10T00:00:00"/>
    <n v="240"/>
    <n v="81.73"/>
    <n v="56.67"/>
    <n v="19615.2"/>
    <n v="13600.8"/>
    <n v="6014.4"/>
  </r>
  <r>
    <x v="4"/>
    <s v="Papua New Guinea"/>
    <s v="Cereal"/>
    <s v="Offline"/>
    <s v="H"/>
    <d v="2017-05-01T00:00:00"/>
    <n v="259728658"/>
    <s v="1/29/2017"/>
    <n v="8336"/>
    <n v="205.7"/>
    <n v="117.11"/>
    <n v="1714715.2"/>
    <n v="976228.96"/>
    <n v="738486.24"/>
  </r>
  <r>
    <x v="5"/>
    <s v="Botswana"/>
    <s v="Cereal"/>
    <s v="Offline"/>
    <s v="L"/>
    <s v="7/14/2014"/>
    <n v="295139396"/>
    <s v="8/18/2014"/>
    <n v="7161"/>
    <n v="205.7"/>
    <n v="117.11"/>
    <n v="1473017.7"/>
    <n v="838624.71"/>
    <n v="634392.99"/>
  </r>
  <r>
    <x v="4"/>
    <s v="Solomon Islands"/>
    <s v="Vegetables"/>
    <s v="Online"/>
    <s v="L"/>
    <s v="4/20/2017"/>
    <n v="948819482"/>
    <s v="5/17/2017"/>
    <n v="5624"/>
    <n v="154.06"/>
    <n v="90.93"/>
    <n v="866433.44"/>
    <n v="511390.32"/>
    <n v="355043.12"/>
  </r>
  <r>
    <x v="5"/>
    <s v="Djibouti"/>
    <s v="Baby Food"/>
    <s v="Offline"/>
    <s v="M"/>
    <d v="2017-08-06T00:00:00"/>
    <n v="980192744"/>
    <d v="2017-12-07T00:00:00"/>
    <n v="9670"/>
    <n v="255.28"/>
    <n v="159.41999999999999"/>
    <n v="2468557.6"/>
    <n v="1541591.4"/>
    <n v="926966.2"/>
  </r>
  <r>
    <x v="0"/>
    <s v="Nicaragua"/>
    <s v="Meat"/>
    <s v="Online"/>
    <s v="C"/>
    <d v="2015-12-09T00:00:00"/>
    <n v="568995511"/>
    <d v="2015-01-11T00:00:00"/>
    <n v="7271"/>
    <n v="421.89"/>
    <n v="364.69"/>
    <n v="3067562.19"/>
    <n v="2651660.9900000002"/>
    <n v="415901.2"/>
  </r>
  <r>
    <x v="5"/>
    <s v="Liberia"/>
    <s v="Snacks"/>
    <s v="Online"/>
    <s v="C"/>
    <s v="2/13/2010"/>
    <n v="865276610"/>
    <s v="2/19/2010"/>
    <n v="3432"/>
    <n v="152.58000000000001"/>
    <n v="97.44"/>
    <n v="523654.56"/>
    <n v="334414.08000000002"/>
    <n v="189240.48"/>
  </r>
  <r>
    <x v="3"/>
    <s v="Morocco"/>
    <s v="Office Supplies"/>
    <s v="Online"/>
    <s v="L"/>
    <s v="12/14/2014"/>
    <n v="839397370"/>
    <s v="12/17/2014"/>
    <n v="5190"/>
    <n v="651.21"/>
    <n v="524.96"/>
    <n v="3379779.9"/>
    <n v="2724542.4"/>
    <n v="655237.5"/>
  </r>
  <r>
    <x v="1"/>
    <s v="Armenia"/>
    <s v="Beverages"/>
    <s v="Online"/>
    <s v="H"/>
    <d v="2011-05-06T00:00:00"/>
    <n v="432031619"/>
    <s v="6/29/2011"/>
    <n v="6612"/>
    <n v="47.45"/>
    <n v="31.79"/>
    <n v="313739.40000000002"/>
    <n v="210195.48"/>
    <n v="103543.92"/>
  </r>
  <r>
    <x v="1"/>
    <s v="Armenia"/>
    <s v="Household"/>
    <s v="Online"/>
    <s v="L"/>
    <s v="2/19/2012"/>
    <n v="104165685"/>
    <d v="2012-06-03T00:00:00"/>
    <n v="3796"/>
    <n v="668.27"/>
    <n v="502.54"/>
    <n v="2536752.92"/>
    <n v="1907641.84"/>
    <n v="629111.07999999996"/>
  </r>
  <r>
    <x v="5"/>
    <s v="Sudan"/>
    <s v="Fruits"/>
    <s v="Offline"/>
    <s v="M"/>
    <s v="10/20/2011"/>
    <n v="387098395"/>
    <d v="2011-05-11T00:00:00"/>
    <n v="9872"/>
    <n v="9.33"/>
    <n v="6.92"/>
    <n v="92105.76"/>
    <n v="68314.240000000005"/>
    <n v="23791.52"/>
  </r>
  <r>
    <x v="0"/>
    <s v="Saint Kitts and Nevis "/>
    <s v="Clothes"/>
    <s v="Offline"/>
    <s v="L"/>
    <s v="10/14/2013"/>
    <n v="532441079"/>
    <d v="2013-08-11T00:00:00"/>
    <n v="2"/>
    <n v="109.28"/>
    <n v="35.840000000000003"/>
    <n v="218.56"/>
    <n v="71.680000000000007"/>
    <n v="146.88"/>
  </r>
  <r>
    <x v="1"/>
    <s v="Ukraine"/>
    <s v="Personal Care"/>
    <s v="Online"/>
    <s v="M"/>
    <s v="2/26/2011"/>
    <n v="762117564"/>
    <s v="3/28/2011"/>
    <n v="6378"/>
    <n v="81.73"/>
    <n v="56.67"/>
    <n v="521273.94"/>
    <n v="361441.26"/>
    <n v="159832.68"/>
  </r>
  <r>
    <x v="1"/>
    <s v="Finland"/>
    <s v="Snacks"/>
    <s v="Offline"/>
    <s v="H"/>
    <d v="2013-10-03T00:00:00"/>
    <n v="918364179"/>
    <d v="2013-11-04T00:00:00"/>
    <n v="3223"/>
    <n v="152.58000000000001"/>
    <n v="97.44"/>
    <n v="491765.34"/>
    <n v="314049.12"/>
    <n v="177716.22"/>
  </r>
  <r>
    <x v="1"/>
    <s v="Georgia"/>
    <s v="Meat"/>
    <s v="Online"/>
    <s v="M"/>
    <s v="4/18/2011"/>
    <n v="913729751"/>
    <d v="2011-09-05T00:00:00"/>
    <n v="1793"/>
    <n v="421.89"/>
    <n v="364.69"/>
    <n v="756448.77"/>
    <n v="653889.17000000004"/>
    <n v="102559.6"/>
  </r>
  <r>
    <x v="5"/>
    <s v="Burkina Faso"/>
    <s v="Household"/>
    <s v="Offline"/>
    <s v="H"/>
    <d v="2013-04-02T00:00:00"/>
    <n v="281075608"/>
    <s v="3/26/2013"/>
    <n v="5373"/>
    <n v="668.27"/>
    <n v="502.54"/>
    <n v="3590614.71"/>
    <n v="2700147.42"/>
    <n v="890467.29"/>
  </r>
  <r>
    <x v="5"/>
    <s v="Namibia"/>
    <s v="Vegetables"/>
    <s v="Offline"/>
    <s v="H"/>
    <d v="2015-01-12T00:00:00"/>
    <n v="423575580"/>
    <d v="2015-10-12T00:00:00"/>
    <n v="4282"/>
    <n v="154.06"/>
    <n v="90.93"/>
    <n v="659684.92000000004"/>
    <n v="389362.26"/>
    <n v="270322.65999999997"/>
  </r>
  <r>
    <x v="3"/>
    <s v="Libya"/>
    <s v="Cereal"/>
    <s v="Offline"/>
    <s v="L"/>
    <s v="7/30/2010"/>
    <n v="564715993"/>
    <d v="2010-03-08T00:00:00"/>
    <n v="866"/>
    <n v="205.7"/>
    <n v="117.11"/>
    <n v="178136.2"/>
    <n v="101417.26"/>
    <n v="76718.94"/>
  </r>
  <r>
    <x v="0"/>
    <s v="Guatemala"/>
    <s v="Beverages"/>
    <s v="Offline"/>
    <s v="H"/>
    <s v="6/19/2015"/>
    <n v="898295676"/>
    <s v="7/17/2015"/>
    <n v="4508"/>
    <n v="47.45"/>
    <n v="31.79"/>
    <n v="213904.6"/>
    <n v="143309.32"/>
    <n v="70595.28"/>
  </r>
  <r>
    <x v="5"/>
    <s v="Cote d'Ivoire"/>
    <s v="Office Supplies"/>
    <s v="Offline"/>
    <s v="H"/>
    <d v="2012-03-03T00:00:00"/>
    <n v="338425958"/>
    <d v="2012-08-04T00:00:00"/>
    <n v="6616"/>
    <n v="651.21"/>
    <n v="524.96"/>
    <n v="4308405.3600000003"/>
    <n v="3473135.36"/>
    <n v="835270"/>
  </r>
  <r>
    <x v="0"/>
    <s v="Nicaragua"/>
    <s v="Fruits"/>
    <s v="Online"/>
    <s v="M"/>
    <d v="2017-04-06T00:00:00"/>
    <n v="569530665"/>
    <s v="6/25/2017"/>
    <n v="5635"/>
    <n v="9.33"/>
    <n v="6.92"/>
    <n v="52574.55"/>
    <n v="38994.199999999997"/>
    <n v="13580.35"/>
  </r>
  <r>
    <x v="1"/>
    <s v="Armenia"/>
    <s v="Snacks"/>
    <s v="Online"/>
    <s v="H"/>
    <s v="2/28/2011"/>
    <n v="196346127"/>
    <d v="2011-12-04T00:00:00"/>
    <n v="2037"/>
    <n v="152.58000000000001"/>
    <n v="97.44"/>
    <n v="310805.46000000002"/>
    <n v="198485.28"/>
    <n v="112320.18"/>
  </r>
  <r>
    <x v="2"/>
    <s v="South Korea"/>
    <s v="Household"/>
    <s v="Online"/>
    <s v="M"/>
    <d v="2016-11-01T00:00:00"/>
    <n v="593921172"/>
    <s v="2/27/2016"/>
    <n v="3328"/>
    <n v="668.27"/>
    <n v="502.54"/>
    <n v="2224002.56"/>
    <n v="1672453.1200000001"/>
    <n v="551549.43999999994"/>
  </r>
  <r>
    <x v="3"/>
    <s v="Jordan"/>
    <s v="Cosmetics"/>
    <s v="Online"/>
    <s v="L"/>
    <s v="4/20/2010"/>
    <n v="957617127"/>
    <s v="5/31/2010"/>
    <n v="9043"/>
    <n v="437.2"/>
    <n v="263.33"/>
    <n v="3953599.6"/>
    <n v="2381293.19"/>
    <n v="1572306.41"/>
  </r>
  <r>
    <x v="1"/>
    <s v="Cyprus"/>
    <s v="Personal Care"/>
    <s v="Online"/>
    <s v="M"/>
    <s v="12/21/2014"/>
    <n v="553107821"/>
    <s v="1/13/2015"/>
    <n v="5751"/>
    <n v="81.73"/>
    <n v="56.67"/>
    <n v="470029.23"/>
    <n v="325909.17"/>
    <n v="144120.06"/>
  </r>
  <r>
    <x v="4"/>
    <s v="Tonga"/>
    <s v="Cereal"/>
    <s v="Offline"/>
    <s v="L"/>
    <s v="3/26/2014"/>
    <n v="966379582"/>
    <s v="3/29/2014"/>
    <n v="2048"/>
    <n v="205.7"/>
    <n v="117.11"/>
    <n v="421273.59999999998"/>
    <n v="239841.28"/>
    <n v="181432.32000000001"/>
  </r>
  <r>
    <x v="2"/>
    <s v="Singapore"/>
    <s v="Baby Food"/>
    <s v="Online"/>
    <s v="H"/>
    <d v="2012-10-04T00:00:00"/>
    <n v="253731238"/>
    <s v="5/13/2012"/>
    <n v="3567"/>
    <n v="255.28"/>
    <n v="159.41999999999999"/>
    <n v="910583.76"/>
    <n v="568651.14"/>
    <n v="341932.62"/>
  </r>
  <r>
    <x v="1"/>
    <s v="San Marino"/>
    <s v="Cereal"/>
    <s v="Online"/>
    <s v="M"/>
    <d v="2014-08-05T00:00:00"/>
    <n v="591774117"/>
    <s v="5/30/2014"/>
    <n v="7967"/>
    <n v="205.7"/>
    <n v="117.11"/>
    <n v="1638811.9"/>
    <n v="933015.37"/>
    <n v="705796.53"/>
  </r>
  <r>
    <x v="1"/>
    <s v="Cyprus"/>
    <s v="Personal Care"/>
    <s v="Online"/>
    <s v="C"/>
    <d v="2015-02-06T00:00:00"/>
    <n v="627432048"/>
    <s v="6/23/2015"/>
    <n v="9941"/>
    <n v="81.73"/>
    <n v="56.67"/>
    <n v="812477.93"/>
    <n v="563356.47"/>
    <n v="249121.46"/>
  </r>
  <r>
    <x v="5"/>
    <s v="Republic of the Congo"/>
    <s v="Fruits"/>
    <s v="Online"/>
    <s v="C"/>
    <d v="2011-05-07T00:00:00"/>
    <n v="427941358"/>
    <s v="8/20/2011"/>
    <n v="6212"/>
    <n v="9.33"/>
    <n v="6.92"/>
    <n v="57957.96"/>
    <n v="42987.040000000001"/>
    <n v="14970.92"/>
  </r>
  <r>
    <x v="3"/>
    <s v="Algeria"/>
    <s v="Baby Food"/>
    <s v="Online"/>
    <s v="L"/>
    <s v="1/24/2011"/>
    <n v="130850875"/>
    <d v="2011-11-03T00:00:00"/>
    <n v="537"/>
    <n v="255.28"/>
    <n v="159.41999999999999"/>
    <n v="137085.35999999999"/>
    <n v="85608.54"/>
    <n v="51476.82"/>
  </r>
  <r>
    <x v="2"/>
    <s v="Bangladesh"/>
    <s v="Meat"/>
    <s v="Offline"/>
    <s v="C"/>
    <s v="1/13/2016"/>
    <n v="394021928"/>
    <s v="2/20/2016"/>
    <n v="8699"/>
    <n v="421.89"/>
    <n v="364.69"/>
    <n v="3670021.11"/>
    <n v="3172438.31"/>
    <n v="497582.8"/>
  </r>
  <r>
    <x v="2"/>
    <s v="China"/>
    <s v="Meat"/>
    <s v="Online"/>
    <s v="C"/>
    <s v="6/26/2010"/>
    <n v="145628345"/>
    <s v="7/21/2010"/>
    <n v="3518"/>
    <n v="421.89"/>
    <n v="364.69"/>
    <n v="1484209.02"/>
    <n v="1282979.42"/>
    <n v="201229.6"/>
  </r>
  <r>
    <x v="5"/>
    <s v="South Sudan"/>
    <s v="Meat"/>
    <s v="Offline"/>
    <s v="M"/>
    <d v="2017-03-06T00:00:00"/>
    <n v="634156453"/>
    <s v="6/28/2017"/>
    <n v="9842"/>
    <n v="421.89"/>
    <n v="364.69"/>
    <n v="4152241.38"/>
    <n v="3589278.98"/>
    <n v="562962.4"/>
  </r>
  <r>
    <x v="0"/>
    <s v="Haiti"/>
    <s v="Cereal"/>
    <s v="Online"/>
    <s v="L"/>
    <d v="2011-11-09T00:00:00"/>
    <n v="478405082"/>
    <s v="10/24/2011"/>
    <n v="9550"/>
    <n v="205.7"/>
    <n v="117.11"/>
    <n v="1964435"/>
    <n v="1118400.5"/>
    <n v="846034.5"/>
  </r>
  <r>
    <x v="3"/>
    <s v="Azerbaijan"/>
    <s v="Personal Care"/>
    <s v="Offline"/>
    <s v="C"/>
    <s v="8/23/2014"/>
    <n v="617485558"/>
    <d v="2014-08-10T00:00:00"/>
    <n v="6554"/>
    <n v="81.73"/>
    <n v="56.67"/>
    <n v="535658.42000000004"/>
    <n v="371415.18"/>
    <n v="164243.24"/>
  </r>
  <r>
    <x v="5"/>
    <s v="Nigeria"/>
    <s v="Meat"/>
    <s v="Offline"/>
    <s v="C"/>
    <d v="2014-08-08T00:00:00"/>
    <n v="260821712"/>
    <s v="9/19/2014"/>
    <n v="1795"/>
    <n v="421.89"/>
    <n v="364.69"/>
    <n v="757292.55"/>
    <n v="654618.55000000005"/>
    <n v="102674"/>
  </r>
  <r>
    <x v="5"/>
    <s v="Sudan"/>
    <s v="Beverages"/>
    <s v="Offline"/>
    <s v="C"/>
    <s v="2/14/2016"/>
    <n v="938149869"/>
    <s v="2/14/2016"/>
    <n v="8249"/>
    <n v="47.45"/>
    <n v="31.79"/>
    <n v="391415.05"/>
    <n v="262235.71000000002"/>
    <n v="129179.34"/>
  </r>
  <r>
    <x v="5"/>
    <s v="Swaziland"/>
    <s v="Fruits"/>
    <s v="Online"/>
    <s v="L"/>
    <d v="2013-12-06T00:00:00"/>
    <n v="649518859"/>
    <s v="7/13/2013"/>
    <n v="5919"/>
    <n v="9.33"/>
    <n v="6.92"/>
    <n v="55224.27"/>
    <n v="40959.480000000003"/>
    <n v="14264.79"/>
  </r>
  <r>
    <x v="1"/>
    <s v="Germany"/>
    <s v="Meat"/>
    <s v="Offline"/>
    <s v="M"/>
    <s v="1/14/2017"/>
    <n v="615290009"/>
    <s v="1/18/2017"/>
    <n v="6842"/>
    <n v="421.89"/>
    <n v="364.69"/>
    <n v="2886571.38"/>
    <n v="2495208.98"/>
    <n v="391362.4"/>
  </r>
  <r>
    <x v="3"/>
    <s v="Iraq"/>
    <s v="Clothes"/>
    <s v="Online"/>
    <s v="M"/>
    <d v="2011-03-12T00:00:00"/>
    <n v="326137149"/>
    <d v="2012-02-01T00:00:00"/>
    <n v="85"/>
    <n v="109.28"/>
    <n v="35.840000000000003"/>
    <n v="9288.7999999999993"/>
    <n v="3046.4"/>
    <n v="6242.4"/>
  </r>
  <r>
    <x v="2"/>
    <s v="Turkmenistan"/>
    <s v="Beverages"/>
    <s v="Online"/>
    <s v="L"/>
    <s v="6/20/2014"/>
    <n v="693046605"/>
    <s v="7/21/2014"/>
    <n v="6746"/>
    <n v="47.45"/>
    <n v="31.79"/>
    <n v="320097.7"/>
    <n v="214455.34"/>
    <n v="105642.36"/>
  </r>
  <r>
    <x v="1"/>
    <s v="Italy"/>
    <s v="Beverages"/>
    <s v="Online"/>
    <s v="H"/>
    <s v="8/13/2015"/>
    <n v="897317206"/>
    <d v="2015-01-09T00:00:00"/>
    <n v="4957"/>
    <n v="47.45"/>
    <n v="31.79"/>
    <n v="235209.65"/>
    <n v="157583.03"/>
    <n v="77626.62"/>
  </r>
  <r>
    <x v="2"/>
    <s v="Bhutan"/>
    <s v="Meat"/>
    <s v="Offline"/>
    <s v="L"/>
    <d v="2014-10-12T00:00:00"/>
    <n v="640560281"/>
    <s v="12/30/2014"/>
    <n v="4877"/>
    <n v="421.89"/>
    <n v="364.69"/>
    <n v="2057557.53"/>
    <n v="1778593.13"/>
    <n v="278964.40000000002"/>
  </r>
  <r>
    <x v="1"/>
    <s v="Montenegro"/>
    <s v="Personal Care"/>
    <s v="Offline"/>
    <s v="L"/>
    <s v="11/14/2016"/>
    <n v="594699656"/>
    <s v="12/30/2016"/>
    <n v="3699"/>
    <n v="81.73"/>
    <n v="56.67"/>
    <n v="302319.27"/>
    <n v="209622.33"/>
    <n v="92696.94"/>
  </r>
  <r>
    <x v="2"/>
    <s v="Indonesia"/>
    <s v="Personal Care"/>
    <s v="Offline"/>
    <s v="M"/>
    <d v="2011-01-10T00:00:00"/>
    <n v="151971662"/>
    <s v="10/24/2011"/>
    <n v="647"/>
    <n v="81.73"/>
    <n v="56.67"/>
    <n v="52879.31"/>
    <n v="36665.49"/>
    <n v="16213.82"/>
  </r>
  <r>
    <x v="1"/>
    <s v="Ukraine"/>
    <s v="Cosmetics"/>
    <s v="Offline"/>
    <s v="M"/>
    <s v="6/28/2017"/>
    <n v="574925124"/>
    <s v="7/13/2017"/>
    <n v="1975"/>
    <n v="437.2"/>
    <n v="263.33"/>
    <n v="863470"/>
    <n v="520076.75"/>
    <n v="343393.25"/>
  </r>
  <r>
    <x v="1"/>
    <s v="Ukraine"/>
    <s v="Beverages"/>
    <s v="Offline"/>
    <s v="M"/>
    <s v="3/19/2015"/>
    <n v="946421372"/>
    <s v="3/21/2015"/>
    <n v="5971"/>
    <n v="47.45"/>
    <n v="31.79"/>
    <n v="283323.95"/>
    <n v="189818.09"/>
    <n v="93505.86"/>
  </r>
  <r>
    <x v="2"/>
    <s v="Japan"/>
    <s v="Cereal"/>
    <s v="Offline"/>
    <s v="L"/>
    <d v="2013-07-08T00:00:00"/>
    <n v="419634234"/>
    <s v="9/25/2013"/>
    <n v="7950"/>
    <n v="205.7"/>
    <n v="117.11"/>
    <n v="1635315"/>
    <n v="931024.5"/>
    <n v="704290.5"/>
  </r>
  <r>
    <x v="4"/>
    <s v="Vanuatu"/>
    <s v="Cosmetics"/>
    <s v="Offline"/>
    <s v="H"/>
    <s v="10/31/2014"/>
    <n v="468050038"/>
    <d v="2014-04-12T00:00:00"/>
    <n v="5262"/>
    <n v="437.2"/>
    <n v="263.33"/>
    <n v="2300546.4"/>
    <n v="1385642.46"/>
    <n v="914903.94"/>
  </r>
  <r>
    <x v="5"/>
    <s v="Burundi"/>
    <s v="Vegetables"/>
    <s v="Online"/>
    <s v="L"/>
    <s v="10/16/2010"/>
    <n v="835467612"/>
    <d v="2010-12-11T00:00:00"/>
    <n v="2287"/>
    <n v="154.06"/>
    <n v="90.93"/>
    <n v="352335.22"/>
    <n v="207956.91"/>
    <n v="144378.31"/>
  </r>
  <r>
    <x v="1"/>
    <s v="Armenia"/>
    <s v="Clothes"/>
    <s v="Offline"/>
    <s v="C"/>
    <s v="2/21/2017"/>
    <n v="885998284"/>
    <s v="2/28/2017"/>
    <n v="5436"/>
    <n v="109.28"/>
    <n v="35.840000000000003"/>
    <n v="594046.07999999996"/>
    <n v="194826.23999999999"/>
    <n v="399219.84"/>
  </r>
  <r>
    <x v="1"/>
    <s v="Hungary"/>
    <s v="Household"/>
    <s v="Offline"/>
    <s v="L"/>
    <s v="7/17/2016"/>
    <n v="954065883"/>
    <d v="2016-01-09T00:00:00"/>
    <n v="8151"/>
    <n v="668.27"/>
    <n v="502.54"/>
    <n v="5447068.7699999996"/>
    <n v="4096203.54"/>
    <n v="1350865.23"/>
  </r>
  <r>
    <x v="1"/>
    <s v="Malta"/>
    <s v="Beverages"/>
    <s v="Online"/>
    <s v="M"/>
    <d v="2015-07-06T00:00:00"/>
    <n v="994406735"/>
    <s v="6/30/2015"/>
    <n v="5906"/>
    <n v="47.45"/>
    <n v="31.79"/>
    <n v="280239.7"/>
    <n v="187751.74"/>
    <n v="92487.96"/>
  </r>
  <r>
    <x v="1"/>
    <s v="Austria"/>
    <s v="Personal Care"/>
    <s v="Online"/>
    <s v="M"/>
    <d v="2017-09-07T00:00:00"/>
    <n v="132069671"/>
    <s v="7/20/2017"/>
    <n v="1205"/>
    <n v="81.73"/>
    <n v="56.67"/>
    <n v="98484.65"/>
    <n v="68287.350000000006"/>
    <n v="30197.3"/>
  </r>
  <r>
    <x v="5"/>
    <s v="Republic of the Congo"/>
    <s v="Office Supplies"/>
    <s v="Offline"/>
    <s v="H"/>
    <d v="2012-12-06T00:00:00"/>
    <n v="712416017"/>
    <s v="7/27/2012"/>
    <n v="8586"/>
    <n v="651.21"/>
    <n v="524.96"/>
    <n v="5591289.0599999996"/>
    <n v="4507306.5599999996"/>
    <n v="1083982.5"/>
  </r>
  <r>
    <x v="5"/>
    <s v="Sao Tome and Principe"/>
    <s v="Vegetables"/>
    <s v="Offline"/>
    <s v="M"/>
    <d v="2017-02-06T00:00:00"/>
    <n v="651119601"/>
    <s v="7/17/2017"/>
    <n v="9614"/>
    <n v="154.06"/>
    <n v="90.93"/>
    <n v="1481132.84"/>
    <n v="874201.02"/>
    <n v="606931.81999999995"/>
  </r>
  <r>
    <x v="5"/>
    <s v="Democratic Republic of the Congo"/>
    <s v="Baby Food"/>
    <s v="Online"/>
    <s v="L"/>
    <d v="2012-02-11T00:00:00"/>
    <n v="184166753"/>
    <s v="12/20/2012"/>
    <n v="7890"/>
    <n v="255.28"/>
    <n v="159.41999999999999"/>
    <n v="2014159.2"/>
    <n v="1257823.8"/>
    <n v="756335.4"/>
  </r>
  <r>
    <x v="5"/>
    <s v="Eritrea"/>
    <s v="Cereal"/>
    <s v="Online"/>
    <s v="H"/>
    <d v="2014-03-04T00:00:00"/>
    <n v="517856299"/>
    <s v="4/30/2014"/>
    <n v="4042"/>
    <n v="205.7"/>
    <n v="117.11"/>
    <n v="831439.4"/>
    <n v="473358.62"/>
    <n v="358080.78"/>
  </r>
  <r>
    <x v="3"/>
    <s v="Qatar"/>
    <s v="Baby Food"/>
    <s v="Offline"/>
    <s v="H"/>
    <s v="7/26/2015"/>
    <n v="678799569"/>
    <s v="8/15/2015"/>
    <n v="732"/>
    <n v="255.28"/>
    <n v="159.41999999999999"/>
    <n v="186864.96"/>
    <n v="116695.44"/>
    <n v="70169.52"/>
  </r>
  <r>
    <x v="5"/>
    <s v="Sudan"/>
    <s v="Meat"/>
    <s v="Online"/>
    <s v="C"/>
    <d v="2015-07-07T00:00:00"/>
    <n v="663920390"/>
    <d v="2015-10-07T00:00:00"/>
    <n v="7652"/>
    <n v="421.89"/>
    <n v="364.69"/>
    <n v="3228302.28"/>
    <n v="2790607.88"/>
    <n v="437694.4"/>
  </r>
  <r>
    <x v="1"/>
    <s v="Belarus"/>
    <s v="Household"/>
    <s v="Online"/>
    <s v="M"/>
    <s v="11/30/2013"/>
    <n v="990455090"/>
    <s v="12/14/2013"/>
    <n v="6526"/>
    <n v="668.27"/>
    <n v="502.54"/>
    <n v="4361130.0199999996"/>
    <n v="3279576.04"/>
    <n v="1081553.98"/>
  </r>
  <r>
    <x v="1"/>
    <s v="Norway"/>
    <s v="Cereal"/>
    <s v="Offline"/>
    <s v="C"/>
    <d v="2015-06-06T00:00:00"/>
    <n v="445952498"/>
    <d v="2015-07-07T00:00:00"/>
    <n v="6109"/>
    <n v="205.7"/>
    <n v="117.11"/>
    <n v="1256621.3"/>
    <n v="715424.99"/>
    <n v="541196.31000000006"/>
  </r>
  <r>
    <x v="3"/>
    <s v="Oman"/>
    <s v="Snacks"/>
    <s v="Offline"/>
    <s v="C"/>
    <s v="8/21/2010"/>
    <n v="138273942"/>
    <d v="2010-04-10T00:00:00"/>
    <n v="7187"/>
    <n v="152.58000000000001"/>
    <n v="97.44"/>
    <n v="1096592.46"/>
    <n v="700301.28"/>
    <n v="396291.18"/>
  </r>
  <r>
    <x v="5"/>
    <s v="Sierra Leone"/>
    <s v="Cosmetics"/>
    <s v="Offline"/>
    <s v="L"/>
    <s v="2/13/2010"/>
    <n v="345593249"/>
    <s v="3/15/2010"/>
    <n v="7577"/>
    <n v="437.2"/>
    <n v="263.33"/>
    <n v="3312664.4"/>
    <n v="1995251.41"/>
    <n v="1317412.99"/>
  </r>
  <r>
    <x v="0"/>
    <s v="Antigua and Barbuda "/>
    <s v="Cosmetics"/>
    <s v="Offline"/>
    <s v="H"/>
    <s v="5/18/2010"/>
    <n v="966396749"/>
    <s v="6/20/2010"/>
    <n v="7128"/>
    <n v="437.2"/>
    <n v="263.33"/>
    <n v="3116361.6"/>
    <n v="1877016.24"/>
    <n v="1239345.3600000001"/>
  </r>
  <r>
    <x v="5"/>
    <s v="Mauritius "/>
    <s v="Snacks"/>
    <s v="Online"/>
    <s v="L"/>
    <d v="2012-03-10T00:00:00"/>
    <n v="169483268"/>
    <d v="2012-04-11T00:00:00"/>
    <n v="2720"/>
    <n v="152.58000000000001"/>
    <n v="97.44"/>
    <n v="415017.6"/>
    <n v="265036.79999999999"/>
    <n v="149980.79999999999"/>
  </r>
  <r>
    <x v="2"/>
    <s v="Nepal"/>
    <s v="Cereal"/>
    <s v="Online"/>
    <s v="M"/>
    <d v="2012-06-02T00:00:00"/>
    <n v="243964135"/>
    <s v="2/27/2012"/>
    <n v="3264"/>
    <n v="205.7"/>
    <n v="117.11"/>
    <n v="671404.8"/>
    <n v="382247.04"/>
    <n v="289157.76000000001"/>
  </r>
  <r>
    <x v="3"/>
    <s v="Oman"/>
    <s v="Clothes"/>
    <s v="Online"/>
    <s v="C"/>
    <d v="2015-04-09T00:00:00"/>
    <n v="849263179"/>
    <d v="2015-06-10T00:00:00"/>
    <n v="4702"/>
    <n v="109.28"/>
    <n v="35.840000000000003"/>
    <n v="513834.56"/>
    <n v="168519.67999999999"/>
    <n v="345314.88"/>
  </r>
  <r>
    <x v="5"/>
    <s v="Togo"/>
    <s v="Household"/>
    <s v="Offline"/>
    <s v="M"/>
    <s v="8/30/2016"/>
    <n v="365116727"/>
    <d v="2016-08-09T00:00:00"/>
    <n v="5008"/>
    <n v="668.27"/>
    <n v="502.54"/>
    <n v="3346696.16"/>
    <n v="2516720.3199999998"/>
    <n v="829975.84"/>
  </r>
  <r>
    <x v="3"/>
    <s v="Tunisia "/>
    <s v="Meat"/>
    <s v="Online"/>
    <s v="H"/>
    <d v="2013-07-02T00:00:00"/>
    <n v="841573607"/>
    <s v="3/17/2013"/>
    <n v="9187"/>
    <n v="421.89"/>
    <n v="364.69"/>
    <n v="3875903.43"/>
    <n v="3350407.03"/>
    <n v="525496.4"/>
  </r>
  <r>
    <x v="3"/>
    <s v="Yemen"/>
    <s v="Beverages"/>
    <s v="Offline"/>
    <s v="C"/>
    <d v="2011-03-09T00:00:00"/>
    <n v="348995149"/>
    <s v="9/14/2011"/>
    <n v="4275"/>
    <n v="47.45"/>
    <n v="31.79"/>
    <n v="202848.75"/>
    <n v="135902.25"/>
    <n v="66946.5"/>
  </r>
  <r>
    <x v="1"/>
    <s v="Estonia"/>
    <s v="Office Supplies"/>
    <s v="Offline"/>
    <s v="M"/>
    <s v="4/26/2016"/>
    <n v="628055179"/>
    <s v="5/13/2016"/>
    <n v="4339"/>
    <n v="651.21"/>
    <n v="524.96"/>
    <n v="2825600.19"/>
    <n v="2277801.44"/>
    <n v="547798.75"/>
  </r>
  <r>
    <x v="5"/>
    <s v="Ethiopia"/>
    <s v="Office Supplies"/>
    <s v="Offline"/>
    <s v="C"/>
    <d v="2016-01-12T00:00:00"/>
    <n v="339740025"/>
    <d v="2016-04-12T00:00:00"/>
    <n v="5478"/>
    <n v="651.21"/>
    <n v="524.96"/>
    <n v="3567328.38"/>
    <n v="2875730.88"/>
    <n v="691597.5"/>
  </r>
  <r>
    <x v="3"/>
    <s v="Azerbaijan"/>
    <s v="Office Supplies"/>
    <s v="Online"/>
    <s v="L"/>
    <d v="2015-06-10T00:00:00"/>
    <n v="915348517"/>
    <d v="2015-10-10T00:00:00"/>
    <n v="822"/>
    <n v="651.21"/>
    <n v="524.96"/>
    <n v="535294.62"/>
    <n v="431517.12"/>
    <n v="103777.5"/>
  </r>
  <r>
    <x v="2"/>
    <s v="Uzbekistan"/>
    <s v="Personal Care"/>
    <s v="Online"/>
    <s v="C"/>
    <s v="3/20/2016"/>
    <n v="706491982"/>
    <d v="2016-11-04T00:00:00"/>
    <n v="5532"/>
    <n v="81.73"/>
    <n v="56.67"/>
    <n v="452130.36"/>
    <n v="313498.44"/>
    <n v="138631.92000000001"/>
  </r>
  <r>
    <x v="0"/>
    <s v="Panama"/>
    <s v="Vegetables"/>
    <s v="Offline"/>
    <s v="C"/>
    <d v="2011-07-05T00:00:00"/>
    <n v="835094249"/>
    <s v="6/20/2011"/>
    <n v="1801"/>
    <n v="154.06"/>
    <n v="90.93"/>
    <n v="277462.06"/>
    <n v="163764.93"/>
    <n v="113697.13"/>
  </r>
  <r>
    <x v="1"/>
    <s v="Slovenia"/>
    <s v="Personal Care"/>
    <s v="Online"/>
    <s v="C"/>
    <d v="2010-06-06T00:00:00"/>
    <n v="243391644"/>
    <s v="6/27/2010"/>
    <n v="3851"/>
    <n v="81.73"/>
    <n v="56.67"/>
    <n v="314742.23"/>
    <n v="218236.17"/>
    <n v="96506.06"/>
  </r>
  <r>
    <x v="4"/>
    <s v="Federated States of Micronesia"/>
    <s v="Household"/>
    <s v="Offline"/>
    <s v="H"/>
    <d v="2012-12-06T00:00:00"/>
    <n v="643932998"/>
    <s v="7/25/2012"/>
    <n v="2938"/>
    <n v="668.27"/>
    <n v="502.54"/>
    <n v="1963377.26"/>
    <n v="1476462.52"/>
    <n v="486914.74"/>
  </r>
  <r>
    <x v="2"/>
    <s v="Taiwan"/>
    <s v="Vegetables"/>
    <s v="Offline"/>
    <s v="H"/>
    <s v="6/13/2017"/>
    <n v="669579637"/>
    <s v="6/24/2017"/>
    <n v="2349"/>
    <n v="154.06"/>
    <n v="90.93"/>
    <n v="361886.94"/>
    <n v="213594.57"/>
    <n v="148292.37"/>
  </r>
  <r>
    <x v="1"/>
    <s v="Ukraine"/>
    <s v="Clothes"/>
    <s v="Online"/>
    <s v="H"/>
    <d v="2015-11-03T00:00:00"/>
    <n v="823505389"/>
    <s v="3/30/2015"/>
    <n v="2400"/>
    <n v="109.28"/>
    <n v="35.840000000000003"/>
    <n v="262272"/>
    <n v="86016"/>
    <n v="176256"/>
  </r>
  <r>
    <x v="0"/>
    <s v="Antigua and Barbuda "/>
    <s v="Meat"/>
    <s v="Offline"/>
    <s v="H"/>
    <s v="8/19/2011"/>
    <n v="329196584"/>
    <d v="2011-09-09T00:00:00"/>
    <n v="5439"/>
    <n v="421.89"/>
    <n v="364.69"/>
    <n v="2294659.71"/>
    <n v="1983548.91"/>
    <n v="311110.8"/>
  </r>
  <r>
    <x v="2"/>
    <s v="Cambodia"/>
    <s v="Meat"/>
    <s v="Online"/>
    <s v="L"/>
    <d v="2010-07-01T00:00:00"/>
    <n v="280452048"/>
    <s v="1/14/2010"/>
    <n v="848"/>
    <n v="421.89"/>
    <n v="364.69"/>
    <n v="357762.72"/>
    <n v="309257.12"/>
    <n v="48505.599999999999"/>
  </r>
  <r>
    <x v="0"/>
    <s v="Grenada"/>
    <s v="Office Supplies"/>
    <s v="Offline"/>
    <s v="H"/>
    <s v="8/29/2014"/>
    <n v="491383111"/>
    <d v="2014-05-10T00:00:00"/>
    <n v="37"/>
    <n v="651.21"/>
    <n v="524.96"/>
    <n v="24094.77"/>
    <n v="19423.52"/>
    <n v="4671.25"/>
  </r>
  <r>
    <x v="1"/>
    <s v="Ireland"/>
    <s v="Snacks"/>
    <s v="Online"/>
    <s v="L"/>
    <s v="12/30/2011"/>
    <n v="846413600"/>
    <s v="12/31/2011"/>
    <n v="1448"/>
    <n v="152.58000000000001"/>
    <n v="97.44"/>
    <n v="220935.84"/>
    <n v="141093.12"/>
    <n v="79842.720000000001"/>
  </r>
  <r>
    <x v="1"/>
    <s v="Cyprus"/>
    <s v="Fruits"/>
    <s v="Offline"/>
    <s v="C"/>
    <s v="3/31/2012"/>
    <n v="850279843"/>
    <d v="2012-10-04T00:00:00"/>
    <n v="5556"/>
    <n v="9.33"/>
    <n v="6.92"/>
    <n v="51837.48"/>
    <n v="38447.519999999997"/>
    <n v="13389.96"/>
  </r>
  <r>
    <x v="5"/>
    <s v="Kenya"/>
    <s v="Fruits"/>
    <s v="Offline"/>
    <s v="M"/>
    <d v="2015-06-05T00:00:00"/>
    <n v="978030669"/>
    <s v="5/14/2015"/>
    <n v="9864"/>
    <n v="9.33"/>
    <n v="6.92"/>
    <n v="92031.12"/>
    <n v="68258.880000000005"/>
    <n v="23772.240000000002"/>
  </r>
  <r>
    <x v="2"/>
    <s v="Bhutan"/>
    <s v="Beverages"/>
    <s v="Offline"/>
    <s v="H"/>
    <s v="9/18/2014"/>
    <n v="425027406"/>
    <s v="9/23/2014"/>
    <n v="3909"/>
    <n v="47.45"/>
    <n v="31.79"/>
    <n v="185482.05"/>
    <n v="124267.11"/>
    <n v="61214.94"/>
  </r>
  <r>
    <x v="0"/>
    <s v="Saint Lucia"/>
    <s v="Beverages"/>
    <s v="Online"/>
    <s v="M"/>
    <d v="2016-12-03T00:00:00"/>
    <n v="256943881"/>
    <s v="4/30/2016"/>
    <n v="4259"/>
    <n v="47.45"/>
    <n v="31.79"/>
    <n v="202089.55"/>
    <n v="135393.60999999999"/>
    <n v="66695.94"/>
  </r>
  <r>
    <x v="3"/>
    <s v="Oman"/>
    <s v="Cosmetics"/>
    <s v="Offline"/>
    <s v="H"/>
    <s v="7/24/2011"/>
    <n v="259766423"/>
    <d v="2011-11-09T00:00:00"/>
    <n v="9512"/>
    <n v="437.2"/>
    <n v="263.33"/>
    <n v="4158646.4"/>
    <n v="2504794.96"/>
    <n v="1653851.44"/>
  </r>
  <r>
    <x v="0"/>
    <s v="Saint Lucia"/>
    <s v="Beverages"/>
    <s v="Online"/>
    <s v="H"/>
    <s v="7/26/2012"/>
    <n v="289793860"/>
    <s v="7/29/2012"/>
    <n v="5298"/>
    <n v="47.45"/>
    <n v="31.79"/>
    <n v="251390.1"/>
    <n v="168423.42"/>
    <n v="82966.679999999993"/>
  </r>
  <r>
    <x v="5"/>
    <s v="Eritrea"/>
    <s v="Fruits"/>
    <s v="Offline"/>
    <s v="H"/>
    <s v="11/24/2016"/>
    <n v="723637521"/>
    <s v="12/20/2016"/>
    <n v="9278"/>
    <n v="9.33"/>
    <n v="6.92"/>
    <n v="86563.74"/>
    <n v="64203.76"/>
    <n v="22359.98"/>
  </r>
  <r>
    <x v="5"/>
    <s v="Comoros"/>
    <s v="Cereal"/>
    <s v="Offline"/>
    <s v="H"/>
    <d v="2011-10-12T00:00:00"/>
    <n v="208221232"/>
    <s v="12/28/2011"/>
    <n v="6145"/>
    <n v="205.7"/>
    <n v="117.11"/>
    <n v="1264026.5"/>
    <n v="719640.95"/>
    <n v="544385.55000000005"/>
  </r>
  <r>
    <x v="0"/>
    <s v="Panama"/>
    <s v="Vegetables"/>
    <s v="Online"/>
    <s v="C"/>
    <d v="2016-09-06T00:00:00"/>
    <n v="610781323"/>
    <s v="7/21/2016"/>
    <n v="2621"/>
    <n v="154.06"/>
    <n v="90.93"/>
    <n v="403791.26"/>
    <n v="238327.53"/>
    <n v="165463.73000000001"/>
  </r>
  <r>
    <x v="2"/>
    <s v="Brunei"/>
    <s v="Beverages"/>
    <s v="Offline"/>
    <s v="H"/>
    <s v="2/14/2016"/>
    <n v="268866622"/>
    <d v="2016-04-04T00:00:00"/>
    <n v="2463"/>
    <n v="47.45"/>
    <n v="31.79"/>
    <n v="116869.35"/>
    <n v="78298.77"/>
    <n v="38570.58"/>
  </r>
  <r>
    <x v="3"/>
    <s v="Lebanon"/>
    <s v="Office Supplies"/>
    <s v="Offline"/>
    <s v="H"/>
    <d v="2012-06-12T00:00:00"/>
    <n v="740338456"/>
    <d v="2012-12-12T00:00:00"/>
    <n v="1456"/>
    <n v="651.21"/>
    <n v="524.96"/>
    <n v="948161.76"/>
    <n v="764341.76000000001"/>
    <n v="183820"/>
  </r>
  <r>
    <x v="4"/>
    <s v="Solomon Islands"/>
    <s v="Household"/>
    <s v="Offline"/>
    <s v="C"/>
    <s v="8/30/2013"/>
    <n v="953370654"/>
    <s v="9/16/2013"/>
    <n v="2417"/>
    <n v="668.27"/>
    <n v="502.54"/>
    <n v="1615208.59"/>
    <n v="1214639.18"/>
    <n v="400569.41"/>
  </r>
  <r>
    <x v="4"/>
    <s v="Tuvalu"/>
    <s v="Cosmetics"/>
    <s v="Offline"/>
    <s v="H"/>
    <d v="2011-09-01T00:00:00"/>
    <n v="356449544"/>
    <s v="2/26/2011"/>
    <n v="196"/>
    <n v="437.2"/>
    <n v="263.33"/>
    <n v="85691.199999999997"/>
    <n v="51612.68"/>
    <n v="34078.519999999997"/>
  </r>
  <r>
    <x v="1"/>
    <s v="Austria"/>
    <s v="Office Supplies"/>
    <s v="Online"/>
    <s v="H"/>
    <s v="2/25/2010"/>
    <n v="268373954"/>
    <s v="2/28/2010"/>
    <n v="6672"/>
    <n v="651.21"/>
    <n v="524.96"/>
    <n v="4344873.12"/>
    <n v="3502533.12"/>
    <n v="842340"/>
  </r>
  <r>
    <x v="5"/>
    <s v="Malawi"/>
    <s v="Snacks"/>
    <s v="Offline"/>
    <s v="H"/>
    <d v="2017-01-04T00:00:00"/>
    <n v="728255212"/>
    <d v="2017-04-04T00:00:00"/>
    <n v="5755"/>
    <n v="152.58000000000001"/>
    <n v="97.44"/>
    <n v="878097.9"/>
    <n v="560767.19999999995"/>
    <n v="317330.7"/>
  </r>
  <r>
    <x v="5"/>
    <s v="Seychelles "/>
    <s v="Snacks"/>
    <s v="Offline"/>
    <s v="C"/>
    <s v="1/28/2013"/>
    <n v="945517146"/>
    <d v="2013-01-02T00:00:00"/>
    <n v="8390"/>
    <n v="152.58000000000001"/>
    <n v="97.44"/>
    <n v="1280146.2"/>
    <n v="817521.6"/>
    <n v="462624.6"/>
  </r>
  <r>
    <x v="5"/>
    <s v="Burundi"/>
    <s v="Household"/>
    <s v="Offline"/>
    <s v="H"/>
    <s v="4/28/2017"/>
    <n v="649896085"/>
    <s v="5/24/2017"/>
    <n v="7548"/>
    <n v="668.27"/>
    <n v="502.54"/>
    <n v="5044101.96"/>
    <n v="3793171.92"/>
    <n v="1250930.04"/>
  </r>
  <r>
    <x v="5"/>
    <s v="South Sudan"/>
    <s v="Personal Care"/>
    <s v="Online"/>
    <s v="M"/>
    <d v="2016-01-09T00:00:00"/>
    <n v="541440856"/>
    <s v="9/27/2016"/>
    <n v="3236"/>
    <n v="81.73"/>
    <n v="56.67"/>
    <n v="264478.28000000003"/>
    <n v="183384.12"/>
    <n v="81094.16"/>
  </r>
  <r>
    <x v="4"/>
    <s v="Marshall Islands"/>
    <s v="Personal Care"/>
    <s v="Offline"/>
    <s v="M"/>
    <s v="12/30/2013"/>
    <n v="940512788"/>
    <s v="1/25/2014"/>
    <n v="7489"/>
    <n v="81.73"/>
    <n v="56.67"/>
    <n v="612075.97"/>
    <n v="424401.63"/>
    <n v="187674.34"/>
  </r>
  <r>
    <x v="5"/>
    <s v="Ghana"/>
    <s v="Snacks"/>
    <s v="Offline"/>
    <s v="H"/>
    <s v="1/18/2017"/>
    <n v="437785708"/>
    <s v="2/25/2017"/>
    <n v="9375"/>
    <n v="152.58000000000001"/>
    <n v="97.44"/>
    <n v="1430437.5"/>
    <n v="913500"/>
    <n v="516937.5"/>
  </r>
  <r>
    <x v="2"/>
    <s v="Thailand"/>
    <s v="Fruits"/>
    <s v="Online"/>
    <s v="M"/>
    <s v="11/30/2011"/>
    <n v="844245946"/>
    <d v="2012-01-01T00:00:00"/>
    <n v="9991"/>
    <n v="9.33"/>
    <n v="6.92"/>
    <n v="93216.03"/>
    <n v="69137.72"/>
    <n v="24078.31"/>
  </r>
  <r>
    <x v="3"/>
    <s v="Kuwait"/>
    <s v="Household"/>
    <s v="Offline"/>
    <s v="C"/>
    <s v="3/29/2012"/>
    <n v="441192328"/>
    <s v="4/20/2012"/>
    <n v="7469"/>
    <n v="668.27"/>
    <n v="502.54"/>
    <n v="4991308.63"/>
    <n v="3753471.26"/>
    <n v="1237837.3700000001"/>
  </r>
  <r>
    <x v="2"/>
    <s v="Indonesia"/>
    <s v="Beverages"/>
    <s v="Online"/>
    <s v="L"/>
    <s v="1/13/2010"/>
    <n v="730236184"/>
    <s v="2/14/2010"/>
    <n v="1969"/>
    <n v="47.45"/>
    <n v="31.79"/>
    <n v="93429.05"/>
    <n v="62594.51"/>
    <n v="30834.54"/>
  </r>
  <r>
    <x v="2"/>
    <s v="Nepal"/>
    <s v="Snacks"/>
    <s v="Offline"/>
    <s v="L"/>
    <s v="4/19/2017"/>
    <n v="583301341"/>
    <s v="5/13/2017"/>
    <n v="684"/>
    <n v="152.58000000000001"/>
    <n v="97.44"/>
    <n v="104364.72"/>
    <n v="66648.960000000006"/>
    <n v="37715.760000000002"/>
  </r>
  <r>
    <x v="5"/>
    <s v="Democratic Republic of the Congo"/>
    <s v="Beverages"/>
    <s v="Online"/>
    <s v="L"/>
    <s v="10/18/2016"/>
    <n v="292624127"/>
    <s v="11/13/2016"/>
    <n v="2837"/>
    <n v="47.45"/>
    <n v="31.79"/>
    <n v="134615.65"/>
    <n v="90188.23"/>
    <n v="44427.42"/>
  </r>
  <r>
    <x v="0"/>
    <s v="Saint Kitts and Nevis "/>
    <s v="Beverages"/>
    <s v="Online"/>
    <s v="C"/>
    <s v="4/22/2011"/>
    <n v="220753371"/>
    <s v="4/23/2011"/>
    <n v="4683"/>
    <n v="47.45"/>
    <n v="31.79"/>
    <n v="222208.35"/>
    <n v="148872.57"/>
    <n v="73335.78"/>
  </r>
  <r>
    <x v="1"/>
    <s v="Serbia"/>
    <s v="Cosmetics"/>
    <s v="Online"/>
    <s v="H"/>
    <s v="3/25/2012"/>
    <n v="350550401"/>
    <s v="4/22/2012"/>
    <n v="4508"/>
    <n v="437.2"/>
    <n v="263.33"/>
    <n v="1970897.6"/>
    <n v="1187091.6399999999"/>
    <n v="783805.96"/>
  </r>
  <r>
    <x v="3"/>
    <s v="Turkey"/>
    <s v="Cereal"/>
    <s v="Offline"/>
    <s v="L"/>
    <d v="2013-09-02T00:00:00"/>
    <n v="735189044"/>
    <d v="2013-03-03T00:00:00"/>
    <n v="7631"/>
    <n v="205.7"/>
    <n v="117.11"/>
    <n v="1569696.7"/>
    <n v="893666.41"/>
    <n v="676030.29"/>
  </r>
  <r>
    <x v="5"/>
    <s v="South Africa"/>
    <s v="Cereal"/>
    <s v="Offline"/>
    <s v="M"/>
    <s v="2/15/2016"/>
    <n v="148155629"/>
    <s v="2/29/2016"/>
    <n v="1398"/>
    <n v="205.7"/>
    <n v="117.11"/>
    <n v="287568.59999999998"/>
    <n v="163719.78"/>
    <n v="123848.82"/>
  </r>
  <r>
    <x v="0"/>
    <s v="Jamaica"/>
    <s v="Meat"/>
    <s v="Offline"/>
    <s v="C"/>
    <s v="2/25/2013"/>
    <n v="133248984"/>
    <s v="3/17/2013"/>
    <n v="190"/>
    <n v="421.89"/>
    <n v="364.69"/>
    <n v="80159.100000000006"/>
    <n v="69291.100000000006"/>
    <n v="10868"/>
  </r>
  <r>
    <x v="5"/>
    <s v="Cape Verde"/>
    <s v="Vegetables"/>
    <s v="Offline"/>
    <s v="L"/>
    <s v="4/18/2012"/>
    <n v="954580438"/>
    <d v="2012-11-05T00:00:00"/>
    <n v="419"/>
    <n v="154.06"/>
    <n v="90.93"/>
    <n v="64551.14"/>
    <n v="38099.67"/>
    <n v="26451.47"/>
  </r>
  <r>
    <x v="0"/>
    <s v="Trinidad and Tobago"/>
    <s v="Snacks"/>
    <s v="Offline"/>
    <s v="L"/>
    <d v="2011-08-05T00:00:00"/>
    <n v="246573817"/>
    <s v="6/17/2011"/>
    <n v="5527"/>
    <n v="152.58000000000001"/>
    <n v="97.44"/>
    <n v="843309.66"/>
    <n v="538550.88"/>
    <n v="304758.78000000003"/>
  </r>
  <r>
    <x v="4"/>
    <s v="Tuvalu"/>
    <s v="Beverages"/>
    <s v="Offline"/>
    <s v="L"/>
    <d v="2016-01-10T00:00:00"/>
    <n v="663965451"/>
    <d v="2016-05-10T00:00:00"/>
    <n v="987"/>
    <n v="47.45"/>
    <n v="31.79"/>
    <n v="46833.15"/>
    <n v="31376.73"/>
    <n v="15456.42"/>
  </r>
  <r>
    <x v="6"/>
    <s v="Mexico"/>
    <s v="Household"/>
    <s v="Offline"/>
    <s v="H"/>
    <s v="1/27/2017"/>
    <n v="431804168"/>
    <d v="2017-06-03T00:00:00"/>
    <n v="9304"/>
    <n v="668.27"/>
    <n v="502.54"/>
    <n v="6217584.0800000001"/>
    <n v="4675632.16"/>
    <n v="1541951.92"/>
  </r>
  <r>
    <x v="2"/>
    <s v="Laos"/>
    <s v="Snacks"/>
    <s v="Online"/>
    <s v="M"/>
    <d v="2017-04-02T00:00:00"/>
    <n v="995451295"/>
    <s v="2/28/2017"/>
    <n v="5014"/>
    <n v="152.58000000000001"/>
    <n v="97.44"/>
    <n v="765036.12"/>
    <n v="488564.16"/>
    <n v="276471.96000000002"/>
  </r>
  <r>
    <x v="5"/>
    <s v="Chad"/>
    <s v="Fruits"/>
    <s v="Offline"/>
    <s v="H"/>
    <s v="4/23/2011"/>
    <n v="270580661"/>
    <s v="5/28/2011"/>
    <n v="9685"/>
    <n v="9.33"/>
    <n v="6.92"/>
    <n v="90361.05"/>
    <n v="67020.2"/>
    <n v="23340.85"/>
  </r>
  <r>
    <x v="1"/>
    <s v="San Marino"/>
    <s v="Personal Care"/>
    <s v="Online"/>
    <s v="C"/>
    <s v="5/27/2010"/>
    <n v="293178594"/>
    <d v="2010-01-06T00:00:00"/>
    <n v="6916"/>
    <n v="81.73"/>
    <n v="56.67"/>
    <n v="565244.68000000005"/>
    <n v="391929.72"/>
    <n v="173314.96"/>
  </r>
  <r>
    <x v="5"/>
    <s v="Mauritania"/>
    <s v="Household"/>
    <s v="Offline"/>
    <s v="C"/>
    <s v="10/14/2014"/>
    <n v="469543921"/>
    <s v="10/25/2014"/>
    <n v="7336"/>
    <n v="668.27"/>
    <n v="502.54"/>
    <n v="4902428.72"/>
    <n v="3686633.44"/>
    <n v="1215795.28"/>
  </r>
  <r>
    <x v="2"/>
    <s v="Cambodia"/>
    <s v="Clothes"/>
    <s v="Online"/>
    <s v="M"/>
    <d v="2010-11-10T00:00:00"/>
    <n v="726287972"/>
    <s v="11/19/2010"/>
    <n v="3606"/>
    <n v="109.28"/>
    <n v="35.840000000000003"/>
    <n v="394063.68"/>
    <n v="129239.03999999999"/>
    <n v="264824.64"/>
  </r>
  <r>
    <x v="5"/>
    <s v="Malawi"/>
    <s v="Personal Care"/>
    <s v="Offline"/>
    <s v="C"/>
    <d v="2012-09-04T00:00:00"/>
    <n v="160334575"/>
    <s v="4/23/2012"/>
    <n v="5418"/>
    <n v="81.73"/>
    <n v="56.67"/>
    <n v="442813.14"/>
    <n v="307038.06"/>
    <n v="135775.07999999999"/>
  </r>
  <r>
    <x v="5"/>
    <s v="Eritrea"/>
    <s v="Vegetables"/>
    <s v="Online"/>
    <s v="C"/>
    <d v="2011-05-07T00:00:00"/>
    <n v="188920056"/>
    <s v="7/30/2011"/>
    <n v="4498"/>
    <n v="154.06"/>
    <n v="90.93"/>
    <n v="692961.88"/>
    <n v="409003.14"/>
    <n v="283958.74"/>
  </r>
  <r>
    <x v="5"/>
    <s v="Nigeria"/>
    <s v="Personal Care"/>
    <s v="Online"/>
    <s v="H"/>
    <s v="2/23/2013"/>
    <n v="499593245"/>
    <s v="4/13/2013"/>
    <n v="9598"/>
    <n v="81.73"/>
    <n v="56.67"/>
    <n v="784444.54"/>
    <n v="543918.66"/>
    <n v="240525.88"/>
  </r>
  <r>
    <x v="4"/>
    <s v="Nauru"/>
    <s v="Office Supplies"/>
    <s v="Offline"/>
    <s v="C"/>
    <d v="2015-06-05T00:00:00"/>
    <n v="400215470"/>
    <d v="2015-01-06T00:00:00"/>
    <n v="1506"/>
    <n v="651.21"/>
    <n v="524.96"/>
    <n v="980722.26"/>
    <n v="790589.76"/>
    <n v="190132.5"/>
  </r>
  <r>
    <x v="1"/>
    <s v="Georgia"/>
    <s v="Baby Food"/>
    <s v="Online"/>
    <s v="H"/>
    <s v="7/14/2013"/>
    <n v="168960559"/>
    <s v="8/19/2013"/>
    <n v="8039"/>
    <n v="255.28"/>
    <n v="159.41999999999999"/>
    <n v="2052195.92"/>
    <n v="1281577.3799999999"/>
    <n v="770618.54"/>
  </r>
  <r>
    <x v="3"/>
    <s v="Kuwait"/>
    <s v="Office Supplies"/>
    <s v="Offline"/>
    <s v="M"/>
    <s v="10/15/2011"/>
    <n v="604314839"/>
    <d v="2011-04-11T00:00:00"/>
    <n v="9045"/>
    <n v="651.21"/>
    <n v="524.96"/>
    <n v="5890194.4500000002"/>
    <n v="4748263.2"/>
    <n v="1141931.25"/>
  </r>
  <r>
    <x v="2"/>
    <s v="China"/>
    <s v="Snacks"/>
    <s v="Offline"/>
    <s v="L"/>
    <s v="6/15/2011"/>
    <n v="775077140"/>
    <s v="6/22/2011"/>
    <n v="1404"/>
    <n v="152.58000000000001"/>
    <n v="97.44"/>
    <n v="214222.32"/>
    <n v="136805.76000000001"/>
    <n v="77416.56"/>
  </r>
  <r>
    <x v="1"/>
    <s v="Albania"/>
    <s v="Beverages"/>
    <s v="Offline"/>
    <s v="M"/>
    <d v="2014-11-12T00:00:00"/>
    <n v="270358788"/>
    <s v="1/24/2015"/>
    <n v="4028"/>
    <n v="47.45"/>
    <n v="31.79"/>
    <n v="191128.6"/>
    <n v="128050.12"/>
    <n v="63078.48"/>
  </r>
  <r>
    <x v="5"/>
    <s v="Guinea"/>
    <s v="Clothes"/>
    <s v="Online"/>
    <s v="C"/>
    <s v="5/21/2014"/>
    <n v="549583613"/>
    <s v="5/29/2014"/>
    <n v="2859"/>
    <n v="109.28"/>
    <n v="35.840000000000003"/>
    <n v="312431.52"/>
    <n v="102466.56"/>
    <n v="209964.96"/>
  </r>
  <r>
    <x v="3"/>
    <s v="Saudi Arabia"/>
    <s v="Baby Food"/>
    <s v="Offline"/>
    <s v="H"/>
    <s v="7/13/2010"/>
    <n v="892487943"/>
    <s v="8/31/2010"/>
    <n v="5870"/>
    <n v="255.28"/>
    <n v="159.41999999999999"/>
    <n v="1498493.6"/>
    <n v="935795.4"/>
    <n v="562698.19999999995"/>
  </r>
  <r>
    <x v="5"/>
    <s v="Guinea-Bissau"/>
    <s v="Office Supplies"/>
    <s v="Online"/>
    <s v="L"/>
    <s v="7/24/2016"/>
    <n v="649120604"/>
    <d v="2016-08-09T00:00:00"/>
    <n v="8067"/>
    <n v="651.21"/>
    <n v="524.96"/>
    <n v="5253311.07"/>
    <n v="4234852.32"/>
    <n v="1018458.75"/>
  </r>
  <r>
    <x v="1"/>
    <s v="Italy"/>
    <s v="Personal Care"/>
    <s v="Offline"/>
    <s v="M"/>
    <d v="2016-09-06T00:00:00"/>
    <n v="589842927"/>
    <s v="7/28/2016"/>
    <n v="6485"/>
    <n v="81.73"/>
    <n v="56.67"/>
    <n v="530019.05000000005"/>
    <n v="367504.95"/>
    <n v="162514.1"/>
  </r>
  <r>
    <x v="1"/>
    <s v="Poland"/>
    <s v="Cereal"/>
    <s v="Offline"/>
    <s v="C"/>
    <d v="2014-10-02T00:00:00"/>
    <n v="655328738"/>
    <s v="3/22/2014"/>
    <n v="5191"/>
    <n v="205.7"/>
    <n v="117.11"/>
    <n v="1067788.7"/>
    <n v="607918.01"/>
    <n v="459870.69"/>
  </r>
  <r>
    <x v="1"/>
    <s v="Albania"/>
    <s v="Vegetables"/>
    <s v="Online"/>
    <s v="M"/>
    <d v="2014-07-08T00:00:00"/>
    <n v="406564366"/>
    <s v="8/25/2014"/>
    <n v="286"/>
    <n v="154.06"/>
    <n v="90.93"/>
    <n v="44061.16"/>
    <n v="26005.98"/>
    <n v="18055.18"/>
  </r>
  <r>
    <x v="1"/>
    <s v="Spain"/>
    <s v="Clothes"/>
    <s v="Online"/>
    <s v="H"/>
    <s v="8/16/2012"/>
    <n v="374848639"/>
    <d v="2012-06-09T00:00:00"/>
    <n v="4897"/>
    <n v="109.28"/>
    <n v="35.840000000000003"/>
    <n v="535144.16"/>
    <n v="175508.48000000001"/>
    <n v="359635.68"/>
  </r>
  <r>
    <x v="5"/>
    <s v="Central African Republic"/>
    <s v="Personal Care"/>
    <s v="Online"/>
    <s v="L"/>
    <s v="7/19/2011"/>
    <n v="711792886"/>
    <d v="2011-06-09T00:00:00"/>
    <n v="4187"/>
    <n v="81.73"/>
    <n v="56.67"/>
    <n v="342203.51"/>
    <n v="237277.29"/>
    <n v="104926.22"/>
  </r>
  <r>
    <x v="5"/>
    <s v="Mauritius "/>
    <s v="Fruits"/>
    <s v="Online"/>
    <s v="L"/>
    <d v="2012-04-01T00:00:00"/>
    <n v="739320933"/>
    <d v="2012-10-02T00:00:00"/>
    <n v="348"/>
    <n v="9.33"/>
    <n v="6.92"/>
    <n v="3246.84"/>
    <n v="2408.16"/>
    <n v="838.68"/>
  </r>
  <r>
    <x v="5"/>
    <s v="Comoros"/>
    <s v="Personal Care"/>
    <s v="Online"/>
    <s v="L"/>
    <s v="9/18/2015"/>
    <n v="299669110"/>
    <s v="10/26/2015"/>
    <n v="7604"/>
    <n v="81.73"/>
    <n v="56.67"/>
    <n v="621474.92000000004"/>
    <n v="430918.68"/>
    <n v="190556.24"/>
  </r>
  <r>
    <x v="0"/>
    <s v="Grenada"/>
    <s v="Baby Food"/>
    <s v="Offline"/>
    <s v="H"/>
    <s v="1/26/2014"/>
    <n v="205386245"/>
    <d v="2014-09-03T00:00:00"/>
    <n v="7209"/>
    <n v="255.28"/>
    <n v="159.41999999999999"/>
    <n v="1840313.52"/>
    <n v="1149258.78"/>
    <n v="691054.74"/>
  </r>
  <r>
    <x v="0"/>
    <s v="Haiti"/>
    <s v="Cosmetics"/>
    <s v="Offline"/>
    <s v="M"/>
    <s v="9/14/2014"/>
    <n v="889333665"/>
    <s v="9/15/2014"/>
    <n v="2449"/>
    <n v="437.2"/>
    <n v="263.33"/>
    <n v="1070702.8"/>
    <n v="644895.17000000004"/>
    <n v="425807.63"/>
  </r>
  <r>
    <x v="3"/>
    <s v="Yemen"/>
    <s v="Vegetables"/>
    <s v="Offline"/>
    <s v="L"/>
    <d v="2014-08-12T00:00:00"/>
    <n v="154685199"/>
    <s v="12/15/2014"/>
    <n v="3643"/>
    <n v="154.06"/>
    <n v="90.93"/>
    <n v="561240.57999999996"/>
    <n v="331257.99"/>
    <n v="229982.59"/>
  </r>
  <r>
    <x v="4"/>
    <s v="New Zealand"/>
    <s v="Cereal"/>
    <s v="Offline"/>
    <s v="C"/>
    <s v="2/27/2013"/>
    <n v="824927175"/>
    <s v="3/13/2013"/>
    <n v="3138"/>
    <n v="205.7"/>
    <n v="117.11"/>
    <n v="645486.6"/>
    <n v="367491.18"/>
    <n v="277995.42"/>
  </r>
  <r>
    <x v="1"/>
    <s v="Slovakia"/>
    <s v="Fruits"/>
    <s v="Offline"/>
    <s v="L"/>
    <s v="8/14/2012"/>
    <n v="393858420"/>
    <s v="8/29/2012"/>
    <n v="314"/>
    <n v="9.33"/>
    <n v="6.92"/>
    <n v="2929.62"/>
    <n v="2172.88"/>
    <n v="756.74"/>
  </r>
  <r>
    <x v="6"/>
    <s v="Mexico"/>
    <s v="Personal Care"/>
    <s v="Online"/>
    <s v="M"/>
    <s v="1/19/2010"/>
    <n v="475590264"/>
    <d v="2010-04-02T00:00:00"/>
    <n v="6583"/>
    <n v="81.73"/>
    <n v="56.67"/>
    <n v="538028.59"/>
    <n v="373058.61"/>
    <n v="164969.98000000001"/>
  </r>
  <r>
    <x v="3"/>
    <s v="Lebanon"/>
    <s v="Household"/>
    <s v="Online"/>
    <s v="M"/>
    <d v="2014-11-08T00:00:00"/>
    <n v="954546535"/>
    <s v="8/21/2014"/>
    <n v="387"/>
    <n v="668.27"/>
    <n v="502.54"/>
    <n v="258620.49"/>
    <n v="194482.98"/>
    <n v="64137.51"/>
  </r>
  <r>
    <x v="1"/>
    <s v="Malta"/>
    <s v="Beverages"/>
    <s v="Online"/>
    <s v="C"/>
    <s v="10/21/2013"/>
    <n v="435463559"/>
    <s v="10/27/2013"/>
    <n v="2199"/>
    <n v="47.45"/>
    <n v="31.79"/>
    <n v="104342.55"/>
    <n v="69906.210000000006"/>
    <n v="34436.339999999997"/>
  </r>
  <r>
    <x v="0"/>
    <s v="Belize"/>
    <s v="Beverages"/>
    <s v="Offline"/>
    <s v="C"/>
    <s v="2/19/2015"/>
    <n v="293390166"/>
    <d v="2015-10-04T00:00:00"/>
    <n v="9525"/>
    <n v="47.45"/>
    <n v="31.79"/>
    <n v="451961.25"/>
    <n v="302799.75"/>
    <n v="149161.5"/>
  </r>
  <r>
    <x v="5"/>
    <s v="Tanzania"/>
    <s v="Beverages"/>
    <s v="Offline"/>
    <s v="H"/>
    <d v="2012-10-01T00:00:00"/>
    <n v="623687684"/>
    <s v="2/29/2012"/>
    <n v="1900"/>
    <n v="47.45"/>
    <n v="31.79"/>
    <n v="90155"/>
    <n v="60401"/>
    <n v="29754"/>
  </r>
  <r>
    <x v="2"/>
    <s v="India"/>
    <s v="Office Supplies"/>
    <s v="Offline"/>
    <s v="L"/>
    <s v="4/28/2010"/>
    <n v="692029941"/>
    <s v="4/30/2010"/>
    <n v="5893"/>
    <n v="651.21"/>
    <n v="524.96"/>
    <n v="3837580.53"/>
    <n v="3093589.28"/>
    <n v="743991.25"/>
  </r>
  <r>
    <x v="1"/>
    <s v="Sweden"/>
    <s v="Vegetables"/>
    <s v="Offline"/>
    <s v="C"/>
    <d v="2016-07-12T00:00:00"/>
    <n v="284403264"/>
    <s v="12/27/2016"/>
    <n v="101"/>
    <n v="154.06"/>
    <n v="90.93"/>
    <n v="15560.06"/>
    <n v="9183.93"/>
    <n v="6376.13"/>
  </r>
  <r>
    <x v="3"/>
    <s v="Tunisia "/>
    <s v="Cereal"/>
    <s v="Offline"/>
    <s v="L"/>
    <d v="2013-02-05T00:00:00"/>
    <n v="157106482"/>
    <d v="2013-03-05T00:00:00"/>
    <n v="154"/>
    <n v="205.7"/>
    <n v="117.11"/>
    <n v="31677.8"/>
    <n v="18034.939999999999"/>
    <n v="13642.86"/>
  </r>
  <r>
    <x v="2"/>
    <s v="Laos"/>
    <s v="Personal Care"/>
    <s v="Offline"/>
    <s v="H"/>
    <d v="2012-07-05T00:00:00"/>
    <n v="686750924"/>
    <s v="5/16/2012"/>
    <n v="3714"/>
    <n v="81.73"/>
    <n v="56.67"/>
    <n v="303545.21999999997"/>
    <n v="210472.38"/>
    <n v="93072.84"/>
  </r>
  <r>
    <x v="3"/>
    <s v="Azerbaijan"/>
    <s v="Snacks"/>
    <s v="Offline"/>
    <s v="L"/>
    <d v="2016-04-07T00:00:00"/>
    <n v="520260417"/>
    <s v="8/16/2016"/>
    <n v="5474"/>
    <n v="152.58000000000001"/>
    <n v="97.44"/>
    <n v="835222.92"/>
    <n v="533386.56000000006"/>
    <n v="301836.36"/>
  </r>
  <r>
    <x v="0"/>
    <s v="Honduras"/>
    <s v="Household"/>
    <s v="Online"/>
    <s v="H"/>
    <d v="2014-08-04T00:00:00"/>
    <n v="624871289"/>
    <s v="4/23/2014"/>
    <n v="2155"/>
    <n v="668.27"/>
    <n v="502.54"/>
    <n v="1440121.85"/>
    <n v="1082973.7"/>
    <n v="357148.15"/>
  </r>
  <r>
    <x v="4"/>
    <s v="Fiji"/>
    <s v="Cereal"/>
    <s v="Online"/>
    <s v="C"/>
    <s v="1/29/2014"/>
    <n v="238132369"/>
    <d v="2014-01-03T00:00:00"/>
    <n v="7515"/>
    <n v="205.7"/>
    <n v="117.11"/>
    <n v="1545835.5"/>
    <n v="880081.65"/>
    <n v="665753.85"/>
  </r>
  <r>
    <x v="1"/>
    <s v="Romania"/>
    <s v="Personal Care"/>
    <s v="Online"/>
    <s v="L"/>
    <s v="4/21/2010"/>
    <n v="917904984"/>
    <s v="4/24/2010"/>
    <n v="7338"/>
    <n v="81.73"/>
    <n v="56.67"/>
    <n v="599734.74"/>
    <n v="415844.46"/>
    <n v="183890.28"/>
  </r>
  <r>
    <x v="4"/>
    <s v="Vanuatu"/>
    <s v="Cereal"/>
    <s v="Offline"/>
    <s v="H"/>
    <s v="4/24/2017"/>
    <n v="692362964"/>
    <s v="5/31/2017"/>
    <n v="4442"/>
    <n v="205.7"/>
    <n v="117.11"/>
    <n v="913719.4"/>
    <n v="520202.62"/>
    <n v="393516.78"/>
  </r>
  <r>
    <x v="3"/>
    <s v="Bahrain"/>
    <s v="Baby Food"/>
    <s v="Online"/>
    <s v="H"/>
    <d v="2012-01-09T00:00:00"/>
    <n v="809992635"/>
    <s v="10/20/2012"/>
    <n v="3675"/>
    <n v="255.28"/>
    <n v="159.41999999999999"/>
    <n v="938154"/>
    <n v="585868.5"/>
    <n v="352285.5"/>
  </r>
  <r>
    <x v="2"/>
    <s v="China"/>
    <s v="Baby Food"/>
    <s v="Offline"/>
    <s v="C"/>
    <s v="8/28/2016"/>
    <n v="789592826"/>
    <d v="2016-11-10T00:00:00"/>
    <n v="6919"/>
    <n v="255.28"/>
    <n v="159.41999999999999"/>
    <n v="1766282.32"/>
    <n v="1103026.98"/>
    <n v="663255.34"/>
  </r>
  <r>
    <x v="1"/>
    <s v="Switzerland"/>
    <s v="Vegetables"/>
    <s v="Online"/>
    <s v="C"/>
    <d v="2012-04-10T00:00:00"/>
    <n v="670274865"/>
    <s v="11/13/2012"/>
    <n v="8082"/>
    <n v="154.06"/>
    <n v="90.93"/>
    <n v="1245112.92"/>
    <n v="734896.26"/>
    <n v="510216.66"/>
  </r>
  <r>
    <x v="4"/>
    <s v="Federated States of Micronesia"/>
    <s v="Meat"/>
    <s v="Offline"/>
    <s v="M"/>
    <d v="2012-10-01T00:00:00"/>
    <n v="561462581"/>
    <s v="2/24/2012"/>
    <n v="8109"/>
    <n v="421.89"/>
    <n v="364.69"/>
    <n v="3421106.01"/>
    <n v="2957271.21"/>
    <n v="463834.8"/>
  </r>
  <r>
    <x v="0"/>
    <s v="Antigua and Barbuda "/>
    <s v="Personal Care"/>
    <s v="Offline"/>
    <s v="M"/>
    <d v="2011-06-06T00:00:00"/>
    <n v="192892301"/>
    <d v="2011-04-07T00:00:00"/>
    <n v="9973"/>
    <n v="81.73"/>
    <n v="56.67"/>
    <n v="815093.29"/>
    <n v="565169.91"/>
    <n v="249923.38"/>
  </r>
  <r>
    <x v="4"/>
    <s v="Fiji"/>
    <s v="Cereal"/>
    <s v="Offline"/>
    <s v="L"/>
    <s v="10/15/2012"/>
    <n v="264612853"/>
    <d v="2012-03-12T00:00:00"/>
    <n v="3678"/>
    <n v="205.7"/>
    <n v="117.11"/>
    <n v="756564.6"/>
    <n v="430730.58"/>
    <n v="325834.02"/>
  </r>
  <r>
    <x v="0"/>
    <s v="Dominican Republic"/>
    <s v="Beverages"/>
    <s v="Offline"/>
    <s v="L"/>
    <d v="2011-06-06T00:00:00"/>
    <n v="196985566"/>
    <d v="2011-03-07T00:00:00"/>
    <n v="1261"/>
    <n v="47.45"/>
    <n v="31.79"/>
    <n v="59834.45"/>
    <n v="40087.19"/>
    <n v="19747.259999999998"/>
  </r>
  <r>
    <x v="1"/>
    <s v="Luxembourg"/>
    <s v="Cosmetics"/>
    <s v="Offline"/>
    <s v="M"/>
    <s v="1/30/2015"/>
    <n v="380684268"/>
    <s v="2/23/2015"/>
    <n v="1789"/>
    <n v="437.2"/>
    <n v="263.33"/>
    <n v="782150.8"/>
    <n v="471097.37"/>
    <n v="311053.43"/>
  </r>
  <r>
    <x v="3"/>
    <s v="Israel"/>
    <s v="Clothes"/>
    <s v="Offline"/>
    <s v="L"/>
    <s v="5/28/2017"/>
    <n v="826695287"/>
    <d v="2017-09-06T00:00:00"/>
    <n v="6361"/>
    <n v="109.28"/>
    <n v="35.840000000000003"/>
    <n v="695130.08"/>
    <n v="227978.23999999999"/>
    <n v="467151.84"/>
  </r>
  <r>
    <x v="2"/>
    <s v="Laos"/>
    <s v="Household"/>
    <s v="Offline"/>
    <s v="H"/>
    <s v="11/29/2016"/>
    <n v="716317451"/>
    <d v="2016-01-12T00:00:00"/>
    <n v="3107"/>
    <n v="668.27"/>
    <n v="502.54"/>
    <n v="2076314.89"/>
    <n v="1561391.78"/>
    <n v="514923.11"/>
  </r>
  <r>
    <x v="2"/>
    <s v="Thailand"/>
    <s v="Personal Care"/>
    <s v="Online"/>
    <s v="C"/>
    <d v="2013-05-03T00:00:00"/>
    <n v="651162087"/>
    <s v="3/26/2013"/>
    <n v="2187"/>
    <n v="81.73"/>
    <n v="56.67"/>
    <n v="178743.51"/>
    <n v="123937.29"/>
    <n v="54806.22"/>
  </r>
  <r>
    <x v="5"/>
    <s v="Mauritania"/>
    <s v="Vegetables"/>
    <s v="Online"/>
    <s v="H"/>
    <s v="8/16/2010"/>
    <n v="403153026"/>
    <s v="9/16/2010"/>
    <n v="794"/>
    <n v="154.06"/>
    <n v="90.93"/>
    <n v="122323.64"/>
    <n v="72198.42"/>
    <n v="50125.22"/>
  </r>
  <r>
    <x v="1"/>
    <s v="Romania"/>
    <s v="Personal Care"/>
    <s v="Offline"/>
    <s v="H"/>
    <s v="9/30/2014"/>
    <n v="264526593"/>
    <d v="2014-07-10T00:00:00"/>
    <n v="8152"/>
    <n v="81.73"/>
    <n v="56.67"/>
    <n v="666262.96"/>
    <n v="461973.84"/>
    <n v="204289.12"/>
  </r>
  <r>
    <x v="5"/>
    <s v="Namibia"/>
    <s v="Snacks"/>
    <s v="Offline"/>
    <s v="M"/>
    <d v="2013-02-03T00:00:00"/>
    <n v="597831618"/>
    <s v="3/17/2013"/>
    <n v="516"/>
    <n v="152.58000000000001"/>
    <n v="97.44"/>
    <n v="78731.28"/>
    <n v="50279.040000000001"/>
    <n v="28452.240000000002"/>
  </r>
  <r>
    <x v="1"/>
    <s v="Ukraine"/>
    <s v="Personal Care"/>
    <s v="Offline"/>
    <s v="C"/>
    <s v="4/17/2017"/>
    <n v="485929429"/>
    <s v="5/19/2017"/>
    <n v="6171"/>
    <n v="81.73"/>
    <n v="56.67"/>
    <n v="504355.83"/>
    <n v="349710.57"/>
    <n v="154645.26"/>
  </r>
  <r>
    <x v="6"/>
    <s v="Mexico"/>
    <s v="Vegetables"/>
    <s v="Online"/>
    <s v="L"/>
    <d v="2013-03-02T00:00:00"/>
    <n v="881993854"/>
    <s v="2/28/2013"/>
    <n v="436"/>
    <n v="154.06"/>
    <n v="90.93"/>
    <n v="67170.16"/>
    <n v="39645.480000000003"/>
    <n v="27524.68"/>
  </r>
  <r>
    <x v="5"/>
    <s v="Mauritania"/>
    <s v="Fruits"/>
    <s v="Online"/>
    <s v="L"/>
    <s v="4/25/2010"/>
    <n v="559511220"/>
    <s v="5/17/2010"/>
    <n v="658"/>
    <n v="9.33"/>
    <n v="6.92"/>
    <n v="6139.14"/>
    <n v="4553.3599999999997"/>
    <n v="1585.78"/>
  </r>
  <r>
    <x v="0"/>
    <s v="Jamaica"/>
    <s v="Snacks"/>
    <s v="Offline"/>
    <s v="M"/>
    <s v="12/29/2015"/>
    <n v="162280356"/>
    <d v="2016-10-02T00:00:00"/>
    <n v="1219"/>
    <n v="152.58000000000001"/>
    <n v="97.44"/>
    <n v="185995.02"/>
    <n v="118779.36"/>
    <n v="67215.66"/>
  </r>
  <r>
    <x v="3"/>
    <s v="Bahrain"/>
    <s v="Cereal"/>
    <s v="Online"/>
    <s v="L"/>
    <d v="2015-01-07T00:00:00"/>
    <n v="854412591"/>
    <s v="7/17/2015"/>
    <n v="8527"/>
    <n v="205.7"/>
    <n v="117.11"/>
    <n v="1754003.9"/>
    <n v="998596.97"/>
    <n v="755406.93"/>
  </r>
  <r>
    <x v="2"/>
    <s v="Bhutan"/>
    <s v="Fruits"/>
    <s v="Offline"/>
    <s v="C"/>
    <s v="3/15/2014"/>
    <n v="270331752"/>
    <s v="3/27/2014"/>
    <n v="6028"/>
    <n v="9.33"/>
    <n v="6.92"/>
    <n v="56241.24"/>
    <n v="41713.760000000002"/>
    <n v="14527.48"/>
  </r>
  <r>
    <x v="0"/>
    <s v="Honduras"/>
    <s v="Cosmetics"/>
    <s v="Online"/>
    <s v="M"/>
    <s v="12/22/2010"/>
    <n v="164774167"/>
    <d v="2011-05-01T00:00:00"/>
    <n v="9193"/>
    <n v="437.2"/>
    <n v="263.33"/>
    <n v="4019179.6"/>
    <n v="2420792.69"/>
    <n v="1598386.91"/>
  </r>
  <r>
    <x v="5"/>
    <s v="Seychelles "/>
    <s v="Baby Food"/>
    <s v="Online"/>
    <s v="M"/>
    <d v="2017-06-02T00:00:00"/>
    <n v="562788665"/>
    <s v="3/21/2017"/>
    <n v="527"/>
    <n v="255.28"/>
    <n v="159.41999999999999"/>
    <n v="134532.56"/>
    <n v="84014.34"/>
    <n v="50518.22"/>
  </r>
  <r>
    <x v="1"/>
    <s v="Serbia"/>
    <s v="Office Supplies"/>
    <s v="Offline"/>
    <s v="C"/>
    <s v="8/24/2014"/>
    <n v="209736573"/>
    <s v="9/24/2014"/>
    <n v="4568"/>
    <n v="651.21"/>
    <n v="524.96"/>
    <n v="2974727.28"/>
    <n v="2398017.2799999998"/>
    <n v="576710"/>
  </r>
  <r>
    <x v="0"/>
    <s v="Honduras"/>
    <s v="Vegetables"/>
    <s v="Offline"/>
    <s v="H"/>
    <s v="3/29/2013"/>
    <n v="621291720"/>
    <s v="3/31/2013"/>
    <n v="2881"/>
    <n v="154.06"/>
    <n v="90.93"/>
    <n v="443846.86"/>
    <n v="261969.33"/>
    <n v="181877.53"/>
  </r>
  <r>
    <x v="1"/>
    <s v="Belgium"/>
    <s v="Office Supplies"/>
    <s v="Offline"/>
    <s v="M"/>
    <d v="2016-05-01T00:00:00"/>
    <n v="233440434"/>
    <s v="2/17/2016"/>
    <n v="9067"/>
    <n v="651.21"/>
    <n v="524.96"/>
    <n v="5904521.0700000003"/>
    <n v="4759812.32"/>
    <n v="1144708.75"/>
  </r>
  <r>
    <x v="4"/>
    <s v="Federated States of Micronesia"/>
    <s v="Office Supplies"/>
    <s v="Online"/>
    <s v="H"/>
    <s v="10/15/2015"/>
    <n v="252481544"/>
    <d v="2015-08-11T00:00:00"/>
    <n v="3754"/>
    <n v="651.21"/>
    <n v="524.96"/>
    <n v="2444642.34"/>
    <n v="1970699.84"/>
    <n v="473942.5"/>
  </r>
  <r>
    <x v="5"/>
    <s v="South Sudan"/>
    <s v="Household"/>
    <s v="Offline"/>
    <s v="H"/>
    <s v="1/13/2014"/>
    <n v="605026376"/>
    <s v="2/18/2014"/>
    <n v="9604"/>
    <n v="668.27"/>
    <n v="502.54"/>
    <n v="6418065.0800000001"/>
    <n v="4826394.16"/>
    <n v="1591670.92"/>
  </r>
  <r>
    <x v="5"/>
    <s v="Kenya"/>
    <s v="Snacks"/>
    <s v="Online"/>
    <s v="H"/>
    <s v="1/28/2017"/>
    <n v="387998759"/>
    <s v="1/30/2017"/>
    <n v="6310"/>
    <n v="152.58000000000001"/>
    <n v="97.44"/>
    <n v="962779.8"/>
    <n v="614846.4"/>
    <n v="347933.4"/>
  </r>
  <r>
    <x v="3"/>
    <s v="United Arab Emirates"/>
    <s v="Fruits"/>
    <s v="Online"/>
    <s v="L"/>
    <s v="2/23/2017"/>
    <n v="118635022"/>
    <d v="2017-08-03T00:00:00"/>
    <n v="5594"/>
    <n v="9.33"/>
    <n v="6.92"/>
    <n v="52192.02"/>
    <n v="38710.480000000003"/>
    <n v="13481.54"/>
  </r>
  <r>
    <x v="1"/>
    <s v="Austria"/>
    <s v="Vegetables"/>
    <s v="Offline"/>
    <s v="L"/>
    <d v="2011-05-05T00:00:00"/>
    <n v="384483993"/>
    <s v="6/19/2011"/>
    <n v="6212"/>
    <n v="154.06"/>
    <n v="90.93"/>
    <n v="957020.72"/>
    <n v="564857.16"/>
    <n v="392163.56"/>
  </r>
  <r>
    <x v="5"/>
    <s v="Ethiopia"/>
    <s v="Cereal"/>
    <s v="Offline"/>
    <s v="C"/>
    <s v="12/14/2012"/>
    <n v="493406999"/>
    <s v="1/21/2013"/>
    <n v="8950"/>
    <n v="205.7"/>
    <n v="117.11"/>
    <n v="1841015"/>
    <n v="1048134.5"/>
    <n v="792880.5"/>
  </r>
  <r>
    <x v="5"/>
    <s v="Togo"/>
    <s v="Baby Food"/>
    <s v="Online"/>
    <s v="H"/>
    <d v="2017-03-06T00:00:00"/>
    <n v="723577868"/>
    <s v="6/23/2017"/>
    <n v="1626"/>
    <n v="255.28"/>
    <n v="159.41999999999999"/>
    <n v="415085.28"/>
    <n v="259216.92"/>
    <n v="155868.35999999999"/>
  </r>
  <r>
    <x v="5"/>
    <s v="Togo"/>
    <s v="Beverages"/>
    <s v="Online"/>
    <s v="H"/>
    <d v="2013-02-09T00:00:00"/>
    <n v="973482930"/>
    <d v="2013-07-10T00:00:00"/>
    <n v="4087"/>
    <n v="47.45"/>
    <n v="31.79"/>
    <n v="193928.15"/>
    <n v="129925.73"/>
    <n v="64002.42"/>
  </r>
  <r>
    <x v="1"/>
    <s v="Belarus"/>
    <s v="Beverages"/>
    <s v="Online"/>
    <s v="H"/>
    <s v="8/15/2010"/>
    <n v="311921012"/>
    <s v="8/26/2010"/>
    <n v="3214"/>
    <n v="47.45"/>
    <n v="31.79"/>
    <n v="152504.29999999999"/>
    <n v="102173.06"/>
    <n v="50331.24"/>
  </r>
  <r>
    <x v="1"/>
    <s v="Switzerland"/>
    <s v="Baby Food"/>
    <s v="Online"/>
    <s v="L"/>
    <d v="2010-09-09T00:00:00"/>
    <n v="128003442"/>
    <s v="10/23/2010"/>
    <n v="7918"/>
    <n v="255.28"/>
    <n v="159.41999999999999"/>
    <n v="2021307.04"/>
    <n v="1262287.56"/>
    <n v="759019.48"/>
  </r>
  <r>
    <x v="1"/>
    <s v="Italy"/>
    <s v="Beverages"/>
    <s v="Offline"/>
    <s v="C"/>
    <s v="7/27/2013"/>
    <n v="981154048"/>
    <d v="2013-09-08T00:00:00"/>
    <n v="4141"/>
    <n v="47.45"/>
    <n v="31.79"/>
    <n v="196490.45"/>
    <n v="131642.39000000001"/>
    <n v="64848.06"/>
  </r>
  <r>
    <x v="0"/>
    <s v="Panama"/>
    <s v="Meat"/>
    <s v="Online"/>
    <s v="H"/>
    <d v="2012-11-06T00:00:00"/>
    <n v="351109158"/>
    <s v="6/26/2012"/>
    <n v="9857"/>
    <n v="421.89"/>
    <n v="364.69"/>
    <n v="4158569.73"/>
    <n v="3594749.33"/>
    <n v="563820.4"/>
  </r>
  <r>
    <x v="1"/>
    <s v="Germany"/>
    <s v="Personal Care"/>
    <s v="Online"/>
    <s v="L"/>
    <d v="2012-03-12T00:00:00"/>
    <n v="287917602"/>
    <d v="2013-05-01T00:00:00"/>
    <n v="71"/>
    <n v="81.73"/>
    <n v="56.67"/>
    <n v="5802.83"/>
    <n v="4023.57"/>
    <n v="1779.26"/>
  </r>
  <r>
    <x v="0"/>
    <s v="Barbados"/>
    <s v="Meat"/>
    <s v="Offline"/>
    <s v="H"/>
    <d v="2014-09-02T00:00:00"/>
    <n v="661940705"/>
    <s v="2/21/2014"/>
    <n v="1819"/>
    <n v="421.89"/>
    <n v="364.69"/>
    <n v="767417.91"/>
    <n v="663371.11"/>
    <n v="104046.8"/>
  </r>
  <r>
    <x v="0"/>
    <s v="Saint Kitts and Nevis "/>
    <s v="Baby Food"/>
    <s v="Offline"/>
    <s v="L"/>
    <s v="5/18/2012"/>
    <n v="513852298"/>
    <s v="6/27/2012"/>
    <n v="9169"/>
    <n v="255.28"/>
    <n v="159.41999999999999"/>
    <n v="2340662.3199999998"/>
    <n v="1461721.98"/>
    <n v="878940.34"/>
  </r>
  <r>
    <x v="5"/>
    <s v="Seychelles "/>
    <s v="Office Supplies"/>
    <s v="Offline"/>
    <s v="H"/>
    <d v="2012-03-10T00:00:00"/>
    <n v="304638707"/>
    <s v="10/15/2012"/>
    <n v="8218"/>
    <n v="651.21"/>
    <n v="524.96"/>
    <n v="5351643.78"/>
    <n v="4314121.28"/>
    <n v="1037522.5"/>
  </r>
  <r>
    <x v="5"/>
    <s v="Togo"/>
    <s v="Vegetables"/>
    <s v="Online"/>
    <s v="H"/>
    <s v="7/13/2017"/>
    <n v="565598762"/>
    <s v="7/29/2017"/>
    <n v="2097"/>
    <n v="154.06"/>
    <n v="90.93"/>
    <n v="323063.82"/>
    <n v="190680.21"/>
    <n v="132383.60999999999"/>
  </r>
  <r>
    <x v="1"/>
    <s v="Cyprus"/>
    <s v="Snacks"/>
    <s v="Offline"/>
    <s v="L"/>
    <d v="2014-04-12T00:00:00"/>
    <n v="548343789"/>
    <d v="2014-06-12T00:00:00"/>
    <n v="5967"/>
    <n v="152.58000000000001"/>
    <n v="97.44"/>
    <n v="910444.86"/>
    <n v="581424.48"/>
    <n v="329020.38"/>
  </r>
  <r>
    <x v="2"/>
    <s v="Laos"/>
    <s v="Vegetables"/>
    <s v="Offline"/>
    <s v="L"/>
    <s v="2/22/2013"/>
    <n v="474797618"/>
    <d v="2013-01-03T00:00:00"/>
    <n v="2021"/>
    <n v="154.06"/>
    <n v="90.93"/>
    <n v="311355.26"/>
    <n v="183769.53"/>
    <n v="127585.73"/>
  </r>
  <r>
    <x v="4"/>
    <s v="Tuvalu"/>
    <s v="Clothes"/>
    <s v="Offline"/>
    <s v="C"/>
    <s v="11/24/2013"/>
    <n v="187196576"/>
    <s v="12/27/2013"/>
    <n v="4482"/>
    <n v="109.28"/>
    <n v="35.840000000000003"/>
    <n v="489792.96"/>
    <n v="160634.88"/>
    <n v="329158.08"/>
  </r>
  <r>
    <x v="1"/>
    <s v="Cyprus"/>
    <s v="Meat"/>
    <s v="Online"/>
    <s v="L"/>
    <d v="2016-02-03T00:00:00"/>
    <n v="498089492"/>
    <s v="3/22/2016"/>
    <n v="4604"/>
    <n v="421.89"/>
    <n v="364.69"/>
    <n v="1942381.56"/>
    <n v="1679032.76"/>
    <n v="263348.8"/>
  </r>
  <r>
    <x v="3"/>
    <s v="Iraq"/>
    <s v="Fruits"/>
    <s v="Offline"/>
    <s v="C"/>
    <d v="2012-06-06T00:00:00"/>
    <n v="940337693"/>
    <s v="6/25/2012"/>
    <n v="5675"/>
    <n v="9.33"/>
    <n v="6.92"/>
    <n v="52947.75"/>
    <n v="39271"/>
    <n v="13676.75"/>
  </r>
  <r>
    <x v="2"/>
    <s v="Maldives"/>
    <s v="Cereal"/>
    <s v="Online"/>
    <s v="M"/>
    <s v="2/26/2015"/>
    <n v="217115008"/>
    <s v="3/22/2015"/>
    <n v="8011"/>
    <n v="205.7"/>
    <n v="117.11"/>
    <n v="1647862.7"/>
    <n v="938168.21"/>
    <n v="709694.49"/>
  </r>
  <r>
    <x v="1"/>
    <s v="Moldova "/>
    <s v="Snacks"/>
    <s v="Offline"/>
    <s v="C"/>
    <d v="2015-01-03T00:00:00"/>
    <n v="251907765"/>
    <d v="2015-07-04T00:00:00"/>
    <n v="3961"/>
    <n v="152.58000000000001"/>
    <n v="97.44"/>
    <n v="604369.38"/>
    <n v="385959.84"/>
    <n v="218409.54"/>
  </r>
  <r>
    <x v="2"/>
    <s v="China"/>
    <s v="Fruits"/>
    <s v="Offline"/>
    <s v="H"/>
    <d v="2015-11-09T00:00:00"/>
    <n v="338514792"/>
    <d v="2015-12-09T00:00:00"/>
    <n v="2904"/>
    <n v="9.33"/>
    <n v="6.92"/>
    <n v="27094.32"/>
    <n v="20095.68"/>
    <n v="6998.64"/>
  </r>
  <r>
    <x v="6"/>
    <s v="United States of America"/>
    <s v="Beverages"/>
    <s v="Online"/>
    <s v="H"/>
    <s v="6/27/2013"/>
    <n v="291047418"/>
    <s v="7/20/2013"/>
    <n v="6253"/>
    <n v="47.45"/>
    <n v="31.79"/>
    <n v="296704.84999999998"/>
    <n v="198782.87"/>
    <n v="97921.98"/>
  </r>
  <r>
    <x v="2"/>
    <s v="Maldives"/>
    <s v="Household"/>
    <s v="Online"/>
    <s v="M"/>
    <s v="2/15/2010"/>
    <n v="893929469"/>
    <d v="2010-03-04T00:00:00"/>
    <n v="2450"/>
    <n v="668.27"/>
    <n v="502.54"/>
    <n v="1637261.5"/>
    <n v="1231223"/>
    <n v="406038.5"/>
  </r>
  <r>
    <x v="0"/>
    <s v="Dominica"/>
    <s v="Clothes"/>
    <s v="Online"/>
    <s v="H"/>
    <d v="2015-01-11T00:00:00"/>
    <n v="751897275"/>
    <d v="2015-01-12T00:00:00"/>
    <n v="1967"/>
    <n v="109.28"/>
    <n v="35.840000000000003"/>
    <n v="214953.76"/>
    <n v="70497.279999999999"/>
    <n v="144456.48000000001"/>
  </r>
  <r>
    <x v="1"/>
    <s v="Malta"/>
    <s v="Snacks"/>
    <s v="Online"/>
    <s v="L"/>
    <s v="5/26/2015"/>
    <n v="339999663"/>
    <s v="6/13/2015"/>
    <n v="2311"/>
    <n v="152.58000000000001"/>
    <n v="97.44"/>
    <n v="352612.38"/>
    <n v="225183.84"/>
    <n v="127428.54"/>
  </r>
  <r>
    <x v="5"/>
    <s v="Nigeria"/>
    <s v="Cosmetics"/>
    <s v="Online"/>
    <s v="H"/>
    <s v="5/21/2017"/>
    <n v="653597962"/>
    <d v="2017-11-06T00:00:00"/>
    <n v="3016"/>
    <n v="437.2"/>
    <n v="263.33"/>
    <n v="1318595.2"/>
    <n v="794203.28"/>
    <n v="524391.92000000004"/>
  </r>
  <r>
    <x v="1"/>
    <s v="Russia"/>
    <s v="Cereal"/>
    <s v="Offline"/>
    <s v="M"/>
    <s v="6/29/2012"/>
    <n v="958366000"/>
    <d v="2012-03-08T00:00:00"/>
    <n v="651"/>
    <n v="205.7"/>
    <n v="117.11"/>
    <n v="133910.70000000001"/>
    <n v="76238.61"/>
    <n v="57672.09"/>
  </r>
  <r>
    <x v="5"/>
    <s v="Seychelles "/>
    <s v="Clothes"/>
    <s v="Offline"/>
    <s v="H"/>
    <s v="3/18/2015"/>
    <n v="140290105"/>
    <d v="2015-08-04T00:00:00"/>
    <n v="3814"/>
    <n v="109.28"/>
    <n v="35.840000000000003"/>
    <n v="416793.92"/>
    <n v="136693.76000000001"/>
    <n v="280100.15999999997"/>
  </r>
  <r>
    <x v="5"/>
    <s v="Zimbabwe"/>
    <s v="Office Supplies"/>
    <s v="Offline"/>
    <s v="M"/>
    <s v="7/29/2014"/>
    <n v="755669105"/>
    <s v="8/27/2014"/>
    <n v="8136"/>
    <n v="651.21"/>
    <n v="524.96"/>
    <n v="5298244.5599999996"/>
    <n v="4271074.5599999996"/>
    <n v="1027170"/>
  </r>
  <r>
    <x v="1"/>
    <s v="Norway"/>
    <s v="Cereal"/>
    <s v="Online"/>
    <s v="M"/>
    <d v="2015-04-11T00:00:00"/>
    <n v="481114327"/>
    <s v="11/24/2015"/>
    <n v="1276"/>
    <n v="205.7"/>
    <n v="117.11"/>
    <n v="262473.2"/>
    <n v="149432.35999999999"/>
    <n v="113040.84"/>
  </r>
  <r>
    <x v="5"/>
    <s v="Botswana"/>
    <s v="Household"/>
    <s v="Online"/>
    <s v="M"/>
    <s v="12/23/2013"/>
    <n v="663549602"/>
    <d v="2014-06-02T00:00:00"/>
    <n v="7927"/>
    <n v="668.27"/>
    <n v="502.54"/>
    <n v="5297376.29"/>
    <n v="3983634.58"/>
    <n v="1313741.71"/>
  </r>
  <r>
    <x v="5"/>
    <s v="Angola"/>
    <s v="Cosmetics"/>
    <s v="Offline"/>
    <s v="L"/>
    <s v="7/28/2012"/>
    <n v="470211255"/>
    <s v="8/15/2012"/>
    <n v="4814"/>
    <n v="437.2"/>
    <n v="263.33"/>
    <n v="2104680.7999999998"/>
    <n v="1267670.6200000001"/>
    <n v="837010.18"/>
  </r>
  <r>
    <x v="5"/>
    <s v="Zimbabwe"/>
    <s v="Vegetables"/>
    <s v="Online"/>
    <s v="H"/>
    <d v="2012-04-07T00:00:00"/>
    <n v="938648116"/>
    <s v="8/14/2012"/>
    <n v="5691"/>
    <n v="154.06"/>
    <n v="90.93"/>
    <n v="876755.46"/>
    <n v="517482.63"/>
    <n v="359272.83"/>
  </r>
  <r>
    <x v="5"/>
    <s v="Madagascar"/>
    <s v="Beverages"/>
    <s v="Online"/>
    <s v="L"/>
    <s v="9/21/2015"/>
    <n v="926721513"/>
    <s v="10/20/2015"/>
    <n v="6344"/>
    <n v="47.45"/>
    <n v="31.79"/>
    <n v="301022.8"/>
    <n v="201675.76"/>
    <n v="99347.04"/>
  </r>
  <r>
    <x v="2"/>
    <s v="Malaysia"/>
    <s v="Household"/>
    <s v="Offline"/>
    <s v="L"/>
    <d v="2013-11-11T00:00:00"/>
    <n v="262605273"/>
    <s v="12/16/2013"/>
    <n v="9591"/>
    <n v="668.27"/>
    <n v="502.54"/>
    <n v="6409377.5700000003"/>
    <n v="4819861.1399999997"/>
    <n v="1589516.43"/>
  </r>
  <r>
    <x v="1"/>
    <s v="Liechtenstein"/>
    <s v="Cereal"/>
    <s v="Offline"/>
    <s v="L"/>
    <s v="10/16/2014"/>
    <n v="194785726"/>
    <s v="11/13/2014"/>
    <n v="280"/>
    <n v="205.7"/>
    <n v="117.11"/>
    <n v="57596"/>
    <n v="32790.800000000003"/>
    <n v="24805.200000000001"/>
  </r>
  <r>
    <x v="5"/>
    <s v="Mozambique"/>
    <s v="Clothes"/>
    <s v="Online"/>
    <s v="H"/>
    <s v="1/24/2016"/>
    <n v="242061698"/>
    <d v="2016-04-02T00:00:00"/>
    <n v="290"/>
    <n v="109.28"/>
    <n v="35.840000000000003"/>
    <n v="31691.200000000001"/>
    <n v="10393.6"/>
    <n v="21297.599999999999"/>
  </r>
  <r>
    <x v="1"/>
    <s v="Andorra"/>
    <s v="Beverages"/>
    <s v="Online"/>
    <s v="C"/>
    <s v="4/24/2016"/>
    <n v="443544518"/>
    <s v="4/28/2016"/>
    <n v="3534"/>
    <n v="47.45"/>
    <n v="31.79"/>
    <n v="167688.29999999999"/>
    <n v="112345.86"/>
    <n v="55342.44"/>
  </r>
  <r>
    <x v="2"/>
    <s v="Myanmar"/>
    <s v="Fruits"/>
    <s v="Online"/>
    <s v="H"/>
    <d v="2011-12-06T00:00:00"/>
    <n v="908658015"/>
    <s v="6/25/2011"/>
    <n v="954"/>
    <n v="9.33"/>
    <n v="6.92"/>
    <n v="8900.82"/>
    <n v="6601.68"/>
    <n v="2299.14"/>
  </r>
  <r>
    <x v="1"/>
    <s v="San Marino"/>
    <s v="Clothes"/>
    <s v="Online"/>
    <s v="H"/>
    <s v="7/30/2013"/>
    <n v="467138516"/>
    <d v="2013-08-08T00:00:00"/>
    <n v="5523"/>
    <n v="109.28"/>
    <n v="35.840000000000003"/>
    <n v="603553.43999999994"/>
    <n v="197944.32000000001"/>
    <n v="405609.12"/>
  </r>
  <r>
    <x v="2"/>
    <s v="North Korea"/>
    <s v="Clothes"/>
    <s v="Offline"/>
    <s v="M"/>
    <s v="12/16/2016"/>
    <n v="719034850"/>
    <d v="2017-04-02T00:00:00"/>
    <n v="7246"/>
    <n v="109.28"/>
    <n v="35.840000000000003"/>
    <n v="791842.88"/>
    <n v="259696.64000000001"/>
    <n v="532146.24"/>
  </r>
  <r>
    <x v="1"/>
    <s v="Bosnia and Herzegovina"/>
    <s v="Vegetables"/>
    <s v="Online"/>
    <s v="H"/>
    <s v="11/27/2016"/>
    <n v="184708344"/>
    <d v="2016-02-12T00:00:00"/>
    <n v="8159"/>
    <n v="154.06"/>
    <n v="90.93"/>
    <n v="1256975.54"/>
    <n v="741897.87"/>
    <n v="515077.67"/>
  </r>
  <r>
    <x v="2"/>
    <s v="Thailand"/>
    <s v="Household"/>
    <s v="Offline"/>
    <s v="C"/>
    <d v="2013-01-08T00:00:00"/>
    <n v="154832828"/>
    <d v="2013-08-09T00:00:00"/>
    <n v="7329"/>
    <n v="668.27"/>
    <n v="502.54"/>
    <n v="4897750.83"/>
    <n v="3683115.66"/>
    <n v="1214635.17"/>
  </r>
  <r>
    <x v="1"/>
    <s v="Bosnia and Herzegovina"/>
    <s v="Office Supplies"/>
    <s v="Offline"/>
    <s v="H"/>
    <s v="10/19/2015"/>
    <n v="640394628"/>
    <d v="2015-07-11T00:00:00"/>
    <n v="5856"/>
    <n v="651.21"/>
    <n v="524.96"/>
    <n v="3813485.76"/>
    <n v="3074165.76"/>
    <n v="739320"/>
  </r>
  <r>
    <x v="4"/>
    <s v="Vanuatu"/>
    <s v="Clothes"/>
    <s v="Online"/>
    <s v="L"/>
    <s v="6/26/2014"/>
    <n v="822692573"/>
    <d v="2014-07-07T00:00:00"/>
    <n v="1869"/>
    <n v="109.28"/>
    <n v="35.840000000000003"/>
    <n v="204244.32"/>
    <n v="66984.960000000006"/>
    <n v="137259.35999999999"/>
  </r>
  <r>
    <x v="1"/>
    <s v="Andorra"/>
    <s v="Vegetables"/>
    <s v="Offline"/>
    <s v="L"/>
    <s v="10/15/2016"/>
    <n v="403337991"/>
    <s v="11/24/2016"/>
    <n v="5529"/>
    <n v="154.06"/>
    <n v="90.93"/>
    <n v="851797.74"/>
    <n v="502751.97"/>
    <n v="349045.77"/>
  </r>
  <r>
    <x v="0"/>
    <s v="Dominican Republic"/>
    <s v="Baby Food"/>
    <s v="Online"/>
    <s v="C"/>
    <s v="12/31/2011"/>
    <n v="954254710"/>
    <s v="1/15/2012"/>
    <n v="4029"/>
    <n v="255.28"/>
    <n v="159.41999999999999"/>
    <n v="1028523.12"/>
    <n v="642303.18000000005"/>
    <n v="386219.94"/>
  </r>
  <r>
    <x v="1"/>
    <s v="Andorra"/>
    <s v="Vegetables"/>
    <s v="Online"/>
    <s v="C"/>
    <d v="2013-03-03T00:00:00"/>
    <n v="967679059"/>
    <s v="3/19/2013"/>
    <n v="6592"/>
    <n v="154.06"/>
    <n v="90.93"/>
    <n v="1015563.52"/>
    <n v="599410.56000000006"/>
    <n v="416152.96"/>
  </r>
  <r>
    <x v="2"/>
    <s v="Maldives"/>
    <s v="Beverages"/>
    <s v="Online"/>
    <s v="M"/>
    <d v="2015-03-07T00:00:00"/>
    <n v="806159865"/>
    <d v="2015-09-07T00:00:00"/>
    <n v="9474"/>
    <n v="47.45"/>
    <n v="31.79"/>
    <n v="449541.3"/>
    <n v="301178.46000000002"/>
    <n v="148362.84"/>
  </r>
  <r>
    <x v="0"/>
    <s v="Guatemala"/>
    <s v="Cosmetics"/>
    <s v="Offline"/>
    <s v="H"/>
    <d v="2015-04-04T00:00:00"/>
    <n v="452558457"/>
    <s v="4/18/2015"/>
    <n v="959"/>
    <n v="437.2"/>
    <n v="263.33"/>
    <n v="419274.8"/>
    <n v="252533.47"/>
    <n v="166741.32999999999"/>
  </r>
  <r>
    <x v="5"/>
    <s v="Sudan"/>
    <s v="Household"/>
    <s v="Offline"/>
    <s v="H"/>
    <s v="7/19/2013"/>
    <n v="860048663"/>
    <s v="7/23/2013"/>
    <n v="6366"/>
    <n v="668.27"/>
    <n v="502.54"/>
    <n v="4254206.82"/>
    <n v="3199169.64"/>
    <n v="1055037.18"/>
  </r>
  <r>
    <x v="5"/>
    <s v="Mauritania"/>
    <s v="Household"/>
    <s v="Online"/>
    <s v="M"/>
    <s v="7/21/2012"/>
    <n v="802116811"/>
    <s v="7/29/2012"/>
    <n v="3044"/>
    <n v="668.27"/>
    <n v="502.54"/>
    <n v="2034213.88"/>
    <n v="1529731.76"/>
    <n v="504482.12"/>
  </r>
  <r>
    <x v="5"/>
    <s v="Cameroon"/>
    <s v="Office Supplies"/>
    <s v="Offline"/>
    <s v="M"/>
    <s v="9/24/2011"/>
    <n v="922561728"/>
    <d v="2011-05-11T00:00:00"/>
    <n v="5372"/>
    <n v="651.21"/>
    <n v="524.96"/>
    <n v="3498300.12"/>
    <n v="2820085.12"/>
    <n v="678215"/>
  </r>
  <r>
    <x v="5"/>
    <s v="Central African Republic"/>
    <s v="Cereal"/>
    <s v="Offline"/>
    <s v="C"/>
    <d v="2011-06-08T00:00:00"/>
    <n v="585494744"/>
    <s v="9/13/2011"/>
    <n v="9761"/>
    <n v="205.7"/>
    <n v="117.11"/>
    <n v="2007837.7"/>
    <n v="1143110.71"/>
    <n v="864726.99"/>
  </r>
  <r>
    <x v="1"/>
    <s v="Macedonia"/>
    <s v="Snacks"/>
    <s v="Online"/>
    <s v="L"/>
    <d v="2017-11-07T00:00:00"/>
    <n v="125339686"/>
    <s v="7/24/2017"/>
    <n v="9653"/>
    <n v="152.58000000000001"/>
    <n v="97.44"/>
    <n v="1472854.74"/>
    <n v="940588.32"/>
    <n v="532266.42000000004"/>
  </r>
  <r>
    <x v="1"/>
    <s v="Croatia"/>
    <s v="Personal Care"/>
    <s v="Offline"/>
    <s v="M"/>
    <s v="3/29/2013"/>
    <n v="396832883"/>
    <s v="3/31/2013"/>
    <n v="523"/>
    <n v="81.73"/>
    <n v="56.67"/>
    <n v="42744.79"/>
    <n v="29638.41"/>
    <n v="13106.38"/>
  </r>
  <r>
    <x v="3"/>
    <s v="Syria"/>
    <s v="Meat"/>
    <s v="Offline"/>
    <s v="L"/>
    <d v="2010-11-01T00:00:00"/>
    <n v="525023162"/>
    <d v="2010-06-02T00:00:00"/>
    <n v="4876"/>
    <n v="421.89"/>
    <n v="364.69"/>
    <n v="2057135.64"/>
    <n v="1778228.44"/>
    <n v="278907.2"/>
  </r>
  <r>
    <x v="4"/>
    <s v="New Zealand"/>
    <s v="Cosmetics"/>
    <s v="Online"/>
    <s v="C"/>
    <d v="2012-01-09T00:00:00"/>
    <n v="155271852"/>
    <s v="9/18/2012"/>
    <n v="7246"/>
    <n v="437.2"/>
    <n v="263.33"/>
    <n v="3167951.2"/>
    <n v="1908089.18"/>
    <n v="1259862.02"/>
  </r>
  <r>
    <x v="0"/>
    <s v="El Salvador"/>
    <s v="Personal Care"/>
    <s v="Offline"/>
    <s v="M"/>
    <s v="8/26/2015"/>
    <n v="803252780"/>
    <s v="10/14/2015"/>
    <n v="9202"/>
    <n v="81.73"/>
    <n v="56.67"/>
    <n v="752079.46"/>
    <n v="521477.34"/>
    <n v="230602.12"/>
  </r>
  <r>
    <x v="3"/>
    <s v="Israel"/>
    <s v="Office Supplies"/>
    <s v="Offline"/>
    <s v="H"/>
    <d v="2014-10-07T00:00:00"/>
    <n v="904952275"/>
    <s v="7/17/2014"/>
    <n v="4343"/>
    <n v="651.21"/>
    <n v="524.96"/>
    <n v="2828205.03"/>
    <n v="2279901.2799999998"/>
    <n v="548303.75"/>
  </r>
  <r>
    <x v="3"/>
    <s v="Afghanistan"/>
    <s v="Vegetables"/>
    <s v="Offline"/>
    <s v="M"/>
    <d v="2017-06-04T00:00:00"/>
    <n v="766669166"/>
    <s v="4/21/2017"/>
    <n v="3298"/>
    <n v="154.06"/>
    <n v="90.93"/>
    <n v="508089.88"/>
    <n v="299887.14"/>
    <n v="208202.74"/>
  </r>
  <r>
    <x v="5"/>
    <s v="Madagascar"/>
    <s v="Clothes"/>
    <s v="Online"/>
    <s v="H"/>
    <d v="2010-12-03T00:00:00"/>
    <n v="315014779"/>
    <s v="3/23/2010"/>
    <n v="8728"/>
    <n v="109.28"/>
    <n v="35.840000000000003"/>
    <n v="953795.84"/>
    <n v="312811.52000000002"/>
    <n v="640984.31999999995"/>
  </r>
  <r>
    <x v="5"/>
    <s v="Mozambique"/>
    <s v="Vegetables"/>
    <s v="Offline"/>
    <s v="L"/>
    <s v="10/13/2014"/>
    <n v="446912944"/>
    <d v="2014-01-11T00:00:00"/>
    <n v="326"/>
    <n v="154.06"/>
    <n v="90.93"/>
    <n v="50223.56"/>
    <n v="29643.18"/>
    <n v="20580.38"/>
  </r>
  <r>
    <x v="5"/>
    <s v="Niger"/>
    <s v="Vegetables"/>
    <s v="Online"/>
    <s v="C"/>
    <d v="2015-09-09T00:00:00"/>
    <n v="779599988"/>
    <d v="2015-09-10T00:00:00"/>
    <n v="9816"/>
    <n v="154.06"/>
    <n v="90.93"/>
    <n v="1512252.96"/>
    <n v="892568.88"/>
    <n v="619684.07999999996"/>
  </r>
  <r>
    <x v="5"/>
    <s v="Mali"/>
    <s v="Cosmetics"/>
    <s v="Online"/>
    <s v="M"/>
    <d v="2010-02-01T00:00:00"/>
    <n v="100624740"/>
    <s v="1/20/2010"/>
    <n v="5951"/>
    <n v="437.2"/>
    <n v="263.33"/>
    <n v="2601777.2000000002"/>
    <n v="1567076.83"/>
    <n v="1034700.37"/>
  </r>
  <r>
    <x v="0"/>
    <s v="Guatemala"/>
    <s v="Baby Food"/>
    <s v="Offline"/>
    <s v="M"/>
    <s v="1/13/2011"/>
    <n v="417848527"/>
    <d v="2011-09-02T00:00:00"/>
    <n v="9519"/>
    <n v="255.28"/>
    <n v="159.41999999999999"/>
    <n v="2430010.3199999998"/>
    <n v="1517518.98"/>
    <n v="912491.34"/>
  </r>
  <r>
    <x v="1"/>
    <s v="Switzerland"/>
    <s v="Cosmetics"/>
    <s v="Offline"/>
    <s v="M"/>
    <s v="3/18/2014"/>
    <n v="209445178"/>
    <s v="4/20/2014"/>
    <n v="8337"/>
    <n v="437.2"/>
    <n v="263.33"/>
    <n v="3644936.4"/>
    <n v="2195382.21"/>
    <n v="1449554.19"/>
  </r>
  <r>
    <x v="5"/>
    <s v="Benin"/>
    <s v="Meat"/>
    <s v="Online"/>
    <s v="H"/>
    <d v="2016-11-01T00:00:00"/>
    <n v="273901021"/>
    <d v="2016-08-02T00:00:00"/>
    <n v="2254"/>
    <n v="421.89"/>
    <n v="364.69"/>
    <n v="950940.06"/>
    <n v="822011.26"/>
    <n v="128928.8"/>
  </r>
  <r>
    <x v="0"/>
    <s v="Jamaica"/>
    <s v="Fruits"/>
    <s v="Online"/>
    <s v="C"/>
    <d v="2010-07-04T00:00:00"/>
    <n v="580014884"/>
    <s v="5/21/2010"/>
    <n v="8148"/>
    <n v="9.33"/>
    <n v="6.92"/>
    <n v="76020.84"/>
    <n v="56384.160000000003"/>
    <n v="19636.68"/>
  </r>
  <r>
    <x v="5"/>
    <s v="Mauritania"/>
    <s v="Fruits"/>
    <s v="Offline"/>
    <s v="H"/>
    <s v="6/25/2014"/>
    <n v="716898095"/>
    <s v="7/17/2014"/>
    <n v="4932"/>
    <n v="9.33"/>
    <n v="6.92"/>
    <n v="46015.56"/>
    <n v="34129.440000000002"/>
    <n v="11886.12"/>
  </r>
  <r>
    <x v="2"/>
    <s v="Kyrgyzstan"/>
    <s v="Vegetables"/>
    <s v="Offline"/>
    <s v="M"/>
    <s v="3/24/2013"/>
    <n v="343974483"/>
    <d v="2013-09-05T00:00:00"/>
    <n v="8548"/>
    <n v="154.06"/>
    <n v="90.93"/>
    <n v="1316904.8799999999"/>
    <n v="777269.64"/>
    <n v="539635.24"/>
  </r>
  <r>
    <x v="2"/>
    <s v="Nepal"/>
    <s v="Fruits"/>
    <s v="Offline"/>
    <s v="M"/>
    <s v="10/30/2014"/>
    <n v="540980374"/>
    <d v="2014-09-11T00:00:00"/>
    <n v="6969"/>
    <n v="9.33"/>
    <n v="6.92"/>
    <n v="65020.77"/>
    <n v="48225.48"/>
    <n v="16795.29"/>
  </r>
  <r>
    <x v="2"/>
    <s v="Bhutan"/>
    <s v="Snacks"/>
    <s v="Online"/>
    <s v="C"/>
    <s v="4/30/2017"/>
    <n v="657964599"/>
    <s v="6/17/2017"/>
    <n v="5201"/>
    <n v="152.58000000000001"/>
    <n v="97.44"/>
    <n v="793568.58"/>
    <n v="506785.44"/>
    <n v="286783.14"/>
  </r>
  <r>
    <x v="5"/>
    <s v="Mali"/>
    <s v="Personal Care"/>
    <s v="Offline"/>
    <s v="M"/>
    <d v="2012-01-04T00:00:00"/>
    <n v="565288484"/>
    <d v="2012-06-04T00:00:00"/>
    <n v="279"/>
    <n v="81.73"/>
    <n v="56.67"/>
    <n v="22802.67"/>
    <n v="15810.93"/>
    <n v="6991.74"/>
  </r>
  <r>
    <x v="5"/>
    <s v="Sudan"/>
    <s v="Cereal"/>
    <s v="Offline"/>
    <s v="C"/>
    <s v="2/13/2011"/>
    <n v="203625857"/>
    <d v="2011-03-03T00:00:00"/>
    <n v="6271"/>
    <n v="205.7"/>
    <n v="117.11"/>
    <n v="1289944.7"/>
    <n v="734396.81"/>
    <n v="555547.89"/>
  </r>
  <r>
    <x v="1"/>
    <s v="Switzerland"/>
    <s v="Clothes"/>
    <s v="Offline"/>
    <s v="M"/>
    <s v="5/21/2011"/>
    <n v="933963048"/>
    <s v="6/24/2011"/>
    <n v="9275"/>
    <n v="109.28"/>
    <n v="35.840000000000003"/>
    <n v="1013572"/>
    <n v="332416"/>
    <n v="681156"/>
  </r>
  <r>
    <x v="1"/>
    <s v="Greece"/>
    <s v="Cereal"/>
    <s v="Online"/>
    <s v="H"/>
    <d v="2015-05-05T00:00:00"/>
    <n v="587598884"/>
    <s v="6/13/2015"/>
    <n v="2422"/>
    <n v="205.7"/>
    <n v="117.11"/>
    <n v="498205.4"/>
    <n v="283640.42"/>
    <n v="214564.98"/>
  </r>
  <r>
    <x v="2"/>
    <s v="Bangladesh"/>
    <s v="Fruits"/>
    <s v="Online"/>
    <s v="C"/>
    <s v="3/15/2011"/>
    <n v="216144692"/>
    <s v="4/18/2011"/>
    <n v="873"/>
    <n v="9.33"/>
    <n v="6.92"/>
    <n v="8145.09"/>
    <n v="6041.16"/>
    <n v="2103.9299999999998"/>
  </r>
  <r>
    <x v="1"/>
    <s v="Ireland"/>
    <s v="Personal Care"/>
    <s v="Online"/>
    <s v="C"/>
    <d v="2014-03-10T00:00:00"/>
    <n v="941524302"/>
    <d v="2014-09-10T00:00:00"/>
    <n v="6819"/>
    <n v="81.73"/>
    <n v="56.67"/>
    <n v="557316.87"/>
    <n v="386432.73"/>
    <n v="170884.14"/>
  </r>
  <r>
    <x v="1"/>
    <s v="Denmark"/>
    <s v="Cosmetics"/>
    <s v="Offline"/>
    <s v="M"/>
    <s v="7/22/2012"/>
    <n v="805974042"/>
    <s v="7/28/2012"/>
    <n v="4484"/>
    <n v="437.2"/>
    <n v="263.33"/>
    <n v="1960404.8"/>
    <n v="1180771.72"/>
    <n v="779633.08"/>
  </r>
  <r>
    <x v="2"/>
    <s v="Philippines"/>
    <s v="Cosmetics"/>
    <s v="Online"/>
    <s v="H"/>
    <d v="2011-02-03T00:00:00"/>
    <n v="622042739"/>
    <s v="3/28/2011"/>
    <n v="5124"/>
    <n v="437.2"/>
    <n v="263.33"/>
    <n v="2240212.7999999998"/>
    <n v="1349302.92"/>
    <n v="890909.88"/>
  </r>
  <r>
    <x v="5"/>
    <s v="Malawi"/>
    <s v="Office Supplies"/>
    <s v="Online"/>
    <s v="L"/>
    <s v="8/18/2010"/>
    <n v="822591722"/>
    <d v="2010-03-09T00:00:00"/>
    <n v="2025"/>
    <n v="651.21"/>
    <n v="524.96"/>
    <n v="1318700.25"/>
    <n v="1063044"/>
    <n v="255656.25"/>
  </r>
  <r>
    <x v="4"/>
    <s v="Nauru"/>
    <s v="Cereal"/>
    <s v="Online"/>
    <s v="M"/>
    <d v="2015-06-11T00:00:00"/>
    <n v="110794818"/>
    <s v="11/24/2015"/>
    <n v="5504"/>
    <n v="205.7"/>
    <n v="117.11"/>
    <n v="1132172.8"/>
    <n v="644573.43999999994"/>
    <n v="487599.35999999999"/>
  </r>
  <r>
    <x v="4"/>
    <s v="Palau"/>
    <s v="Clothes"/>
    <s v="Offline"/>
    <s v="H"/>
    <s v="1/24/2010"/>
    <n v="410138356"/>
    <d v="2010-02-03T00:00:00"/>
    <n v="7909"/>
    <n v="109.28"/>
    <n v="35.840000000000003"/>
    <n v="864295.52"/>
    <n v="283458.56"/>
    <n v="580836.96"/>
  </r>
  <r>
    <x v="0"/>
    <s v="Jamaica"/>
    <s v="Vegetables"/>
    <s v="Offline"/>
    <s v="L"/>
    <d v="2011-02-09T00:00:00"/>
    <n v="114421164"/>
    <s v="9/17/2011"/>
    <n v="8620"/>
    <n v="154.06"/>
    <n v="90.93"/>
    <n v="1327997.2"/>
    <n v="783816.6"/>
    <n v="544180.6"/>
  </r>
  <r>
    <x v="0"/>
    <s v="Honduras"/>
    <s v="Meat"/>
    <s v="Online"/>
    <s v="C"/>
    <s v="5/25/2017"/>
    <n v="837754571"/>
    <d v="2017-02-06T00:00:00"/>
    <n v="9049"/>
    <n v="421.89"/>
    <n v="364.69"/>
    <n v="3817682.61"/>
    <n v="3300079.81"/>
    <n v="517602.8"/>
  </r>
  <r>
    <x v="2"/>
    <s v="China"/>
    <s v="Snacks"/>
    <s v="Offline"/>
    <s v="L"/>
    <d v="2013-08-09T00:00:00"/>
    <n v="664562404"/>
    <s v="9/19/2013"/>
    <n v="7638"/>
    <n v="152.58000000000001"/>
    <n v="97.44"/>
    <n v="1165406.04"/>
    <n v="744246.72"/>
    <n v="421159.32"/>
  </r>
  <r>
    <x v="5"/>
    <s v="Mali"/>
    <s v="Clothes"/>
    <s v="Online"/>
    <s v="C"/>
    <d v="2010-07-10T00:00:00"/>
    <n v="899580991"/>
    <d v="2010-08-11T00:00:00"/>
    <n v="4861"/>
    <n v="109.28"/>
    <n v="35.840000000000003"/>
    <n v="531210.07999999996"/>
    <n v="174218.23999999999"/>
    <n v="356991.84"/>
  </r>
  <r>
    <x v="1"/>
    <s v="Estonia"/>
    <s v="Beverages"/>
    <s v="Offline"/>
    <s v="L"/>
    <s v="2/19/2016"/>
    <n v="217859160"/>
    <d v="2016-05-03T00:00:00"/>
    <n v="8222"/>
    <n v="47.45"/>
    <n v="31.79"/>
    <n v="390133.9"/>
    <n v="261377.38"/>
    <n v="128756.52"/>
  </r>
  <r>
    <x v="5"/>
    <s v="Rwanda"/>
    <s v="Meat"/>
    <s v="Online"/>
    <s v="L"/>
    <s v="8/24/2015"/>
    <n v="514758241"/>
    <s v="9/13/2015"/>
    <n v="7257"/>
    <n v="421.89"/>
    <n v="364.69"/>
    <n v="3061655.73"/>
    <n v="2646555.33"/>
    <n v="415100.4"/>
  </r>
  <r>
    <x v="4"/>
    <s v="Tonga"/>
    <s v="Beverages"/>
    <s v="Online"/>
    <s v="M"/>
    <s v="2/20/2015"/>
    <n v="155952060"/>
    <d v="2015-06-04T00:00:00"/>
    <n v="8535"/>
    <n v="47.45"/>
    <n v="31.79"/>
    <n v="404985.75"/>
    <n v="271327.65000000002"/>
    <n v="133658.1"/>
  </r>
  <r>
    <x v="1"/>
    <s v="Andorra"/>
    <s v="Vegetables"/>
    <s v="Offline"/>
    <s v="L"/>
    <s v="12/15/2013"/>
    <n v="727426946"/>
    <d v="2014-03-02T00:00:00"/>
    <n v="653"/>
    <n v="154.06"/>
    <n v="90.93"/>
    <n v="100601.18"/>
    <n v="59377.29"/>
    <n v="41223.89"/>
  </r>
  <r>
    <x v="0"/>
    <s v="Saint Lucia"/>
    <s v="Baby Food"/>
    <s v="Online"/>
    <s v="M"/>
    <s v="4/14/2016"/>
    <n v="285481727"/>
    <s v="5/18/2016"/>
    <n v="9242"/>
    <n v="255.28"/>
    <n v="159.41999999999999"/>
    <n v="2359297.7599999998"/>
    <n v="1473359.64"/>
    <n v="885938.12"/>
  </r>
  <r>
    <x v="5"/>
    <s v="Togo"/>
    <s v="Clothes"/>
    <s v="Online"/>
    <s v="C"/>
    <s v="3/28/2012"/>
    <n v="106727731"/>
    <d v="2012-05-04T00:00:00"/>
    <n v="1962"/>
    <n v="109.28"/>
    <n v="35.840000000000003"/>
    <n v="214407.36"/>
    <n v="70318.080000000002"/>
    <n v="144089.28"/>
  </r>
  <r>
    <x v="3"/>
    <s v="Syria"/>
    <s v="Clothes"/>
    <s v="Offline"/>
    <s v="L"/>
    <d v="2011-02-12T00:00:00"/>
    <n v="638088786"/>
    <s v="12/28/2011"/>
    <n v="3506"/>
    <n v="109.28"/>
    <n v="35.840000000000003"/>
    <n v="383135.68"/>
    <n v="125655.03999999999"/>
    <n v="257480.64"/>
  </r>
  <r>
    <x v="5"/>
    <s v="Guinea"/>
    <s v="Snacks"/>
    <s v="Offline"/>
    <s v="M"/>
    <d v="2011-08-05T00:00:00"/>
    <n v="146801221"/>
    <s v="6/26/2011"/>
    <n v="598"/>
    <n v="152.58000000000001"/>
    <n v="97.44"/>
    <n v="91242.84"/>
    <n v="58269.120000000003"/>
    <n v="32973.72"/>
  </r>
  <r>
    <x v="4"/>
    <s v="New Zealand"/>
    <s v="Snacks"/>
    <s v="Offline"/>
    <s v="L"/>
    <s v="5/30/2011"/>
    <n v="570413863"/>
    <s v="6/28/2011"/>
    <n v="6993"/>
    <n v="152.58000000000001"/>
    <n v="97.44"/>
    <n v="1066991.94"/>
    <n v="681397.92"/>
    <n v="385594.02"/>
  </r>
  <r>
    <x v="3"/>
    <s v="Israel"/>
    <s v="Office Supplies"/>
    <s v="Offline"/>
    <s v="L"/>
    <s v="1/15/2014"/>
    <n v="766788041"/>
    <s v="2/16/2014"/>
    <n v="8476"/>
    <n v="651.21"/>
    <n v="524.96"/>
    <n v="5519655.96"/>
    <n v="4449560.96"/>
    <n v="1070095"/>
  </r>
  <r>
    <x v="3"/>
    <s v="Oman"/>
    <s v="Office Supplies"/>
    <s v="Online"/>
    <s v="L"/>
    <s v="11/21/2010"/>
    <n v="564097583"/>
    <d v="2010-02-12T00:00:00"/>
    <n v="7865"/>
    <n v="651.21"/>
    <n v="524.96"/>
    <n v="5121766.6500000004"/>
    <n v="4128810.4"/>
    <n v="992956.25"/>
  </r>
  <r>
    <x v="5"/>
    <s v="Central African Republic"/>
    <s v="Vegetables"/>
    <s v="Online"/>
    <s v="H"/>
    <s v="5/20/2017"/>
    <n v="310828816"/>
    <s v="6/24/2017"/>
    <n v="9"/>
    <n v="154.06"/>
    <n v="90.93"/>
    <n v="1386.54"/>
    <n v="818.37"/>
    <n v="568.16999999999996"/>
  </r>
  <r>
    <x v="5"/>
    <s v="Cameroon"/>
    <s v="Household"/>
    <s v="Online"/>
    <s v="L"/>
    <d v="2015-11-12T00:00:00"/>
    <n v="425780570"/>
    <s v="12/18/2015"/>
    <n v="6787"/>
    <n v="668.27"/>
    <n v="502.54"/>
    <n v="4535548.49"/>
    <n v="3410738.98"/>
    <n v="1124809.51"/>
  </r>
  <r>
    <x v="2"/>
    <s v="Sri Lanka"/>
    <s v="Snacks"/>
    <s v="Offline"/>
    <s v="H"/>
    <d v="2012-07-10T00:00:00"/>
    <n v="948064172"/>
    <s v="11/23/2012"/>
    <n v="2111"/>
    <n v="152.58000000000001"/>
    <n v="97.44"/>
    <n v="322096.38"/>
    <n v="205695.84"/>
    <n v="116400.54"/>
  </r>
  <r>
    <x v="1"/>
    <s v="Belgium"/>
    <s v="Fruits"/>
    <s v="Offline"/>
    <s v="M"/>
    <d v="2011-04-05T00:00:00"/>
    <n v="187103450"/>
    <s v="5/14/2011"/>
    <n v="6924"/>
    <n v="9.33"/>
    <n v="6.92"/>
    <n v="64600.92"/>
    <n v="47914.080000000002"/>
    <n v="16686.84"/>
  </r>
  <r>
    <x v="1"/>
    <s v="Romania"/>
    <s v="Cereal"/>
    <s v="Online"/>
    <s v="H"/>
    <s v="3/14/2016"/>
    <n v="572634732"/>
    <d v="2016-01-04T00:00:00"/>
    <n v="4197"/>
    <n v="205.7"/>
    <n v="117.11"/>
    <n v="863322.9"/>
    <n v="491510.67"/>
    <n v="371812.23"/>
  </r>
  <r>
    <x v="3"/>
    <s v="Qatar"/>
    <s v="Household"/>
    <s v="Online"/>
    <s v="H"/>
    <d v="2014-10-01T00:00:00"/>
    <n v="104706847"/>
    <d v="2014-07-02T00:00:00"/>
    <n v="3938"/>
    <n v="668.27"/>
    <n v="502.54"/>
    <n v="2631647.2599999998"/>
    <n v="1979002.52"/>
    <n v="652644.74"/>
  </r>
  <r>
    <x v="2"/>
    <s v="Maldives"/>
    <s v="Baby Food"/>
    <s v="Online"/>
    <s v="C"/>
    <s v="4/14/2015"/>
    <n v="903681123"/>
    <s v="4/26/2015"/>
    <n v="8181"/>
    <n v="255.28"/>
    <n v="159.41999999999999"/>
    <n v="2088445.68"/>
    <n v="1304215.02"/>
    <n v="784230.66"/>
  </r>
  <r>
    <x v="5"/>
    <s v="Uganda"/>
    <s v="Vegetables"/>
    <s v="Online"/>
    <s v="L"/>
    <s v="7/24/2012"/>
    <n v="660231387"/>
    <s v="8/23/2012"/>
    <n v="5994"/>
    <n v="154.06"/>
    <n v="90.93"/>
    <n v="923435.64"/>
    <n v="545034.42000000004"/>
    <n v="378401.22"/>
  </r>
  <r>
    <x v="1"/>
    <s v="Serbia"/>
    <s v="Vegetables"/>
    <s v="Online"/>
    <s v="C"/>
    <s v="8/31/2014"/>
    <n v="285343968"/>
    <d v="2014-05-09T00:00:00"/>
    <n v="8476"/>
    <n v="154.06"/>
    <n v="90.93"/>
    <n v="1305812.56"/>
    <n v="770722.68"/>
    <n v="535089.88"/>
  </r>
  <r>
    <x v="4"/>
    <s v="Vanuatu"/>
    <s v="Cereal"/>
    <s v="Online"/>
    <s v="L"/>
    <d v="2012-12-07T00:00:00"/>
    <n v="760317695"/>
    <s v="8/30/2012"/>
    <n v="3757"/>
    <n v="205.7"/>
    <n v="117.11"/>
    <n v="772814.9"/>
    <n v="439982.27"/>
    <n v="332832.63"/>
  </r>
  <r>
    <x v="1"/>
    <s v="Slovenia"/>
    <s v="Vegetables"/>
    <s v="Offline"/>
    <s v="M"/>
    <s v="4/21/2013"/>
    <n v="886763894"/>
    <s v="5/27/2013"/>
    <n v="1997"/>
    <n v="154.06"/>
    <n v="90.93"/>
    <n v="307657.82"/>
    <n v="181587.21"/>
    <n v="126070.61"/>
  </r>
  <r>
    <x v="1"/>
    <s v="Moldova "/>
    <s v="Beverages"/>
    <s v="Offline"/>
    <s v="C"/>
    <d v="2013-04-11T00:00:00"/>
    <n v="436606395"/>
    <d v="2013-03-12T00:00:00"/>
    <n v="389"/>
    <n v="47.45"/>
    <n v="31.79"/>
    <n v="18458.05"/>
    <n v="12366.31"/>
    <n v="6091.74"/>
  </r>
  <r>
    <x v="3"/>
    <s v="Algeria"/>
    <s v="Fruits"/>
    <s v="Online"/>
    <s v="H"/>
    <s v="1/24/2012"/>
    <n v="602081525"/>
    <s v="1/28/2012"/>
    <n v="8158"/>
    <n v="9.33"/>
    <n v="6.92"/>
    <n v="76114.14"/>
    <n v="56453.36"/>
    <n v="19660.78"/>
  </r>
  <r>
    <x v="1"/>
    <s v="Kosovo"/>
    <s v="Cosmetics"/>
    <s v="Online"/>
    <s v="L"/>
    <s v="9/26/2010"/>
    <n v="845738112"/>
    <s v="10/23/2010"/>
    <n v="1557"/>
    <n v="437.2"/>
    <n v="263.33"/>
    <n v="680720.4"/>
    <n v="410004.81"/>
    <n v="270715.59000000003"/>
  </r>
  <r>
    <x v="5"/>
    <s v="Ghana"/>
    <s v="Baby Food"/>
    <s v="Online"/>
    <s v="L"/>
    <d v="2013-11-09T00:00:00"/>
    <n v="250437486"/>
    <d v="2013-05-10T00:00:00"/>
    <n v="8872"/>
    <n v="255.28"/>
    <n v="159.41999999999999"/>
    <n v="2264844.16"/>
    <n v="1414374.24"/>
    <n v="850469.92"/>
  </r>
  <r>
    <x v="1"/>
    <s v="Belarus"/>
    <s v="Fruits"/>
    <s v="Online"/>
    <s v="C"/>
    <s v="6/24/2014"/>
    <n v="669353473"/>
    <d v="2014-07-07T00:00:00"/>
    <n v="5422"/>
    <n v="9.33"/>
    <n v="6.92"/>
    <n v="50587.26"/>
    <n v="37520.239999999998"/>
    <n v="13067.02"/>
  </r>
  <r>
    <x v="5"/>
    <s v="South Sudan"/>
    <s v="Cosmetics"/>
    <s v="Offline"/>
    <s v="M"/>
    <d v="2015-07-04T00:00:00"/>
    <n v="875972402"/>
    <s v="4/29/2015"/>
    <n v="8555"/>
    <n v="437.2"/>
    <n v="263.33"/>
    <n v="3740246"/>
    <n v="2252788.15"/>
    <n v="1487457.85"/>
  </r>
  <r>
    <x v="5"/>
    <s v="Mauritius "/>
    <s v="Cosmetics"/>
    <s v="Offline"/>
    <s v="L"/>
    <d v="2015-07-07T00:00:00"/>
    <n v="614093101"/>
    <s v="7/27/2015"/>
    <n v="2650"/>
    <n v="437.2"/>
    <n v="263.33"/>
    <n v="1158580"/>
    <n v="697824.5"/>
    <n v="460755.5"/>
  </r>
  <r>
    <x v="1"/>
    <s v="Belgium"/>
    <s v="Cosmetics"/>
    <s v="Online"/>
    <s v="M"/>
    <s v="9/29/2015"/>
    <n v="147826898"/>
    <d v="2015-05-11T00:00:00"/>
    <n v="4119"/>
    <n v="437.2"/>
    <n v="263.33"/>
    <n v="1800826.8"/>
    <n v="1084656.27"/>
    <n v="716170.53"/>
  </r>
  <r>
    <x v="5"/>
    <s v="Tanzania"/>
    <s v="Personal Care"/>
    <s v="Offline"/>
    <s v="M"/>
    <d v="2013-02-10T00:00:00"/>
    <n v="711597621"/>
    <s v="11/14/2013"/>
    <n v="6404"/>
    <n v="81.73"/>
    <n v="56.67"/>
    <n v="523398.92"/>
    <n v="362914.68"/>
    <n v="160484.24"/>
  </r>
  <r>
    <x v="2"/>
    <s v="Malaysia"/>
    <s v="Cosmetics"/>
    <s v="Online"/>
    <s v="L"/>
    <s v="12/25/2015"/>
    <n v="460141599"/>
    <d v="2016-12-01T00:00:00"/>
    <n v="4979"/>
    <n v="437.2"/>
    <n v="263.33"/>
    <n v="2176818.7999999998"/>
    <n v="1311120.07"/>
    <n v="865698.73"/>
  </r>
  <r>
    <x v="5"/>
    <s v="Cameroon"/>
    <s v="Cosmetics"/>
    <s v="Online"/>
    <s v="M"/>
    <d v="2011-01-01T00:00:00"/>
    <n v="318507659"/>
    <d v="2011-07-02T00:00:00"/>
    <n v="2349"/>
    <n v="437.2"/>
    <n v="263.33"/>
    <n v="1026982.8"/>
    <n v="618562.17000000004"/>
    <n v="408420.63"/>
  </r>
  <r>
    <x v="1"/>
    <s v="Spain"/>
    <s v="Cosmetics"/>
    <s v="Online"/>
    <s v="C"/>
    <d v="2011-02-03T00:00:00"/>
    <n v="832057130"/>
    <d v="2011-02-04T00:00:00"/>
    <n v="3050"/>
    <n v="437.2"/>
    <n v="263.33"/>
    <n v="1333460"/>
    <n v="803156.5"/>
    <n v="530303.5"/>
  </r>
  <r>
    <x v="0"/>
    <s v="Panama"/>
    <s v="Cereal"/>
    <s v="Online"/>
    <s v="H"/>
    <s v="12/17/2010"/>
    <n v="816463840"/>
    <d v="2011-09-01T00:00:00"/>
    <n v="8649"/>
    <n v="205.7"/>
    <n v="117.11"/>
    <n v="1779099.3"/>
    <n v="1012884.39"/>
    <n v="766214.91"/>
  </r>
  <r>
    <x v="2"/>
    <s v="Turkmenistan"/>
    <s v="Personal Care"/>
    <s v="Online"/>
    <s v="M"/>
    <d v="2013-04-07T00:00:00"/>
    <n v="507714116"/>
    <s v="8/23/2013"/>
    <n v="2744"/>
    <n v="81.73"/>
    <n v="56.67"/>
    <n v="224267.12"/>
    <n v="155502.48000000001"/>
    <n v="68764.639999999999"/>
  </r>
  <r>
    <x v="1"/>
    <s v="Lithuania"/>
    <s v="Office Supplies"/>
    <s v="Online"/>
    <s v="H"/>
    <s v="8/23/2011"/>
    <n v="212106788"/>
    <s v="9/26/2011"/>
    <n v="5967"/>
    <n v="651.21"/>
    <n v="524.96"/>
    <n v="3885770.07"/>
    <n v="3132436.32"/>
    <n v="753333.75"/>
  </r>
  <r>
    <x v="5"/>
    <s v="Guinea-Bissau"/>
    <s v="Baby Food"/>
    <s v="Online"/>
    <s v="H"/>
    <s v="5/26/2014"/>
    <n v="756253182"/>
    <d v="2014-09-06T00:00:00"/>
    <n v="977"/>
    <n v="255.28"/>
    <n v="159.41999999999999"/>
    <n v="249408.56"/>
    <n v="155753.34"/>
    <n v="93655.22"/>
  </r>
  <r>
    <x v="4"/>
    <s v="Fiji"/>
    <s v="Baby Food"/>
    <s v="Offline"/>
    <s v="M"/>
    <s v="12/16/2012"/>
    <n v="337077128"/>
    <s v="12/30/2012"/>
    <n v="7468"/>
    <n v="255.28"/>
    <n v="159.41999999999999"/>
    <n v="1906431.04"/>
    <n v="1190548.56"/>
    <n v="715882.48"/>
  </r>
  <r>
    <x v="1"/>
    <s v="Russia"/>
    <s v="Personal Care"/>
    <s v="Online"/>
    <s v="M"/>
    <s v="9/14/2014"/>
    <n v="371814954"/>
    <d v="2014-08-10T00:00:00"/>
    <n v="7162"/>
    <n v="81.73"/>
    <n v="56.67"/>
    <n v="585350.26"/>
    <n v="405870.54"/>
    <n v="179479.72"/>
  </r>
  <r>
    <x v="1"/>
    <s v="Ireland"/>
    <s v="Fruits"/>
    <s v="Online"/>
    <s v="L"/>
    <s v="9/19/2016"/>
    <n v="548015487"/>
    <d v="2016-09-10T00:00:00"/>
    <n v="8815"/>
    <n v="9.33"/>
    <n v="6.92"/>
    <n v="82243.95"/>
    <n v="60999.8"/>
    <n v="21244.15"/>
  </r>
  <r>
    <x v="6"/>
    <s v="Canada"/>
    <s v="Cosmetics"/>
    <s v="Offline"/>
    <s v="M"/>
    <d v="2017-01-03T00:00:00"/>
    <n v="173540055"/>
    <s v="4/14/2017"/>
    <n v="3214"/>
    <n v="437.2"/>
    <n v="263.33"/>
    <n v="1405160.8"/>
    <n v="846342.62"/>
    <n v="558818.18000000005"/>
  </r>
  <r>
    <x v="3"/>
    <s v="Israel"/>
    <s v="Meat"/>
    <s v="Offline"/>
    <s v="C"/>
    <s v="6/21/2011"/>
    <n v="426562488"/>
    <s v="7/14/2011"/>
    <n v="8174"/>
    <n v="421.89"/>
    <n v="364.69"/>
    <n v="3448528.86"/>
    <n v="2980976.06"/>
    <n v="467552.8"/>
  </r>
  <r>
    <x v="1"/>
    <s v="Spain"/>
    <s v="Vegetables"/>
    <s v="Offline"/>
    <s v="M"/>
    <s v="4/14/2011"/>
    <n v="305569112"/>
    <d v="2011-03-06T00:00:00"/>
    <n v="3545"/>
    <n v="154.06"/>
    <n v="90.93"/>
    <n v="546142.69999999995"/>
    <n v="322346.84999999998"/>
    <n v="223795.85"/>
  </r>
  <r>
    <x v="2"/>
    <s v="Cambodia"/>
    <s v="Snacks"/>
    <s v="Online"/>
    <s v="C"/>
    <s v="5/19/2010"/>
    <n v="679358756"/>
    <s v="5/22/2010"/>
    <n v="6208"/>
    <n v="152.58000000000001"/>
    <n v="97.44"/>
    <n v="947216.64"/>
    <n v="604907.52000000002"/>
    <n v="342309.12"/>
  </r>
  <r>
    <x v="3"/>
    <s v="Iran"/>
    <s v="Household"/>
    <s v="Online"/>
    <s v="H"/>
    <d v="2011-05-03T00:00:00"/>
    <n v="237042748"/>
    <d v="2011-03-04T00:00:00"/>
    <n v="5072"/>
    <n v="668.27"/>
    <n v="502.54"/>
    <n v="3389465.44"/>
    <n v="2548882.88"/>
    <n v="840582.56"/>
  </r>
  <r>
    <x v="5"/>
    <s v="Malawi"/>
    <s v="Beverages"/>
    <s v="Offline"/>
    <s v="H"/>
    <d v="2013-10-05T00:00:00"/>
    <n v="438044917"/>
    <s v="5/17/2013"/>
    <n v="6080"/>
    <n v="47.45"/>
    <n v="31.79"/>
    <n v="288496"/>
    <n v="193283.20000000001"/>
    <n v="95212.800000000003"/>
  </r>
  <r>
    <x v="0"/>
    <s v="Haiti"/>
    <s v="Cosmetics"/>
    <s v="Online"/>
    <s v="C"/>
    <d v="2010-12-02T00:00:00"/>
    <n v="562101590"/>
    <s v="3/17/2010"/>
    <n v="7207"/>
    <n v="437.2"/>
    <n v="263.33"/>
    <n v="3150900.4"/>
    <n v="1897819.31"/>
    <n v="1253081.0900000001"/>
  </r>
  <r>
    <x v="5"/>
    <s v="Republic of the Congo"/>
    <s v="Vegetables"/>
    <s v="Offline"/>
    <s v="M"/>
    <s v="8/19/2014"/>
    <n v="859261596"/>
    <s v="9/29/2014"/>
    <n v="3456"/>
    <n v="154.06"/>
    <n v="90.93"/>
    <n v="532431.35999999999"/>
    <n v="314254.08000000002"/>
    <n v="218177.28"/>
  </r>
  <r>
    <x v="2"/>
    <s v="Sri Lanka"/>
    <s v="Snacks"/>
    <s v="Offline"/>
    <s v="C"/>
    <d v="2010-12-11T00:00:00"/>
    <n v="299886262"/>
    <d v="2010-08-12T00:00:00"/>
    <n v="1864"/>
    <n v="152.58000000000001"/>
    <n v="97.44"/>
    <n v="284409.12"/>
    <n v="181628.16"/>
    <n v="102780.96"/>
  </r>
  <r>
    <x v="3"/>
    <s v="Israel"/>
    <s v="Vegetables"/>
    <s v="Offline"/>
    <s v="M"/>
    <d v="2010-02-05T00:00:00"/>
    <n v="624649417"/>
    <s v="5/26/2010"/>
    <n v="6498"/>
    <n v="154.06"/>
    <n v="90.93"/>
    <n v="1001081.88"/>
    <n v="590863.14"/>
    <n v="410218.74"/>
  </r>
  <r>
    <x v="3"/>
    <s v="Pakistan"/>
    <s v="Fruits"/>
    <s v="Online"/>
    <s v="C"/>
    <s v="6/27/2010"/>
    <n v="494537389"/>
    <s v="7/31/2010"/>
    <n v="3458"/>
    <n v="9.33"/>
    <n v="6.92"/>
    <n v="32263.14"/>
    <n v="23929.360000000001"/>
    <n v="8333.7800000000007"/>
  </r>
  <r>
    <x v="5"/>
    <s v="Swaziland"/>
    <s v="Baby Food"/>
    <s v="Online"/>
    <s v="L"/>
    <s v="8/15/2013"/>
    <n v="440849006"/>
    <s v="9/24/2013"/>
    <n v="5872"/>
    <n v="255.28"/>
    <n v="159.41999999999999"/>
    <n v="1499004.16"/>
    <n v="936114.24"/>
    <n v="562889.92000000004"/>
  </r>
  <r>
    <x v="5"/>
    <s v="Ethiopia"/>
    <s v="Snacks"/>
    <s v="Offline"/>
    <s v="M"/>
    <d v="2015-11-07T00:00:00"/>
    <n v="615195596"/>
    <s v="8/24/2015"/>
    <n v="8903"/>
    <n v="152.58000000000001"/>
    <n v="97.44"/>
    <n v="1358419.74"/>
    <n v="867508.32"/>
    <n v="490911.42"/>
  </r>
  <r>
    <x v="5"/>
    <s v="Ethiopia"/>
    <s v="Baby Food"/>
    <s v="Offline"/>
    <s v="L"/>
    <d v="2016-02-11T00:00:00"/>
    <n v="339500987"/>
    <d v="2016-05-12T00:00:00"/>
    <n v="4741"/>
    <n v="255.28"/>
    <n v="159.41999999999999"/>
    <n v="1210282.48"/>
    <n v="755810.22"/>
    <n v="454472.26"/>
  </r>
  <r>
    <x v="5"/>
    <s v="Equatorial Guinea"/>
    <s v="Clothes"/>
    <s v="Online"/>
    <s v="H"/>
    <d v="2011-09-09T00:00:00"/>
    <n v="356001508"/>
    <s v="9/17/2011"/>
    <n v="7612"/>
    <n v="109.28"/>
    <n v="35.840000000000003"/>
    <n v="831839.36"/>
    <n v="272814.08000000002"/>
    <n v="559025.28"/>
  </r>
  <r>
    <x v="4"/>
    <s v="Marshall Islands"/>
    <s v="Baby Food"/>
    <s v="Online"/>
    <s v="H"/>
    <s v="3/18/2014"/>
    <n v="577245986"/>
    <s v="3/27/2014"/>
    <n v="8770"/>
    <n v="255.28"/>
    <n v="159.41999999999999"/>
    <n v="2238805.6"/>
    <n v="1398113.4"/>
    <n v="840692.2"/>
  </r>
  <r>
    <x v="1"/>
    <s v="Slovakia"/>
    <s v="Snacks"/>
    <s v="Offline"/>
    <s v="C"/>
    <s v="11/16/2016"/>
    <n v="536095750"/>
    <s v="12/26/2016"/>
    <n v="1500"/>
    <n v="152.58000000000001"/>
    <n v="97.44"/>
    <n v="228870"/>
    <n v="146160"/>
    <n v="82710"/>
  </r>
  <r>
    <x v="5"/>
    <s v="Tanzania"/>
    <s v="Fruits"/>
    <s v="Offline"/>
    <s v="C"/>
    <d v="2017-05-01T00:00:00"/>
    <n v="735724627"/>
    <s v="2/15/2017"/>
    <n v="6122"/>
    <n v="9.33"/>
    <n v="6.92"/>
    <n v="57118.26"/>
    <n v="42364.24"/>
    <n v="14754.02"/>
  </r>
  <r>
    <x v="0"/>
    <s v="The Bahamas"/>
    <s v="Beverages"/>
    <s v="Online"/>
    <s v="L"/>
    <d v="2013-04-01T00:00:00"/>
    <n v="399618947"/>
    <s v="1/19/2013"/>
    <n v="4982"/>
    <n v="47.45"/>
    <n v="31.79"/>
    <n v="236395.9"/>
    <n v="158377.78"/>
    <n v="78018.12"/>
  </r>
  <r>
    <x v="1"/>
    <s v="Armenia"/>
    <s v="Household"/>
    <s v="Offline"/>
    <s v="L"/>
    <d v="2015-09-09T00:00:00"/>
    <n v="621577537"/>
    <s v="9/16/2015"/>
    <n v="7461"/>
    <n v="668.27"/>
    <n v="502.54"/>
    <n v="4985962.47"/>
    <n v="3749450.94"/>
    <n v="1236511.53"/>
  </r>
  <r>
    <x v="5"/>
    <s v="Eritrea"/>
    <s v="Cosmetics"/>
    <s v="Online"/>
    <s v="H"/>
    <s v="3/17/2014"/>
    <n v="315711724"/>
    <d v="2014-08-04T00:00:00"/>
    <n v="4970"/>
    <n v="437.2"/>
    <n v="263.33"/>
    <n v="2172884"/>
    <n v="1308750.1000000001"/>
    <n v="864133.9"/>
  </r>
  <r>
    <x v="2"/>
    <s v="India"/>
    <s v="Cosmetics"/>
    <s v="Online"/>
    <s v="H"/>
    <s v="2/24/2010"/>
    <n v="266445338"/>
    <s v="2/28/2010"/>
    <n v="5951"/>
    <n v="437.2"/>
    <n v="263.33"/>
    <n v="2601777.2000000002"/>
    <n v="1567076.83"/>
    <n v="1034700.37"/>
  </r>
  <r>
    <x v="2"/>
    <s v="Philippines"/>
    <s v="Beverages"/>
    <s v="Offline"/>
    <s v="C"/>
    <s v="9/29/2013"/>
    <n v="878514707"/>
    <d v="2013-11-10T00:00:00"/>
    <n v="879"/>
    <n v="47.45"/>
    <n v="31.79"/>
    <n v="41708.550000000003"/>
    <n v="27943.41"/>
    <n v="13765.14"/>
  </r>
  <r>
    <x v="1"/>
    <s v="Bulgaria"/>
    <s v="Cosmetics"/>
    <s v="Offline"/>
    <s v="H"/>
    <d v="2017-06-05T00:00:00"/>
    <n v="826968657"/>
    <s v="6/15/2017"/>
    <n v="7258"/>
    <n v="437.2"/>
    <n v="263.33"/>
    <n v="3173197.6"/>
    <n v="1911249.14"/>
    <n v="1261948.46"/>
  </r>
  <r>
    <x v="5"/>
    <s v="Zimbabwe"/>
    <s v="Cereal"/>
    <s v="Offline"/>
    <s v="L"/>
    <s v="5/18/2014"/>
    <n v="207168519"/>
    <d v="2014-06-07T00:00:00"/>
    <n v="4623"/>
    <n v="205.7"/>
    <n v="117.11"/>
    <n v="950951.1"/>
    <n v="541399.53"/>
    <n v="409551.57"/>
  </r>
  <r>
    <x v="0"/>
    <s v="Antigua and Barbuda "/>
    <s v="Baby Food"/>
    <s v="Online"/>
    <s v="L"/>
    <d v="2010-07-09T00:00:00"/>
    <n v="984788119"/>
    <d v="2010-11-10T00:00:00"/>
    <n v="9544"/>
    <n v="255.28"/>
    <n v="159.41999999999999"/>
    <n v="2436392.3199999998"/>
    <n v="1521504.48"/>
    <n v="914887.84"/>
  </r>
  <r>
    <x v="5"/>
    <s v="Gabon"/>
    <s v="Cosmetics"/>
    <s v="Offline"/>
    <s v="M"/>
    <d v="2013-06-03T00:00:00"/>
    <n v="245813786"/>
    <d v="2013-12-03T00:00:00"/>
    <n v="617"/>
    <n v="437.2"/>
    <n v="263.33"/>
    <n v="269752.40000000002"/>
    <n v="162474.60999999999"/>
    <n v="107277.79"/>
  </r>
  <r>
    <x v="1"/>
    <s v="Montenegro"/>
    <s v="Household"/>
    <s v="Offline"/>
    <s v="L"/>
    <s v="11/25/2010"/>
    <n v="546544349"/>
    <d v="2010-12-12T00:00:00"/>
    <n v="3473"/>
    <n v="668.27"/>
    <n v="502.54"/>
    <n v="2320901.71"/>
    <n v="1745321.42"/>
    <n v="575580.29"/>
  </r>
  <r>
    <x v="1"/>
    <s v="Luxembourg"/>
    <s v="Household"/>
    <s v="Offline"/>
    <s v="C"/>
    <d v="2016-05-09T00:00:00"/>
    <n v="463591134"/>
    <d v="2016-01-10T00:00:00"/>
    <n v="5773"/>
    <n v="668.27"/>
    <n v="502.54"/>
    <n v="3857922.71"/>
    <n v="2901163.42"/>
    <n v="956759.29"/>
  </r>
  <r>
    <x v="5"/>
    <s v="Sudan"/>
    <s v="Baby Food"/>
    <s v="Offline"/>
    <s v="H"/>
    <d v="2010-02-05T00:00:00"/>
    <n v="443877971"/>
    <d v="2010-06-06T00:00:00"/>
    <n v="2210"/>
    <n v="255.28"/>
    <n v="159.41999999999999"/>
    <n v="564168.80000000005"/>
    <n v="352318.2"/>
    <n v="211850.6"/>
  </r>
  <r>
    <x v="4"/>
    <s v="Marshall Islands"/>
    <s v="Household"/>
    <s v="Online"/>
    <s v="M"/>
    <d v="2010-07-08T00:00:00"/>
    <n v="554641187"/>
    <s v="8/13/2010"/>
    <n v="9507"/>
    <n v="668.27"/>
    <n v="502.54"/>
    <n v="6353242.8899999997"/>
    <n v="4777647.78"/>
    <n v="1575595.11"/>
  </r>
  <r>
    <x v="2"/>
    <s v="Malaysia"/>
    <s v="Meat"/>
    <s v="Offline"/>
    <s v="M"/>
    <s v="10/14/2010"/>
    <n v="933429610"/>
    <s v="11/28/2010"/>
    <n v="1419"/>
    <n v="421.89"/>
    <n v="364.69"/>
    <n v="598661.91"/>
    <n v="517495.11"/>
    <n v="81166.8"/>
  </r>
  <r>
    <x v="0"/>
    <s v="Saint Kitts and Nevis "/>
    <s v="Cosmetics"/>
    <s v="Offline"/>
    <s v="H"/>
    <s v="10/31/2012"/>
    <n v="438104569"/>
    <s v="11/13/2012"/>
    <n v="3733"/>
    <n v="437.2"/>
    <n v="263.33"/>
    <n v="1632067.6"/>
    <n v="983010.89"/>
    <n v="649056.71"/>
  </r>
  <r>
    <x v="1"/>
    <s v="Macedonia"/>
    <s v="Office Supplies"/>
    <s v="Offline"/>
    <s v="C"/>
    <s v="12/17/2015"/>
    <n v="696839892"/>
    <d v="2016-02-01T00:00:00"/>
    <n v="9264"/>
    <n v="651.21"/>
    <n v="524.96"/>
    <n v="6032809.4400000004"/>
    <n v="4863229.4400000004"/>
    <n v="1169580"/>
  </r>
  <r>
    <x v="2"/>
    <s v="Kyrgyzstan"/>
    <s v="Clothes"/>
    <s v="Offline"/>
    <s v="H"/>
    <s v="11/16/2012"/>
    <n v="258121907"/>
    <d v="2012-06-12T00:00:00"/>
    <n v="2863"/>
    <n v="109.28"/>
    <n v="35.840000000000003"/>
    <n v="312868.64"/>
    <n v="102609.92"/>
    <n v="210258.72"/>
  </r>
  <r>
    <x v="0"/>
    <s v="Haiti"/>
    <s v="Clothes"/>
    <s v="Online"/>
    <s v="M"/>
    <s v="4/17/2016"/>
    <n v="440749442"/>
    <s v="5/19/2016"/>
    <n v="6409"/>
    <n v="109.28"/>
    <n v="35.840000000000003"/>
    <n v="700375.52"/>
    <n v="229698.56"/>
    <n v="470676.96"/>
  </r>
  <r>
    <x v="2"/>
    <s v="Bhutan"/>
    <s v="Snacks"/>
    <s v="Offline"/>
    <s v="L"/>
    <d v="2017-08-04T00:00:00"/>
    <n v="383833825"/>
    <s v="4/25/2017"/>
    <n v="3813"/>
    <n v="152.58000000000001"/>
    <n v="97.44"/>
    <n v="581787.54"/>
    <n v="371538.72"/>
    <n v="210248.82"/>
  </r>
  <r>
    <x v="0"/>
    <s v="Belize"/>
    <s v="Vegetables"/>
    <s v="Online"/>
    <s v="L"/>
    <s v="9/15/2011"/>
    <n v="196798884"/>
    <s v="10/21/2011"/>
    <n v="6018"/>
    <n v="154.06"/>
    <n v="90.93"/>
    <n v="927133.08"/>
    <n v="547216.74"/>
    <n v="379916.34"/>
  </r>
  <r>
    <x v="1"/>
    <s v="United Kingdom"/>
    <s v="Personal Care"/>
    <s v="Offline"/>
    <s v="M"/>
    <s v="9/22/2011"/>
    <n v="509380948"/>
    <s v="9/27/2011"/>
    <n v="5997"/>
    <n v="81.73"/>
    <n v="56.67"/>
    <n v="490134.81"/>
    <n v="339849.99"/>
    <n v="150284.82"/>
  </r>
  <r>
    <x v="1"/>
    <s v="Russia"/>
    <s v="Clothes"/>
    <s v="Offline"/>
    <s v="M"/>
    <s v="7/28/2011"/>
    <n v="221628844"/>
    <d v="2011-01-09T00:00:00"/>
    <n v="3755"/>
    <n v="109.28"/>
    <n v="35.840000000000003"/>
    <n v="410346.4"/>
    <n v="134579.20000000001"/>
    <n v="275767.2"/>
  </r>
  <r>
    <x v="5"/>
    <s v="Zimbabwe"/>
    <s v="Beverages"/>
    <s v="Offline"/>
    <s v="H"/>
    <s v="2/18/2014"/>
    <n v="553903901"/>
    <d v="2014-06-04T00:00:00"/>
    <n v="1328"/>
    <n v="47.45"/>
    <n v="31.79"/>
    <n v="63013.599999999999"/>
    <n v="42217.120000000003"/>
    <n v="20796.48"/>
  </r>
  <r>
    <x v="5"/>
    <s v="Equatorial Guinea"/>
    <s v="Cosmetics"/>
    <s v="Offline"/>
    <s v="C"/>
    <d v="2012-05-01T00:00:00"/>
    <n v="996879947"/>
    <d v="2012-05-01T00:00:00"/>
    <n v="7784"/>
    <n v="437.2"/>
    <n v="263.33"/>
    <n v="3403164.8"/>
    <n v="2049760.72"/>
    <n v="1353404.08"/>
  </r>
  <r>
    <x v="5"/>
    <s v="Cote d'Ivoire"/>
    <s v="Office Supplies"/>
    <s v="Offline"/>
    <s v="H"/>
    <d v="2014-01-01T00:00:00"/>
    <n v="661543309"/>
    <s v="1/20/2014"/>
    <n v="4221"/>
    <n v="651.21"/>
    <n v="524.96"/>
    <n v="2748757.41"/>
    <n v="2215856.16"/>
    <n v="532901.25"/>
  </r>
  <r>
    <x v="2"/>
    <s v="North Korea"/>
    <s v="Household"/>
    <s v="Offline"/>
    <s v="L"/>
    <s v="1/18/2011"/>
    <n v="529192817"/>
    <d v="2011-01-02T00:00:00"/>
    <n v="8769"/>
    <n v="668.27"/>
    <n v="502.54"/>
    <n v="5860059.6299999999"/>
    <n v="4406773.26"/>
    <n v="1453286.37"/>
  </r>
  <r>
    <x v="5"/>
    <s v="Guinea"/>
    <s v="Meat"/>
    <s v="Online"/>
    <s v="L"/>
    <s v="4/17/2010"/>
    <n v="301439797"/>
    <s v="4/26/2010"/>
    <n v="1590"/>
    <n v="421.89"/>
    <n v="364.69"/>
    <n v="670805.1"/>
    <n v="579857.1"/>
    <n v="90948"/>
  </r>
  <r>
    <x v="1"/>
    <s v="Estonia"/>
    <s v="Beverages"/>
    <s v="Online"/>
    <s v="H"/>
    <s v="2/29/2016"/>
    <n v="650208079"/>
    <s v="3/19/2016"/>
    <n v="9875"/>
    <n v="47.45"/>
    <n v="31.79"/>
    <n v="468568.75"/>
    <n v="313926.25"/>
    <n v="154642.5"/>
  </r>
  <r>
    <x v="2"/>
    <s v="Myanmar"/>
    <s v="Office Supplies"/>
    <s v="Offline"/>
    <s v="M"/>
    <d v="2011-08-06T00:00:00"/>
    <n v="967733991"/>
    <s v="6/28/2011"/>
    <n v="2848"/>
    <n v="651.21"/>
    <n v="524.96"/>
    <n v="1854646.08"/>
    <n v="1495086.0800000001"/>
    <n v="359560"/>
  </r>
  <r>
    <x v="5"/>
    <s v="Ghana"/>
    <s v="Household"/>
    <s v="Online"/>
    <s v="M"/>
    <d v="2014-07-01T00:00:00"/>
    <n v="716566359"/>
    <d v="2014-01-02T00:00:00"/>
    <n v="6764"/>
    <n v="668.27"/>
    <n v="502.54"/>
    <n v="4520178.28"/>
    <n v="3399180.56"/>
    <n v="1120997.72"/>
  </r>
  <r>
    <x v="4"/>
    <s v="Solomon Islands"/>
    <s v="Baby Food"/>
    <s v="Online"/>
    <s v="M"/>
    <d v="2012-09-08T00:00:00"/>
    <n v="779566514"/>
    <s v="8/22/2012"/>
    <n v="9910"/>
    <n v="255.28"/>
    <n v="159.41999999999999"/>
    <n v="2529824.7999999998"/>
    <n v="1579852.2"/>
    <n v="949972.6"/>
  </r>
  <r>
    <x v="5"/>
    <s v="Ghana"/>
    <s v="Baby Food"/>
    <s v="Offline"/>
    <s v="C"/>
    <s v="11/18/2015"/>
    <n v="309908282"/>
    <d v="2016-07-01T00:00:00"/>
    <n v="7602"/>
    <n v="255.28"/>
    <n v="159.41999999999999"/>
    <n v="1940638.56"/>
    <n v="1211910.8400000001"/>
    <n v="728727.72"/>
  </r>
  <r>
    <x v="2"/>
    <s v="Bhutan"/>
    <s v="Beverages"/>
    <s v="Online"/>
    <s v="L"/>
    <s v="11/17/2010"/>
    <n v="781077992"/>
    <d v="2010-02-12T00:00:00"/>
    <n v="7190"/>
    <n v="47.45"/>
    <n v="31.79"/>
    <n v="341165.5"/>
    <n v="228570.1"/>
    <n v="112595.4"/>
  </r>
  <r>
    <x v="2"/>
    <s v="Bhutan"/>
    <s v="Cereal"/>
    <s v="Offline"/>
    <s v="H"/>
    <s v="3/13/2012"/>
    <n v="136874473"/>
    <d v="2012-08-04T00:00:00"/>
    <n v="3053"/>
    <n v="205.7"/>
    <n v="117.11"/>
    <n v="628002.1"/>
    <n v="357536.83"/>
    <n v="270465.27"/>
  </r>
  <r>
    <x v="4"/>
    <s v="New Zealand"/>
    <s v="Meat"/>
    <s v="Online"/>
    <s v="M"/>
    <s v="10/15/2012"/>
    <n v="441409051"/>
    <s v="10/29/2012"/>
    <n v="1602"/>
    <n v="421.89"/>
    <n v="364.69"/>
    <n v="675867.78"/>
    <n v="584233.38"/>
    <n v="91634.4"/>
  </r>
  <r>
    <x v="1"/>
    <s v="Moldova "/>
    <s v="Meat"/>
    <s v="Offline"/>
    <s v="L"/>
    <s v="6/14/2010"/>
    <n v="229105556"/>
    <d v="2010-03-08T00:00:00"/>
    <n v="6280"/>
    <n v="421.89"/>
    <n v="364.69"/>
    <n v="2649469.2000000002"/>
    <n v="2290253.2000000002"/>
    <n v="359216"/>
  </r>
  <r>
    <x v="5"/>
    <s v="Swaziland"/>
    <s v="Baby Food"/>
    <s v="Offline"/>
    <s v="M"/>
    <s v="8/17/2011"/>
    <n v="354700314"/>
    <s v="8/29/2011"/>
    <n v="2560"/>
    <n v="255.28"/>
    <n v="159.41999999999999"/>
    <n v="653516.80000000005"/>
    <n v="408115.20000000001"/>
    <n v="245401.60000000001"/>
  </r>
  <r>
    <x v="3"/>
    <s v="Kuwait"/>
    <s v="Baby Food"/>
    <s v="Offline"/>
    <s v="M"/>
    <s v="6/13/2012"/>
    <n v="843242156"/>
    <d v="2012-09-07T00:00:00"/>
    <n v="2948"/>
    <n v="255.28"/>
    <n v="159.41999999999999"/>
    <n v="752565.44"/>
    <n v="469970.16"/>
    <n v="282595.28000000003"/>
  </r>
  <r>
    <x v="2"/>
    <s v="Philippines"/>
    <s v="Fruits"/>
    <s v="Offline"/>
    <s v="M"/>
    <s v="2/19/2010"/>
    <n v="440092408"/>
    <s v="3/14/2010"/>
    <n v="1978"/>
    <n v="9.33"/>
    <n v="6.92"/>
    <n v="18454.740000000002"/>
    <n v="13687.76"/>
    <n v="4766.9799999999996"/>
  </r>
  <r>
    <x v="5"/>
    <s v="Equatorial Guinea"/>
    <s v="Clothes"/>
    <s v="Online"/>
    <s v="C"/>
    <s v="4/25/2014"/>
    <n v="660924899"/>
    <s v="5/21/2014"/>
    <n v="1220"/>
    <n v="109.28"/>
    <n v="35.840000000000003"/>
    <n v="133321.60000000001"/>
    <n v="43724.800000000003"/>
    <n v="89596.800000000003"/>
  </r>
  <r>
    <x v="2"/>
    <s v="Vietnam"/>
    <s v="Baby Food"/>
    <s v="Online"/>
    <s v="C"/>
    <s v="12/18/2012"/>
    <n v="841725957"/>
    <d v="2013-08-01T00:00:00"/>
    <n v="4271"/>
    <n v="255.28"/>
    <n v="159.41999999999999"/>
    <n v="1090300.8799999999"/>
    <n v="680882.82"/>
    <n v="409418.06"/>
  </r>
  <r>
    <x v="5"/>
    <s v="Djibouti"/>
    <s v="Clothes"/>
    <s v="Online"/>
    <s v="H"/>
    <s v="1/24/2014"/>
    <n v="388794410"/>
    <s v="2/24/2014"/>
    <n v="1761"/>
    <n v="109.28"/>
    <n v="35.840000000000003"/>
    <n v="192442.08"/>
    <n v="63114.239999999998"/>
    <n v="129327.84"/>
  </r>
  <r>
    <x v="5"/>
    <s v="Mauritius "/>
    <s v="Meat"/>
    <s v="Offline"/>
    <s v="C"/>
    <d v="2011-04-07T00:00:00"/>
    <n v="128741586"/>
    <s v="8/18/2011"/>
    <n v="6351"/>
    <n v="421.89"/>
    <n v="364.69"/>
    <n v="2679423.39"/>
    <n v="2316146.19"/>
    <n v="363277.2"/>
  </r>
  <r>
    <x v="2"/>
    <s v="Philippines"/>
    <s v="Snacks"/>
    <s v="Offline"/>
    <s v="L"/>
    <d v="2011-12-08T00:00:00"/>
    <n v="958491313"/>
    <s v="9/18/2011"/>
    <n v="7734"/>
    <n v="152.58000000000001"/>
    <n v="97.44"/>
    <n v="1180053.72"/>
    <n v="753600.96"/>
    <n v="426452.76"/>
  </r>
  <r>
    <x v="3"/>
    <s v="Iran"/>
    <s v="Baby Food"/>
    <s v="Online"/>
    <s v="H"/>
    <d v="2014-10-03T00:00:00"/>
    <n v="695279920"/>
    <s v="4/26/2014"/>
    <n v="7634"/>
    <n v="255.28"/>
    <n v="159.41999999999999"/>
    <n v="1948807.52"/>
    <n v="1217012.28"/>
    <n v="731795.24"/>
  </r>
  <r>
    <x v="2"/>
    <s v="China"/>
    <s v="Meat"/>
    <s v="Online"/>
    <s v="H"/>
    <d v="2016-01-05T00:00:00"/>
    <n v="826656234"/>
    <d v="2016-01-05T00:00:00"/>
    <n v="4805"/>
    <n v="421.89"/>
    <n v="364.69"/>
    <n v="2027181.45"/>
    <n v="1752335.45"/>
    <n v="274846"/>
  </r>
  <r>
    <x v="1"/>
    <s v="Ukraine"/>
    <s v="Office Supplies"/>
    <s v="Offline"/>
    <s v="M"/>
    <d v="2016-11-03T00:00:00"/>
    <n v="660481584"/>
    <s v="4/20/2016"/>
    <n v="33"/>
    <n v="651.21"/>
    <n v="524.96"/>
    <n v="21489.93"/>
    <n v="17323.68"/>
    <n v="4166.25"/>
  </r>
  <r>
    <x v="4"/>
    <s v="Australia"/>
    <s v="Cereal"/>
    <s v="Offline"/>
    <s v="L"/>
    <d v="2016-11-10T00:00:00"/>
    <n v="474929797"/>
    <s v="11/22/2016"/>
    <n v="1136"/>
    <n v="205.7"/>
    <n v="117.11"/>
    <n v="233675.2"/>
    <n v="133036.96"/>
    <n v="100638.24"/>
  </r>
  <r>
    <x v="1"/>
    <s v="Kosovo"/>
    <s v="Office Supplies"/>
    <s v="Offline"/>
    <s v="H"/>
    <d v="2014-03-08T00:00:00"/>
    <n v="168487203"/>
    <s v="9/21/2014"/>
    <n v="7962"/>
    <n v="651.21"/>
    <n v="524.96"/>
    <n v="5184934.0199999996"/>
    <n v="4179731.52"/>
    <n v="1005202.5"/>
  </r>
  <r>
    <x v="1"/>
    <s v="Russia"/>
    <s v="Meat"/>
    <s v="Online"/>
    <s v="M"/>
    <s v="12/20/2010"/>
    <n v="609952628"/>
    <s v="1/31/2011"/>
    <n v="7392"/>
    <n v="421.89"/>
    <n v="364.69"/>
    <n v="3118610.88"/>
    <n v="2695788.48"/>
    <n v="422822.40000000002"/>
  </r>
  <r>
    <x v="0"/>
    <s v="Grenada"/>
    <s v="Fruits"/>
    <s v="Online"/>
    <s v="M"/>
    <s v="11/29/2015"/>
    <n v="488437402"/>
    <d v="2015-12-12T00:00:00"/>
    <n v="8336"/>
    <n v="9.33"/>
    <n v="6.92"/>
    <n v="77774.880000000005"/>
    <n v="57685.120000000003"/>
    <n v="20089.759999999998"/>
  </r>
  <r>
    <x v="0"/>
    <s v="Grenada"/>
    <s v="Household"/>
    <s v="Offline"/>
    <s v="H"/>
    <s v="12/17/2013"/>
    <n v="363365352"/>
    <d v="2014-01-02T00:00:00"/>
    <n v="6737"/>
    <n v="668.27"/>
    <n v="502.54"/>
    <n v="4502134.99"/>
    <n v="3385611.98"/>
    <n v="1116523.01"/>
  </r>
  <r>
    <x v="3"/>
    <s v="Kuwait"/>
    <s v="Fruits"/>
    <s v="Offline"/>
    <s v="C"/>
    <s v="6/13/2013"/>
    <n v="414472806"/>
    <s v="7/17/2013"/>
    <n v="569"/>
    <n v="9.33"/>
    <n v="6.92"/>
    <n v="5308.77"/>
    <n v="3937.48"/>
    <n v="1371.29"/>
  </r>
  <r>
    <x v="1"/>
    <s v="Slovakia"/>
    <s v="Baby Food"/>
    <s v="Offline"/>
    <s v="H"/>
    <s v="5/30/2012"/>
    <n v="891808593"/>
    <d v="2012-11-06T00:00:00"/>
    <n v="4835"/>
    <n v="255.28"/>
    <n v="159.41999999999999"/>
    <n v="1234278.8"/>
    <n v="770795.7"/>
    <n v="463483.1"/>
  </r>
  <r>
    <x v="1"/>
    <s v="San Marino"/>
    <s v="Fruits"/>
    <s v="Online"/>
    <s v="L"/>
    <d v="2017-10-07T00:00:00"/>
    <n v="765734040"/>
    <d v="2017-04-08T00:00:00"/>
    <n v="6574"/>
    <n v="9.33"/>
    <n v="6.92"/>
    <n v="61335.42"/>
    <n v="45492.08"/>
    <n v="15843.34"/>
  </r>
  <r>
    <x v="0"/>
    <s v="The Bahamas"/>
    <s v="Clothes"/>
    <s v="Online"/>
    <s v="H"/>
    <d v="2010-08-01T00:00:00"/>
    <n v="876922976"/>
    <s v="1/17/2010"/>
    <n v="9851"/>
    <n v="109.28"/>
    <n v="35.840000000000003"/>
    <n v="1076517.28"/>
    <n v="353059.84000000003"/>
    <n v="723457.44"/>
  </r>
  <r>
    <x v="4"/>
    <s v="Vanuatu"/>
    <s v="Beverages"/>
    <s v="Online"/>
    <s v="L"/>
    <s v="1/23/2010"/>
    <n v="786361730"/>
    <d v="2010-03-02T00:00:00"/>
    <n v="765"/>
    <n v="47.45"/>
    <n v="31.79"/>
    <n v="36299.25"/>
    <n v="24319.35"/>
    <n v="11979.9"/>
  </r>
  <r>
    <x v="1"/>
    <s v="San Marino"/>
    <s v="Cereal"/>
    <s v="Offline"/>
    <s v="L"/>
    <s v="5/18/2012"/>
    <n v="125349128"/>
    <d v="2012-06-06T00:00:00"/>
    <n v="2447"/>
    <n v="205.7"/>
    <n v="117.11"/>
    <n v="503347.9"/>
    <n v="286568.17"/>
    <n v="216779.73"/>
  </r>
  <r>
    <x v="0"/>
    <s v="The Bahamas"/>
    <s v="Personal Care"/>
    <s v="Online"/>
    <s v="M"/>
    <d v="2012-01-10T00:00:00"/>
    <n v="845496499"/>
    <d v="2012-02-11T00:00:00"/>
    <n v="58"/>
    <n v="81.73"/>
    <n v="56.67"/>
    <n v="4740.34"/>
    <n v="3286.86"/>
    <n v="1453.48"/>
  </r>
  <r>
    <x v="3"/>
    <s v="Israel"/>
    <s v="Household"/>
    <s v="Offline"/>
    <s v="L"/>
    <s v="10/27/2011"/>
    <n v="468727672"/>
    <d v="2011-04-12T00:00:00"/>
    <n v="5789"/>
    <n v="668.27"/>
    <n v="502.54"/>
    <n v="3868615.03"/>
    <n v="2909204.06"/>
    <n v="959410.97"/>
  </r>
  <r>
    <x v="3"/>
    <s v="Lebanon"/>
    <s v="Office Supplies"/>
    <s v="Offline"/>
    <s v="H"/>
    <s v="4/18/2011"/>
    <n v="637278974"/>
    <s v="5/26/2011"/>
    <n v="3865"/>
    <n v="651.21"/>
    <n v="524.96"/>
    <n v="2516926.65"/>
    <n v="2028970.4"/>
    <n v="487956.25"/>
  </r>
  <r>
    <x v="5"/>
    <s v="Sao Tome and Principe"/>
    <s v="Cereal"/>
    <s v="Online"/>
    <s v="M"/>
    <s v="2/26/2010"/>
    <n v="363699233"/>
    <s v="3/20/2010"/>
    <n v="5540"/>
    <n v="205.7"/>
    <n v="117.11"/>
    <n v="1139578"/>
    <n v="648789.4"/>
    <n v="490788.6"/>
  </r>
  <r>
    <x v="3"/>
    <s v="Somalia"/>
    <s v="Office Supplies"/>
    <s v="Online"/>
    <s v="M"/>
    <d v="2016-09-01T00:00:00"/>
    <n v="980849778"/>
    <s v="2/21/2016"/>
    <n v="4101"/>
    <n v="651.21"/>
    <n v="524.96"/>
    <n v="2670612.21"/>
    <n v="2152860.96"/>
    <n v="517751.25"/>
  </r>
  <r>
    <x v="5"/>
    <s v="Tanzania"/>
    <s v="Personal Care"/>
    <s v="Offline"/>
    <s v="L"/>
    <s v="1/29/2011"/>
    <n v="291904437"/>
    <d v="2011-11-03T00:00:00"/>
    <n v="9865"/>
    <n v="81.73"/>
    <n v="56.67"/>
    <n v="806266.45"/>
    <n v="559049.55000000005"/>
    <n v="247216.9"/>
  </r>
  <r>
    <x v="3"/>
    <s v="Oman"/>
    <s v="Cosmetics"/>
    <s v="Online"/>
    <s v="L"/>
    <d v="2016-07-06T00:00:00"/>
    <n v="220349538"/>
    <s v="6/29/2016"/>
    <n v="5180"/>
    <n v="437.2"/>
    <n v="263.33"/>
    <n v="2264696"/>
    <n v="1364049.4"/>
    <n v="900646.6"/>
  </r>
  <r>
    <x v="2"/>
    <s v="Bangladesh"/>
    <s v="Cosmetics"/>
    <s v="Offline"/>
    <s v="C"/>
    <d v="2012-11-08T00:00:00"/>
    <n v="959983909"/>
    <d v="2012-07-09T00:00:00"/>
    <n v="9426"/>
    <n v="437.2"/>
    <n v="263.33"/>
    <n v="4121047.2"/>
    <n v="2482148.58"/>
    <n v="1638898.62"/>
  </r>
  <r>
    <x v="4"/>
    <s v="Kiribati"/>
    <s v="Cereal"/>
    <s v="Online"/>
    <s v="C"/>
    <s v="6/28/2011"/>
    <n v="524918878"/>
    <d v="2011-12-07T00:00:00"/>
    <n v="4016"/>
    <n v="205.7"/>
    <n v="117.11"/>
    <n v="826091.2"/>
    <n v="470313.76"/>
    <n v="355777.44"/>
  </r>
  <r>
    <x v="2"/>
    <s v="Nepal"/>
    <s v="Household"/>
    <s v="Offline"/>
    <s v="H"/>
    <s v="8/29/2014"/>
    <n v="599578273"/>
    <s v="9/24/2014"/>
    <n v="7390"/>
    <n v="668.27"/>
    <n v="502.54"/>
    <n v="4938515.3"/>
    <n v="3713770.6"/>
    <n v="1224744.7"/>
  </r>
  <r>
    <x v="1"/>
    <s v="Netherlands"/>
    <s v="Vegetables"/>
    <s v="Offline"/>
    <s v="H"/>
    <d v="2017-12-03T00:00:00"/>
    <n v="688698422"/>
    <d v="2017-01-04T00:00:00"/>
    <n v="22"/>
    <n v="154.06"/>
    <n v="90.93"/>
    <n v="3389.32"/>
    <n v="2000.46"/>
    <n v="1388.86"/>
  </r>
  <r>
    <x v="1"/>
    <s v="France"/>
    <s v="Household"/>
    <s v="Online"/>
    <s v="L"/>
    <s v="6/16/2011"/>
    <n v="367328155"/>
    <s v="7/30/2011"/>
    <n v="9419"/>
    <n v="668.27"/>
    <n v="502.54"/>
    <n v="6294435.1299999999"/>
    <n v="4733424.26"/>
    <n v="1561010.87"/>
  </r>
  <r>
    <x v="2"/>
    <s v="North Korea"/>
    <s v="Snacks"/>
    <s v="Online"/>
    <s v="L"/>
    <d v="2013-01-08T00:00:00"/>
    <n v="630828797"/>
    <d v="2013-05-08T00:00:00"/>
    <n v="5114"/>
    <n v="152.58000000000001"/>
    <n v="97.44"/>
    <n v="780294.12"/>
    <n v="498308.16"/>
    <n v="281985.96000000002"/>
  </r>
  <r>
    <x v="3"/>
    <s v="Jordan"/>
    <s v="Fruits"/>
    <s v="Online"/>
    <s v="H"/>
    <d v="2014-11-04T00:00:00"/>
    <n v="744874179"/>
    <d v="2014-11-04T00:00:00"/>
    <n v="3677"/>
    <n v="9.33"/>
    <n v="6.92"/>
    <n v="34306.410000000003"/>
    <n v="25444.84"/>
    <n v="8861.57"/>
  </r>
  <r>
    <x v="1"/>
    <s v="Belgium"/>
    <s v="Cereal"/>
    <s v="Offline"/>
    <s v="L"/>
    <s v="11/14/2012"/>
    <n v="495450627"/>
    <s v="12/26/2012"/>
    <n v="3705"/>
    <n v="205.7"/>
    <n v="117.11"/>
    <n v="762118.5"/>
    <n v="433892.55"/>
    <n v="328225.95"/>
  </r>
  <r>
    <x v="1"/>
    <s v="Belarus"/>
    <s v="Personal Care"/>
    <s v="Online"/>
    <s v="M"/>
    <s v="7/24/2013"/>
    <n v="638856971"/>
    <s v="8/21/2013"/>
    <n v="829"/>
    <n v="81.73"/>
    <n v="56.67"/>
    <n v="67754.17"/>
    <n v="46979.43"/>
    <n v="20774.740000000002"/>
  </r>
  <r>
    <x v="4"/>
    <s v="Tonga"/>
    <s v="Household"/>
    <s v="Online"/>
    <s v="H"/>
    <d v="2014-09-01T00:00:00"/>
    <n v="651704537"/>
    <s v="1/30/2014"/>
    <n v="2710"/>
    <n v="668.27"/>
    <n v="502.54"/>
    <n v="1811011.7"/>
    <n v="1361883.4"/>
    <n v="449128.3"/>
  </r>
  <r>
    <x v="0"/>
    <s v="Dominica"/>
    <s v="Meat"/>
    <s v="Offline"/>
    <s v="C"/>
    <s v="10/17/2016"/>
    <n v="980917155"/>
    <d v="2016-08-11T00:00:00"/>
    <n v="4039"/>
    <n v="421.89"/>
    <n v="364.69"/>
    <n v="1704013.71"/>
    <n v="1472982.91"/>
    <n v="231030.8"/>
  </r>
  <r>
    <x v="3"/>
    <s v="Iran"/>
    <s v="Household"/>
    <s v="Offline"/>
    <s v="C"/>
    <s v="4/29/2010"/>
    <n v="793731153"/>
    <d v="2010-12-06T00:00:00"/>
    <n v="1541"/>
    <n v="668.27"/>
    <n v="502.54"/>
    <n v="1029804.07"/>
    <n v="774414.14"/>
    <n v="255389.93"/>
  </r>
  <r>
    <x v="3"/>
    <s v="Somalia"/>
    <s v="Vegetables"/>
    <s v="Online"/>
    <s v="M"/>
    <s v="8/20/2010"/>
    <n v="227695357"/>
    <s v="9/28/2010"/>
    <n v="8971"/>
    <n v="154.06"/>
    <n v="90.93"/>
    <n v="1382072.26"/>
    <n v="815733.03"/>
    <n v="566339.23"/>
  </r>
  <r>
    <x v="3"/>
    <s v="Azerbaijan"/>
    <s v="Baby Food"/>
    <s v="Offline"/>
    <s v="C"/>
    <d v="2012-05-02T00:00:00"/>
    <n v="840671098"/>
    <s v="2/27/2012"/>
    <n v="2114"/>
    <n v="255.28"/>
    <n v="159.41999999999999"/>
    <n v="539661.92000000004"/>
    <n v="337013.88"/>
    <n v="202648.04"/>
  </r>
  <r>
    <x v="5"/>
    <s v="Cameroon"/>
    <s v="Personal Care"/>
    <s v="Online"/>
    <s v="M"/>
    <d v="2013-06-12T00:00:00"/>
    <n v="660832202"/>
    <s v="1/24/2014"/>
    <n v="3789"/>
    <n v="81.73"/>
    <n v="56.67"/>
    <n v="309674.96999999997"/>
    <n v="214722.63"/>
    <n v="94952.34"/>
  </r>
  <r>
    <x v="1"/>
    <s v="Slovakia"/>
    <s v="Vegetables"/>
    <s v="Offline"/>
    <s v="M"/>
    <d v="2016-01-06T00:00:00"/>
    <n v="936664998"/>
    <d v="2016-05-07T00:00:00"/>
    <n v="8843"/>
    <n v="154.06"/>
    <n v="90.93"/>
    <n v="1362352.58"/>
    <n v="804093.99"/>
    <n v="558258.59"/>
  </r>
  <r>
    <x v="0"/>
    <s v="El Salvador"/>
    <s v="Cereal"/>
    <s v="Online"/>
    <s v="M"/>
    <s v="2/13/2017"/>
    <n v="286968314"/>
    <s v="3/19/2017"/>
    <n v="9156"/>
    <n v="205.7"/>
    <n v="117.11"/>
    <n v="1883389.2"/>
    <n v="1072259.1599999999"/>
    <n v="811130.04"/>
  </r>
  <r>
    <x v="4"/>
    <s v="Palau"/>
    <s v="Baby Food"/>
    <s v="Online"/>
    <s v="M"/>
    <d v="2014-02-09T00:00:00"/>
    <n v="550853478"/>
    <s v="9/18/2014"/>
    <n v="8640"/>
    <n v="255.28"/>
    <n v="159.41999999999999"/>
    <n v="2205619.2000000002"/>
    <n v="1377388.8"/>
    <n v="828230.4"/>
  </r>
  <r>
    <x v="5"/>
    <s v="Uganda"/>
    <s v="Clothes"/>
    <s v="Offline"/>
    <s v="M"/>
    <s v="7/18/2012"/>
    <n v="937744319"/>
    <s v="8/26/2012"/>
    <n v="8238"/>
    <n v="109.28"/>
    <n v="35.840000000000003"/>
    <n v="900248.64"/>
    <n v="295249.91999999998"/>
    <n v="604998.72"/>
  </r>
  <r>
    <x v="0"/>
    <s v="Saint Kitts and Nevis "/>
    <s v="Fruits"/>
    <s v="Offline"/>
    <s v="C"/>
    <s v="4/17/2015"/>
    <n v="277377164"/>
    <d v="2015-07-05T00:00:00"/>
    <n v="922"/>
    <n v="9.33"/>
    <n v="6.92"/>
    <n v="8602.26"/>
    <n v="6380.24"/>
    <n v="2222.02"/>
  </r>
  <r>
    <x v="5"/>
    <s v="Guinea-Bissau"/>
    <s v="Baby Food"/>
    <s v="Online"/>
    <s v="C"/>
    <s v="2/27/2017"/>
    <n v="169800841"/>
    <s v="3/19/2017"/>
    <n v="6697"/>
    <n v="255.28"/>
    <n v="159.41999999999999"/>
    <n v="1709610.16"/>
    <n v="1067635.74"/>
    <n v="641974.42000000004"/>
  </r>
  <r>
    <x v="5"/>
    <s v="Mauritania"/>
    <s v="Beverages"/>
    <s v="Online"/>
    <s v="L"/>
    <s v="6/17/2013"/>
    <n v="935376679"/>
    <s v="6/27/2013"/>
    <n v="7600"/>
    <n v="47.45"/>
    <n v="31.79"/>
    <n v="360620"/>
    <n v="241604"/>
    <n v="119016"/>
  </r>
  <r>
    <x v="0"/>
    <s v="Saint Kitts and Nevis "/>
    <s v="Cosmetics"/>
    <s v="Offline"/>
    <s v="H"/>
    <d v="2011-08-12T00:00:00"/>
    <n v="264778506"/>
    <s v="1/27/2012"/>
    <n v="2699"/>
    <n v="437.2"/>
    <n v="263.33"/>
    <n v="1180002.8"/>
    <n v="710727.67"/>
    <n v="469275.13"/>
  </r>
  <r>
    <x v="2"/>
    <s v="Indonesia"/>
    <s v="Household"/>
    <s v="Offline"/>
    <s v="L"/>
    <s v="10/25/2013"/>
    <n v="868992650"/>
    <d v="2013-05-11T00:00:00"/>
    <n v="3091"/>
    <n v="668.27"/>
    <n v="502.54"/>
    <n v="2065622.57"/>
    <n v="1553351.14"/>
    <n v="512271.43"/>
  </r>
  <r>
    <x v="3"/>
    <s v="Egypt"/>
    <s v="Vegetables"/>
    <s v="Offline"/>
    <s v="H"/>
    <s v="1/15/2010"/>
    <n v="129317939"/>
    <s v="1/22/2010"/>
    <n v="6907"/>
    <n v="154.06"/>
    <n v="90.93"/>
    <n v="1064092.42"/>
    <n v="628053.51"/>
    <n v="436038.91"/>
  </r>
  <r>
    <x v="2"/>
    <s v="Sri Lanka"/>
    <s v="Beverages"/>
    <s v="Online"/>
    <s v="H"/>
    <s v="4/30/2015"/>
    <n v="447365701"/>
    <d v="2015-12-05T00:00:00"/>
    <n v="4307"/>
    <n v="47.45"/>
    <n v="31.79"/>
    <n v="204367.15"/>
    <n v="136919.53"/>
    <n v="67447.62"/>
  </r>
  <r>
    <x v="1"/>
    <s v="Belgium"/>
    <s v="Cosmetics"/>
    <s v="Offline"/>
    <s v="C"/>
    <s v="5/21/2011"/>
    <n v="695059764"/>
    <s v="6/29/2011"/>
    <n v="2485"/>
    <n v="437.2"/>
    <n v="263.33"/>
    <n v="1086442"/>
    <n v="654375.05000000005"/>
    <n v="432066.95"/>
  </r>
  <r>
    <x v="2"/>
    <s v="Myanmar"/>
    <s v="Clothes"/>
    <s v="Offline"/>
    <s v="H"/>
    <d v="2011-11-04T00:00:00"/>
    <n v="264636456"/>
    <s v="4/24/2011"/>
    <n v="663"/>
    <n v="109.28"/>
    <n v="35.840000000000003"/>
    <n v="72452.639999999999"/>
    <n v="23761.919999999998"/>
    <n v="48690.720000000001"/>
  </r>
  <r>
    <x v="3"/>
    <s v="Lebanon"/>
    <s v="Vegetables"/>
    <s v="Online"/>
    <s v="M"/>
    <s v="3/14/2010"/>
    <n v="418644607"/>
    <s v="3/15/2010"/>
    <n v="5097"/>
    <n v="154.06"/>
    <n v="90.93"/>
    <n v="785243.82"/>
    <n v="463470.21"/>
    <n v="321773.61"/>
  </r>
  <r>
    <x v="3"/>
    <s v="Yemen"/>
    <s v="Cosmetics"/>
    <s v="Offline"/>
    <s v="L"/>
    <s v="12/27/2011"/>
    <n v="239945542"/>
    <s v="1/25/2012"/>
    <n v="4073"/>
    <n v="437.2"/>
    <n v="263.33"/>
    <n v="1780715.6"/>
    <n v="1072543.0900000001"/>
    <n v="708172.51"/>
  </r>
  <r>
    <x v="1"/>
    <s v="Belarus"/>
    <s v="Beverages"/>
    <s v="Online"/>
    <s v="H"/>
    <d v="2010-08-03T00:00:00"/>
    <n v="681713092"/>
    <s v="3/22/2010"/>
    <n v="2908"/>
    <n v="47.45"/>
    <n v="31.79"/>
    <n v="137984.6"/>
    <n v="92445.32"/>
    <n v="45539.28"/>
  </r>
  <r>
    <x v="3"/>
    <s v="Kuwait"/>
    <s v="Snacks"/>
    <s v="Offline"/>
    <s v="H"/>
    <s v="7/15/2014"/>
    <n v="517433583"/>
    <s v="8/20/2014"/>
    <n v="8951"/>
    <n v="152.58000000000001"/>
    <n v="97.44"/>
    <n v="1365743.58"/>
    <n v="872185.44"/>
    <n v="493558.14"/>
  </r>
  <r>
    <x v="3"/>
    <s v="United Arab Emirates"/>
    <s v="Cosmetics"/>
    <s v="Offline"/>
    <s v="H"/>
    <d v="2016-05-12T00:00:00"/>
    <n v="390905845"/>
    <s v="12/15/2016"/>
    <n v="6581"/>
    <n v="437.2"/>
    <n v="263.33"/>
    <n v="2877213.2"/>
    <n v="1732974.73"/>
    <n v="1144238.47"/>
  </r>
  <r>
    <x v="5"/>
    <s v="Burkina Faso"/>
    <s v="Baby Food"/>
    <s v="Offline"/>
    <s v="L"/>
    <s v="4/23/2010"/>
    <n v="566241204"/>
    <s v="5/13/2010"/>
    <n v="2210"/>
    <n v="255.28"/>
    <n v="159.41999999999999"/>
    <n v="564168.80000000005"/>
    <n v="352318.2"/>
    <n v="211850.6"/>
  </r>
  <r>
    <x v="2"/>
    <s v="India"/>
    <s v="Household"/>
    <s v="Online"/>
    <s v="M"/>
    <s v="3/14/2015"/>
    <n v="477863490"/>
    <s v="4/17/2015"/>
    <n v="9281"/>
    <n v="668.27"/>
    <n v="502.54"/>
    <n v="6202213.8700000001"/>
    <n v="4664073.74"/>
    <n v="1538140.13"/>
  </r>
  <r>
    <x v="5"/>
    <s v="Guinea"/>
    <s v="Baby Food"/>
    <s v="Offline"/>
    <s v="M"/>
    <s v="4/24/2015"/>
    <n v="980509030"/>
    <s v="5/29/2015"/>
    <n v="3266"/>
    <n v="255.28"/>
    <n v="159.41999999999999"/>
    <n v="833744.48"/>
    <n v="520665.72"/>
    <n v="313078.76"/>
  </r>
  <r>
    <x v="5"/>
    <s v="Ghana"/>
    <s v="Cereal"/>
    <s v="Offline"/>
    <s v="C"/>
    <s v="5/15/2014"/>
    <n v="299226653"/>
    <s v="6/27/2014"/>
    <n v="6671"/>
    <n v="205.7"/>
    <n v="117.11"/>
    <n v="1372224.7"/>
    <n v="781240.81"/>
    <n v="590983.89"/>
  </r>
  <r>
    <x v="5"/>
    <s v="Ghana"/>
    <s v="Personal Care"/>
    <s v="Offline"/>
    <s v="H"/>
    <s v="2/24/2017"/>
    <n v="779377686"/>
    <d v="2017-08-04T00:00:00"/>
    <n v="4032"/>
    <n v="81.73"/>
    <n v="56.67"/>
    <n v="329535.35999999999"/>
    <n v="228493.44"/>
    <n v="101041.92"/>
  </r>
  <r>
    <x v="5"/>
    <s v="Uganda"/>
    <s v="Personal Care"/>
    <s v="Offline"/>
    <s v="H"/>
    <s v="7/27/2010"/>
    <n v="336635959"/>
    <d v="2010-02-08T00:00:00"/>
    <n v="6916"/>
    <n v="81.73"/>
    <n v="56.67"/>
    <n v="565244.68000000005"/>
    <n v="391929.72"/>
    <n v="173314.96"/>
  </r>
  <r>
    <x v="3"/>
    <s v="Oman"/>
    <s v="Meat"/>
    <s v="Online"/>
    <s v="L"/>
    <s v="11/23/2012"/>
    <n v="106987798"/>
    <s v="12/13/2012"/>
    <n v="8922"/>
    <n v="421.89"/>
    <n v="364.69"/>
    <n v="3764102.58"/>
    <n v="3253764.18"/>
    <n v="510338.4"/>
  </r>
  <r>
    <x v="2"/>
    <s v="Tajikistan"/>
    <s v="Fruits"/>
    <s v="Offline"/>
    <s v="M"/>
    <s v="12/17/2016"/>
    <n v="396732032"/>
    <s v="12/23/2016"/>
    <n v="679"/>
    <n v="9.33"/>
    <n v="6.92"/>
    <n v="6335.07"/>
    <n v="4698.68"/>
    <n v="1636.39"/>
  </r>
  <r>
    <x v="4"/>
    <s v="Australia"/>
    <s v="Cosmetics"/>
    <s v="Offline"/>
    <s v="L"/>
    <s v="8/28/2016"/>
    <n v="232479989"/>
    <d v="2016-01-09T00:00:00"/>
    <n v="4850"/>
    <n v="437.2"/>
    <n v="263.33"/>
    <n v="2120420"/>
    <n v="1277150.5"/>
    <n v="843269.5"/>
  </r>
  <r>
    <x v="1"/>
    <s v="Denmark"/>
    <s v="Beverages"/>
    <s v="Offline"/>
    <s v="H"/>
    <s v="9/26/2010"/>
    <n v="511155498"/>
    <d v="2010-04-11T00:00:00"/>
    <n v="1126"/>
    <n v="47.45"/>
    <n v="31.79"/>
    <n v="53428.7"/>
    <n v="35795.54"/>
    <n v="17633.16"/>
  </r>
  <r>
    <x v="4"/>
    <s v="Kiribati"/>
    <s v="Household"/>
    <s v="Online"/>
    <s v="H"/>
    <s v="2/24/2014"/>
    <n v="849994885"/>
    <s v="4/13/2014"/>
    <n v="1230"/>
    <n v="668.27"/>
    <n v="502.54"/>
    <n v="821972.1"/>
    <n v="618124.19999999995"/>
    <n v="203847.9"/>
  </r>
  <r>
    <x v="5"/>
    <s v="Cote d'Ivoire"/>
    <s v="Baby Food"/>
    <s v="Offline"/>
    <s v="C"/>
    <d v="2016-01-06T00:00:00"/>
    <n v="936546981"/>
    <d v="2016-10-06T00:00:00"/>
    <n v="3919"/>
    <n v="255.28"/>
    <n v="159.41999999999999"/>
    <n v="1000442.32"/>
    <n v="624766.98"/>
    <n v="375675.34"/>
  </r>
  <r>
    <x v="0"/>
    <s v="Barbados"/>
    <s v="Beverages"/>
    <s v="Online"/>
    <s v="C"/>
    <d v="2015-11-09T00:00:00"/>
    <n v="978673112"/>
    <s v="9/24/2015"/>
    <n v="9977"/>
    <n v="47.45"/>
    <n v="31.79"/>
    <n v="473408.65"/>
    <n v="317168.83"/>
    <n v="156239.82"/>
  </r>
  <r>
    <x v="5"/>
    <s v="Democratic Republic of the Congo"/>
    <s v="Snacks"/>
    <s v="Offline"/>
    <s v="C"/>
    <s v="12/26/2014"/>
    <n v="354547107"/>
    <d v="2015-02-02T00:00:00"/>
    <n v="7223"/>
    <n v="152.58000000000001"/>
    <n v="97.44"/>
    <n v="1102085.3400000001"/>
    <n v="703809.12"/>
    <n v="398276.22"/>
  </r>
  <r>
    <x v="1"/>
    <s v="France"/>
    <s v="Personal Care"/>
    <s v="Online"/>
    <s v="H"/>
    <s v="10/16/2010"/>
    <n v="762655293"/>
    <d v="2010-11-11T00:00:00"/>
    <n v="5504"/>
    <n v="81.73"/>
    <n v="56.67"/>
    <n v="449841.91999999998"/>
    <n v="311911.67999999999"/>
    <n v="137930.23999999999"/>
  </r>
  <r>
    <x v="4"/>
    <s v="Tuvalu"/>
    <s v="Office Supplies"/>
    <s v="Offline"/>
    <s v="H"/>
    <d v="2012-12-01T00:00:00"/>
    <n v="371796500"/>
    <s v="1/19/2012"/>
    <n v="1701"/>
    <n v="651.21"/>
    <n v="524.96"/>
    <n v="1107708.21"/>
    <n v="892956.96"/>
    <n v="214751.25"/>
  </r>
  <r>
    <x v="2"/>
    <s v="Myanmar"/>
    <s v="Cereal"/>
    <s v="Offline"/>
    <s v="C"/>
    <s v="7/20/2013"/>
    <n v="571082055"/>
    <s v="8/15/2013"/>
    <n v="4726"/>
    <n v="205.7"/>
    <n v="117.11"/>
    <n v="972138.2"/>
    <n v="553461.86"/>
    <n v="418676.34"/>
  </r>
  <r>
    <x v="1"/>
    <s v="Romania"/>
    <s v="Personal Care"/>
    <s v="Offline"/>
    <s v="L"/>
    <s v="1/14/2015"/>
    <n v="119935786"/>
    <s v="1/27/2015"/>
    <n v="519"/>
    <n v="81.73"/>
    <n v="56.67"/>
    <n v="42417.87"/>
    <n v="29411.73"/>
    <n v="13006.14"/>
  </r>
  <r>
    <x v="5"/>
    <s v="Rwanda"/>
    <s v="Personal Care"/>
    <s v="Offline"/>
    <s v="H"/>
    <d v="2017-03-04T00:00:00"/>
    <n v="998094022"/>
    <s v="4/16/2017"/>
    <n v="7056"/>
    <n v="81.73"/>
    <n v="56.67"/>
    <n v="576686.88"/>
    <n v="399863.52"/>
    <n v="176823.36"/>
  </r>
  <r>
    <x v="1"/>
    <s v="Czech Republic"/>
    <s v="Snacks"/>
    <s v="Online"/>
    <s v="M"/>
    <s v="8/31/2010"/>
    <n v="755605590"/>
    <d v="2010-11-09T00:00:00"/>
    <n v="9340"/>
    <n v="152.58000000000001"/>
    <n v="97.44"/>
    <n v="1425097.2"/>
    <n v="910089.6"/>
    <n v="515007.6"/>
  </r>
  <r>
    <x v="5"/>
    <s v="Zambia"/>
    <s v="Beverages"/>
    <s v="Offline"/>
    <s v="C"/>
    <s v="1/31/2017"/>
    <n v="162831819"/>
    <d v="2017-02-02T00:00:00"/>
    <n v="4408"/>
    <n v="47.45"/>
    <n v="31.79"/>
    <n v="209159.6"/>
    <n v="140130.32"/>
    <n v="69029.279999999999"/>
  </r>
  <r>
    <x v="4"/>
    <s v="Tonga"/>
    <s v="Office Supplies"/>
    <s v="Offline"/>
    <s v="H"/>
    <d v="2010-07-03T00:00:00"/>
    <n v="960446536"/>
    <s v="3/28/2010"/>
    <n v="6328"/>
    <n v="651.21"/>
    <n v="524.96"/>
    <n v="4120856.88"/>
    <n v="3321946.88"/>
    <n v="798910"/>
  </r>
  <r>
    <x v="5"/>
    <s v="Nigeria"/>
    <s v="Clothes"/>
    <s v="Offline"/>
    <s v="L"/>
    <d v="2010-10-02T00:00:00"/>
    <n v="909436070"/>
    <s v="2/27/2010"/>
    <n v="1198"/>
    <n v="109.28"/>
    <n v="35.840000000000003"/>
    <n v="130917.44"/>
    <n v="42936.32"/>
    <n v="87981.119999999995"/>
  </r>
  <r>
    <x v="2"/>
    <s v="Turkmenistan"/>
    <s v="Office Supplies"/>
    <s v="Online"/>
    <s v="L"/>
    <d v="2011-10-08T00:00:00"/>
    <n v="541099250"/>
    <d v="2011-06-09T00:00:00"/>
    <n v="2147"/>
    <n v="651.21"/>
    <n v="524.96"/>
    <n v="1398147.87"/>
    <n v="1127089.1200000001"/>
    <n v="271058.75"/>
  </r>
  <r>
    <x v="1"/>
    <s v="Moldova "/>
    <s v="Meat"/>
    <s v="Online"/>
    <s v="M"/>
    <s v="6/13/2010"/>
    <n v="907047402"/>
    <d v="2010-01-08T00:00:00"/>
    <n v="4338"/>
    <n v="421.89"/>
    <n v="364.69"/>
    <n v="1830158.82"/>
    <n v="1582025.22"/>
    <n v="248133.6"/>
  </r>
  <r>
    <x v="5"/>
    <s v="Burundi"/>
    <s v="Meat"/>
    <s v="Online"/>
    <s v="C"/>
    <d v="2014-07-11T00:00:00"/>
    <n v="429204356"/>
    <s v="11/28/2014"/>
    <n v="9962"/>
    <n v="421.89"/>
    <n v="364.69"/>
    <n v="4202868.18"/>
    <n v="3633041.78"/>
    <n v="569826.4"/>
  </r>
  <r>
    <x v="5"/>
    <s v="Djibouti"/>
    <s v="Office Supplies"/>
    <s v="Offline"/>
    <s v="L"/>
    <s v="5/17/2011"/>
    <n v="749806439"/>
    <d v="2011-02-07T00:00:00"/>
    <n v="3243"/>
    <n v="651.21"/>
    <n v="524.96"/>
    <n v="2111874.0299999998"/>
    <n v="1702445.28"/>
    <n v="409428.75"/>
  </r>
  <r>
    <x v="5"/>
    <s v="Mauritius "/>
    <s v="Vegetables"/>
    <s v="Online"/>
    <s v="C"/>
    <s v="2/23/2014"/>
    <n v="881402480"/>
    <d v="2014-07-03T00:00:00"/>
    <n v="5435"/>
    <n v="154.06"/>
    <n v="90.93"/>
    <n v="837316.1"/>
    <n v="494204.55"/>
    <n v="343111.55"/>
  </r>
  <r>
    <x v="2"/>
    <s v="South Korea"/>
    <s v="Fruits"/>
    <s v="Offline"/>
    <s v="H"/>
    <s v="8/24/2015"/>
    <n v="356853806"/>
    <s v="9/16/2015"/>
    <n v="9826"/>
    <n v="9.33"/>
    <n v="6.92"/>
    <n v="91676.58"/>
    <n v="67995.92"/>
    <n v="23680.66"/>
  </r>
  <r>
    <x v="4"/>
    <s v="New Zealand"/>
    <s v="Cereal"/>
    <s v="Online"/>
    <s v="L"/>
    <d v="2013-11-03T00:00:00"/>
    <n v="579334247"/>
    <s v="3/30/2013"/>
    <n v="6733"/>
    <n v="205.7"/>
    <n v="117.11"/>
    <n v="1384978.1"/>
    <n v="788501.63"/>
    <n v="596476.47"/>
  </r>
  <r>
    <x v="4"/>
    <s v="Kiribati"/>
    <s v="Clothes"/>
    <s v="Offline"/>
    <s v="C"/>
    <d v="2012-03-10T00:00:00"/>
    <n v="772330129"/>
    <d v="2012-09-10T00:00:00"/>
    <n v="8503"/>
    <n v="109.28"/>
    <n v="35.840000000000003"/>
    <n v="929207.84"/>
    <n v="304747.52000000002"/>
    <n v="624460.31999999995"/>
  </r>
  <r>
    <x v="5"/>
    <s v="Lesotho"/>
    <s v="Beverages"/>
    <s v="Offline"/>
    <s v="M"/>
    <d v="2010-02-01T00:00:00"/>
    <n v="229640281"/>
    <s v="1/28/2010"/>
    <n v="4517"/>
    <n v="47.45"/>
    <n v="31.79"/>
    <n v="214331.65"/>
    <n v="143595.43"/>
    <n v="70736.22"/>
  </r>
  <r>
    <x v="3"/>
    <s v="Jordan"/>
    <s v="Fruits"/>
    <s v="Offline"/>
    <s v="L"/>
    <s v="10/26/2016"/>
    <n v="565376031"/>
    <s v="11/29/2016"/>
    <n v="6186"/>
    <n v="9.33"/>
    <n v="6.92"/>
    <n v="57715.38"/>
    <n v="42807.12"/>
    <n v="14908.26"/>
  </r>
  <r>
    <x v="3"/>
    <s v="Pakistan"/>
    <s v="Office Supplies"/>
    <s v="Offline"/>
    <s v="M"/>
    <s v="1/25/2012"/>
    <n v="763961207"/>
    <s v="2/19/2012"/>
    <n v="1953"/>
    <n v="651.21"/>
    <n v="524.96"/>
    <n v="1271813.1299999999"/>
    <n v="1025246.88"/>
    <n v="246566.25"/>
  </r>
  <r>
    <x v="5"/>
    <s v="Seychelles "/>
    <s v="Beverages"/>
    <s v="Offline"/>
    <s v="L"/>
    <s v="7/19/2013"/>
    <n v="330132138"/>
    <s v="7/25/2013"/>
    <n v="2291"/>
    <n v="47.45"/>
    <n v="31.79"/>
    <n v="108707.95"/>
    <n v="72830.89"/>
    <n v="35877.06"/>
  </r>
  <r>
    <x v="1"/>
    <s v="Norway"/>
    <s v="Fruits"/>
    <s v="Offline"/>
    <s v="L"/>
    <d v="2013-12-08T00:00:00"/>
    <n v="638937652"/>
    <d v="2013-06-09T00:00:00"/>
    <n v="4705"/>
    <n v="9.33"/>
    <n v="6.92"/>
    <n v="43897.65"/>
    <n v="32558.6"/>
    <n v="11339.05"/>
  </r>
  <r>
    <x v="3"/>
    <s v="Syria"/>
    <s v="Clothes"/>
    <s v="Online"/>
    <s v="H"/>
    <d v="2013-06-04T00:00:00"/>
    <n v="885739076"/>
    <s v="5/14/2013"/>
    <n v="8730"/>
    <n v="109.28"/>
    <n v="35.840000000000003"/>
    <n v="954014.4"/>
    <n v="312883.20000000001"/>
    <n v="641131.19999999995"/>
  </r>
  <r>
    <x v="5"/>
    <s v="Sudan"/>
    <s v="Household"/>
    <s v="Offline"/>
    <s v="H"/>
    <d v="2010-08-10T00:00:00"/>
    <n v="336210238"/>
    <s v="11/22/2010"/>
    <n v="936"/>
    <n v="668.27"/>
    <n v="502.54"/>
    <n v="625500.72"/>
    <n v="470377.44"/>
    <n v="155123.28"/>
  </r>
  <r>
    <x v="5"/>
    <s v="Togo"/>
    <s v="Fruits"/>
    <s v="Online"/>
    <s v="C"/>
    <s v="1/14/2013"/>
    <n v="576337468"/>
    <s v="1/18/2013"/>
    <n v="9919"/>
    <n v="9.33"/>
    <n v="6.92"/>
    <n v="92544.27"/>
    <n v="68639.48"/>
    <n v="23904.79"/>
  </r>
  <r>
    <x v="3"/>
    <s v="Libya"/>
    <s v="Household"/>
    <s v="Offline"/>
    <s v="H"/>
    <d v="2016-10-09T00:00:00"/>
    <n v="562419593"/>
    <s v="9/27/2016"/>
    <n v="1311"/>
    <n v="668.27"/>
    <n v="502.54"/>
    <n v="876101.97"/>
    <n v="658829.93999999994"/>
    <n v="217272.03"/>
  </r>
  <r>
    <x v="0"/>
    <s v="Jamaica"/>
    <s v="Beverages"/>
    <s v="Offline"/>
    <s v="L"/>
    <d v="2011-03-11T00:00:00"/>
    <n v="671067941"/>
    <s v="12/18/2011"/>
    <n v="2771"/>
    <n v="47.45"/>
    <n v="31.79"/>
    <n v="131483.95000000001"/>
    <n v="88090.09"/>
    <n v="43393.86"/>
  </r>
  <r>
    <x v="1"/>
    <s v="France"/>
    <s v="Cereal"/>
    <s v="Offline"/>
    <s v="H"/>
    <s v="2/26/2016"/>
    <n v="449206340"/>
    <d v="2016-03-04T00:00:00"/>
    <n v="8993"/>
    <n v="205.7"/>
    <n v="117.11"/>
    <n v="1849860.1"/>
    <n v="1053170.23"/>
    <n v="796689.87"/>
  </r>
  <r>
    <x v="1"/>
    <s v="Romania"/>
    <s v="Beverages"/>
    <s v="Online"/>
    <s v="L"/>
    <d v="2010-10-07T00:00:00"/>
    <n v="864071118"/>
    <s v="7/18/2010"/>
    <n v="6700"/>
    <n v="47.45"/>
    <n v="31.79"/>
    <n v="317915"/>
    <n v="212993"/>
    <n v="104922"/>
  </r>
  <r>
    <x v="1"/>
    <s v="Russia"/>
    <s v="Office Supplies"/>
    <s v="Online"/>
    <s v="C"/>
    <s v="12/16/2010"/>
    <n v="253211104"/>
    <s v="12/27/2010"/>
    <n v="9648"/>
    <n v="651.21"/>
    <n v="524.96"/>
    <n v="6282874.0800000001"/>
    <n v="5064814.08"/>
    <n v="1218060"/>
  </r>
  <r>
    <x v="5"/>
    <s v="Equatorial Guinea"/>
    <s v="Cereal"/>
    <s v="Offline"/>
    <s v="H"/>
    <d v="2011-02-11T00:00:00"/>
    <n v="174487626"/>
    <d v="2011-12-11T00:00:00"/>
    <n v="3621"/>
    <n v="205.7"/>
    <n v="117.11"/>
    <n v="744839.7"/>
    <n v="424055.31"/>
    <n v="320784.39"/>
  </r>
  <r>
    <x v="2"/>
    <s v="Cambodia"/>
    <s v="Beverages"/>
    <s v="Online"/>
    <s v="H"/>
    <s v="5/16/2012"/>
    <n v="456074512"/>
    <s v="5/25/2012"/>
    <n v="1438"/>
    <n v="47.45"/>
    <n v="31.79"/>
    <n v="68233.100000000006"/>
    <n v="45714.02"/>
    <n v="22519.08"/>
  </r>
  <r>
    <x v="4"/>
    <s v="Samoa "/>
    <s v="Cosmetics"/>
    <s v="Online"/>
    <s v="C"/>
    <d v="2012-09-11T00:00:00"/>
    <n v="546458089"/>
    <d v="2012-04-12T00:00:00"/>
    <n v="7947"/>
    <n v="437.2"/>
    <n v="263.33"/>
    <n v="3474428.4"/>
    <n v="2092683.51"/>
    <n v="1381744.89"/>
  </r>
  <r>
    <x v="0"/>
    <s v="Saint Vincent and the Grenadines"/>
    <s v="Personal Care"/>
    <s v="Offline"/>
    <s v="L"/>
    <d v="2010-05-11T00:00:00"/>
    <n v="864437186"/>
    <s v="11/19/2010"/>
    <n v="5028"/>
    <n v="81.73"/>
    <n v="56.67"/>
    <n v="410938.44"/>
    <n v="284936.76"/>
    <n v="126001.68"/>
  </r>
  <r>
    <x v="4"/>
    <s v="Solomon Islands"/>
    <s v="Office Supplies"/>
    <s v="Offline"/>
    <s v="L"/>
    <s v="7/18/2012"/>
    <n v="549123132"/>
    <s v="8/30/2012"/>
    <n v="6592"/>
    <n v="651.21"/>
    <n v="524.96"/>
    <n v="4292776.32"/>
    <n v="3460536.3199999998"/>
    <n v="832240"/>
  </r>
  <r>
    <x v="1"/>
    <s v="Belgium"/>
    <s v="Fruits"/>
    <s v="Online"/>
    <s v="M"/>
    <d v="2013-10-11T00:00:00"/>
    <n v="609939754"/>
    <s v="11/30/2013"/>
    <n v="3582"/>
    <n v="9.33"/>
    <n v="6.92"/>
    <n v="33420.06"/>
    <n v="24787.439999999999"/>
    <n v="8632.6200000000008"/>
  </r>
  <r>
    <x v="5"/>
    <s v="Mauritania"/>
    <s v="Cosmetics"/>
    <s v="Online"/>
    <s v="C"/>
    <d v="2011-06-10T00:00:00"/>
    <n v="776623380"/>
    <s v="10/20/2011"/>
    <n v="8971"/>
    <n v="437.2"/>
    <n v="263.33"/>
    <n v="3922121.2"/>
    <n v="2362333.4300000002"/>
    <n v="1559787.77"/>
  </r>
  <r>
    <x v="2"/>
    <s v="Vietnam"/>
    <s v="Office Supplies"/>
    <s v="Offline"/>
    <s v="L"/>
    <s v="8/25/2015"/>
    <n v="849222838"/>
    <s v="9/28/2015"/>
    <n v="2764"/>
    <n v="651.21"/>
    <n v="524.96"/>
    <n v="1799944.44"/>
    <n v="1450989.44"/>
    <n v="348955"/>
  </r>
  <r>
    <x v="5"/>
    <s v="Guinea-Bissau"/>
    <s v="Cosmetics"/>
    <s v="Offline"/>
    <s v="M"/>
    <d v="2013-04-04T00:00:00"/>
    <n v="248099458"/>
    <d v="2013-05-04T00:00:00"/>
    <n v="6998"/>
    <n v="437.2"/>
    <n v="263.33"/>
    <n v="3059525.6"/>
    <n v="1842783.34"/>
    <n v="1216742.26"/>
  </r>
  <r>
    <x v="0"/>
    <s v="Grenada"/>
    <s v="Office Supplies"/>
    <s v="Offline"/>
    <s v="C"/>
    <d v="2012-01-05T00:00:00"/>
    <n v="263927066"/>
    <s v="5/27/2012"/>
    <n v="739"/>
    <n v="651.21"/>
    <n v="524.96"/>
    <n v="481244.19"/>
    <n v="387945.44"/>
    <n v="93298.75"/>
  </r>
  <r>
    <x v="1"/>
    <s v="Lithuania"/>
    <s v="Cereal"/>
    <s v="Offline"/>
    <s v="M"/>
    <d v="2014-06-02T00:00:00"/>
    <n v="907691991"/>
    <d v="2014-09-03T00:00:00"/>
    <n v="5086"/>
    <n v="205.7"/>
    <n v="117.11"/>
    <n v="1046190.2"/>
    <n v="595621.46"/>
    <n v="450568.74"/>
  </r>
  <r>
    <x v="1"/>
    <s v="Georgia"/>
    <s v="Fruits"/>
    <s v="Offline"/>
    <s v="C"/>
    <s v="1/28/2017"/>
    <n v="460693061"/>
    <s v="2/25/2017"/>
    <n v="8169"/>
    <n v="9.33"/>
    <n v="6.92"/>
    <n v="76216.77"/>
    <n v="56529.48"/>
    <n v="19687.29"/>
  </r>
  <r>
    <x v="1"/>
    <s v="Switzerland"/>
    <s v="Office Supplies"/>
    <s v="Offline"/>
    <s v="H"/>
    <d v="2013-05-04T00:00:00"/>
    <n v="424541604"/>
    <s v="5/17/2013"/>
    <n v="150"/>
    <n v="651.21"/>
    <n v="524.96"/>
    <n v="97681.5"/>
    <n v="78744"/>
    <n v="18937.5"/>
  </r>
  <r>
    <x v="1"/>
    <s v="Czech Republic"/>
    <s v="Household"/>
    <s v="Online"/>
    <s v="L"/>
    <s v="8/25/2014"/>
    <n v="571161448"/>
    <s v="9/30/2014"/>
    <n v="8220"/>
    <n v="668.27"/>
    <n v="502.54"/>
    <n v="5493179.4000000004"/>
    <n v="4130878.8"/>
    <n v="1362300.6"/>
  </r>
  <r>
    <x v="3"/>
    <s v="Afghanistan"/>
    <s v="Vegetables"/>
    <s v="Online"/>
    <s v="M"/>
    <d v="2011-04-08T00:00:00"/>
    <n v="292788922"/>
    <d v="2011-08-09T00:00:00"/>
    <n v="1603"/>
    <n v="154.06"/>
    <n v="90.93"/>
    <n v="246958.18"/>
    <n v="145760.79"/>
    <n v="101197.39"/>
  </r>
  <r>
    <x v="5"/>
    <s v="Central African Republic"/>
    <s v="Cosmetics"/>
    <s v="Online"/>
    <s v="L"/>
    <d v="2014-05-06T00:00:00"/>
    <n v="851972854"/>
    <d v="2014-10-06T00:00:00"/>
    <n v="6555"/>
    <n v="437.2"/>
    <n v="263.33"/>
    <n v="2865846"/>
    <n v="1726128.15"/>
    <n v="1139717.8500000001"/>
  </r>
  <r>
    <x v="0"/>
    <s v="Guatemala"/>
    <s v="Personal Care"/>
    <s v="Offline"/>
    <s v="C"/>
    <d v="2011-05-11T00:00:00"/>
    <n v="431574571"/>
    <s v="11/29/2011"/>
    <n v="1361"/>
    <n v="81.73"/>
    <n v="56.67"/>
    <n v="111234.53"/>
    <n v="77127.87"/>
    <n v="34106.660000000003"/>
  </r>
  <r>
    <x v="5"/>
    <s v="Swaziland"/>
    <s v="Cereal"/>
    <s v="Offline"/>
    <s v="C"/>
    <s v="7/13/2012"/>
    <n v="884767901"/>
    <s v="7/20/2012"/>
    <n v="1338"/>
    <n v="205.7"/>
    <n v="117.11"/>
    <n v="275226.59999999998"/>
    <n v="156693.18"/>
    <n v="118533.42"/>
  </r>
  <r>
    <x v="1"/>
    <s v="Netherlands"/>
    <s v="Beverages"/>
    <s v="Online"/>
    <s v="H"/>
    <d v="2011-04-02T00:00:00"/>
    <n v="985039174"/>
    <d v="2011-10-03T00:00:00"/>
    <n v="3836"/>
    <n v="47.45"/>
    <n v="31.79"/>
    <n v="182018.2"/>
    <n v="121946.44"/>
    <n v="60071.76"/>
  </r>
  <r>
    <x v="0"/>
    <s v="Costa Rica"/>
    <s v="Office Supplies"/>
    <s v="Offline"/>
    <s v="M"/>
    <s v="7/23/2014"/>
    <n v="476187217"/>
    <s v="8/15/2014"/>
    <n v="3234"/>
    <n v="651.21"/>
    <n v="524.96"/>
    <n v="2106013.14"/>
    <n v="1697720.64"/>
    <n v="408292.5"/>
  </r>
  <r>
    <x v="1"/>
    <s v="Romania"/>
    <s v="Clothes"/>
    <s v="Online"/>
    <s v="H"/>
    <s v="11/16/2015"/>
    <n v="522323358"/>
    <s v="11/20/2015"/>
    <n v="5944"/>
    <n v="109.28"/>
    <n v="35.840000000000003"/>
    <n v="649560.31999999995"/>
    <n v="213032.95999999999"/>
    <n v="436527.35999999999"/>
  </r>
  <r>
    <x v="5"/>
    <s v="Cameroon"/>
    <s v="Baby Food"/>
    <s v="Online"/>
    <s v="H"/>
    <d v="2012-04-11T00:00:00"/>
    <n v="557871425"/>
    <s v="12/22/2012"/>
    <n v="5407"/>
    <n v="255.28"/>
    <n v="159.41999999999999"/>
    <n v="1380298.96"/>
    <n v="861983.94"/>
    <n v="518315.02"/>
  </r>
  <r>
    <x v="5"/>
    <s v="Republic of the Congo"/>
    <s v="Cosmetics"/>
    <s v="Online"/>
    <s v="M"/>
    <s v="11/25/2011"/>
    <n v="537567746"/>
    <s v="12/30/2011"/>
    <n v="7097"/>
    <n v="437.2"/>
    <n v="263.33"/>
    <n v="3102808.4"/>
    <n v="1868853.01"/>
    <n v="1233955.3899999999"/>
  </r>
  <r>
    <x v="1"/>
    <s v="Latvia"/>
    <s v="Vegetables"/>
    <s v="Offline"/>
    <s v="M"/>
    <d v="2016-05-10T00:00:00"/>
    <n v="486461150"/>
    <s v="11/13/2016"/>
    <n v="3519"/>
    <n v="154.06"/>
    <n v="90.93"/>
    <n v="542137.14"/>
    <n v="319982.67"/>
    <n v="222154.47"/>
  </r>
  <r>
    <x v="1"/>
    <s v="Slovenia"/>
    <s v="Cosmetics"/>
    <s v="Online"/>
    <s v="M"/>
    <s v="1/24/2017"/>
    <n v="949912965"/>
    <d v="2017-06-03T00:00:00"/>
    <n v="9210"/>
    <n v="437.2"/>
    <n v="263.33"/>
    <n v="4026612"/>
    <n v="2425269.2999999998"/>
    <n v="1601342.7"/>
  </r>
  <r>
    <x v="2"/>
    <s v="Turkmenistan"/>
    <s v="Personal Care"/>
    <s v="Offline"/>
    <s v="C"/>
    <s v="11/14/2014"/>
    <n v="743597018"/>
    <s v="11/29/2014"/>
    <n v="5737"/>
    <n v="81.73"/>
    <n v="56.67"/>
    <n v="468885.01"/>
    <n v="325115.78999999998"/>
    <n v="143769.22"/>
  </r>
  <r>
    <x v="1"/>
    <s v="France"/>
    <s v="Fruits"/>
    <s v="Online"/>
    <s v="L"/>
    <s v="4/20/2013"/>
    <n v="103499639"/>
    <d v="2013-06-06T00:00:00"/>
    <n v="6698"/>
    <n v="9.33"/>
    <n v="6.92"/>
    <n v="62492.34"/>
    <n v="46350.16"/>
    <n v="16142.18"/>
  </r>
  <r>
    <x v="0"/>
    <s v="Barbados"/>
    <s v="Beverages"/>
    <s v="Offline"/>
    <s v="C"/>
    <d v="2012-03-10T00:00:00"/>
    <n v="235919654"/>
    <s v="10/13/2012"/>
    <n v="2723"/>
    <n v="47.45"/>
    <n v="31.79"/>
    <n v="129206.35"/>
    <n v="86564.17"/>
    <n v="42642.18"/>
  </r>
  <r>
    <x v="2"/>
    <s v="Nepal"/>
    <s v="Baby Food"/>
    <s v="Online"/>
    <s v="C"/>
    <s v="9/17/2014"/>
    <n v="167468392"/>
    <s v="10/29/2014"/>
    <n v="6474"/>
    <n v="255.28"/>
    <n v="159.41999999999999"/>
    <n v="1652682.72"/>
    <n v="1032085.08"/>
    <n v="620597.64"/>
  </r>
  <r>
    <x v="0"/>
    <s v="Nicaragua"/>
    <s v="Cereal"/>
    <s v="Online"/>
    <s v="C"/>
    <d v="2010-02-05T00:00:00"/>
    <n v="795069682"/>
    <s v="5/19/2010"/>
    <n v="7642"/>
    <n v="205.7"/>
    <n v="117.11"/>
    <n v="1571959.4"/>
    <n v="894954.62"/>
    <n v="677004.78"/>
  </r>
  <r>
    <x v="5"/>
    <s v="Ghana"/>
    <s v="Meat"/>
    <s v="Offline"/>
    <s v="L"/>
    <d v="2014-01-08T00:00:00"/>
    <n v="835959851"/>
    <s v="8/27/2014"/>
    <n v="7952"/>
    <n v="421.89"/>
    <n v="364.69"/>
    <n v="3354869.28"/>
    <n v="2900014.88"/>
    <n v="454854.40000000002"/>
  </r>
  <r>
    <x v="1"/>
    <s v="Slovakia"/>
    <s v="Personal Care"/>
    <s v="Offline"/>
    <s v="C"/>
    <s v="12/23/2016"/>
    <n v="877687728"/>
    <d v="2017-07-02T00:00:00"/>
    <n v="6158"/>
    <n v="81.73"/>
    <n v="56.67"/>
    <n v="503293.34"/>
    <n v="348973.86"/>
    <n v="154319.48000000001"/>
  </r>
  <r>
    <x v="5"/>
    <s v="Botswana"/>
    <s v="Personal Care"/>
    <s v="Online"/>
    <s v="L"/>
    <d v="2015-02-09T00:00:00"/>
    <n v="228114640"/>
    <s v="9/16/2015"/>
    <n v="3046"/>
    <n v="81.73"/>
    <n v="56.67"/>
    <n v="248949.58"/>
    <n v="172616.82"/>
    <n v="76332.759999999995"/>
  </r>
  <r>
    <x v="0"/>
    <s v="Cuba"/>
    <s v="Clothes"/>
    <s v="Offline"/>
    <s v="M"/>
    <d v="2013-01-09T00:00:00"/>
    <n v="965414416"/>
    <s v="9/13/2013"/>
    <n v="6434"/>
    <n v="109.28"/>
    <n v="35.840000000000003"/>
    <n v="703107.52"/>
    <n v="230594.56"/>
    <n v="472512.96"/>
  </r>
  <r>
    <x v="1"/>
    <s v="Greece"/>
    <s v="Baby Food"/>
    <s v="Offline"/>
    <s v="H"/>
    <s v="1/15/2015"/>
    <n v="288073384"/>
    <s v="2/16/2015"/>
    <n v="6171"/>
    <n v="255.28"/>
    <n v="159.41999999999999"/>
    <n v="1575332.88"/>
    <n v="983780.82"/>
    <n v="591552.06000000006"/>
  </r>
  <r>
    <x v="0"/>
    <s v="Costa Rica"/>
    <s v="Meat"/>
    <s v="Online"/>
    <s v="H"/>
    <s v="7/26/2013"/>
    <n v="864890372"/>
    <s v="7/28/2013"/>
    <n v="9136"/>
    <n v="421.89"/>
    <n v="364.69"/>
    <n v="3854387.04"/>
    <n v="3331807.84"/>
    <n v="522579.20000000001"/>
  </r>
  <r>
    <x v="0"/>
    <s v="Saint Kitts and Nevis "/>
    <s v="Cereal"/>
    <s v="Offline"/>
    <s v="L"/>
    <s v="8/30/2011"/>
    <n v="484976708"/>
    <s v="9/16/2011"/>
    <n v="4240"/>
    <n v="205.7"/>
    <n v="117.11"/>
    <n v="872168"/>
    <n v="496546.4"/>
    <n v="375621.6"/>
  </r>
  <r>
    <x v="1"/>
    <s v="Latvia"/>
    <s v="Household"/>
    <s v="Online"/>
    <s v="H"/>
    <d v="2016-03-08T00:00:00"/>
    <n v="607756221"/>
    <d v="2016-11-08T00:00:00"/>
    <n v="7426"/>
    <n v="668.27"/>
    <n v="502.54"/>
    <n v="4962573.0199999996"/>
    <n v="3731862.04"/>
    <n v="1230710.98"/>
  </r>
  <r>
    <x v="0"/>
    <s v="Antigua and Barbuda "/>
    <s v="Baby Food"/>
    <s v="Online"/>
    <s v="C"/>
    <s v="12/17/2013"/>
    <n v="512965238"/>
    <d v="2014-07-01T00:00:00"/>
    <n v="6668"/>
    <n v="255.28"/>
    <n v="159.41999999999999"/>
    <n v="1702207.04"/>
    <n v="1063012.56"/>
    <n v="639194.48"/>
  </r>
  <r>
    <x v="3"/>
    <s v="Pakistan"/>
    <s v="Snacks"/>
    <s v="Online"/>
    <s v="C"/>
    <s v="12/17/2016"/>
    <n v="450652587"/>
    <s v="1/25/2017"/>
    <n v="6970"/>
    <n v="152.58000000000001"/>
    <n v="97.44"/>
    <n v="1063482.6000000001"/>
    <n v="679156.8"/>
    <n v="384325.8"/>
  </r>
  <r>
    <x v="1"/>
    <s v="Liechtenstein"/>
    <s v="Household"/>
    <s v="Online"/>
    <s v="H"/>
    <s v="2/13/2017"/>
    <n v="291179597"/>
    <s v="2/20/2017"/>
    <n v="5368"/>
    <n v="668.27"/>
    <n v="502.54"/>
    <n v="3587273.36"/>
    <n v="2697634.72"/>
    <n v="889638.64"/>
  </r>
  <r>
    <x v="1"/>
    <s v="San Marino"/>
    <s v="Fruits"/>
    <s v="Online"/>
    <s v="L"/>
    <s v="10/25/2010"/>
    <n v="875220096"/>
    <d v="2010-06-11T00:00:00"/>
    <n v="5930"/>
    <n v="9.33"/>
    <n v="6.92"/>
    <n v="55326.9"/>
    <n v="41035.599999999999"/>
    <n v="14291.3"/>
  </r>
  <r>
    <x v="5"/>
    <s v="Equatorial Guinea"/>
    <s v="Clothes"/>
    <s v="Offline"/>
    <s v="H"/>
    <s v="8/20/2010"/>
    <n v="863760411"/>
    <s v="8/21/2010"/>
    <n v="4755"/>
    <n v="109.28"/>
    <n v="35.840000000000003"/>
    <n v="519626.4"/>
    <n v="170419.20000000001"/>
    <n v="349207.2"/>
  </r>
  <r>
    <x v="5"/>
    <s v="Rwanda"/>
    <s v="Snacks"/>
    <s v="Offline"/>
    <s v="H"/>
    <s v="4/23/2011"/>
    <n v="788099372"/>
    <d v="2011-05-05T00:00:00"/>
    <n v="4972"/>
    <n v="152.58000000000001"/>
    <n v="97.44"/>
    <n v="758627.76"/>
    <n v="484471.68"/>
    <n v="274156.08"/>
  </r>
  <r>
    <x v="1"/>
    <s v="Greece"/>
    <s v="Household"/>
    <s v="Offline"/>
    <s v="C"/>
    <d v="2016-11-03T00:00:00"/>
    <n v="799848306"/>
    <s v="4/23/2016"/>
    <n v="1743"/>
    <n v="668.27"/>
    <n v="502.54"/>
    <n v="1164794.6100000001"/>
    <n v="875927.22"/>
    <n v="288867.39"/>
  </r>
  <r>
    <x v="3"/>
    <s v="Somalia"/>
    <s v="Meat"/>
    <s v="Online"/>
    <s v="M"/>
    <d v="2010-12-10T00:00:00"/>
    <n v="220931041"/>
    <s v="11/13/2010"/>
    <n v="7259"/>
    <n v="421.89"/>
    <n v="364.69"/>
    <n v="3062499.51"/>
    <n v="2647284.71"/>
    <n v="415214.8"/>
  </r>
  <r>
    <x v="1"/>
    <s v="Czech Republic"/>
    <s v="Meat"/>
    <s v="Offline"/>
    <s v="M"/>
    <d v="2011-05-12T00:00:00"/>
    <n v="693583905"/>
    <d v="2012-06-01T00:00:00"/>
    <n v="5745"/>
    <n v="421.89"/>
    <n v="364.69"/>
    <n v="2423758.0499999998"/>
    <n v="2095144.05"/>
    <n v="328614"/>
  </r>
  <r>
    <x v="5"/>
    <s v="Rwanda"/>
    <s v="Clothes"/>
    <s v="Online"/>
    <s v="C"/>
    <s v="1/14/2011"/>
    <n v="330355727"/>
    <s v="2/14/2011"/>
    <n v="8456"/>
    <n v="109.28"/>
    <n v="35.840000000000003"/>
    <n v="924071.68"/>
    <n v="303063.03999999998"/>
    <n v="621008.64000000001"/>
  </r>
  <r>
    <x v="4"/>
    <s v="East Timor"/>
    <s v="Cosmetics"/>
    <s v="Offline"/>
    <s v="H"/>
    <s v="9/27/2015"/>
    <n v="464107835"/>
    <s v="10/29/2015"/>
    <n v="8677"/>
    <n v="437.2"/>
    <n v="263.33"/>
    <n v="3793584.4"/>
    <n v="2284914.41"/>
    <n v="1508669.99"/>
  </r>
  <r>
    <x v="2"/>
    <s v="Mongolia"/>
    <s v="Snacks"/>
    <s v="Offline"/>
    <s v="C"/>
    <d v="2015-12-10T00:00:00"/>
    <n v="698014056"/>
    <d v="2015-07-11T00:00:00"/>
    <n v="6726"/>
    <n v="152.58000000000001"/>
    <n v="97.44"/>
    <n v="1026253.08"/>
    <n v="655381.43999999994"/>
    <n v="370871.64"/>
  </r>
  <r>
    <x v="5"/>
    <s v="Democratic Republic of the Congo"/>
    <s v="Office Supplies"/>
    <s v="Offline"/>
    <s v="L"/>
    <s v="2/14/2017"/>
    <n v="255560719"/>
    <d v="2017-05-03T00:00:00"/>
    <n v="4951"/>
    <n v="651.21"/>
    <n v="524.96"/>
    <n v="3224140.71"/>
    <n v="2599076.96"/>
    <n v="625063.75"/>
  </r>
  <r>
    <x v="0"/>
    <s v="Panama"/>
    <s v="Clothes"/>
    <s v="Online"/>
    <s v="H"/>
    <d v="2015-12-06T00:00:00"/>
    <n v="230546653"/>
    <s v="6/14/2015"/>
    <n v="2733"/>
    <n v="109.28"/>
    <n v="35.840000000000003"/>
    <n v="298662.24"/>
    <n v="97950.720000000001"/>
    <n v="200711.52"/>
  </r>
  <r>
    <x v="1"/>
    <s v="Sweden"/>
    <s v="Meat"/>
    <s v="Online"/>
    <s v="C"/>
    <s v="1/18/2015"/>
    <n v="437083184"/>
    <s v="2/19/2015"/>
    <n v="1482"/>
    <n v="421.89"/>
    <n v="364.69"/>
    <n v="625240.98"/>
    <n v="540470.57999999996"/>
    <n v="84770.4"/>
  </r>
  <r>
    <x v="1"/>
    <s v="Macedonia"/>
    <s v="Vegetables"/>
    <s v="Offline"/>
    <s v="C"/>
    <d v="2017-10-07T00:00:00"/>
    <n v="759594142"/>
    <d v="2017-12-07T00:00:00"/>
    <n v="9641"/>
    <n v="154.06"/>
    <n v="90.93"/>
    <n v="1485292.46"/>
    <n v="876656.13"/>
    <n v="608636.32999999996"/>
  </r>
  <r>
    <x v="1"/>
    <s v="Denmark"/>
    <s v="Household"/>
    <s v="Online"/>
    <s v="L"/>
    <s v="5/16/2010"/>
    <n v="702815854"/>
    <d v="2010-06-06T00:00:00"/>
    <n v="7684"/>
    <n v="668.27"/>
    <n v="502.54"/>
    <n v="5134986.68"/>
    <n v="3861517.36"/>
    <n v="1273469.32"/>
  </r>
  <r>
    <x v="0"/>
    <s v="Haiti"/>
    <s v="Cereal"/>
    <s v="Offline"/>
    <s v="H"/>
    <s v="3/30/2016"/>
    <n v="741797149"/>
    <d v="2016-03-05T00:00:00"/>
    <n v="3116"/>
    <n v="205.7"/>
    <n v="117.11"/>
    <n v="640961.19999999995"/>
    <n v="364914.76"/>
    <n v="276046.44"/>
  </r>
  <r>
    <x v="1"/>
    <s v="Sweden"/>
    <s v="Snacks"/>
    <s v="Online"/>
    <s v="C"/>
    <d v="2013-01-06T00:00:00"/>
    <n v="971899354"/>
    <d v="2013-01-06T00:00:00"/>
    <n v="5471"/>
    <n v="152.58000000000001"/>
    <n v="97.44"/>
    <n v="834765.18"/>
    <n v="533094.24"/>
    <n v="301670.94"/>
  </r>
  <r>
    <x v="0"/>
    <s v="Saint Lucia"/>
    <s v="Vegetables"/>
    <s v="Online"/>
    <s v="M"/>
    <s v="4/22/2015"/>
    <n v="658796298"/>
    <d v="2015-09-05T00:00:00"/>
    <n v="1319"/>
    <n v="154.06"/>
    <n v="90.93"/>
    <n v="203205.14"/>
    <n v="119936.67"/>
    <n v="83268.47"/>
  </r>
  <r>
    <x v="0"/>
    <s v="Barbados"/>
    <s v="Personal Care"/>
    <s v="Online"/>
    <s v="L"/>
    <d v="2013-05-09T00:00:00"/>
    <n v="488474309"/>
    <s v="10/21/2013"/>
    <n v="9258"/>
    <n v="81.73"/>
    <n v="56.67"/>
    <n v="756656.34"/>
    <n v="524650.86"/>
    <n v="232005.48"/>
  </r>
  <r>
    <x v="3"/>
    <s v="Jordan"/>
    <s v="Baby Food"/>
    <s v="Offline"/>
    <s v="L"/>
    <s v="9/22/2012"/>
    <n v="317232215"/>
    <s v="10/27/2012"/>
    <n v="4917"/>
    <n v="255.28"/>
    <n v="159.41999999999999"/>
    <n v="1255211.76"/>
    <n v="783868.14"/>
    <n v="471343.62"/>
  </r>
  <r>
    <x v="1"/>
    <s v="Czech Republic"/>
    <s v="Office Supplies"/>
    <s v="Online"/>
    <s v="M"/>
    <s v="2/16/2010"/>
    <n v="521681344"/>
    <d v="2010-03-04T00:00:00"/>
    <n v="5957"/>
    <n v="651.21"/>
    <n v="524.96"/>
    <n v="3879257.97"/>
    <n v="3127186.72"/>
    <n v="752071.25"/>
  </r>
  <r>
    <x v="3"/>
    <s v="Iran"/>
    <s v="Beverages"/>
    <s v="Online"/>
    <s v="L"/>
    <s v="12/28/2015"/>
    <n v="648745524"/>
    <s v="1/27/2016"/>
    <n v="7072"/>
    <n v="47.45"/>
    <n v="31.79"/>
    <n v="335566.4"/>
    <n v="224818.88"/>
    <n v="110747.52"/>
  </r>
  <r>
    <x v="5"/>
    <s v="Namibia"/>
    <s v="Vegetables"/>
    <s v="Offline"/>
    <s v="C"/>
    <d v="2011-11-03T00:00:00"/>
    <n v="765661084"/>
    <d v="2011-12-03T00:00:00"/>
    <n v="4984"/>
    <n v="154.06"/>
    <n v="90.93"/>
    <n v="767835.04"/>
    <n v="453195.12"/>
    <n v="314639.92"/>
  </r>
  <r>
    <x v="5"/>
    <s v="Guinea"/>
    <s v="Household"/>
    <s v="Online"/>
    <s v="L"/>
    <d v="2011-03-10T00:00:00"/>
    <n v="109976851"/>
    <s v="10/14/2011"/>
    <n v="3449"/>
    <n v="668.27"/>
    <n v="502.54"/>
    <n v="2304863.23"/>
    <n v="1733260.46"/>
    <n v="571602.77"/>
  </r>
  <r>
    <x v="1"/>
    <s v="Iceland"/>
    <s v="Office Supplies"/>
    <s v="Offline"/>
    <s v="L"/>
    <s v="1/18/2012"/>
    <n v="239554154"/>
    <s v="2/13/2012"/>
    <n v="8253"/>
    <n v="651.21"/>
    <n v="524.96"/>
    <n v="5374436.1299999999"/>
    <n v="4332494.88"/>
    <n v="1041941.25"/>
  </r>
  <r>
    <x v="1"/>
    <s v="Lithuania"/>
    <s v="Office Supplies"/>
    <s v="Online"/>
    <s v="M"/>
    <s v="4/17/2011"/>
    <n v="982566821"/>
    <d v="2011-05-06T00:00:00"/>
    <n v="2212"/>
    <n v="651.21"/>
    <n v="524.96"/>
    <n v="1440476.52"/>
    <n v="1161211.52"/>
    <n v="279265"/>
  </r>
  <r>
    <x v="1"/>
    <s v="United Kingdom"/>
    <s v="Cosmetics"/>
    <s v="Online"/>
    <s v="C"/>
    <d v="2017-05-05T00:00:00"/>
    <n v="887501180"/>
    <s v="6/20/2017"/>
    <n v="176"/>
    <n v="437.2"/>
    <n v="263.33"/>
    <n v="76947.199999999997"/>
    <n v="46346.080000000002"/>
    <n v="30601.119999999999"/>
  </r>
  <r>
    <x v="5"/>
    <s v="Ghana"/>
    <s v="Fruits"/>
    <s v="Online"/>
    <s v="M"/>
    <s v="8/14/2012"/>
    <n v="373156058"/>
    <d v="2012-05-09T00:00:00"/>
    <n v="4025"/>
    <n v="9.33"/>
    <n v="6.92"/>
    <n v="37553.25"/>
    <n v="27853"/>
    <n v="9700.25"/>
  </r>
  <r>
    <x v="2"/>
    <s v="Laos"/>
    <s v="Baby Food"/>
    <s v="Online"/>
    <s v="H"/>
    <s v="11/23/2010"/>
    <n v="378642785"/>
    <d v="2011-10-01T00:00:00"/>
    <n v="7669"/>
    <n v="255.28"/>
    <n v="159.41999999999999"/>
    <n v="1957742.32"/>
    <n v="1222591.98"/>
    <n v="735150.34"/>
  </r>
  <r>
    <x v="5"/>
    <s v="The Gambia"/>
    <s v="Baby Food"/>
    <s v="Online"/>
    <s v="C"/>
    <s v="8/25/2015"/>
    <n v="113385188"/>
    <s v="9/23/2015"/>
    <n v="2052"/>
    <n v="255.28"/>
    <n v="159.41999999999999"/>
    <n v="523834.56"/>
    <n v="327129.84000000003"/>
    <n v="196704.72"/>
  </r>
  <r>
    <x v="2"/>
    <s v="South Korea"/>
    <s v="Cosmetics"/>
    <s v="Offline"/>
    <s v="H"/>
    <d v="2016-11-04T00:00:00"/>
    <n v="207119596"/>
    <s v="5/16/2016"/>
    <n v="146"/>
    <n v="437.2"/>
    <n v="263.33"/>
    <n v="63831.199999999997"/>
    <n v="38446.18"/>
    <n v="25385.02"/>
  </r>
  <r>
    <x v="0"/>
    <s v="Belize"/>
    <s v="Cereal"/>
    <s v="Offline"/>
    <s v="C"/>
    <d v="2014-11-08T00:00:00"/>
    <n v="459894835"/>
    <d v="2014-05-09T00:00:00"/>
    <n v="1957"/>
    <n v="205.7"/>
    <n v="117.11"/>
    <n v="402554.9"/>
    <n v="229184.27"/>
    <n v="173370.63"/>
  </r>
  <r>
    <x v="5"/>
    <s v="Madagascar"/>
    <s v="Personal Care"/>
    <s v="Online"/>
    <s v="M"/>
    <d v="2013-12-07T00:00:00"/>
    <n v="292072236"/>
    <d v="2013-01-08T00:00:00"/>
    <n v="9520"/>
    <n v="81.73"/>
    <n v="56.67"/>
    <n v="778069.6"/>
    <n v="539498.4"/>
    <n v="238571.2"/>
  </r>
  <r>
    <x v="0"/>
    <s v="Jamaica"/>
    <s v="Snacks"/>
    <s v="Offline"/>
    <s v="H"/>
    <s v="3/15/2013"/>
    <n v="994325625"/>
    <s v="4/15/2013"/>
    <n v="1904"/>
    <n v="152.58000000000001"/>
    <n v="97.44"/>
    <n v="290512.32"/>
    <n v="185525.76000000001"/>
    <n v="104986.56"/>
  </r>
  <r>
    <x v="5"/>
    <s v="Niger"/>
    <s v="Clothes"/>
    <s v="Offline"/>
    <s v="M"/>
    <d v="2014-11-11T00:00:00"/>
    <n v="777641332"/>
    <d v="2014-10-12T00:00:00"/>
    <n v="206"/>
    <n v="109.28"/>
    <n v="35.840000000000003"/>
    <n v="22511.68"/>
    <n v="7383.04"/>
    <n v="15128.64"/>
  </r>
  <r>
    <x v="0"/>
    <s v="Grenada"/>
    <s v="Vegetables"/>
    <s v="Offline"/>
    <s v="H"/>
    <d v="2017-06-01T00:00:00"/>
    <n v="623318183"/>
    <d v="2017-03-02T00:00:00"/>
    <n v="2557"/>
    <n v="154.06"/>
    <n v="90.93"/>
    <n v="393931.42"/>
    <n v="232508.01"/>
    <n v="161423.41"/>
  </r>
  <r>
    <x v="4"/>
    <s v="Samoa "/>
    <s v="Cosmetics"/>
    <s v="Online"/>
    <s v="H"/>
    <d v="2011-01-09T00:00:00"/>
    <n v="232967507"/>
    <d v="2011-01-09T00:00:00"/>
    <n v="9117"/>
    <n v="437.2"/>
    <n v="263.33"/>
    <n v="3985952.4"/>
    <n v="2400779.61"/>
    <n v="1585172.79"/>
  </r>
  <r>
    <x v="1"/>
    <s v="Macedonia"/>
    <s v="Fruits"/>
    <s v="Online"/>
    <s v="H"/>
    <s v="10/25/2010"/>
    <n v="278513133"/>
    <d v="2010-05-11T00:00:00"/>
    <n v="7080"/>
    <n v="9.33"/>
    <n v="6.92"/>
    <n v="66056.399999999994"/>
    <n v="48993.599999999999"/>
    <n v="17062.8"/>
  </r>
  <r>
    <x v="1"/>
    <s v="Albania"/>
    <s v="Baby Food"/>
    <s v="Offline"/>
    <s v="L"/>
    <s v="5/18/2012"/>
    <n v="152191388"/>
    <s v="6/22/2012"/>
    <n v="5669"/>
    <n v="255.28"/>
    <n v="159.41999999999999"/>
    <n v="1447182.32"/>
    <n v="903751.98"/>
    <n v="543430.34"/>
  </r>
  <r>
    <x v="3"/>
    <s v="United Arab Emirates"/>
    <s v="Cosmetics"/>
    <s v="Online"/>
    <s v="H"/>
    <s v="7/22/2011"/>
    <n v="216551101"/>
    <s v="8/29/2011"/>
    <n v="1138"/>
    <n v="437.2"/>
    <n v="263.33"/>
    <n v="497533.6"/>
    <n v="299669.53999999998"/>
    <n v="197864.06"/>
  </r>
  <r>
    <x v="2"/>
    <s v="Brunei"/>
    <s v="Cosmetics"/>
    <s v="Offline"/>
    <s v="L"/>
    <d v="2012-05-03T00:00:00"/>
    <n v="454453599"/>
    <s v="4/21/2012"/>
    <n v="1774"/>
    <n v="437.2"/>
    <n v="263.33"/>
    <n v="775592.8"/>
    <n v="467147.42"/>
    <n v="308445.38"/>
  </r>
  <r>
    <x v="6"/>
    <s v="United States of America"/>
    <s v="Office Supplies"/>
    <s v="Offline"/>
    <s v="C"/>
    <d v="2015-10-05T00:00:00"/>
    <n v="919072711"/>
    <d v="2015-07-06T00:00:00"/>
    <n v="2894"/>
    <n v="651.21"/>
    <n v="524.96"/>
    <n v="1884601.74"/>
    <n v="1519234.24"/>
    <n v="365367.5"/>
  </r>
  <r>
    <x v="5"/>
    <s v="Ghana"/>
    <s v="Cosmetics"/>
    <s v="Online"/>
    <s v="M"/>
    <s v="9/13/2015"/>
    <n v="383894765"/>
    <s v="9/23/2015"/>
    <n v="1847"/>
    <n v="437.2"/>
    <n v="263.33"/>
    <n v="807508.4"/>
    <n v="486370.51"/>
    <n v="321137.89"/>
  </r>
  <r>
    <x v="4"/>
    <s v="Nauru"/>
    <s v="Beverages"/>
    <s v="Online"/>
    <s v="C"/>
    <s v="8/30/2012"/>
    <n v="392718589"/>
    <d v="2012-12-09T00:00:00"/>
    <n v="3012"/>
    <n v="47.45"/>
    <n v="31.79"/>
    <n v="142919.4"/>
    <n v="95751.48"/>
    <n v="47167.92"/>
  </r>
  <r>
    <x v="1"/>
    <s v="Croatia"/>
    <s v="Personal Care"/>
    <s v="Offline"/>
    <s v="C"/>
    <d v="2014-05-05T00:00:00"/>
    <n v="309655511"/>
    <s v="5/21/2014"/>
    <n v="2802"/>
    <n v="81.73"/>
    <n v="56.67"/>
    <n v="229007.46"/>
    <n v="158789.34"/>
    <n v="70218.12"/>
  </r>
  <r>
    <x v="1"/>
    <s v="Luxembourg"/>
    <s v="Meat"/>
    <s v="Offline"/>
    <s v="M"/>
    <s v="12/18/2010"/>
    <n v="469129359"/>
    <s v="1/26/2011"/>
    <n v="4657"/>
    <n v="421.89"/>
    <n v="364.69"/>
    <n v="1964741.73"/>
    <n v="1698361.33"/>
    <n v="266380.40000000002"/>
  </r>
  <r>
    <x v="5"/>
    <s v="Democratic Republic of the Congo"/>
    <s v="Meat"/>
    <s v="Offline"/>
    <s v="H"/>
    <s v="7/14/2016"/>
    <n v="825876462"/>
    <s v="7/28/2016"/>
    <n v="4053"/>
    <n v="421.89"/>
    <n v="364.69"/>
    <n v="1709920.17"/>
    <n v="1478088.57"/>
    <n v="231831.6"/>
  </r>
  <r>
    <x v="2"/>
    <s v="Nepal"/>
    <s v="Clothes"/>
    <s v="Offline"/>
    <s v="M"/>
    <s v="1/22/2012"/>
    <n v="504945647"/>
    <d v="2012-03-02T00:00:00"/>
    <n v="3493"/>
    <n v="109.28"/>
    <n v="35.840000000000003"/>
    <n v="381715.04"/>
    <n v="125189.12"/>
    <n v="256525.92"/>
  </r>
  <r>
    <x v="1"/>
    <s v="Armenia"/>
    <s v="Snacks"/>
    <s v="Online"/>
    <s v="L"/>
    <s v="6/16/2017"/>
    <n v="951698243"/>
    <d v="2017-03-07T00:00:00"/>
    <n v="7514"/>
    <n v="152.58000000000001"/>
    <n v="97.44"/>
    <n v="1146486.1200000001"/>
    <n v="732164.16"/>
    <n v="414321.96"/>
  </r>
  <r>
    <x v="1"/>
    <s v="Malta"/>
    <s v="Snacks"/>
    <s v="Online"/>
    <s v="L"/>
    <s v="1/27/2012"/>
    <n v="981808078"/>
    <s v="1/28/2012"/>
    <n v="7683"/>
    <n v="152.58000000000001"/>
    <n v="97.44"/>
    <n v="1172272.1399999999"/>
    <n v="748631.52"/>
    <n v="423640.62"/>
  </r>
  <r>
    <x v="6"/>
    <s v="United States of America"/>
    <s v="Fruits"/>
    <s v="Online"/>
    <s v="H"/>
    <d v="2014-06-03T00:00:00"/>
    <n v="831261479"/>
    <d v="2014-08-03T00:00:00"/>
    <n v="7599"/>
    <n v="9.33"/>
    <n v="6.92"/>
    <n v="70898.67"/>
    <n v="52585.08"/>
    <n v="18313.59"/>
  </r>
  <r>
    <x v="2"/>
    <s v="Maldives"/>
    <s v="Snacks"/>
    <s v="Offline"/>
    <s v="C"/>
    <d v="2016-07-08T00:00:00"/>
    <n v="806357276"/>
    <s v="9/18/2016"/>
    <n v="7892"/>
    <n v="152.58000000000001"/>
    <n v="97.44"/>
    <n v="1204161.3600000001"/>
    <n v="768996.48"/>
    <n v="435164.88"/>
  </r>
  <r>
    <x v="1"/>
    <s v="Cyprus"/>
    <s v="Cereal"/>
    <s v="Online"/>
    <s v="M"/>
    <s v="3/27/2013"/>
    <n v="833706796"/>
    <d v="2013-03-04T00:00:00"/>
    <n v="1223"/>
    <n v="205.7"/>
    <n v="117.11"/>
    <n v="251571.1"/>
    <n v="143225.53"/>
    <n v="108345.57"/>
  </r>
  <r>
    <x v="4"/>
    <s v="Tonga"/>
    <s v="Meat"/>
    <s v="Offline"/>
    <s v="C"/>
    <s v="5/28/2010"/>
    <n v="910233867"/>
    <s v="6/22/2010"/>
    <n v="7283"/>
    <n v="421.89"/>
    <n v="364.69"/>
    <n v="3072624.87"/>
    <n v="2656037.27"/>
    <n v="416587.6"/>
  </r>
  <r>
    <x v="0"/>
    <s v="Trinidad and Tobago"/>
    <s v="Meat"/>
    <s v="Offline"/>
    <s v="M"/>
    <s v="6/29/2015"/>
    <n v="653174817"/>
    <d v="2015-02-08T00:00:00"/>
    <n v="7798"/>
    <n v="421.89"/>
    <n v="364.69"/>
    <n v="3289898.22"/>
    <n v="2843852.62"/>
    <n v="446045.6"/>
  </r>
  <r>
    <x v="1"/>
    <s v="Croatia"/>
    <s v="Office Supplies"/>
    <s v="Online"/>
    <s v="H"/>
    <d v="2010-09-06T00:00:00"/>
    <n v="650078475"/>
    <s v="6/18/2010"/>
    <n v="1522"/>
    <n v="651.21"/>
    <n v="524.96"/>
    <n v="991141.62"/>
    <n v="798989.12"/>
    <n v="192152.5"/>
  </r>
  <r>
    <x v="5"/>
    <s v="Rwanda"/>
    <s v="Office Supplies"/>
    <s v="Online"/>
    <s v="L"/>
    <s v="2/13/2016"/>
    <n v="208806169"/>
    <s v="3/29/2016"/>
    <n v="9240"/>
    <n v="651.21"/>
    <n v="524.96"/>
    <n v="6017180.4000000004"/>
    <n v="4850630.4000000004"/>
    <n v="1166550"/>
  </r>
  <r>
    <x v="1"/>
    <s v="Sweden"/>
    <s v="Snacks"/>
    <s v="Offline"/>
    <s v="H"/>
    <s v="10/27/2012"/>
    <n v="507531726"/>
    <d v="2012-11-11T00:00:00"/>
    <n v="8771"/>
    <n v="152.58000000000001"/>
    <n v="97.44"/>
    <n v="1338279.18"/>
    <n v="854646.24"/>
    <n v="483632.94"/>
  </r>
  <r>
    <x v="1"/>
    <s v="Netherlands"/>
    <s v="Personal Care"/>
    <s v="Online"/>
    <s v="C"/>
    <d v="2012-10-03T00:00:00"/>
    <n v="544741475"/>
    <s v="3/25/2012"/>
    <n v="9963"/>
    <n v="81.73"/>
    <n v="56.67"/>
    <n v="814275.99"/>
    <n v="564603.21"/>
    <n v="249672.78"/>
  </r>
  <r>
    <x v="3"/>
    <s v="Oman"/>
    <s v="Clothes"/>
    <s v="Online"/>
    <s v="M"/>
    <s v="7/30/2015"/>
    <n v="289234244"/>
    <s v="8/24/2015"/>
    <n v="9695"/>
    <n v="109.28"/>
    <n v="35.840000000000003"/>
    <n v="1059469.6000000001"/>
    <n v="347468.79999999999"/>
    <n v="712000.8"/>
  </r>
  <r>
    <x v="3"/>
    <s v="Turkey"/>
    <s v="Fruits"/>
    <s v="Online"/>
    <s v="C"/>
    <s v="3/31/2010"/>
    <n v="230121362"/>
    <d v="2010-06-05T00:00:00"/>
    <n v="6880"/>
    <n v="9.33"/>
    <n v="6.92"/>
    <n v="64190.400000000001"/>
    <n v="47609.599999999999"/>
    <n v="16580.8"/>
  </r>
  <r>
    <x v="1"/>
    <s v="Italy"/>
    <s v="Baby Food"/>
    <s v="Online"/>
    <s v="H"/>
    <s v="1/15/2011"/>
    <n v="926826655"/>
    <s v="2/16/2011"/>
    <n v="7458"/>
    <n v="255.28"/>
    <n v="159.41999999999999"/>
    <n v="1903878.24"/>
    <n v="1188954.3600000001"/>
    <n v="714923.88"/>
  </r>
  <r>
    <x v="1"/>
    <s v="Czech Republic"/>
    <s v="Household"/>
    <s v="Online"/>
    <s v="L"/>
    <s v="2/21/2011"/>
    <n v="759086453"/>
    <s v="2/27/2011"/>
    <n v="9405"/>
    <n v="668.27"/>
    <n v="502.54"/>
    <n v="6285079.3499999996"/>
    <n v="4726388.7"/>
    <n v="1558690.65"/>
  </r>
  <r>
    <x v="3"/>
    <s v="Iraq"/>
    <s v="Cereal"/>
    <s v="Online"/>
    <s v="L"/>
    <s v="2/29/2016"/>
    <n v="876949584"/>
    <s v="4/13/2016"/>
    <n v="7725"/>
    <n v="205.7"/>
    <n v="117.11"/>
    <n v="1589032.5"/>
    <n v="904674.75"/>
    <n v="684357.75"/>
  </r>
  <r>
    <x v="4"/>
    <s v="New Zealand"/>
    <s v="Clothes"/>
    <s v="Offline"/>
    <s v="C"/>
    <s v="1/20/2010"/>
    <n v="250777375"/>
    <d v="2010-02-03T00:00:00"/>
    <n v="9453"/>
    <n v="109.28"/>
    <n v="35.840000000000003"/>
    <n v="1033023.84"/>
    <n v="338795.52000000002"/>
    <n v="694228.32"/>
  </r>
  <r>
    <x v="2"/>
    <s v="Indonesia"/>
    <s v="Fruits"/>
    <s v="Offline"/>
    <s v="M"/>
    <d v="2011-03-12T00:00:00"/>
    <n v="621243655"/>
    <d v="2012-03-01T00:00:00"/>
    <n v="8658"/>
    <n v="9.33"/>
    <n v="6.92"/>
    <n v="80779.14"/>
    <n v="59913.36"/>
    <n v="20865.78"/>
  </r>
  <r>
    <x v="5"/>
    <s v="Central African Republic"/>
    <s v="Baby Food"/>
    <s v="Offline"/>
    <s v="C"/>
    <s v="8/19/2011"/>
    <n v="649334752"/>
    <d v="2011-02-09T00:00:00"/>
    <n v="1438"/>
    <n v="255.28"/>
    <n v="159.41999999999999"/>
    <n v="367092.64"/>
    <n v="229245.96"/>
    <n v="137846.68"/>
  </r>
  <r>
    <x v="0"/>
    <s v="Jamaica"/>
    <s v="Meat"/>
    <s v="Online"/>
    <s v="C"/>
    <s v="6/26/2011"/>
    <n v="866349494"/>
    <s v="7/22/2011"/>
    <n v="922"/>
    <n v="421.89"/>
    <n v="364.69"/>
    <n v="388982.58"/>
    <n v="336244.18"/>
    <n v="52738.400000000001"/>
  </r>
  <r>
    <x v="1"/>
    <s v="Germany"/>
    <s v="Baby Food"/>
    <s v="Offline"/>
    <s v="C"/>
    <d v="2014-01-11T00:00:00"/>
    <n v="523899209"/>
    <s v="11/16/2014"/>
    <n v="2273"/>
    <n v="255.28"/>
    <n v="159.41999999999999"/>
    <n v="580251.43999999994"/>
    <n v="362361.66"/>
    <n v="217889.78"/>
  </r>
  <r>
    <x v="5"/>
    <s v="Seychelles "/>
    <s v="Clothes"/>
    <s v="Online"/>
    <s v="M"/>
    <d v="2014-04-10T00:00:00"/>
    <n v="743907725"/>
    <s v="10/26/2014"/>
    <n v="7682"/>
    <n v="109.28"/>
    <n v="35.840000000000003"/>
    <n v="839488.96"/>
    <n v="275322.88"/>
    <n v="564166.07999999996"/>
  </r>
  <r>
    <x v="4"/>
    <s v="Solomon Islands"/>
    <s v="Snacks"/>
    <s v="Offline"/>
    <s v="M"/>
    <s v="12/13/2012"/>
    <n v="468611371"/>
    <s v="1/28/2013"/>
    <n v="1373"/>
    <n v="152.58000000000001"/>
    <n v="97.44"/>
    <n v="209492.34"/>
    <n v="133785.12"/>
    <n v="75707.22"/>
  </r>
  <r>
    <x v="4"/>
    <s v="Kiribati"/>
    <s v="Office Supplies"/>
    <s v="Online"/>
    <s v="H"/>
    <s v="12/23/2015"/>
    <n v="510558974"/>
    <s v="1/19/2016"/>
    <n v="4601"/>
    <n v="651.21"/>
    <n v="524.96"/>
    <n v="2996217.21"/>
    <n v="2415340.96"/>
    <n v="580876.25"/>
  </r>
  <r>
    <x v="5"/>
    <s v="Sierra Leone"/>
    <s v="Vegetables"/>
    <s v="Online"/>
    <s v="L"/>
    <s v="4/21/2016"/>
    <n v="402611863"/>
    <d v="2016-09-05T00:00:00"/>
    <n v="652"/>
    <n v="154.06"/>
    <n v="90.93"/>
    <n v="100447.12"/>
    <n v="59286.36"/>
    <n v="41160.76"/>
  </r>
  <r>
    <x v="1"/>
    <s v="Albania"/>
    <s v="Clothes"/>
    <s v="Online"/>
    <s v="M"/>
    <d v="2011-07-04T00:00:00"/>
    <n v="647943866"/>
    <s v="4/18/2011"/>
    <n v="9843"/>
    <n v="109.28"/>
    <n v="35.840000000000003"/>
    <n v="1075643.04"/>
    <n v="352773.12"/>
    <n v="722869.92"/>
  </r>
  <r>
    <x v="0"/>
    <s v="Belize"/>
    <s v="Fruits"/>
    <s v="Online"/>
    <s v="M"/>
    <s v="5/23/2014"/>
    <n v="470041310"/>
    <d v="2014-01-06T00:00:00"/>
    <n v="4524"/>
    <n v="9.33"/>
    <n v="6.92"/>
    <n v="42208.92"/>
    <n v="31306.080000000002"/>
    <n v="10902.84"/>
  </r>
  <r>
    <x v="6"/>
    <s v="Mexico"/>
    <s v="Snacks"/>
    <s v="Offline"/>
    <s v="M"/>
    <s v="10/14/2013"/>
    <n v="962703025"/>
    <s v="10/20/2013"/>
    <n v="4073"/>
    <n v="152.58000000000001"/>
    <n v="97.44"/>
    <n v="621458.34"/>
    <n v="396873.12"/>
    <n v="224585.22"/>
  </r>
  <r>
    <x v="5"/>
    <s v="Swaziland"/>
    <s v="Baby Food"/>
    <s v="Offline"/>
    <s v="M"/>
    <d v="2013-02-10T00:00:00"/>
    <n v="140040338"/>
    <d v="2013-09-10T00:00:00"/>
    <n v="9903"/>
    <n v="255.28"/>
    <n v="159.41999999999999"/>
    <n v="2528037.84"/>
    <n v="1578736.26"/>
    <n v="949301.58"/>
  </r>
  <r>
    <x v="5"/>
    <s v="Botswana"/>
    <s v="Meat"/>
    <s v="Online"/>
    <s v="L"/>
    <s v="11/17/2015"/>
    <n v="586477077"/>
    <s v="11/24/2015"/>
    <n v="455"/>
    <n v="421.89"/>
    <n v="364.69"/>
    <n v="191959.95"/>
    <n v="165933.95000000001"/>
    <n v="26026"/>
  </r>
  <r>
    <x v="5"/>
    <s v="South Africa"/>
    <s v="Household"/>
    <s v="Offline"/>
    <s v="C"/>
    <s v="3/30/2015"/>
    <n v="906749570"/>
    <d v="2015-12-04T00:00:00"/>
    <n v="6203"/>
    <n v="668.27"/>
    <n v="502.54"/>
    <n v="4145278.81"/>
    <n v="3117255.62"/>
    <n v="1028023.19"/>
  </r>
  <r>
    <x v="5"/>
    <s v="Nigeria"/>
    <s v="Cosmetics"/>
    <s v="Offline"/>
    <s v="L"/>
    <d v="2011-10-10T00:00:00"/>
    <n v="675906646"/>
    <d v="2011-01-11T00:00:00"/>
    <n v="4651"/>
    <n v="437.2"/>
    <n v="263.33"/>
    <n v="2033417.2"/>
    <n v="1224747.83"/>
    <n v="808669.37"/>
  </r>
  <r>
    <x v="5"/>
    <s v="Mozambique"/>
    <s v="Cosmetics"/>
    <s v="Online"/>
    <s v="C"/>
    <s v="1/16/2014"/>
    <n v="889309632"/>
    <s v="2/26/2014"/>
    <n v="5337"/>
    <n v="437.2"/>
    <n v="263.33"/>
    <n v="2333336.4"/>
    <n v="1405392.21"/>
    <n v="927944.19"/>
  </r>
  <r>
    <x v="1"/>
    <s v="Romania"/>
    <s v="Cereal"/>
    <s v="Offline"/>
    <s v="C"/>
    <s v="9/29/2012"/>
    <n v="812632358"/>
    <s v="10/17/2012"/>
    <n v="4828"/>
    <n v="205.7"/>
    <n v="117.11"/>
    <n v="993119.6"/>
    <n v="565407.07999999996"/>
    <n v="427712.52"/>
  </r>
  <r>
    <x v="1"/>
    <s v="Belarus"/>
    <s v="Cosmetics"/>
    <s v="Online"/>
    <s v="L"/>
    <s v="10/17/2014"/>
    <n v="231861150"/>
    <d v="2014-01-11T00:00:00"/>
    <n v="1722"/>
    <n v="437.2"/>
    <n v="263.33"/>
    <n v="752858.4"/>
    <n v="453454.26"/>
    <n v="299404.14"/>
  </r>
  <r>
    <x v="3"/>
    <s v="Qatar"/>
    <s v="Office Supplies"/>
    <s v="Online"/>
    <s v="H"/>
    <s v="10/21/2016"/>
    <n v="803294837"/>
    <s v="11/20/2016"/>
    <n v="1648"/>
    <n v="651.21"/>
    <n v="524.96"/>
    <n v="1073194.08"/>
    <n v="865134.07999999996"/>
    <n v="208060"/>
  </r>
  <r>
    <x v="2"/>
    <s v="Myanmar"/>
    <s v="Baby Food"/>
    <s v="Online"/>
    <s v="L"/>
    <s v="6/18/2016"/>
    <n v="203544747"/>
    <s v="7/13/2016"/>
    <n v="2269"/>
    <n v="255.28"/>
    <n v="159.41999999999999"/>
    <n v="579230.31999999995"/>
    <n v="361723.98"/>
    <n v="217506.34"/>
  </r>
  <r>
    <x v="2"/>
    <s v="Kyrgyzstan"/>
    <s v="Beverages"/>
    <s v="Online"/>
    <s v="M"/>
    <s v="4/19/2016"/>
    <n v="679534709"/>
    <s v="4/20/2016"/>
    <n v="8276"/>
    <n v="47.45"/>
    <n v="31.79"/>
    <n v="392696.2"/>
    <n v="263094.03999999998"/>
    <n v="129602.16"/>
  </r>
  <r>
    <x v="3"/>
    <s v="Syria"/>
    <s v="Beverages"/>
    <s v="Online"/>
    <s v="H"/>
    <d v="2012-02-05T00:00:00"/>
    <n v="498501050"/>
    <s v="5/24/2012"/>
    <n v="6393"/>
    <n v="47.45"/>
    <n v="31.79"/>
    <n v="303347.84999999998"/>
    <n v="203233.47"/>
    <n v="100114.38"/>
  </r>
  <r>
    <x v="2"/>
    <s v="Thailand"/>
    <s v="Cereal"/>
    <s v="Online"/>
    <s v="L"/>
    <d v="2013-09-01T00:00:00"/>
    <n v="697992599"/>
    <s v="2/18/2013"/>
    <n v="376"/>
    <n v="205.7"/>
    <n v="117.11"/>
    <n v="77343.199999999997"/>
    <n v="44033.36"/>
    <n v="33309.839999999997"/>
  </r>
  <r>
    <x v="2"/>
    <s v="Maldives"/>
    <s v="Snacks"/>
    <s v="Online"/>
    <s v="H"/>
    <s v="9/25/2012"/>
    <n v="135870683"/>
    <s v="10/15/2012"/>
    <n v="6009"/>
    <n v="152.58000000000001"/>
    <n v="97.44"/>
    <n v="916853.22"/>
    <n v="585516.96"/>
    <n v="331336.26"/>
  </r>
  <r>
    <x v="5"/>
    <s v="Seychelles "/>
    <s v="Cereal"/>
    <s v="Online"/>
    <s v="C"/>
    <d v="2010-07-09T00:00:00"/>
    <n v="440309131"/>
    <s v="9/22/2010"/>
    <n v="6111"/>
    <n v="205.7"/>
    <n v="117.11"/>
    <n v="1257032.7"/>
    <n v="715659.21"/>
    <n v="541373.49"/>
  </r>
  <r>
    <x v="2"/>
    <s v="Turkmenistan"/>
    <s v="Vegetables"/>
    <s v="Offline"/>
    <s v="H"/>
    <s v="9/24/2014"/>
    <n v="159794270"/>
    <d v="2014-06-11T00:00:00"/>
    <n v="5530"/>
    <n v="154.06"/>
    <n v="90.93"/>
    <n v="851951.8"/>
    <n v="502842.9"/>
    <n v="349108.9"/>
  </r>
  <r>
    <x v="4"/>
    <s v="Kiribati"/>
    <s v="Cereal"/>
    <s v="Offline"/>
    <s v="M"/>
    <d v="2014-12-11T00:00:00"/>
    <n v="613124930"/>
    <s v="11/21/2014"/>
    <n v="6147"/>
    <n v="205.7"/>
    <n v="117.11"/>
    <n v="1264437.8999999999"/>
    <n v="719875.17"/>
    <n v="544562.73"/>
  </r>
  <r>
    <x v="3"/>
    <s v="Libya"/>
    <s v="Snacks"/>
    <s v="Offline"/>
    <s v="C"/>
    <s v="4/15/2017"/>
    <n v="939412438"/>
    <s v="5/16/2017"/>
    <n v="1871"/>
    <n v="152.58000000000001"/>
    <n v="97.44"/>
    <n v="285477.18"/>
    <n v="182310.24"/>
    <n v="103166.94"/>
  </r>
  <r>
    <x v="1"/>
    <s v="Andorra"/>
    <s v="Snacks"/>
    <s v="Online"/>
    <s v="M"/>
    <d v="2010-03-05T00:00:00"/>
    <n v="348080623"/>
    <s v="5/19/2010"/>
    <n v="3646"/>
    <n v="152.58000000000001"/>
    <n v="97.44"/>
    <n v="556306.68000000005"/>
    <n v="355266.24"/>
    <n v="201040.44"/>
  </r>
  <r>
    <x v="1"/>
    <s v="Germany"/>
    <s v="Office Supplies"/>
    <s v="Online"/>
    <s v="L"/>
    <d v="2013-11-09T00:00:00"/>
    <n v="368865811"/>
    <s v="10/16/2013"/>
    <n v="4445"/>
    <n v="651.21"/>
    <n v="524.96"/>
    <n v="2894628.45"/>
    <n v="2333447.2000000002"/>
    <n v="561181.25"/>
  </r>
  <r>
    <x v="2"/>
    <s v="Kyrgyzstan"/>
    <s v="Beverages"/>
    <s v="Online"/>
    <s v="M"/>
    <s v="1/17/2014"/>
    <n v="801816833"/>
    <d v="2014-03-03T00:00:00"/>
    <n v="4274"/>
    <n v="47.45"/>
    <n v="31.79"/>
    <n v="202801.3"/>
    <n v="135870.46"/>
    <n v="66930.84"/>
  </r>
  <r>
    <x v="5"/>
    <s v="Sudan"/>
    <s v="Cosmetics"/>
    <s v="Offline"/>
    <s v="C"/>
    <d v="2014-10-04T00:00:00"/>
    <n v="167295014"/>
    <s v="4/28/2014"/>
    <n v="5167"/>
    <n v="437.2"/>
    <n v="263.33"/>
    <n v="2259012.4"/>
    <n v="1360626.11"/>
    <n v="898386.29"/>
  </r>
  <r>
    <x v="5"/>
    <s v="Comoros"/>
    <s v="Office Supplies"/>
    <s v="Offline"/>
    <s v="M"/>
    <s v="7/18/2014"/>
    <n v="655974185"/>
    <s v="7/31/2014"/>
    <n v="6193"/>
    <n v="651.21"/>
    <n v="524.96"/>
    <n v="4032943.53"/>
    <n v="3251077.28"/>
    <n v="781866.25"/>
  </r>
  <r>
    <x v="1"/>
    <s v="Denmark"/>
    <s v="Personal Care"/>
    <s v="Online"/>
    <s v="L"/>
    <d v="2016-04-02T00:00:00"/>
    <n v="478840672"/>
    <d v="2016-09-02T00:00:00"/>
    <n v="8451"/>
    <n v="81.73"/>
    <n v="56.67"/>
    <n v="690700.23"/>
    <n v="478918.17"/>
    <n v="211782.06"/>
  </r>
  <r>
    <x v="5"/>
    <s v="Zambia"/>
    <s v="Personal Care"/>
    <s v="Offline"/>
    <s v="M"/>
    <d v="2017-05-06T00:00:00"/>
    <n v="617193305"/>
    <d v="2017-10-06T00:00:00"/>
    <n v="69"/>
    <n v="81.73"/>
    <n v="56.67"/>
    <n v="5639.37"/>
    <n v="3910.23"/>
    <n v="1729.14"/>
  </r>
  <r>
    <x v="1"/>
    <s v="Sweden"/>
    <s v="Cereal"/>
    <s v="Online"/>
    <s v="L"/>
    <s v="7/19/2010"/>
    <n v="772643411"/>
    <s v="8/25/2010"/>
    <n v="1210"/>
    <n v="205.7"/>
    <n v="117.11"/>
    <n v="248897"/>
    <n v="141703.1"/>
    <n v="107193.9"/>
  </r>
  <r>
    <x v="0"/>
    <s v="Costa Rica"/>
    <s v="Cereal"/>
    <s v="Offline"/>
    <s v="L"/>
    <d v="2015-11-01T00:00:00"/>
    <n v="717114818"/>
    <s v="1/25/2015"/>
    <n v="9065"/>
    <n v="205.7"/>
    <n v="117.11"/>
    <n v="1864670.5"/>
    <n v="1061602.1499999999"/>
    <n v="803068.35"/>
  </r>
  <r>
    <x v="1"/>
    <s v="Poland"/>
    <s v="Beverages"/>
    <s v="Online"/>
    <s v="M"/>
    <s v="8/22/2013"/>
    <n v="742843854"/>
    <d v="2013-04-09T00:00:00"/>
    <n v="2859"/>
    <n v="47.45"/>
    <n v="31.79"/>
    <n v="135659.54999999999"/>
    <n v="90887.61"/>
    <n v="44771.94"/>
  </r>
  <r>
    <x v="5"/>
    <s v="Sudan"/>
    <s v="Office Supplies"/>
    <s v="Offline"/>
    <s v="C"/>
    <s v="9/23/2016"/>
    <n v="312379348"/>
    <d v="2016-11-11T00:00:00"/>
    <n v="8846"/>
    <n v="651.21"/>
    <n v="524.96"/>
    <n v="5760603.6600000001"/>
    <n v="4643796.16"/>
    <n v="1116807.5"/>
  </r>
  <r>
    <x v="1"/>
    <s v="Serbia"/>
    <s v="Beverages"/>
    <s v="Offline"/>
    <s v="C"/>
    <s v="12/23/2012"/>
    <n v="308582627"/>
    <d v="2013-09-02T00:00:00"/>
    <n v="5312"/>
    <n v="47.45"/>
    <n v="31.79"/>
    <n v="252054.39999999999"/>
    <n v="168868.48000000001"/>
    <n v="83185.919999999998"/>
  </r>
  <r>
    <x v="3"/>
    <s v="Yemen"/>
    <s v="Beverages"/>
    <s v="Online"/>
    <s v="H"/>
    <s v="1/29/2011"/>
    <n v="784627521"/>
    <s v="2/25/2011"/>
    <n v="7574"/>
    <n v="47.45"/>
    <n v="31.79"/>
    <n v="359386.3"/>
    <n v="240777.46"/>
    <n v="118608.84"/>
  </r>
  <r>
    <x v="2"/>
    <s v="Uzbekistan"/>
    <s v="Household"/>
    <s v="Offline"/>
    <s v="C"/>
    <s v="3/15/2013"/>
    <n v="514000356"/>
    <s v="3/30/2013"/>
    <n v="2982"/>
    <n v="668.27"/>
    <n v="502.54"/>
    <n v="1992781.14"/>
    <n v="1498574.28"/>
    <n v="494206.86"/>
  </r>
  <r>
    <x v="1"/>
    <s v="Latvia"/>
    <s v="Personal Care"/>
    <s v="Online"/>
    <s v="L"/>
    <s v="3/29/2011"/>
    <n v="140499961"/>
    <s v="4/30/2011"/>
    <n v="5915"/>
    <n v="81.73"/>
    <n v="56.67"/>
    <n v="483432.95"/>
    <n v="335203.05"/>
    <n v="148229.9"/>
  </r>
  <r>
    <x v="3"/>
    <s v="Pakistan"/>
    <s v="Household"/>
    <s v="Offline"/>
    <s v="H"/>
    <s v="4/13/2013"/>
    <n v="828237664"/>
    <s v="4/19/2013"/>
    <n v="2785"/>
    <n v="668.27"/>
    <n v="502.54"/>
    <n v="1861131.95"/>
    <n v="1399573.9"/>
    <n v="461558.05"/>
  </r>
  <r>
    <x v="3"/>
    <s v="Kuwait"/>
    <s v="Fruits"/>
    <s v="Offline"/>
    <s v="C"/>
    <s v="2/15/2017"/>
    <n v="211637294"/>
    <s v="2/23/2017"/>
    <n v="7033"/>
    <n v="9.33"/>
    <n v="6.92"/>
    <n v="65617.89"/>
    <n v="48668.36"/>
    <n v="16949.53"/>
  </r>
  <r>
    <x v="5"/>
    <s v="Lesotho"/>
    <s v="Cereal"/>
    <s v="Online"/>
    <s v="C"/>
    <s v="1/26/2014"/>
    <n v="945435178"/>
    <s v="2/15/2014"/>
    <n v="4134"/>
    <n v="205.7"/>
    <n v="117.11"/>
    <n v="850363.8"/>
    <n v="484132.74"/>
    <n v="366231.06"/>
  </r>
  <r>
    <x v="5"/>
    <s v="Sao Tome and Principe"/>
    <s v="Vegetables"/>
    <s v="Offline"/>
    <s v="L"/>
    <s v="5/26/2015"/>
    <n v="354680144"/>
    <d v="2015-08-06T00:00:00"/>
    <n v="6591"/>
    <n v="154.06"/>
    <n v="90.93"/>
    <n v="1015409.46"/>
    <n v="599319.63"/>
    <n v="416089.83"/>
  </r>
  <r>
    <x v="2"/>
    <s v="Turkmenistan"/>
    <s v="Clothes"/>
    <s v="Online"/>
    <s v="M"/>
    <s v="9/30/2010"/>
    <n v="784733521"/>
    <s v="10/21/2010"/>
    <n v="8942"/>
    <n v="109.28"/>
    <n v="35.840000000000003"/>
    <n v="977181.76"/>
    <n v="320481.28000000003"/>
    <n v="656700.48"/>
  </r>
  <r>
    <x v="5"/>
    <s v="Guinea-Bissau"/>
    <s v="Fruits"/>
    <s v="Offline"/>
    <s v="C"/>
    <s v="4/27/2017"/>
    <n v="151269137"/>
    <s v="5/14/2017"/>
    <n v="2754"/>
    <n v="9.33"/>
    <n v="6.92"/>
    <n v="25694.82"/>
    <n v="19057.68"/>
    <n v="6637.14"/>
  </r>
  <r>
    <x v="5"/>
    <s v="Mali"/>
    <s v="Vegetables"/>
    <s v="Offline"/>
    <s v="L"/>
    <s v="7/13/2015"/>
    <n v="490273320"/>
    <s v="8/18/2015"/>
    <n v="1625"/>
    <n v="154.06"/>
    <n v="90.93"/>
    <n v="250347.5"/>
    <n v="147761.25"/>
    <n v="102586.25"/>
  </r>
  <r>
    <x v="0"/>
    <s v="Saint Vincent and the Grenadines"/>
    <s v="Beverages"/>
    <s v="Offline"/>
    <s v="H"/>
    <d v="2013-06-05T00:00:00"/>
    <n v="308044898"/>
    <d v="2013-07-05T00:00:00"/>
    <n v="6186"/>
    <n v="47.45"/>
    <n v="31.79"/>
    <n v="293525.7"/>
    <n v="196652.94"/>
    <n v="96872.76"/>
  </r>
  <r>
    <x v="0"/>
    <s v="Haiti"/>
    <s v="Fruits"/>
    <s v="Online"/>
    <s v="H"/>
    <s v="3/27/2012"/>
    <n v="431195199"/>
    <s v="3/27/2012"/>
    <n v="9096"/>
    <n v="9.33"/>
    <n v="6.92"/>
    <n v="84865.68"/>
    <n v="62944.32"/>
    <n v="21921.360000000001"/>
  </r>
  <r>
    <x v="1"/>
    <s v="Liechtenstein"/>
    <s v="Cereal"/>
    <s v="Online"/>
    <s v="M"/>
    <s v="12/13/2010"/>
    <n v="856648051"/>
    <s v="12/23/2010"/>
    <n v="50"/>
    <n v="205.7"/>
    <n v="117.11"/>
    <n v="10285"/>
    <n v="5855.5"/>
    <n v="4429.5"/>
  </r>
  <r>
    <x v="0"/>
    <s v="Guatemala"/>
    <s v="Household"/>
    <s v="Offline"/>
    <s v="M"/>
    <s v="11/14/2016"/>
    <n v="301639783"/>
    <d v="2016-02-12T00:00:00"/>
    <n v="770"/>
    <n v="668.27"/>
    <n v="502.54"/>
    <n v="514567.9"/>
    <n v="386955.8"/>
    <n v="127612.1"/>
  </r>
  <r>
    <x v="3"/>
    <s v="Libya"/>
    <s v="Office Supplies"/>
    <s v="Online"/>
    <s v="C"/>
    <d v="2011-11-12T00:00:00"/>
    <n v="253719222"/>
    <s v="12/13/2011"/>
    <n v="11"/>
    <n v="651.21"/>
    <n v="524.96"/>
    <n v="7163.31"/>
    <n v="5774.56"/>
    <n v="1388.75"/>
  </r>
  <r>
    <x v="2"/>
    <s v="Maldives"/>
    <s v="Meat"/>
    <s v="Online"/>
    <s v="H"/>
    <s v="1/15/2017"/>
    <n v="920747697"/>
    <s v="1/17/2017"/>
    <n v="8559"/>
    <n v="421.89"/>
    <n v="364.69"/>
    <n v="3610956.51"/>
    <n v="3121381.71"/>
    <n v="489574.8"/>
  </r>
  <r>
    <x v="1"/>
    <s v="Slovakia"/>
    <s v="Cosmetics"/>
    <s v="Offline"/>
    <s v="H"/>
    <s v="6/13/2012"/>
    <n v="780899035"/>
    <s v="7/30/2012"/>
    <n v="4233"/>
    <n v="437.2"/>
    <n v="263.33"/>
    <n v="1850667.6"/>
    <n v="1114675.8899999999"/>
    <n v="735991.71"/>
  </r>
  <r>
    <x v="0"/>
    <s v="Dominica"/>
    <s v="Vegetables"/>
    <s v="Offline"/>
    <s v="L"/>
    <s v="5/21/2017"/>
    <n v="632659566"/>
    <s v="6/18/2017"/>
    <n v="6880"/>
    <n v="154.06"/>
    <n v="90.93"/>
    <n v="1059932.8"/>
    <n v="625598.4"/>
    <n v="434334.4"/>
  </r>
  <r>
    <x v="4"/>
    <s v="Australia"/>
    <s v="Fruits"/>
    <s v="Offline"/>
    <s v="H"/>
    <s v="6/26/2010"/>
    <n v="444828116"/>
    <s v="7/21/2010"/>
    <n v="3380"/>
    <n v="9.33"/>
    <n v="6.92"/>
    <n v="31535.4"/>
    <n v="23389.599999999999"/>
    <n v="8145.8"/>
  </r>
  <r>
    <x v="4"/>
    <s v="Fiji"/>
    <s v="Household"/>
    <s v="Online"/>
    <s v="M"/>
    <s v="11/16/2016"/>
    <n v="706516015"/>
    <s v="12/19/2016"/>
    <n v="2644"/>
    <n v="668.27"/>
    <n v="502.54"/>
    <n v="1766905.88"/>
    <n v="1328715.76"/>
    <n v="438190.12"/>
  </r>
  <r>
    <x v="1"/>
    <s v="Monaco"/>
    <s v="Meat"/>
    <s v="Offline"/>
    <s v="L"/>
    <s v="7/15/2013"/>
    <n v="177147090"/>
    <s v="8/17/2013"/>
    <n v="615"/>
    <n v="421.89"/>
    <n v="364.69"/>
    <n v="259462.35"/>
    <n v="224284.35"/>
    <n v="35178"/>
  </r>
  <r>
    <x v="3"/>
    <s v="Azerbaijan"/>
    <s v="Meat"/>
    <s v="Offline"/>
    <s v="C"/>
    <s v="5/14/2016"/>
    <n v="836457669"/>
    <d v="2016-03-06T00:00:00"/>
    <n v="5267"/>
    <n v="421.89"/>
    <n v="364.69"/>
    <n v="2222094.63"/>
    <n v="1920822.23"/>
    <n v="301272.40000000002"/>
  </r>
  <r>
    <x v="3"/>
    <s v="Libya"/>
    <s v="Meat"/>
    <s v="Online"/>
    <s v="C"/>
    <d v="2015-01-11T00:00:00"/>
    <n v="234496581"/>
    <s v="11/29/2015"/>
    <n v="1604"/>
    <n v="421.89"/>
    <n v="364.69"/>
    <n v="676711.56"/>
    <n v="584962.76"/>
    <n v="91748.800000000003"/>
  </r>
  <r>
    <x v="0"/>
    <s v="Costa Rica"/>
    <s v="Beverages"/>
    <s v="Online"/>
    <s v="C"/>
    <s v="1/14/2011"/>
    <n v="941625154"/>
    <s v="1/15/2011"/>
    <n v="6663"/>
    <n v="47.45"/>
    <n v="31.79"/>
    <n v="316159.34999999998"/>
    <n v="211816.77"/>
    <n v="104342.58"/>
  </r>
  <r>
    <x v="0"/>
    <s v="Trinidad and Tobago"/>
    <s v="Office Supplies"/>
    <s v="Online"/>
    <s v="M"/>
    <d v="2013-02-07T00:00:00"/>
    <n v="198517215"/>
    <s v="7/30/2013"/>
    <n v="4510"/>
    <n v="651.21"/>
    <n v="524.96"/>
    <n v="2936957.1"/>
    <n v="2367569.6"/>
    <n v="569387.5"/>
  </r>
  <r>
    <x v="5"/>
    <s v="Cote d'Ivoire"/>
    <s v="Office Supplies"/>
    <s v="Offline"/>
    <s v="C"/>
    <d v="2013-06-02T00:00:00"/>
    <n v="266159093"/>
    <d v="2013-10-02T00:00:00"/>
    <n v="1245"/>
    <n v="651.21"/>
    <n v="524.96"/>
    <n v="810756.45"/>
    <n v="653575.19999999995"/>
    <n v="157181.25"/>
  </r>
  <r>
    <x v="1"/>
    <s v="Portugal"/>
    <s v="Office Supplies"/>
    <s v="Offline"/>
    <s v="C"/>
    <s v="2/17/2012"/>
    <n v="775849616"/>
    <d v="2012-05-03T00:00:00"/>
    <n v="9997"/>
    <n v="651.21"/>
    <n v="524.96"/>
    <n v="6510146.3700000001"/>
    <n v="5248025.12"/>
    <n v="1262121.25"/>
  </r>
  <r>
    <x v="1"/>
    <s v="Macedonia"/>
    <s v="Meat"/>
    <s v="Online"/>
    <s v="C"/>
    <s v="12/14/2013"/>
    <n v="979200112"/>
    <s v="12/30/2013"/>
    <n v="5928"/>
    <n v="421.89"/>
    <n v="364.69"/>
    <n v="2500963.92"/>
    <n v="2161882.3199999998"/>
    <n v="339081.6"/>
  </r>
  <r>
    <x v="6"/>
    <s v="United States of America"/>
    <s v="Cosmetics"/>
    <s v="Online"/>
    <s v="L"/>
    <s v="8/20/2011"/>
    <n v="198134410"/>
    <s v="9/29/2011"/>
    <n v="1230"/>
    <n v="437.2"/>
    <n v="263.33"/>
    <n v="537756"/>
    <n v="323895.90000000002"/>
    <n v="213860.1"/>
  </r>
  <r>
    <x v="5"/>
    <s v="Central African Republic"/>
    <s v="Vegetables"/>
    <s v="Online"/>
    <s v="C"/>
    <s v="6/14/2014"/>
    <n v="974888837"/>
    <s v="7/22/2014"/>
    <n v="126"/>
    <n v="154.06"/>
    <n v="90.93"/>
    <n v="19411.560000000001"/>
    <n v="11457.18"/>
    <n v="7954.38"/>
  </r>
  <r>
    <x v="2"/>
    <s v="Nepal"/>
    <s v="Cosmetics"/>
    <s v="Offline"/>
    <s v="L"/>
    <s v="10/24/2013"/>
    <n v="522012221"/>
    <s v="10/25/2013"/>
    <n v="3871"/>
    <n v="437.2"/>
    <n v="263.33"/>
    <n v="1692401.2"/>
    <n v="1019350.43"/>
    <n v="673050.77"/>
  </r>
  <r>
    <x v="5"/>
    <s v="Sierra Leone"/>
    <s v="Household"/>
    <s v="Online"/>
    <s v="M"/>
    <d v="2017-06-05T00:00:00"/>
    <n v="172365891"/>
    <d v="2017-09-06T00:00:00"/>
    <n v="5752"/>
    <n v="668.27"/>
    <n v="502.54"/>
    <n v="3843889.04"/>
    <n v="2890610.08"/>
    <n v="953278.96"/>
  </r>
  <r>
    <x v="1"/>
    <s v="Vatican City"/>
    <s v="Snacks"/>
    <s v="Offline"/>
    <s v="M"/>
    <s v="10/18/2014"/>
    <n v="429123675"/>
    <d v="2014-11-11T00:00:00"/>
    <n v="6086"/>
    <n v="152.58000000000001"/>
    <n v="97.44"/>
    <n v="928601.88"/>
    <n v="593019.84"/>
    <n v="335582.04"/>
  </r>
  <r>
    <x v="1"/>
    <s v="San Marino"/>
    <s v="Vegetables"/>
    <s v="Offline"/>
    <s v="L"/>
    <s v="2/19/2012"/>
    <n v="515771901"/>
    <s v="3/19/2012"/>
    <n v="7222"/>
    <n v="154.06"/>
    <n v="90.93"/>
    <n v="1112621.32"/>
    <n v="656696.46"/>
    <n v="455924.86"/>
  </r>
  <r>
    <x v="1"/>
    <s v="Ukraine"/>
    <s v="Cereal"/>
    <s v="Online"/>
    <s v="C"/>
    <d v="2012-07-08T00:00:00"/>
    <n v="626109397"/>
    <s v="9/15/2012"/>
    <n v="8539"/>
    <n v="205.7"/>
    <n v="117.11"/>
    <n v="1756472.3"/>
    <n v="1000002.29"/>
    <n v="756470.01"/>
  </r>
  <r>
    <x v="1"/>
    <s v="Czech Republic"/>
    <s v="Household"/>
    <s v="Offline"/>
    <s v="H"/>
    <d v="2012-05-12T00:00:00"/>
    <n v="574247491"/>
    <s v="12/17/2012"/>
    <n v="1448"/>
    <n v="668.27"/>
    <n v="502.54"/>
    <n v="967654.96"/>
    <n v="727677.92"/>
    <n v="239977.04"/>
  </r>
  <r>
    <x v="4"/>
    <s v="Tuvalu"/>
    <s v="Clothes"/>
    <s v="Online"/>
    <s v="C"/>
    <s v="9/16/2014"/>
    <n v="244610011"/>
    <s v="10/27/2014"/>
    <n v="4393"/>
    <n v="109.28"/>
    <n v="35.840000000000003"/>
    <n v="480067.04"/>
    <n v="157445.12"/>
    <n v="322621.92"/>
  </r>
  <r>
    <x v="1"/>
    <s v="Russia"/>
    <s v="Snacks"/>
    <s v="Online"/>
    <s v="M"/>
    <d v="2013-05-01T00:00:00"/>
    <n v="941933286"/>
    <d v="2013-08-02T00:00:00"/>
    <n v="7846"/>
    <n v="152.58000000000001"/>
    <n v="97.44"/>
    <n v="1197142.68"/>
    <n v="764514.24"/>
    <n v="432628.44"/>
  </r>
  <r>
    <x v="2"/>
    <s v="Thailand"/>
    <s v="Vegetables"/>
    <s v="Online"/>
    <s v="L"/>
    <d v="2015-09-05T00:00:00"/>
    <n v="441266143"/>
    <s v="6/16/2015"/>
    <n v="9312"/>
    <n v="154.06"/>
    <n v="90.93"/>
    <n v="1434606.72"/>
    <n v="846740.16"/>
    <n v="587866.56000000006"/>
  </r>
  <r>
    <x v="3"/>
    <s v="Libya"/>
    <s v="Household"/>
    <s v="Offline"/>
    <s v="M"/>
    <s v="2/21/2015"/>
    <n v="637969911"/>
    <d v="2015-02-03T00:00:00"/>
    <n v="8329"/>
    <n v="668.27"/>
    <n v="502.54"/>
    <n v="5566020.8300000001"/>
    <n v="4185655.66"/>
    <n v="1380365.17"/>
  </r>
  <r>
    <x v="1"/>
    <s v="France"/>
    <s v="Cereal"/>
    <s v="Offline"/>
    <s v="L"/>
    <s v="8/28/2010"/>
    <n v="797718417"/>
    <s v="10/15/2010"/>
    <n v="1462"/>
    <n v="205.7"/>
    <n v="117.11"/>
    <n v="300733.40000000002"/>
    <n v="171214.82"/>
    <n v="129518.58"/>
  </r>
  <r>
    <x v="2"/>
    <s v="Myanmar"/>
    <s v="Snacks"/>
    <s v="Online"/>
    <s v="H"/>
    <s v="5/19/2016"/>
    <n v="706497991"/>
    <s v="5/31/2016"/>
    <n v="7310"/>
    <n v="152.58000000000001"/>
    <n v="97.44"/>
    <n v="1115359.8"/>
    <n v="712286.4"/>
    <n v="403073.4"/>
  </r>
  <r>
    <x v="1"/>
    <s v="Estonia"/>
    <s v="Cereal"/>
    <s v="Online"/>
    <s v="C"/>
    <s v="10/14/2013"/>
    <n v="220607459"/>
    <s v="10/17/2013"/>
    <n v="1504"/>
    <n v="205.7"/>
    <n v="117.11"/>
    <n v="309372.79999999999"/>
    <n v="176133.44"/>
    <n v="133239.35999999999"/>
  </r>
  <r>
    <x v="5"/>
    <s v="Zambia"/>
    <s v="Snacks"/>
    <s v="Offline"/>
    <s v="H"/>
    <s v="9/13/2015"/>
    <n v="616658151"/>
    <s v="10/16/2015"/>
    <n v="1705"/>
    <n v="152.58000000000001"/>
    <n v="97.44"/>
    <n v="260148.9"/>
    <n v="166135.20000000001"/>
    <n v="94013.7"/>
  </r>
  <r>
    <x v="2"/>
    <s v="Brunei"/>
    <s v="Cereal"/>
    <s v="Offline"/>
    <s v="M"/>
    <s v="1/29/2017"/>
    <n v="541573894"/>
    <s v="1/30/2017"/>
    <n v="2605"/>
    <n v="205.7"/>
    <n v="117.11"/>
    <n v="535848.5"/>
    <n v="305071.55"/>
    <n v="230776.95"/>
  </r>
  <r>
    <x v="5"/>
    <s v="Djibouti"/>
    <s v="Clothes"/>
    <s v="Offline"/>
    <s v="C"/>
    <s v="12/14/2013"/>
    <n v="962591016"/>
    <d v="2014-05-01T00:00:00"/>
    <n v="927"/>
    <n v="109.28"/>
    <n v="35.840000000000003"/>
    <n v="101302.56"/>
    <n v="33223.68"/>
    <n v="68078.880000000005"/>
  </r>
  <r>
    <x v="6"/>
    <s v="United States of America"/>
    <s v="Household"/>
    <s v="Online"/>
    <s v="H"/>
    <d v="2014-07-10T00:00:00"/>
    <n v="217258346"/>
    <s v="11/23/2014"/>
    <n v="427"/>
    <n v="668.27"/>
    <n v="502.54"/>
    <n v="285351.28999999998"/>
    <n v="214584.58"/>
    <n v="70766.710000000006"/>
  </r>
  <r>
    <x v="5"/>
    <s v="Rwanda"/>
    <s v="Meat"/>
    <s v="Online"/>
    <s v="M"/>
    <s v="11/22/2013"/>
    <n v="763437211"/>
    <d v="2014-03-01T00:00:00"/>
    <n v="6891"/>
    <n v="421.89"/>
    <n v="364.69"/>
    <n v="2907243.99"/>
    <n v="2513078.79"/>
    <n v="394165.2"/>
  </r>
  <r>
    <x v="1"/>
    <s v="Ireland"/>
    <s v="Baby Food"/>
    <s v="Offline"/>
    <s v="L"/>
    <s v="7/19/2010"/>
    <n v="629301440"/>
    <s v="7/29/2010"/>
    <n v="3135"/>
    <n v="255.28"/>
    <n v="159.41999999999999"/>
    <n v="800302.8"/>
    <n v="499781.7"/>
    <n v="300521.09999999998"/>
  </r>
  <r>
    <x v="5"/>
    <s v="Mali"/>
    <s v="Household"/>
    <s v="Offline"/>
    <s v="L"/>
    <d v="2012-03-08T00:00:00"/>
    <n v="163337361"/>
    <s v="8/22/2012"/>
    <n v="4010"/>
    <n v="668.27"/>
    <n v="502.54"/>
    <n v="2679762.7000000002"/>
    <n v="2015185.4"/>
    <n v="664577.30000000005"/>
  </r>
  <r>
    <x v="3"/>
    <s v="Iran"/>
    <s v="Cosmetics"/>
    <s v="Offline"/>
    <s v="L"/>
    <d v="2010-04-01T00:00:00"/>
    <n v="684343802"/>
    <s v="1/28/2010"/>
    <n v="1394"/>
    <n v="437.2"/>
    <n v="263.33"/>
    <n v="609456.80000000005"/>
    <n v="367082.02"/>
    <n v="242374.78"/>
  </r>
  <r>
    <x v="1"/>
    <s v="Macedonia"/>
    <s v="Clothes"/>
    <s v="Offline"/>
    <s v="H"/>
    <d v="2016-01-08T00:00:00"/>
    <n v="431432092"/>
    <s v="9/13/2016"/>
    <n v="9198"/>
    <n v="109.28"/>
    <n v="35.840000000000003"/>
    <n v="1005157.44"/>
    <n v="329656.32000000001"/>
    <n v="675501.12"/>
  </r>
  <r>
    <x v="5"/>
    <s v="Seychelles "/>
    <s v="Baby Food"/>
    <s v="Online"/>
    <s v="M"/>
    <s v="1/25/2013"/>
    <n v="414026057"/>
    <s v="2/26/2013"/>
    <n v="8366"/>
    <n v="255.28"/>
    <n v="159.41999999999999"/>
    <n v="2135672.48"/>
    <n v="1333707.72"/>
    <n v="801964.76"/>
  </r>
  <r>
    <x v="5"/>
    <s v="Cote d'Ivoire"/>
    <s v="Beverages"/>
    <s v="Offline"/>
    <s v="M"/>
    <d v="2011-02-08T00:00:00"/>
    <n v="361862027"/>
    <s v="8/14/2011"/>
    <n v="1870"/>
    <n v="47.45"/>
    <n v="31.79"/>
    <n v="88731.5"/>
    <n v="59447.3"/>
    <n v="29284.2"/>
  </r>
  <r>
    <x v="0"/>
    <s v="Haiti"/>
    <s v="Beverages"/>
    <s v="Online"/>
    <s v="H"/>
    <s v="12/14/2013"/>
    <n v="974988830"/>
    <s v="1/26/2014"/>
    <n v="9716"/>
    <n v="47.45"/>
    <n v="31.79"/>
    <n v="461024.2"/>
    <n v="308871.64"/>
    <n v="152152.56"/>
  </r>
  <r>
    <x v="2"/>
    <s v="India"/>
    <s v="Beverages"/>
    <s v="Online"/>
    <s v="M"/>
    <s v="6/29/2015"/>
    <n v="773767793"/>
    <d v="2015-12-08T00:00:00"/>
    <n v="3940"/>
    <n v="47.45"/>
    <n v="31.79"/>
    <n v="186953"/>
    <n v="125252.6"/>
    <n v="61700.4"/>
  </r>
  <r>
    <x v="5"/>
    <s v="Seychelles "/>
    <s v="Fruits"/>
    <s v="Online"/>
    <s v="H"/>
    <d v="2016-12-05T00:00:00"/>
    <n v="148872745"/>
    <d v="2016-06-06T00:00:00"/>
    <n v="3608"/>
    <n v="9.33"/>
    <n v="6.92"/>
    <n v="33662.639999999999"/>
    <n v="24967.360000000001"/>
    <n v="8695.2800000000007"/>
  </r>
  <r>
    <x v="5"/>
    <s v="Swaziland"/>
    <s v="Personal Care"/>
    <s v="Online"/>
    <s v="M"/>
    <s v="3/24/2010"/>
    <n v="911290013"/>
    <d v="2010-03-04T00:00:00"/>
    <n v="9821"/>
    <n v="81.73"/>
    <n v="56.67"/>
    <n v="802670.33"/>
    <n v="556556.06999999995"/>
    <n v="246114.26"/>
  </r>
  <r>
    <x v="1"/>
    <s v="Andorra"/>
    <s v="Baby Food"/>
    <s v="Online"/>
    <s v="H"/>
    <s v="9/27/2010"/>
    <n v="442318427"/>
    <d v="2010-08-10T00:00:00"/>
    <n v="707"/>
    <n v="255.28"/>
    <n v="159.41999999999999"/>
    <n v="180482.96"/>
    <n v="112709.94"/>
    <n v="67773.02"/>
  </r>
  <r>
    <x v="2"/>
    <s v="Nepal"/>
    <s v="Fruits"/>
    <s v="Online"/>
    <s v="M"/>
    <s v="6/23/2017"/>
    <n v="243569314"/>
    <s v="6/25/2017"/>
    <n v="6428"/>
    <n v="9.33"/>
    <n v="6.92"/>
    <n v="59973.24"/>
    <n v="44481.760000000002"/>
    <n v="15491.48"/>
  </r>
  <r>
    <x v="5"/>
    <s v="Liberia"/>
    <s v="Baby Food"/>
    <s v="Offline"/>
    <s v="M"/>
    <s v="2/22/2012"/>
    <n v="986966502"/>
    <d v="2012-09-04T00:00:00"/>
    <n v="4175"/>
    <n v="255.28"/>
    <n v="159.41999999999999"/>
    <n v="1065794"/>
    <n v="665578.5"/>
    <n v="400215.5"/>
  </r>
  <r>
    <x v="5"/>
    <s v="Chad"/>
    <s v="Baby Food"/>
    <s v="Offline"/>
    <s v="M"/>
    <s v="5/18/2015"/>
    <n v="264746320"/>
    <d v="2015-06-06T00:00:00"/>
    <n v="3174"/>
    <n v="255.28"/>
    <n v="159.41999999999999"/>
    <n v="810258.72"/>
    <n v="505999.08"/>
    <n v="304259.64"/>
  </r>
  <r>
    <x v="0"/>
    <s v="Belize"/>
    <s v="Snacks"/>
    <s v="Online"/>
    <s v="H"/>
    <s v="10/21/2014"/>
    <n v="239457595"/>
    <s v="11/27/2014"/>
    <n v="9678"/>
    <n v="152.58000000000001"/>
    <n v="97.44"/>
    <n v="1476669.24"/>
    <n v="943024.32"/>
    <n v="533644.92000000004"/>
  </r>
  <r>
    <x v="2"/>
    <s v="Brunei"/>
    <s v="Snacks"/>
    <s v="Offline"/>
    <s v="H"/>
    <d v="2014-04-04T00:00:00"/>
    <n v="893961656"/>
    <d v="2014-01-05T00:00:00"/>
    <n v="1975"/>
    <n v="152.58000000000001"/>
    <n v="97.44"/>
    <n v="301345.5"/>
    <n v="192444"/>
    <n v="108901.5"/>
  </r>
  <r>
    <x v="2"/>
    <s v="North Korea"/>
    <s v="Personal Care"/>
    <s v="Online"/>
    <s v="L"/>
    <d v="2014-06-11T00:00:00"/>
    <n v="481432330"/>
    <d v="2014-09-11T00:00:00"/>
    <n v="5380"/>
    <n v="81.73"/>
    <n v="56.67"/>
    <n v="439707.4"/>
    <n v="304884.59999999998"/>
    <n v="134822.79999999999"/>
  </r>
  <r>
    <x v="0"/>
    <s v="Cuba"/>
    <s v="Vegetables"/>
    <s v="Offline"/>
    <s v="L"/>
    <d v="2011-08-03T00:00:00"/>
    <n v="475355947"/>
    <s v="4/26/2011"/>
    <n v="7243"/>
    <n v="154.06"/>
    <n v="90.93"/>
    <n v="1115856.58"/>
    <n v="658605.99"/>
    <n v="457250.59"/>
  </r>
  <r>
    <x v="5"/>
    <s v="Togo"/>
    <s v="Office Supplies"/>
    <s v="Offline"/>
    <s v="C"/>
    <s v="4/17/2010"/>
    <n v="619531333"/>
    <s v="5/16/2010"/>
    <n v="1944"/>
    <n v="651.21"/>
    <n v="524.96"/>
    <n v="1265952.24"/>
    <n v="1020522.24"/>
    <n v="245430"/>
  </r>
  <r>
    <x v="3"/>
    <s v="Kuwait"/>
    <s v="Beverages"/>
    <s v="Offline"/>
    <s v="M"/>
    <d v="2012-10-09T00:00:00"/>
    <n v="278069818"/>
    <d v="2012-05-10T00:00:00"/>
    <n v="5893"/>
    <n v="47.45"/>
    <n v="31.79"/>
    <n v="279622.84999999998"/>
    <n v="187338.47"/>
    <n v="92284.38"/>
  </r>
  <r>
    <x v="2"/>
    <s v="Kazakhstan"/>
    <s v="Cereal"/>
    <s v="Offline"/>
    <s v="L"/>
    <d v="2016-11-03T00:00:00"/>
    <n v="685395228"/>
    <s v="3/17/2016"/>
    <n v="2534"/>
    <n v="205.7"/>
    <n v="117.11"/>
    <n v="521243.8"/>
    <n v="296756.74"/>
    <n v="224487.06"/>
  </r>
  <r>
    <x v="4"/>
    <s v="Australia"/>
    <s v="Snacks"/>
    <s v="Online"/>
    <s v="H"/>
    <s v="1/29/2012"/>
    <n v="896243894"/>
    <d v="2012-03-02T00:00:00"/>
    <n v="7340"/>
    <n v="152.58000000000001"/>
    <n v="97.44"/>
    <n v="1119937.2"/>
    <n v="715209.6"/>
    <n v="404727.6"/>
  </r>
  <r>
    <x v="5"/>
    <s v="Benin"/>
    <s v="Cosmetics"/>
    <s v="Online"/>
    <s v="M"/>
    <s v="8/21/2011"/>
    <n v="935664641"/>
    <d v="2011-04-10T00:00:00"/>
    <n v="2815"/>
    <n v="437.2"/>
    <n v="263.33"/>
    <n v="1230718"/>
    <n v="741273.95"/>
    <n v="489444.05"/>
  </r>
  <r>
    <x v="2"/>
    <s v="Kazakhstan"/>
    <s v="Snacks"/>
    <s v="Online"/>
    <s v="M"/>
    <s v="1/31/2012"/>
    <n v="449018800"/>
    <d v="2012-04-02T00:00:00"/>
    <n v="3496"/>
    <n v="152.58000000000001"/>
    <n v="97.44"/>
    <n v="533419.68000000005"/>
    <n v="340650.23999999999"/>
    <n v="192769.44"/>
  </r>
  <r>
    <x v="3"/>
    <s v="Jordan"/>
    <s v="Snacks"/>
    <s v="Offline"/>
    <s v="M"/>
    <s v="6/21/2015"/>
    <n v="951980197"/>
    <d v="2015-01-07T00:00:00"/>
    <n v="950"/>
    <n v="152.58000000000001"/>
    <n v="97.44"/>
    <n v="144951"/>
    <n v="92568"/>
    <n v="52383"/>
  </r>
  <r>
    <x v="2"/>
    <s v="Turkmenistan"/>
    <s v="Household"/>
    <s v="Offline"/>
    <s v="C"/>
    <d v="2017-09-05T00:00:00"/>
    <n v="880535161"/>
    <s v="6/25/2017"/>
    <n v="8776"/>
    <n v="668.27"/>
    <n v="502.54"/>
    <n v="5864737.5199999996"/>
    <n v="4410291.04"/>
    <n v="1454446.48"/>
  </r>
  <r>
    <x v="1"/>
    <s v="Austria"/>
    <s v="Cosmetics"/>
    <s v="Offline"/>
    <s v="L"/>
    <s v="7/24/2010"/>
    <n v="540982520"/>
    <d v="2010-01-09T00:00:00"/>
    <n v="7604"/>
    <n v="437.2"/>
    <n v="263.33"/>
    <n v="3324468.8"/>
    <n v="2002361.32"/>
    <n v="1322107.48"/>
  </r>
  <r>
    <x v="4"/>
    <s v="Papua New Guinea"/>
    <s v="Household"/>
    <s v="Online"/>
    <s v="M"/>
    <s v="9/16/2011"/>
    <n v="759933602"/>
    <d v="2011-09-10T00:00:00"/>
    <n v="95"/>
    <n v="668.27"/>
    <n v="502.54"/>
    <n v="63485.65"/>
    <n v="47741.3"/>
    <n v="15744.35"/>
  </r>
  <r>
    <x v="5"/>
    <s v="Sudan"/>
    <s v="Beverages"/>
    <s v="Offline"/>
    <s v="H"/>
    <s v="12/20/2011"/>
    <n v="634312236"/>
    <s v="1/13/2012"/>
    <n v="5941"/>
    <n v="47.45"/>
    <n v="31.79"/>
    <n v="281900.45"/>
    <n v="188864.39"/>
    <n v="93036.06"/>
  </r>
  <r>
    <x v="0"/>
    <s v="Honduras"/>
    <s v="Cereal"/>
    <s v="Offline"/>
    <s v="L"/>
    <s v="2/25/2011"/>
    <n v="681354749"/>
    <s v="3/29/2011"/>
    <n v="6866"/>
    <n v="205.7"/>
    <n v="117.11"/>
    <n v="1412336.2"/>
    <n v="804077.26"/>
    <n v="608258.93999999994"/>
  </r>
  <r>
    <x v="3"/>
    <s v="Azerbaijan"/>
    <s v="Household"/>
    <s v="Offline"/>
    <s v="C"/>
    <d v="2013-03-12T00:00:00"/>
    <n v="588609969"/>
    <s v="12/26/2013"/>
    <n v="1625"/>
    <n v="668.27"/>
    <n v="502.54"/>
    <n v="1085938.75"/>
    <n v="816627.5"/>
    <n v="269311.25"/>
  </r>
  <r>
    <x v="1"/>
    <s v="Iceland"/>
    <s v="Clothes"/>
    <s v="Offline"/>
    <s v="C"/>
    <d v="2010-11-11T00:00:00"/>
    <n v="563939225"/>
    <s v="12/19/2010"/>
    <n v="1004"/>
    <n v="109.28"/>
    <n v="35.840000000000003"/>
    <n v="109717.12"/>
    <n v="35983.360000000001"/>
    <n v="73733.759999999995"/>
  </r>
  <r>
    <x v="6"/>
    <s v="Greenland"/>
    <s v="Household"/>
    <s v="Online"/>
    <s v="L"/>
    <s v="7/20/2012"/>
    <n v="885516345"/>
    <s v="7/25/2012"/>
    <n v="2819"/>
    <n v="668.27"/>
    <n v="502.54"/>
    <n v="1883853.13"/>
    <n v="1416660.26"/>
    <n v="467192.87"/>
  </r>
  <r>
    <x v="5"/>
    <s v="Liberia"/>
    <s v="Vegetables"/>
    <s v="Offline"/>
    <s v="C"/>
    <s v="6/26/2015"/>
    <n v="551827657"/>
    <s v="7/13/2015"/>
    <n v="6921"/>
    <n v="154.06"/>
    <n v="90.93"/>
    <n v="1066249.26"/>
    <n v="629326.53"/>
    <n v="436922.73"/>
  </r>
  <r>
    <x v="5"/>
    <s v="Cameroon"/>
    <s v="Beverages"/>
    <s v="Offline"/>
    <s v="H"/>
    <d v="2013-10-06T00:00:00"/>
    <n v="431671988"/>
    <s v="6/14/2013"/>
    <n v="189"/>
    <n v="47.45"/>
    <n v="31.79"/>
    <n v="8968.0499999999993"/>
    <n v="6008.31"/>
    <n v="2959.74"/>
  </r>
  <r>
    <x v="5"/>
    <s v="Benin"/>
    <s v="Cosmetics"/>
    <s v="Online"/>
    <s v="H"/>
    <s v="5/29/2016"/>
    <n v="114160668"/>
    <d v="2016-06-06T00:00:00"/>
    <n v="1534"/>
    <n v="437.2"/>
    <n v="263.33"/>
    <n v="670664.80000000005"/>
    <n v="403948.22"/>
    <n v="266716.58"/>
  </r>
  <r>
    <x v="6"/>
    <s v="United States of America"/>
    <s v="Cosmetics"/>
    <s v="Offline"/>
    <s v="H"/>
    <d v="2016-04-07T00:00:00"/>
    <n v="158717525"/>
    <s v="7/17/2016"/>
    <n v="6897"/>
    <n v="437.2"/>
    <n v="263.33"/>
    <n v="3015368.4"/>
    <n v="1816187.01"/>
    <n v="1199181.3899999999"/>
  </r>
  <r>
    <x v="2"/>
    <s v="South Korea"/>
    <s v="Personal Care"/>
    <s v="Offline"/>
    <s v="M"/>
    <s v="6/29/2014"/>
    <n v="745078885"/>
    <d v="2014-11-07T00:00:00"/>
    <n v="4254"/>
    <n v="81.73"/>
    <n v="56.67"/>
    <n v="347679.42"/>
    <n v="241074.18"/>
    <n v="106605.24"/>
  </r>
  <r>
    <x v="1"/>
    <s v="Austria"/>
    <s v="Cereal"/>
    <s v="Online"/>
    <s v="H"/>
    <s v="12/24/2015"/>
    <n v="323293578"/>
    <d v="2016-02-02T00:00:00"/>
    <n v="8609"/>
    <n v="205.7"/>
    <n v="117.11"/>
    <n v="1770871.3"/>
    <n v="1008199.99"/>
    <n v="762671.31"/>
  </r>
  <r>
    <x v="3"/>
    <s v="Turkey"/>
    <s v="Fruits"/>
    <s v="Online"/>
    <s v="M"/>
    <s v="6/28/2012"/>
    <n v="563722932"/>
    <d v="2012-09-08T00:00:00"/>
    <n v="6998"/>
    <n v="9.33"/>
    <n v="6.92"/>
    <n v="65291.34"/>
    <n v="48426.16"/>
    <n v="16865.18"/>
  </r>
  <r>
    <x v="1"/>
    <s v="Estonia"/>
    <s v="Snacks"/>
    <s v="Online"/>
    <s v="L"/>
    <s v="7/22/2015"/>
    <n v="507040774"/>
    <s v="7/25/2015"/>
    <n v="3488"/>
    <n v="152.58000000000001"/>
    <n v="97.44"/>
    <n v="532199.04"/>
    <n v="339870.71999999997"/>
    <n v="192328.32000000001"/>
  </r>
  <r>
    <x v="5"/>
    <s v="Mauritania"/>
    <s v="Cereal"/>
    <s v="Offline"/>
    <s v="H"/>
    <s v="1/16/2015"/>
    <n v="614233434"/>
    <d v="2015-08-02T00:00:00"/>
    <n v="4178"/>
    <n v="205.7"/>
    <n v="117.11"/>
    <n v="859414.6"/>
    <n v="489285.58"/>
    <n v="370129.02"/>
  </r>
  <r>
    <x v="1"/>
    <s v="Greece"/>
    <s v="Office Supplies"/>
    <s v="Offline"/>
    <s v="M"/>
    <d v="2013-02-04T00:00:00"/>
    <n v="516599738"/>
    <d v="2013-09-05T00:00:00"/>
    <n v="2197"/>
    <n v="651.21"/>
    <n v="524.96"/>
    <n v="1430708.37"/>
    <n v="1153337.1200000001"/>
    <n v="277371.25"/>
  </r>
  <r>
    <x v="6"/>
    <s v="Greenland"/>
    <s v="Fruits"/>
    <s v="Online"/>
    <s v="M"/>
    <s v="7/17/2013"/>
    <n v="365751016"/>
    <s v="8/31/2013"/>
    <n v="2708"/>
    <n v="9.33"/>
    <n v="6.92"/>
    <n v="25265.64"/>
    <n v="18739.36"/>
    <n v="6526.28"/>
  </r>
  <r>
    <x v="1"/>
    <s v="Belarus"/>
    <s v="Clothes"/>
    <s v="Online"/>
    <s v="H"/>
    <s v="7/22/2016"/>
    <n v="383611094"/>
    <s v="8/26/2016"/>
    <n v="7902"/>
    <n v="109.28"/>
    <n v="35.840000000000003"/>
    <n v="863530.56"/>
    <n v="283207.67999999999"/>
    <n v="580322.88"/>
  </r>
  <r>
    <x v="1"/>
    <s v="San Marino"/>
    <s v="Baby Food"/>
    <s v="Offline"/>
    <s v="M"/>
    <d v="2016-03-06T00:00:00"/>
    <n v="412416303"/>
    <d v="2016-11-06T00:00:00"/>
    <n v="2004"/>
    <n v="255.28"/>
    <n v="159.41999999999999"/>
    <n v="511581.12"/>
    <n v="319477.68"/>
    <n v="192103.44"/>
  </r>
  <r>
    <x v="1"/>
    <s v="Croatia"/>
    <s v="Cosmetics"/>
    <s v="Offline"/>
    <s v="M"/>
    <s v="2/15/2012"/>
    <n v="364715468"/>
    <s v="2/19/2012"/>
    <n v="6267"/>
    <n v="437.2"/>
    <n v="263.33"/>
    <n v="2739932.4"/>
    <n v="1650289.11"/>
    <n v="1089643.29"/>
  </r>
  <r>
    <x v="4"/>
    <s v="East Timor"/>
    <s v="Fruits"/>
    <s v="Offline"/>
    <s v="M"/>
    <s v="4/15/2011"/>
    <n v="673369920"/>
    <d v="2011-12-05T00:00:00"/>
    <n v="3978"/>
    <n v="9.33"/>
    <n v="6.92"/>
    <n v="37114.74"/>
    <n v="27527.759999999998"/>
    <n v="9586.98"/>
  </r>
  <r>
    <x v="5"/>
    <s v="Nigeria"/>
    <s v="Cosmetics"/>
    <s v="Offline"/>
    <s v="L"/>
    <s v="3/25/2011"/>
    <n v="941553485"/>
    <d v="2011-09-04T00:00:00"/>
    <n v="5454"/>
    <n v="437.2"/>
    <n v="263.33"/>
    <n v="2384488.7999999998"/>
    <n v="1436201.82"/>
    <n v="948286.98"/>
  </r>
  <r>
    <x v="1"/>
    <s v="Netherlands"/>
    <s v="Personal Care"/>
    <s v="Offline"/>
    <s v="H"/>
    <d v="2010-08-05T00:00:00"/>
    <n v="392752492"/>
    <d v="2010-03-06T00:00:00"/>
    <n v="3045"/>
    <n v="81.73"/>
    <n v="56.67"/>
    <n v="248867.85"/>
    <n v="172560.15"/>
    <n v="76307.7"/>
  </r>
  <r>
    <x v="6"/>
    <s v="United States of America"/>
    <s v="Personal Care"/>
    <s v="Offline"/>
    <s v="L"/>
    <s v="11/21/2011"/>
    <n v="120765769"/>
    <d v="2012-10-01T00:00:00"/>
    <n v="6130"/>
    <n v="81.73"/>
    <n v="56.67"/>
    <n v="501004.9"/>
    <n v="347387.1"/>
    <n v="153617.79999999999"/>
  </r>
  <r>
    <x v="5"/>
    <s v="Namibia"/>
    <s v="Meat"/>
    <s v="Offline"/>
    <s v="H"/>
    <s v="7/30/2012"/>
    <n v="839704644"/>
    <s v="9/13/2012"/>
    <n v="6119"/>
    <n v="421.89"/>
    <n v="364.69"/>
    <n v="2581544.91"/>
    <n v="2231538.11"/>
    <n v="350006.8"/>
  </r>
  <r>
    <x v="1"/>
    <s v="Hungary"/>
    <s v="Fruits"/>
    <s v="Offline"/>
    <s v="H"/>
    <d v="2014-04-01T00:00:00"/>
    <n v="633992946"/>
    <d v="2014-06-01T00:00:00"/>
    <n v="1456"/>
    <n v="9.33"/>
    <n v="6.92"/>
    <n v="13584.48"/>
    <n v="10075.52"/>
    <n v="3508.96"/>
  </r>
  <r>
    <x v="2"/>
    <s v="Turkmenistan"/>
    <s v="Cosmetics"/>
    <s v="Online"/>
    <s v="H"/>
    <d v="2011-05-04T00:00:00"/>
    <n v="808367002"/>
    <d v="2011-08-05T00:00:00"/>
    <n v="2614"/>
    <n v="437.2"/>
    <n v="263.33"/>
    <n v="1142840.8"/>
    <n v="688344.62"/>
    <n v="454496.18"/>
  </r>
  <r>
    <x v="1"/>
    <s v="San Marino"/>
    <s v="Clothes"/>
    <s v="Online"/>
    <s v="C"/>
    <s v="10/30/2011"/>
    <n v="937875640"/>
    <s v="11/30/2011"/>
    <n v="7098"/>
    <n v="109.28"/>
    <n v="35.840000000000003"/>
    <n v="775669.44"/>
    <n v="254392.32000000001"/>
    <n v="521277.12"/>
  </r>
  <r>
    <x v="0"/>
    <s v="Saint Vincent and the Grenadines"/>
    <s v="Vegetables"/>
    <s v="Offline"/>
    <s v="C"/>
    <s v="9/18/2016"/>
    <n v="217880189"/>
    <s v="9/23/2016"/>
    <n v="4445"/>
    <n v="154.06"/>
    <n v="90.93"/>
    <n v="684796.7"/>
    <n v="404183.85"/>
    <n v="280612.84999999998"/>
  </r>
  <r>
    <x v="1"/>
    <s v="Belarus"/>
    <s v="Vegetables"/>
    <s v="Online"/>
    <s v="C"/>
    <d v="2016-12-08T00:00:00"/>
    <n v="614054477"/>
    <s v="8/16/2016"/>
    <n v="1220"/>
    <n v="154.06"/>
    <n v="90.93"/>
    <n v="187953.2"/>
    <n v="110934.6"/>
    <n v="77018.600000000006"/>
  </r>
  <r>
    <x v="4"/>
    <s v="Marshall Islands"/>
    <s v="Clothes"/>
    <s v="Offline"/>
    <s v="L"/>
    <s v="11/14/2010"/>
    <n v="112384831"/>
    <s v="12/23/2010"/>
    <n v="6024"/>
    <n v="109.28"/>
    <n v="35.840000000000003"/>
    <n v="658302.71999999997"/>
    <n v="215900.16"/>
    <n v="442402.56"/>
  </r>
  <r>
    <x v="1"/>
    <s v="Sweden"/>
    <s v="Baby Food"/>
    <s v="Offline"/>
    <s v="H"/>
    <s v="3/29/2011"/>
    <n v="369170081"/>
    <d v="2011-03-04T00:00:00"/>
    <n v="4486"/>
    <n v="255.28"/>
    <n v="159.41999999999999"/>
    <n v="1145186.08"/>
    <n v="715158.12"/>
    <n v="430027.96"/>
  </r>
  <r>
    <x v="5"/>
    <s v="Madagascar"/>
    <s v="Snacks"/>
    <s v="Offline"/>
    <s v="C"/>
    <s v="5/30/2015"/>
    <n v="861021554"/>
    <s v="6/18/2015"/>
    <n v="4266"/>
    <n v="152.58000000000001"/>
    <n v="97.44"/>
    <n v="650906.28"/>
    <n v="415679.04"/>
    <n v="235227.24"/>
  </r>
  <r>
    <x v="2"/>
    <s v="China"/>
    <s v="Meat"/>
    <s v="Online"/>
    <s v="L"/>
    <d v="2010-05-10T00:00:00"/>
    <n v="234863078"/>
    <d v="2010-03-11T00:00:00"/>
    <n v="59"/>
    <n v="421.89"/>
    <n v="364.69"/>
    <n v="24891.51"/>
    <n v="21516.71"/>
    <n v="3374.8"/>
  </r>
  <r>
    <x v="1"/>
    <s v="Albania"/>
    <s v="Clothes"/>
    <s v="Offline"/>
    <s v="C"/>
    <s v="1/16/2016"/>
    <n v="357930982"/>
    <d v="2016-05-03T00:00:00"/>
    <n v="8586"/>
    <n v="109.28"/>
    <n v="35.840000000000003"/>
    <n v="938278.08"/>
    <n v="307722.23999999999"/>
    <n v="630555.84"/>
  </r>
  <r>
    <x v="2"/>
    <s v="Indonesia"/>
    <s v="Office Supplies"/>
    <s v="Offline"/>
    <s v="L"/>
    <s v="12/25/2016"/>
    <n v="467774093"/>
    <s v="1/26/2017"/>
    <n v="3604"/>
    <n v="651.21"/>
    <n v="524.96"/>
    <n v="2346960.84"/>
    <n v="1891955.84"/>
    <n v="455005"/>
  </r>
  <r>
    <x v="5"/>
    <s v="Botswana"/>
    <s v="Vegetables"/>
    <s v="Offline"/>
    <s v="L"/>
    <d v="2015-11-07T00:00:00"/>
    <n v="322253739"/>
    <s v="8/22/2015"/>
    <n v="898"/>
    <n v="154.06"/>
    <n v="90.93"/>
    <n v="138345.88"/>
    <n v="81655.14"/>
    <n v="56690.74"/>
  </r>
  <r>
    <x v="4"/>
    <s v="New Zealand"/>
    <s v="Cereal"/>
    <s v="Online"/>
    <s v="L"/>
    <s v="11/19/2010"/>
    <n v="649543750"/>
    <s v="12/22/2010"/>
    <n v="3285"/>
    <n v="205.7"/>
    <n v="117.11"/>
    <n v="675724.5"/>
    <n v="384706.35"/>
    <n v="291018.15000000002"/>
  </r>
  <r>
    <x v="6"/>
    <s v="Mexico"/>
    <s v="Fruits"/>
    <s v="Online"/>
    <s v="M"/>
    <d v="2010-04-12T00:00:00"/>
    <n v="898130452"/>
    <s v="12/27/2010"/>
    <n v="5614"/>
    <n v="9.33"/>
    <n v="6.92"/>
    <n v="52378.62"/>
    <n v="38848.879999999997"/>
    <n v="13529.74"/>
  </r>
  <r>
    <x v="1"/>
    <s v="Russia"/>
    <s v="Office Supplies"/>
    <s v="Offline"/>
    <s v="M"/>
    <s v="3/15/2013"/>
    <n v="586812674"/>
    <s v="3/31/2013"/>
    <n v="9766"/>
    <n v="651.21"/>
    <n v="524.96"/>
    <n v="6359716.8600000003"/>
    <n v="5126759.3600000003"/>
    <n v="1232957.5"/>
  </r>
  <r>
    <x v="5"/>
    <s v="Cameroon"/>
    <s v="Beverages"/>
    <s v="Online"/>
    <s v="L"/>
    <d v="2016-08-05T00:00:00"/>
    <n v="654701745"/>
    <d v="2016-09-06T00:00:00"/>
    <n v="9650"/>
    <n v="47.45"/>
    <n v="31.79"/>
    <n v="457892.5"/>
    <n v="306773.5"/>
    <n v="151119"/>
  </r>
  <r>
    <x v="1"/>
    <s v="Sweden"/>
    <s v="Fruits"/>
    <s v="Online"/>
    <s v="L"/>
    <d v="2016-11-04T00:00:00"/>
    <n v="311221492"/>
    <d v="2016-07-05T00:00:00"/>
    <n v="6210"/>
    <n v="9.33"/>
    <n v="6.92"/>
    <n v="57939.3"/>
    <n v="42973.2"/>
    <n v="14966.1"/>
  </r>
  <r>
    <x v="3"/>
    <s v="Algeria"/>
    <s v="Meat"/>
    <s v="Offline"/>
    <s v="L"/>
    <d v="2017-09-07T00:00:00"/>
    <n v="186108243"/>
    <s v="7/27/2017"/>
    <n v="2420"/>
    <n v="421.89"/>
    <n v="364.69"/>
    <n v="1020973.8"/>
    <n v="882549.8"/>
    <n v="138424"/>
  </r>
  <r>
    <x v="3"/>
    <s v="Qatar"/>
    <s v="Cereal"/>
    <s v="Offline"/>
    <s v="H"/>
    <d v="2014-03-05T00:00:00"/>
    <n v="979410827"/>
    <s v="5/21/2014"/>
    <n v="8283"/>
    <n v="205.7"/>
    <n v="117.11"/>
    <n v="1703813.1"/>
    <n v="970022.13"/>
    <n v="733790.97"/>
  </r>
  <r>
    <x v="3"/>
    <s v="Somalia"/>
    <s v="Beverages"/>
    <s v="Online"/>
    <s v="L"/>
    <d v="2017-07-03T00:00:00"/>
    <n v="311490571"/>
    <s v="4/23/2017"/>
    <n v="5837"/>
    <n v="47.45"/>
    <n v="31.79"/>
    <n v="276965.65000000002"/>
    <n v="185558.23"/>
    <n v="91407.42"/>
  </r>
  <r>
    <x v="2"/>
    <s v="Malaysia"/>
    <s v="Fruits"/>
    <s v="Online"/>
    <s v="H"/>
    <s v="1/29/2011"/>
    <n v="373021304"/>
    <d v="2011-12-02T00:00:00"/>
    <n v="4148"/>
    <n v="9.33"/>
    <n v="6.92"/>
    <n v="38700.839999999997"/>
    <n v="28704.16"/>
    <n v="9996.68"/>
  </r>
  <r>
    <x v="1"/>
    <s v="Sweden"/>
    <s v="Snacks"/>
    <s v="Online"/>
    <s v="M"/>
    <s v="5/28/2012"/>
    <n v="274989354"/>
    <d v="2012-10-07T00:00:00"/>
    <n v="4316"/>
    <n v="152.58000000000001"/>
    <n v="97.44"/>
    <n v="658535.28"/>
    <n v="420551.04"/>
    <n v="237984.24"/>
  </r>
  <r>
    <x v="5"/>
    <s v="Comoros"/>
    <s v="Household"/>
    <s v="Offline"/>
    <s v="M"/>
    <d v="2012-05-02T00:00:00"/>
    <n v="998693549"/>
    <s v="3/21/2012"/>
    <n v="4469"/>
    <n v="668.27"/>
    <n v="502.54"/>
    <n v="2986498.63"/>
    <n v="2245851.2599999998"/>
    <n v="740647.37"/>
  </r>
  <r>
    <x v="5"/>
    <s v="Ethiopia"/>
    <s v="Meat"/>
    <s v="Online"/>
    <s v="L"/>
    <s v="4/20/2017"/>
    <n v="445745217"/>
    <d v="2017-04-06T00:00:00"/>
    <n v="4770"/>
    <n v="421.89"/>
    <n v="364.69"/>
    <n v="2012415.3"/>
    <n v="1739571.3"/>
    <n v="272844"/>
  </r>
  <r>
    <x v="2"/>
    <s v="Laos"/>
    <s v="Fruits"/>
    <s v="Online"/>
    <s v="L"/>
    <s v="4/20/2017"/>
    <n v="188068187"/>
    <s v="4/25/2017"/>
    <n v="2411"/>
    <n v="9.33"/>
    <n v="6.92"/>
    <n v="22494.63"/>
    <n v="16684.12"/>
    <n v="5810.51"/>
  </r>
  <r>
    <x v="2"/>
    <s v="Brunei"/>
    <s v="Fruits"/>
    <s v="Online"/>
    <s v="C"/>
    <d v="2010-05-01T00:00:00"/>
    <n v="517898786"/>
    <d v="2010-09-01T00:00:00"/>
    <n v="6614"/>
    <n v="9.33"/>
    <n v="6.92"/>
    <n v="61708.62"/>
    <n v="45768.88"/>
    <n v="15939.74"/>
  </r>
  <r>
    <x v="1"/>
    <s v="Cyprus"/>
    <s v="Office Supplies"/>
    <s v="Offline"/>
    <s v="L"/>
    <d v="2013-08-05T00:00:00"/>
    <n v="897785842"/>
    <d v="2013-12-05T00:00:00"/>
    <n v="3636"/>
    <n v="651.21"/>
    <n v="524.96"/>
    <n v="2367799.56"/>
    <n v="1908754.56"/>
    <n v="459045"/>
  </r>
  <r>
    <x v="0"/>
    <s v="Guatemala"/>
    <s v="Beverages"/>
    <s v="Online"/>
    <s v="C"/>
    <d v="2016-03-01T00:00:00"/>
    <n v="410590684"/>
    <d v="2016-06-02T00:00:00"/>
    <n v="1762"/>
    <n v="47.45"/>
    <n v="31.79"/>
    <n v="83606.899999999994"/>
    <n v="56013.98"/>
    <n v="27592.92"/>
  </r>
  <r>
    <x v="5"/>
    <s v="Tanzania"/>
    <s v="Meat"/>
    <s v="Online"/>
    <s v="L"/>
    <d v="2011-08-07T00:00:00"/>
    <n v="909487140"/>
    <s v="7/17/2011"/>
    <n v="6310"/>
    <n v="421.89"/>
    <n v="364.69"/>
    <n v="2662125.9"/>
    <n v="2301193.9"/>
    <n v="360932"/>
  </r>
  <r>
    <x v="2"/>
    <s v="Mongolia"/>
    <s v="Cosmetics"/>
    <s v="Online"/>
    <s v="C"/>
    <s v="3/17/2017"/>
    <n v="267961537"/>
    <s v="3/26/2017"/>
    <n v="4628"/>
    <n v="437.2"/>
    <n v="263.33"/>
    <n v="2023361.6"/>
    <n v="1218691.24"/>
    <n v="804670.36"/>
  </r>
  <r>
    <x v="1"/>
    <s v="Romania"/>
    <s v="Meat"/>
    <s v="Online"/>
    <s v="H"/>
    <s v="5/22/2017"/>
    <n v="929812705"/>
    <s v="5/25/2017"/>
    <n v="1097"/>
    <n v="421.89"/>
    <n v="364.69"/>
    <n v="462813.33"/>
    <n v="400064.93"/>
    <n v="62748.4"/>
  </r>
  <r>
    <x v="3"/>
    <s v="Saudi Arabia"/>
    <s v="Office Supplies"/>
    <s v="Online"/>
    <s v="H"/>
    <s v="7/31/2012"/>
    <n v="459151971"/>
    <s v="8/21/2012"/>
    <n v="2126"/>
    <n v="651.21"/>
    <n v="524.96"/>
    <n v="1384472.46"/>
    <n v="1116064.96"/>
    <n v="268407.5"/>
  </r>
  <r>
    <x v="4"/>
    <s v="New Zealand"/>
    <s v="Cosmetics"/>
    <s v="Offline"/>
    <s v="L"/>
    <s v="9/25/2015"/>
    <n v="990403163"/>
    <s v="10/27/2015"/>
    <n v="1160"/>
    <n v="437.2"/>
    <n v="263.33"/>
    <n v="507152"/>
    <n v="305462.8"/>
    <n v="201689.2"/>
  </r>
  <r>
    <x v="2"/>
    <s v="Sri Lanka"/>
    <s v="Clothes"/>
    <s v="Online"/>
    <s v="L"/>
    <s v="7/23/2010"/>
    <n v="678302609"/>
    <d v="2010-10-08T00:00:00"/>
    <n v="3670"/>
    <n v="109.28"/>
    <n v="35.840000000000003"/>
    <n v="401057.6"/>
    <n v="131532.79999999999"/>
    <n v="269524.8"/>
  </r>
  <r>
    <x v="0"/>
    <s v="Antigua and Barbuda "/>
    <s v="Cosmetics"/>
    <s v="Online"/>
    <s v="H"/>
    <d v="2015-04-12T00:00:00"/>
    <n v="447899138"/>
    <d v="2015-05-12T00:00:00"/>
    <n v="2163"/>
    <n v="437.2"/>
    <n v="263.33"/>
    <n v="945663.6"/>
    <n v="569582.79"/>
    <n v="376080.81"/>
  </r>
  <r>
    <x v="2"/>
    <s v="China"/>
    <s v="Cereal"/>
    <s v="Online"/>
    <s v="C"/>
    <s v="11/22/2013"/>
    <n v="844554078"/>
    <d v="2013-06-12T00:00:00"/>
    <n v="1174"/>
    <n v="205.7"/>
    <n v="117.11"/>
    <n v="241491.8"/>
    <n v="137487.14000000001"/>
    <n v="104004.66"/>
  </r>
  <r>
    <x v="5"/>
    <s v="Benin"/>
    <s v="Personal Care"/>
    <s v="Offline"/>
    <s v="H"/>
    <d v="2014-03-02T00:00:00"/>
    <n v="683941256"/>
    <d v="2014-06-03T00:00:00"/>
    <n v="2271"/>
    <n v="81.73"/>
    <n v="56.67"/>
    <n v="185608.83"/>
    <n v="128697.57"/>
    <n v="56911.26"/>
  </r>
  <r>
    <x v="1"/>
    <s v="Ukraine"/>
    <s v="Cosmetics"/>
    <s v="Online"/>
    <s v="H"/>
    <s v="1/29/2012"/>
    <n v="202047002"/>
    <d v="2012-06-03T00:00:00"/>
    <n v="9053"/>
    <n v="437.2"/>
    <n v="263.33"/>
    <n v="3957971.6"/>
    <n v="2383926.4900000002"/>
    <n v="1574045.11"/>
  </r>
  <r>
    <x v="4"/>
    <s v="Tonga"/>
    <s v="Personal Care"/>
    <s v="Offline"/>
    <s v="L"/>
    <s v="10/28/2015"/>
    <n v="605170142"/>
    <d v="2015-01-11T00:00:00"/>
    <n v="2148"/>
    <n v="81.73"/>
    <n v="56.67"/>
    <n v="175556.04"/>
    <n v="121727.16"/>
    <n v="53828.88"/>
  </r>
  <r>
    <x v="1"/>
    <s v="Kosovo"/>
    <s v="Fruits"/>
    <s v="Online"/>
    <s v="L"/>
    <s v="8/27/2011"/>
    <n v="919922006"/>
    <s v="9/18/2011"/>
    <n v="4219"/>
    <n v="9.33"/>
    <n v="6.92"/>
    <n v="39363.269999999997"/>
    <n v="29195.48"/>
    <n v="10167.790000000001"/>
  </r>
  <r>
    <x v="1"/>
    <s v="Moldova "/>
    <s v="Beverages"/>
    <s v="Offline"/>
    <s v="H"/>
    <s v="6/17/2013"/>
    <n v="243226420"/>
    <d v="2013-03-07T00:00:00"/>
    <n v="4958"/>
    <n v="47.45"/>
    <n v="31.79"/>
    <n v="235257.1"/>
    <n v="157614.82"/>
    <n v="77642.28"/>
  </r>
  <r>
    <x v="5"/>
    <s v="Cape Verde"/>
    <s v="Household"/>
    <s v="Offline"/>
    <s v="M"/>
    <s v="6/24/2013"/>
    <n v="892319715"/>
    <s v="7/17/2013"/>
    <n v="6088"/>
    <n v="668.27"/>
    <n v="502.54"/>
    <n v="4068427.76"/>
    <n v="3059463.52"/>
    <n v="1008964.24"/>
  </r>
  <r>
    <x v="3"/>
    <s v="Iran"/>
    <s v="Baby Food"/>
    <s v="Online"/>
    <s v="H"/>
    <s v="5/17/2016"/>
    <n v="754750716"/>
    <d v="2016-08-06T00:00:00"/>
    <n v="6364"/>
    <n v="255.28"/>
    <n v="159.41999999999999"/>
    <n v="1624601.92"/>
    <n v="1014548.88"/>
    <n v="610053.04"/>
  </r>
  <r>
    <x v="5"/>
    <s v="Equatorial Guinea"/>
    <s v="Cosmetics"/>
    <s v="Online"/>
    <s v="C"/>
    <s v="9/24/2012"/>
    <n v="938380753"/>
    <s v="9/26/2012"/>
    <n v="6573"/>
    <n v="437.2"/>
    <n v="263.33"/>
    <n v="2873715.6"/>
    <n v="1730868.09"/>
    <n v="1142847.51"/>
  </r>
  <r>
    <x v="0"/>
    <s v="Saint Lucia"/>
    <s v="Vegetables"/>
    <s v="Online"/>
    <s v="M"/>
    <s v="2/14/2013"/>
    <n v="821383655"/>
    <s v="3/29/2013"/>
    <n v="4531"/>
    <n v="154.06"/>
    <n v="90.93"/>
    <n v="698045.86"/>
    <n v="412003.83"/>
    <n v="286042.03000000003"/>
  </r>
  <r>
    <x v="2"/>
    <s v="Kyrgyzstan"/>
    <s v="Office Supplies"/>
    <s v="Online"/>
    <s v="M"/>
    <s v="1/20/2014"/>
    <n v="302245748"/>
    <s v="2/25/2014"/>
    <n v="88"/>
    <n v="651.21"/>
    <n v="524.96"/>
    <n v="57306.48"/>
    <n v="46196.480000000003"/>
    <n v="11110"/>
  </r>
  <r>
    <x v="1"/>
    <s v="United Kingdom"/>
    <s v="Clothes"/>
    <s v="Online"/>
    <s v="M"/>
    <s v="11/13/2016"/>
    <n v="249765861"/>
    <s v="11/24/2016"/>
    <n v="123"/>
    <n v="109.28"/>
    <n v="35.840000000000003"/>
    <n v="13441.44"/>
    <n v="4408.32"/>
    <n v="9033.1200000000008"/>
  </r>
  <r>
    <x v="1"/>
    <s v="Romania"/>
    <s v="Beverages"/>
    <s v="Online"/>
    <s v="H"/>
    <s v="5/31/2016"/>
    <n v="253055322"/>
    <d v="2016-12-06T00:00:00"/>
    <n v="3548"/>
    <n v="47.45"/>
    <n v="31.79"/>
    <n v="168352.6"/>
    <n v="112790.92"/>
    <n v="55561.68"/>
  </r>
  <r>
    <x v="5"/>
    <s v="Cote d'Ivoire"/>
    <s v="Cereal"/>
    <s v="Online"/>
    <s v="H"/>
    <s v="5/18/2012"/>
    <n v="871537959"/>
    <d v="2012-08-06T00:00:00"/>
    <n v="6304"/>
    <n v="205.7"/>
    <n v="117.11"/>
    <n v="1296732.8"/>
    <n v="738261.44"/>
    <n v="558471.36"/>
  </r>
  <r>
    <x v="2"/>
    <s v="Brunei"/>
    <s v="Clothes"/>
    <s v="Online"/>
    <s v="H"/>
    <d v="2013-03-02T00:00:00"/>
    <n v="484950101"/>
    <d v="2013-07-03T00:00:00"/>
    <n v="6366"/>
    <n v="109.28"/>
    <n v="35.840000000000003"/>
    <n v="695676.48"/>
    <n v="228157.44"/>
    <n v="467519.04"/>
  </r>
  <r>
    <x v="1"/>
    <s v="Montenegro"/>
    <s v="Beverages"/>
    <s v="Offline"/>
    <s v="C"/>
    <d v="2016-06-08T00:00:00"/>
    <n v="243340575"/>
    <d v="2016-04-09T00:00:00"/>
    <n v="8739"/>
    <n v="47.45"/>
    <n v="31.79"/>
    <n v="414665.55"/>
    <n v="277812.81"/>
    <n v="136852.74"/>
  </r>
  <r>
    <x v="4"/>
    <s v="Vanuatu"/>
    <s v="Snacks"/>
    <s v="Online"/>
    <s v="H"/>
    <d v="2014-02-06T00:00:00"/>
    <n v="917070710"/>
    <d v="2014-11-06T00:00:00"/>
    <n v="457"/>
    <n v="152.58000000000001"/>
    <n v="97.44"/>
    <n v="69729.06"/>
    <n v="44530.080000000002"/>
    <n v="25198.98"/>
  </r>
  <r>
    <x v="2"/>
    <s v="Maldives"/>
    <s v="Office Supplies"/>
    <s v="Online"/>
    <s v="M"/>
    <d v="2010-05-07T00:00:00"/>
    <n v="646814334"/>
    <d v="2010-11-07T00:00:00"/>
    <n v="5590"/>
    <n v="651.21"/>
    <n v="524.96"/>
    <n v="3640263.9"/>
    <n v="2934526.4"/>
    <n v="705737.5"/>
  </r>
  <r>
    <x v="4"/>
    <s v="Palau"/>
    <s v="Snacks"/>
    <s v="Online"/>
    <s v="C"/>
    <s v="6/16/2017"/>
    <n v="793557775"/>
    <d v="2017-06-07T00:00:00"/>
    <n v="235"/>
    <n v="152.58000000000001"/>
    <n v="97.44"/>
    <n v="35856.300000000003"/>
    <n v="22898.400000000001"/>
    <n v="12957.9"/>
  </r>
  <r>
    <x v="1"/>
    <s v="Czech Republic"/>
    <s v="Household"/>
    <s v="Offline"/>
    <s v="H"/>
    <d v="2014-06-11T00:00:00"/>
    <n v="988599860"/>
    <d v="2014-11-12T00:00:00"/>
    <n v="7522"/>
    <n v="668.27"/>
    <n v="502.54"/>
    <n v="5026726.9400000004"/>
    <n v="3780105.88"/>
    <n v="1246621.06"/>
  </r>
  <r>
    <x v="5"/>
    <s v="Democratic Republic of the Congo"/>
    <s v="Cereal"/>
    <s v="Online"/>
    <s v="H"/>
    <d v="2013-10-08T00:00:00"/>
    <n v="483551919"/>
    <d v="2013-11-08T00:00:00"/>
    <n v="2613"/>
    <n v="205.7"/>
    <n v="117.11"/>
    <n v="537494.1"/>
    <n v="306008.43"/>
    <n v="231485.67"/>
  </r>
  <r>
    <x v="2"/>
    <s v="Singapore"/>
    <s v="Meat"/>
    <s v="Online"/>
    <s v="H"/>
    <s v="5/19/2014"/>
    <n v="400337779"/>
    <s v="5/27/2014"/>
    <n v="7700"/>
    <n v="421.89"/>
    <n v="364.69"/>
    <n v="3248553"/>
    <n v="2808113"/>
    <n v="440440"/>
  </r>
  <r>
    <x v="1"/>
    <s v="Cyprus"/>
    <s v="Snacks"/>
    <s v="Online"/>
    <s v="M"/>
    <s v="4/18/2011"/>
    <n v="581193768"/>
    <s v="4/24/2011"/>
    <n v="7006"/>
    <n v="152.58000000000001"/>
    <n v="97.44"/>
    <n v="1068975.48"/>
    <n v="682664.64"/>
    <n v="386310.84"/>
  </r>
  <r>
    <x v="0"/>
    <s v="Dominican Republic"/>
    <s v="Office Supplies"/>
    <s v="Online"/>
    <s v="L"/>
    <s v="11/28/2010"/>
    <n v="938668715"/>
    <d v="2011-03-01T00:00:00"/>
    <n v="1787"/>
    <n v="651.21"/>
    <n v="524.96"/>
    <n v="1163712.27"/>
    <n v="938103.52"/>
    <n v="225608.75"/>
  </r>
  <r>
    <x v="2"/>
    <s v="South Korea"/>
    <s v="Beverages"/>
    <s v="Online"/>
    <s v="L"/>
    <d v="2013-09-04T00:00:00"/>
    <n v="105623948"/>
    <s v="5/27/2013"/>
    <n v="5328"/>
    <n v="47.45"/>
    <n v="31.79"/>
    <n v="252813.6"/>
    <n v="169377.12"/>
    <n v="83436.479999999996"/>
  </r>
  <r>
    <x v="3"/>
    <s v="Morocco"/>
    <s v="Personal Care"/>
    <s v="Online"/>
    <s v="H"/>
    <s v="9/16/2015"/>
    <n v="385233294"/>
    <s v="10/21/2015"/>
    <n v="7947"/>
    <n v="81.73"/>
    <n v="56.67"/>
    <n v="649508.31000000006"/>
    <n v="450356.49"/>
    <n v="199151.82"/>
  </r>
  <r>
    <x v="1"/>
    <s v="Serbia"/>
    <s v="Cereal"/>
    <s v="Offline"/>
    <s v="C"/>
    <d v="2016-11-08T00:00:00"/>
    <n v="100983083"/>
    <d v="2016-11-08T00:00:00"/>
    <n v="1993"/>
    <n v="205.7"/>
    <n v="117.11"/>
    <n v="409960.1"/>
    <n v="233400.23"/>
    <n v="176559.87"/>
  </r>
  <r>
    <x v="0"/>
    <s v="Saint Lucia"/>
    <s v="Cosmetics"/>
    <s v="Offline"/>
    <s v="L"/>
    <s v="8/25/2011"/>
    <n v="346672141"/>
    <d v="2011-03-10T00:00:00"/>
    <n v="6845"/>
    <n v="437.2"/>
    <n v="263.33"/>
    <n v="2992634"/>
    <n v="1802493.85"/>
    <n v="1190140.1499999999"/>
  </r>
  <r>
    <x v="1"/>
    <s v="Latvia"/>
    <s v="Personal Care"/>
    <s v="Offline"/>
    <s v="L"/>
    <s v="9/13/2012"/>
    <n v="936411798"/>
    <s v="9/17/2012"/>
    <n v="3915"/>
    <n v="81.73"/>
    <n v="56.67"/>
    <n v="319972.95"/>
    <n v="221863.05"/>
    <n v="98109.9"/>
  </r>
  <r>
    <x v="5"/>
    <s v="Mauritania"/>
    <s v="Beverages"/>
    <s v="Offline"/>
    <s v="H"/>
    <s v="10/14/2013"/>
    <n v="854625880"/>
    <s v="11/26/2013"/>
    <n v="1644"/>
    <n v="47.45"/>
    <n v="31.79"/>
    <n v="78007.8"/>
    <n v="52262.76"/>
    <n v="25745.040000000001"/>
  </r>
  <r>
    <x v="5"/>
    <s v="Senegal"/>
    <s v="Household"/>
    <s v="Online"/>
    <s v="M"/>
    <s v="7/20/2017"/>
    <n v="506050717"/>
    <s v="7/30/2017"/>
    <n v="508"/>
    <n v="668.27"/>
    <n v="502.54"/>
    <n v="339481.16"/>
    <n v="255290.32"/>
    <n v="84190.84"/>
  </r>
  <r>
    <x v="5"/>
    <s v="Swaziland"/>
    <s v="Vegetables"/>
    <s v="Online"/>
    <s v="M"/>
    <d v="2016-08-05T00:00:00"/>
    <n v="365735137"/>
    <d v="2016-11-05T00:00:00"/>
    <n v="8009"/>
    <n v="154.06"/>
    <n v="90.93"/>
    <n v="1233866.54"/>
    <n v="728258.37"/>
    <n v="505608.17"/>
  </r>
  <r>
    <x v="3"/>
    <s v="Azerbaijan"/>
    <s v="Cosmetics"/>
    <s v="Offline"/>
    <s v="H"/>
    <d v="2011-10-03T00:00:00"/>
    <n v="529040467"/>
    <d v="2011-10-04T00:00:00"/>
    <n v="3686"/>
    <n v="437.2"/>
    <n v="263.33"/>
    <n v="1611519.2"/>
    <n v="970634.38"/>
    <n v="640884.81999999995"/>
  </r>
  <r>
    <x v="1"/>
    <s v="Bosnia and Herzegovina"/>
    <s v="Household"/>
    <s v="Offline"/>
    <s v="M"/>
    <s v="6/22/2015"/>
    <n v="261640536"/>
    <d v="2015-01-08T00:00:00"/>
    <n v="4104"/>
    <n v="668.27"/>
    <n v="502.54"/>
    <n v="2742580.08"/>
    <n v="2062424.16"/>
    <n v="680155.92"/>
  </r>
  <r>
    <x v="5"/>
    <s v="Senegal"/>
    <s v="Snacks"/>
    <s v="Online"/>
    <s v="L"/>
    <s v="5/27/2013"/>
    <n v="249521672"/>
    <d v="2013-08-07T00:00:00"/>
    <n v="7863"/>
    <n v="152.58000000000001"/>
    <n v="97.44"/>
    <n v="1199736.54"/>
    <n v="766170.72"/>
    <n v="433565.82"/>
  </r>
  <r>
    <x v="5"/>
    <s v="Djibouti"/>
    <s v="Baby Food"/>
    <s v="Offline"/>
    <s v="L"/>
    <s v="9/27/2016"/>
    <n v="348982703"/>
    <d v="2016-02-11T00:00:00"/>
    <n v="592"/>
    <n v="255.28"/>
    <n v="159.41999999999999"/>
    <n v="151125.76000000001"/>
    <n v="94376.639999999999"/>
    <n v="56749.120000000003"/>
  </r>
  <r>
    <x v="5"/>
    <s v="Ethiopia"/>
    <s v="Baby Food"/>
    <s v="Online"/>
    <s v="C"/>
    <d v="2015-04-08T00:00:00"/>
    <n v="936634957"/>
    <d v="2015-06-09T00:00:00"/>
    <n v="9953"/>
    <n v="255.28"/>
    <n v="159.41999999999999"/>
    <n v="2540801.84"/>
    <n v="1586707.26"/>
    <n v="954094.58"/>
  </r>
  <r>
    <x v="2"/>
    <s v="Philippines"/>
    <s v="Cereal"/>
    <s v="Offline"/>
    <s v="M"/>
    <s v="6/27/2012"/>
    <n v="659402263"/>
    <d v="2012-01-08T00:00:00"/>
    <n v="638"/>
    <n v="205.7"/>
    <n v="117.11"/>
    <n v="131236.6"/>
    <n v="74716.179999999993"/>
    <n v="56520.42"/>
  </r>
  <r>
    <x v="5"/>
    <s v="Sudan"/>
    <s v="Beverages"/>
    <s v="Online"/>
    <s v="H"/>
    <s v="1/13/2011"/>
    <n v="484520947"/>
    <s v="1/17/2011"/>
    <n v="9370"/>
    <n v="47.45"/>
    <n v="31.79"/>
    <n v="444606.5"/>
    <n v="297872.3"/>
    <n v="146734.20000000001"/>
  </r>
  <r>
    <x v="0"/>
    <s v="Cuba"/>
    <s v="Office Supplies"/>
    <s v="Offline"/>
    <s v="L"/>
    <d v="2012-06-02T00:00:00"/>
    <n v="549539840"/>
    <s v="3/22/2012"/>
    <n v="9905"/>
    <n v="651.21"/>
    <n v="524.96"/>
    <n v="6450235.0499999998"/>
    <n v="5199728.8"/>
    <n v="1250506.25"/>
  </r>
  <r>
    <x v="0"/>
    <s v="Barbados"/>
    <s v="Vegetables"/>
    <s v="Offline"/>
    <s v="M"/>
    <s v="1/21/2010"/>
    <n v="612320268"/>
    <d v="2010-10-02T00:00:00"/>
    <n v="8029"/>
    <n v="154.06"/>
    <n v="90.93"/>
    <n v="1236947.74"/>
    <n v="730076.97"/>
    <n v="506870.77"/>
  </r>
  <r>
    <x v="0"/>
    <s v="Grenada"/>
    <s v="Vegetables"/>
    <s v="Online"/>
    <s v="H"/>
    <d v="2011-12-09T00:00:00"/>
    <n v="501036059"/>
    <s v="10/17/2011"/>
    <n v="6559"/>
    <n v="154.06"/>
    <n v="90.93"/>
    <n v="1010479.54"/>
    <n v="596409.87"/>
    <n v="414069.67"/>
  </r>
  <r>
    <x v="1"/>
    <s v="Finland"/>
    <s v="Baby Food"/>
    <s v="Offline"/>
    <s v="L"/>
    <s v="4/21/2017"/>
    <n v="564173543"/>
    <s v="4/26/2017"/>
    <n v="343"/>
    <n v="255.28"/>
    <n v="159.41999999999999"/>
    <n v="87561.04"/>
    <n v="54681.06"/>
    <n v="32879.980000000003"/>
  </r>
  <r>
    <x v="5"/>
    <s v="Niger"/>
    <s v="Snacks"/>
    <s v="Offline"/>
    <s v="M"/>
    <s v="11/13/2016"/>
    <n v="320531547"/>
    <s v="12/21/2016"/>
    <n v="1262"/>
    <n v="152.58000000000001"/>
    <n v="97.44"/>
    <n v="192555.96"/>
    <n v="122969.28"/>
    <n v="69586.679999999993"/>
  </r>
  <r>
    <x v="2"/>
    <s v="Cambodia"/>
    <s v="Fruits"/>
    <s v="Online"/>
    <s v="M"/>
    <d v="2016-04-08T00:00:00"/>
    <n v="709221398"/>
    <s v="9/23/2016"/>
    <n v="3227"/>
    <n v="9.33"/>
    <n v="6.92"/>
    <n v="30107.91"/>
    <n v="22330.84"/>
    <n v="7777.07"/>
  </r>
  <r>
    <x v="3"/>
    <s v="Morocco"/>
    <s v="Clothes"/>
    <s v="Offline"/>
    <s v="M"/>
    <s v="5/20/2012"/>
    <n v="939666926"/>
    <d v="2012-07-07T00:00:00"/>
    <n v="7180"/>
    <n v="109.28"/>
    <n v="35.840000000000003"/>
    <n v="784630.4"/>
    <n v="257331.20000000001"/>
    <n v="527299.19999999995"/>
  </r>
  <r>
    <x v="0"/>
    <s v="Saint Kitts and Nevis "/>
    <s v="Vegetables"/>
    <s v="Online"/>
    <s v="H"/>
    <d v="2016-10-05T00:00:00"/>
    <n v="741604459"/>
    <d v="2016-12-05T00:00:00"/>
    <n v="6094"/>
    <n v="154.06"/>
    <n v="90.93"/>
    <n v="938841.64"/>
    <n v="554127.42000000004"/>
    <n v="384714.22"/>
  </r>
  <r>
    <x v="5"/>
    <s v="Zambia"/>
    <s v="Meat"/>
    <s v="Offline"/>
    <s v="L"/>
    <d v="2015-11-03T00:00:00"/>
    <n v="815082824"/>
    <d v="2015-02-04T00:00:00"/>
    <n v="9975"/>
    <n v="421.89"/>
    <n v="364.69"/>
    <n v="4208352.75"/>
    <n v="3637782.75"/>
    <n v="570570"/>
  </r>
  <r>
    <x v="1"/>
    <s v="Ukraine"/>
    <s v="Cereal"/>
    <s v="Offline"/>
    <s v="C"/>
    <d v="2011-10-10T00:00:00"/>
    <n v="580463349"/>
    <d v="2011-08-11T00:00:00"/>
    <n v="859"/>
    <n v="205.7"/>
    <n v="117.11"/>
    <n v="176696.3"/>
    <n v="100597.49"/>
    <n v="76098.81"/>
  </r>
  <r>
    <x v="1"/>
    <s v="France"/>
    <s v="Office Supplies"/>
    <s v="Offline"/>
    <s v="M"/>
    <d v="2013-04-11T00:00:00"/>
    <n v="428419864"/>
    <d v="2013-05-12T00:00:00"/>
    <n v="7813"/>
    <n v="651.21"/>
    <n v="524.96"/>
    <n v="5087903.7300000004"/>
    <n v="4101512.48"/>
    <n v="986391.25"/>
  </r>
  <r>
    <x v="3"/>
    <s v="Jordan"/>
    <s v="Cosmetics"/>
    <s v="Online"/>
    <s v="L"/>
    <s v="1/21/2015"/>
    <n v="369938695"/>
    <s v="1/24/2015"/>
    <n v="1936"/>
    <n v="437.2"/>
    <n v="263.33"/>
    <n v="846419.2"/>
    <n v="509806.88"/>
    <n v="336612.32"/>
  </r>
  <r>
    <x v="3"/>
    <s v="Libya"/>
    <s v="Meat"/>
    <s v="Offline"/>
    <s v="L"/>
    <d v="2013-05-12T00:00:00"/>
    <n v="486318671"/>
    <d v="2013-11-12T00:00:00"/>
    <n v="1357"/>
    <n v="421.89"/>
    <n v="364.69"/>
    <n v="572504.73"/>
    <n v="494884.33"/>
    <n v="77620.399999999994"/>
  </r>
  <r>
    <x v="1"/>
    <s v="Portugal"/>
    <s v="Baby Food"/>
    <s v="Offline"/>
    <s v="C"/>
    <d v="2010-11-01T00:00:00"/>
    <n v="479171121"/>
    <s v="1/27/2010"/>
    <n v="6238"/>
    <n v="255.28"/>
    <n v="159.41999999999999"/>
    <n v="1592436.64"/>
    <n v="994461.96"/>
    <n v="597974.68000000005"/>
  </r>
  <r>
    <x v="1"/>
    <s v="Lithuania"/>
    <s v="Personal Care"/>
    <s v="Online"/>
    <s v="H"/>
    <s v="5/13/2015"/>
    <n v="120419871"/>
    <s v="6/26/2015"/>
    <n v="3771"/>
    <n v="81.73"/>
    <n v="56.67"/>
    <n v="308203.83"/>
    <n v="213702.57"/>
    <n v="94501.26"/>
  </r>
  <r>
    <x v="1"/>
    <s v="Italy"/>
    <s v="Clothes"/>
    <s v="Offline"/>
    <s v="M"/>
    <d v="2012-11-09T00:00:00"/>
    <n v="602301251"/>
    <s v="9/27/2012"/>
    <n v="3180"/>
    <n v="109.28"/>
    <n v="35.840000000000003"/>
    <n v="347510.4"/>
    <n v="113971.2"/>
    <n v="233539.20000000001"/>
  </r>
  <r>
    <x v="2"/>
    <s v="Turkmenistan"/>
    <s v="Cosmetics"/>
    <s v="Online"/>
    <s v="M"/>
    <s v="5/16/2012"/>
    <n v="487364089"/>
    <d v="2012-04-07T00:00:00"/>
    <n v="719"/>
    <n v="437.2"/>
    <n v="263.33"/>
    <n v="314346.8"/>
    <n v="189334.27"/>
    <n v="125012.53"/>
  </r>
  <r>
    <x v="3"/>
    <s v="Yemen"/>
    <s v="Fruits"/>
    <s v="Online"/>
    <s v="C"/>
    <s v="8/28/2010"/>
    <n v="658469712"/>
    <s v="9/16/2010"/>
    <n v="4675"/>
    <n v="9.33"/>
    <n v="6.92"/>
    <n v="43617.75"/>
    <n v="32351"/>
    <n v="11266.75"/>
  </r>
  <r>
    <x v="5"/>
    <s v="Malawi"/>
    <s v="Meat"/>
    <s v="Online"/>
    <s v="C"/>
    <s v="3/26/2016"/>
    <n v="268791949"/>
    <d v="2016-08-05T00:00:00"/>
    <n v="366"/>
    <n v="421.89"/>
    <n v="364.69"/>
    <n v="154411.74"/>
    <n v="133476.54"/>
    <n v="20935.2"/>
  </r>
  <r>
    <x v="0"/>
    <s v="Saint Lucia"/>
    <s v="Fruits"/>
    <s v="Online"/>
    <s v="M"/>
    <s v="2/18/2016"/>
    <n v="791817128"/>
    <d v="2016-08-04T00:00:00"/>
    <n v="5139"/>
    <n v="9.33"/>
    <n v="6.92"/>
    <n v="47946.87"/>
    <n v="35561.879999999997"/>
    <n v="12384.99"/>
  </r>
  <r>
    <x v="2"/>
    <s v="Nepal"/>
    <s v="Household"/>
    <s v="Offline"/>
    <s v="H"/>
    <s v="5/21/2017"/>
    <n v="171344077"/>
    <s v="5/27/2017"/>
    <n v="3375"/>
    <n v="668.27"/>
    <n v="502.54"/>
    <n v="2255411.25"/>
    <n v="1696072.5"/>
    <n v="559338.75"/>
  </r>
  <r>
    <x v="1"/>
    <s v="Denmark"/>
    <s v="Baby Food"/>
    <s v="Online"/>
    <s v="M"/>
    <d v="2012-09-12T00:00:00"/>
    <n v="471484124"/>
    <s v="1/24/2013"/>
    <n v="1485"/>
    <n v="255.28"/>
    <n v="159.41999999999999"/>
    <n v="379090.8"/>
    <n v="236738.7"/>
    <n v="142352.1"/>
  </r>
  <r>
    <x v="4"/>
    <s v="Fiji"/>
    <s v="Office Supplies"/>
    <s v="Offline"/>
    <s v="H"/>
    <s v="9/29/2015"/>
    <n v="226661098"/>
    <d v="2015-04-11T00:00:00"/>
    <n v="2911"/>
    <n v="651.21"/>
    <n v="524.96"/>
    <n v="1895672.31"/>
    <n v="1528158.56"/>
    <n v="367513.75"/>
  </r>
  <r>
    <x v="1"/>
    <s v="Hungary"/>
    <s v="Snacks"/>
    <s v="Offline"/>
    <s v="M"/>
    <d v="2017-01-02T00:00:00"/>
    <n v="291611325"/>
    <d v="2017-10-02T00:00:00"/>
    <n v="3126"/>
    <n v="152.58000000000001"/>
    <n v="97.44"/>
    <n v="476965.08"/>
    <n v="304597.44"/>
    <n v="172367.64"/>
  </r>
  <r>
    <x v="1"/>
    <s v="Slovenia"/>
    <s v="Vegetables"/>
    <s v="Offline"/>
    <s v="M"/>
    <d v="2013-10-02T00:00:00"/>
    <n v="691383635"/>
    <s v="3/19/2013"/>
    <n v="4637"/>
    <n v="154.06"/>
    <n v="90.93"/>
    <n v="714376.22"/>
    <n v="421642.41"/>
    <n v="292733.81"/>
  </r>
  <r>
    <x v="2"/>
    <s v="Kyrgyzstan"/>
    <s v="Personal Care"/>
    <s v="Offline"/>
    <s v="M"/>
    <d v="2016-04-03T00:00:00"/>
    <n v="171339356"/>
    <d v="2016-07-03T00:00:00"/>
    <n v="1978"/>
    <n v="81.73"/>
    <n v="56.67"/>
    <n v="161661.94"/>
    <n v="112093.26"/>
    <n v="49568.68"/>
  </r>
  <r>
    <x v="3"/>
    <s v="Libya"/>
    <s v="Personal Care"/>
    <s v="Offline"/>
    <s v="M"/>
    <d v="2013-09-03T00:00:00"/>
    <n v="247152316"/>
    <d v="2013-09-04T00:00:00"/>
    <n v="6717"/>
    <n v="81.73"/>
    <n v="56.67"/>
    <n v="548980.41"/>
    <n v="380652.39"/>
    <n v="168328.02"/>
  </r>
  <r>
    <x v="4"/>
    <s v="Palau"/>
    <s v="Snacks"/>
    <s v="Online"/>
    <s v="L"/>
    <d v="2014-06-11T00:00:00"/>
    <n v="254808843"/>
    <d v="2014-10-11T00:00:00"/>
    <n v="2454"/>
    <n v="152.58000000000001"/>
    <n v="97.44"/>
    <n v="374431.32"/>
    <n v="239117.76"/>
    <n v="135313.56"/>
  </r>
  <r>
    <x v="5"/>
    <s v="Ethiopia"/>
    <s v="Cosmetics"/>
    <s v="Offline"/>
    <s v="L"/>
    <s v="12/27/2013"/>
    <n v="500607764"/>
    <s v="2/14/2014"/>
    <n v="9817"/>
    <n v="437.2"/>
    <n v="263.33"/>
    <n v="4291992.4000000004"/>
    <n v="2585110.61"/>
    <n v="1706881.79"/>
  </r>
  <r>
    <x v="5"/>
    <s v="South Africa"/>
    <s v="Cereal"/>
    <s v="Online"/>
    <s v="M"/>
    <s v="1/27/2012"/>
    <n v="911160409"/>
    <s v="1/27/2012"/>
    <n v="1468"/>
    <n v="205.7"/>
    <n v="117.11"/>
    <n v="301967.59999999998"/>
    <n v="171917.48"/>
    <n v="130050.12"/>
  </r>
  <r>
    <x v="2"/>
    <s v="Indonesia"/>
    <s v="Cereal"/>
    <s v="Online"/>
    <s v="M"/>
    <d v="2015-04-06T00:00:00"/>
    <n v="583390605"/>
    <d v="2015-10-07T00:00:00"/>
    <n v="7099"/>
    <n v="205.7"/>
    <n v="117.11"/>
    <n v="1460264.3"/>
    <n v="831363.89"/>
    <n v="628900.41"/>
  </r>
  <r>
    <x v="5"/>
    <s v="Niger"/>
    <s v="Office Supplies"/>
    <s v="Offline"/>
    <s v="M"/>
    <d v="2016-12-04T00:00:00"/>
    <n v="934534680"/>
    <s v="5/25/2016"/>
    <n v="8434"/>
    <n v="651.21"/>
    <n v="524.96"/>
    <n v="5492305.1399999997"/>
    <n v="4427512.6399999997"/>
    <n v="1064792.5"/>
  </r>
  <r>
    <x v="3"/>
    <s v="Tunisia "/>
    <s v="Personal Care"/>
    <s v="Offline"/>
    <s v="C"/>
    <s v="9/24/2011"/>
    <n v="752141463"/>
    <d v="2011-12-11T00:00:00"/>
    <n v="4228"/>
    <n v="81.73"/>
    <n v="56.67"/>
    <n v="345554.44"/>
    <n v="239600.76"/>
    <n v="105953.68"/>
  </r>
  <r>
    <x v="3"/>
    <s v="Azerbaijan"/>
    <s v="Clothes"/>
    <s v="Online"/>
    <s v="H"/>
    <s v="1/27/2015"/>
    <n v="244072282"/>
    <s v="3/13/2015"/>
    <n v="5267"/>
    <n v="109.28"/>
    <n v="35.840000000000003"/>
    <n v="575577.76"/>
    <n v="188769.28"/>
    <n v="386808.48"/>
  </r>
  <r>
    <x v="5"/>
    <s v="Mauritius "/>
    <s v="Cosmetics"/>
    <s v="Online"/>
    <s v="M"/>
    <d v="2014-04-03T00:00:00"/>
    <n v="588500964"/>
    <d v="2014-12-03T00:00:00"/>
    <n v="9368"/>
    <n v="437.2"/>
    <n v="263.33"/>
    <n v="4095689.6"/>
    <n v="2466875.44"/>
    <n v="1628814.16"/>
  </r>
  <r>
    <x v="1"/>
    <s v="Kosovo"/>
    <s v="Snacks"/>
    <s v="Online"/>
    <s v="H"/>
    <d v="2013-05-02T00:00:00"/>
    <n v="783913838"/>
    <d v="2013-09-03T00:00:00"/>
    <n v="6380"/>
    <n v="152.58000000000001"/>
    <n v="97.44"/>
    <n v="973460.4"/>
    <n v="621667.19999999995"/>
    <n v="351793.2"/>
  </r>
  <r>
    <x v="1"/>
    <s v="Macedonia"/>
    <s v="Clothes"/>
    <s v="Online"/>
    <s v="C"/>
    <s v="3/14/2013"/>
    <n v="799109733"/>
    <s v="4/29/2013"/>
    <n v="3183"/>
    <n v="109.28"/>
    <n v="35.840000000000003"/>
    <n v="347838.24"/>
    <n v="114078.72"/>
    <n v="233759.52"/>
  </r>
  <r>
    <x v="1"/>
    <s v="Denmark"/>
    <s v="Beverages"/>
    <s v="Online"/>
    <s v="L"/>
    <s v="11/21/2016"/>
    <n v="223199975"/>
    <d v="2017-04-01T00:00:00"/>
    <n v="8687"/>
    <n v="47.45"/>
    <n v="31.79"/>
    <n v="412198.15"/>
    <n v="276159.73"/>
    <n v="136038.42000000001"/>
  </r>
  <r>
    <x v="4"/>
    <s v="Papua New Guinea"/>
    <s v="Cosmetics"/>
    <s v="Offline"/>
    <s v="M"/>
    <s v="4/17/2016"/>
    <n v="515608394"/>
    <s v="4/23/2016"/>
    <n v="8836"/>
    <n v="437.2"/>
    <n v="263.33"/>
    <n v="3863099.2"/>
    <n v="2326783.88"/>
    <n v="1536315.32"/>
  </r>
  <r>
    <x v="2"/>
    <s v="Indonesia"/>
    <s v="Cosmetics"/>
    <s v="Offline"/>
    <s v="M"/>
    <d v="2012-01-03T00:00:00"/>
    <n v="956071317"/>
    <s v="3/31/2012"/>
    <n v="1603"/>
    <n v="437.2"/>
    <n v="263.33"/>
    <n v="700831.6"/>
    <n v="422117.99"/>
    <n v="278713.61"/>
  </r>
  <r>
    <x v="0"/>
    <s v="Saint Lucia"/>
    <s v="Snacks"/>
    <s v="Offline"/>
    <s v="C"/>
    <d v="2010-12-02T00:00:00"/>
    <n v="894637572"/>
    <d v="2010-01-04T00:00:00"/>
    <n v="1993"/>
    <n v="152.58000000000001"/>
    <n v="97.44"/>
    <n v="304091.94"/>
    <n v="194197.92"/>
    <n v="109894.02"/>
  </r>
  <r>
    <x v="5"/>
    <s v="Malawi"/>
    <s v="Personal Care"/>
    <s v="Online"/>
    <s v="C"/>
    <s v="10/26/2016"/>
    <n v="201668488"/>
    <s v="10/31/2016"/>
    <n v="7042"/>
    <n v="81.73"/>
    <n v="56.67"/>
    <n v="575542.66"/>
    <n v="399070.14"/>
    <n v="176472.52"/>
  </r>
  <r>
    <x v="5"/>
    <s v="Sudan"/>
    <s v="Cosmetics"/>
    <s v="Online"/>
    <s v="M"/>
    <d v="2013-05-07T00:00:00"/>
    <n v="617837893"/>
    <d v="2013-12-08T00:00:00"/>
    <n v="817"/>
    <n v="437.2"/>
    <n v="263.33"/>
    <n v="357192.4"/>
    <n v="215140.61"/>
    <n v="142051.79"/>
  </r>
  <r>
    <x v="3"/>
    <s v="Iraq"/>
    <s v="Snacks"/>
    <s v="Online"/>
    <s v="C"/>
    <d v="2012-10-10T00:00:00"/>
    <n v="804132115"/>
    <s v="11/24/2012"/>
    <n v="9417"/>
    <n v="152.58000000000001"/>
    <n v="97.44"/>
    <n v="1436845.86"/>
    <n v="917592.48"/>
    <n v="519253.38"/>
  </r>
  <r>
    <x v="1"/>
    <s v="Georgia"/>
    <s v="Cereal"/>
    <s v="Offline"/>
    <s v="H"/>
    <s v="11/30/2016"/>
    <n v="391849982"/>
    <d v="2016-11-12T00:00:00"/>
    <n v="5972"/>
    <n v="205.7"/>
    <n v="117.11"/>
    <n v="1228440.3999999999"/>
    <n v="699380.92"/>
    <n v="529059.48"/>
  </r>
  <r>
    <x v="4"/>
    <s v="Papua New Guinea"/>
    <s v="Cosmetics"/>
    <s v="Online"/>
    <s v="H"/>
    <s v="2/22/2014"/>
    <n v="432602822"/>
    <s v="3/31/2014"/>
    <n v="5643"/>
    <n v="437.2"/>
    <n v="263.33"/>
    <n v="2467119.6"/>
    <n v="1485971.19"/>
    <n v="981148.41"/>
  </r>
  <r>
    <x v="4"/>
    <s v="Solomon Islands"/>
    <s v="Meat"/>
    <s v="Online"/>
    <s v="H"/>
    <d v="2012-04-09T00:00:00"/>
    <n v="248314464"/>
    <s v="9/14/2012"/>
    <n v="623"/>
    <n v="421.89"/>
    <n v="364.69"/>
    <n v="262837.46999999997"/>
    <n v="227201.87"/>
    <n v="35635.599999999999"/>
  </r>
  <r>
    <x v="3"/>
    <s v="Pakistan"/>
    <s v="Beverages"/>
    <s v="Online"/>
    <s v="L"/>
    <s v="3/19/2014"/>
    <n v="581221234"/>
    <s v="4/21/2014"/>
    <n v="5134"/>
    <n v="47.45"/>
    <n v="31.79"/>
    <n v="243608.3"/>
    <n v="163209.85999999999"/>
    <n v="80398.44"/>
  </r>
  <r>
    <x v="4"/>
    <s v="Kiribati"/>
    <s v="Clothes"/>
    <s v="Online"/>
    <s v="H"/>
    <d v="2010-02-03T00:00:00"/>
    <n v="443871963"/>
    <s v="4/16/2010"/>
    <n v="432"/>
    <n v="109.28"/>
    <n v="35.840000000000003"/>
    <n v="47208.959999999999"/>
    <n v="15482.88"/>
    <n v="31726.080000000002"/>
  </r>
  <r>
    <x v="3"/>
    <s v="Somalia"/>
    <s v="Snacks"/>
    <s v="Offline"/>
    <s v="M"/>
    <s v="9/25/2015"/>
    <n v="269127976"/>
    <d v="2015-11-11T00:00:00"/>
    <n v="9804"/>
    <n v="152.58000000000001"/>
    <n v="97.44"/>
    <n v="1495894.32"/>
    <n v="955301.76"/>
    <n v="540592.56000000006"/>
  </r>
  <r>
    <x v="0"/>
    <s v="Trinidad and Tobago"/>
    <s v="Fruits"/>
    <s v="Online"/>
    <s v="H"/>
    <d v="2013-01-02T00:00:00"/>
    <n v="560163104"/>
    <d v="2013-05-03T00:00:00"/>
    <n v="3565"/>
    <n v="9.33"/>
    <n v="6.92"/>
    <n v="33261.449999999997"/>
    <n v="24669.8"/>
    <n v="8591.65"/>
  </r>
  <r>
    <x v="0"/>
    <s v="Costa Rica"/>
    <s v="Household"/>
    <s v="Offline"/>
    <s v="H"/>
    <d v="2015-10-10T00:00:00"/>
    <n v="540463674"/>
    <s v="10/14/2015"/>
    <n v="4066"/>
    <n v="668.27"/>
    <n v="502.54"/>
    <n v="2717185.82"/>
    <n v="2043327.64"/>
    <n v="673858.18"/>
  </r>
  <r>
    <x v="5"/>
    <s v="Mali"/>
    <s v="Baby Food"/>
    <s v="Online"/>
    <s v="H"/>
    <s v="11/19/2011"/>
    <n v="403828513"/>
    <s v="11/25/2011"/>
    <n v="686"/>
    <n v="255.28"/>
    <n v="159.41999999999999"/>
    <n v="175122.08"/>
    <n v="109362.12"/>
    <n v="65759.960000000006"/>
  </r>
  <r>
    <x v="2"/>
    <s v="India"/>
    <s v="Snacks"/>
    <s v="Online"/>
    <s v="M"/>
    <s v="4/19/2013"/>
    <n v="864368951"/>
    <d v="2013-02-06T00:00:00"/>
    <n v="4836"/>
    <n v="152.58000000000001"/>
    <n v="97.44"/>
    <n v="737876.88"/>
    <n v="471219.84"/>
    <n v="266657.03999999998"/>
  </r>
  <r>
    <x v="1"/>
    <s v="Croatia"/>
    <s v="Clothes"/>
    <s v="Online"/>
    <s v="H"/>
    <s v="1/13/2014"/>
    <n v="906508815"/>
    <s v="1/23/2014"/>
    <n v="4958"/>
    <n v="109.28"/>
    <n v="35.840000000000003"/>
    <n v="541810.24"/>
    <n v="177694.72"/>
    <n v="364115.52"/>
  </r>
  <r>
    <x v="0"/>
    <s v="Saint Lucia"/>
    <s v="Vegetables"/>
    <s v="Online"/>
    <s v="C"/>
    <s v="9/28/2016"/>
    <n v="934984433"/>
    <s v="10/13/2016"/>
    <n v="1526"/>
    <n v="154.06"/>
    <n v="90.93"/>
    <n v="235095.56"/>
    <n v="138759.18"/>
    <n v="96336.38"/>
  </r>
  <r>
    <x v="1"/>
    <s v="Greece"/>
    <s v="Cereal"/>
    <s v="Offline"/>
    <s v="M"/>
    <d v="2013-10-10T00:00:00"/>
    <n v="524844634"/>
    <s v="10/13/2013"/>
    <n v="2045"/>
    <n v="205.7"/>
    <n v="117.11"/>
    <n v="420656.5"/>
    <n v="239489.95"/>
    <n v="181166.55"/>
  </r>
  <r>
    <x v="5"/>
    <s v="Djibouti"/>
    <s v="Fruits"/>
    <s v="Offline"/>
    <s v="M"/>
    <s v="9/15/2013"/>
    <n v="671450746"/>
    <s v="10/18/2013"/>
    <n v="6052"/>
    <n v="9.33"/>
    <n v="6.92"/>
    <n v="56465.16"/>
    <n v="41879.839999999997"/>
    <n v="14585.32"/>
  </r>
  <r>
    <x v="1"/>
    <s v="Iceland"/>
    <s v="Fruits"/>
    <s v="Online"/>
    <s v="H"/>
    <s v="10/21/2014"/>
    <n v="640476596"/>
    <s v="10/24/2014"/>
    <n v="112"/>
    <n v="9.33"/>
    <n v="6.92"/>
    <n v="1044.96"/>
    <n v="775.04"/>
    <n v="269.92"/>
  </r>
  <r>
    <x v="5"/>
    <s v="Niger"/>
    <s v="Cosmetics"/>
    <s v="Online"/>
    <s v="H"/>
    <s v="5/30/2016"/>
    <n v="217908513"/>
    <s v="6/23/2016"/>
    <n v="2826"/>
    <n v="437.2"/>
    <n v="263.33"/>
    <n v="1235527.2"/>
    <n v="744170.58"/>
    <n v="491356.62"/>
  </r>
  <r>
    <x v="2"/>
    <s v="China"/>
    <s v="Fruits"/>
    <s v="Online"/>
    <s v="L"/>
    <s v="2/20/2015"/>
    <n v="160045325"/>
    <d v="2015-05-04T00:00:00"/>
    <n v="9823"/>
    <n v="9.33"/>
    <n v="6.92"/>
    <n v="91648.59"/>
    <n v="67975.16"/>
    <n v="23673.43"/>
  </r>
  <r>
    <x v="5"/>
    <s v="The Gambia"/>
    <s v="Office Supplies"/>
    <s v="Offline"/>
    <s v="M"/>
    <s v="3/31/2016"/>
    <n v="843498361"/>
    <s v="4/25/2016"/>
    <n v="8764"/>
    <n v="651.21"/>
    <n v="524.96"/>
    <n v="5707204.4400000004"/>
    <n v="4600749.4400000004"/>
    <n v="1106455"/>
  </r>
  <r>
    <x v="3"/>
    <s v="Saudi Arabia"/>
    <s v="Snacks"/>
    <s v="Online"/>
    <s v="M"/>
    <d v="2014-09-09T00:00:00"/>
    <n v="915191447"/>
    <s v="9/27/2014"/>
    <n v="4342"/>
    <n v="152.58000000000001"/>
    <n v="97.44"/>
    <n v="662502.36"/>
    <n v="423084.48"/>
    <n v="239417.88"/>
  </r>
  <r>
    <x v="0"/>
    <s v="Antigua and Barbuda "/>
    <s v="Fruits"/>
    <s v="Online"/>
    <s v="C"/>
    <s v="1/26/2014"/>
    <n v="442360913"/>
    <d v="2014-05-03T00:00:00"/>
    <n v="3279"/>
    <n v="9.33"/>
    <n v="6.92"/>
    <n v="30593.07"/>
    <n v="22690.68"/>
    <n v="7902.39"/>
  </r>
  <r>
    <x v="3"/>
    <s v="Israel"/>
    <s v="Personal Care"/>
    <s v="Online"/>
    <s v="C"/>
    <d v="2015-06-04T00:00:00"/>
    <n v="462555587"/>
    <d v="2015-12-05T00:00:00"/>
    <n v="9332"/>
    <n v="81.73"/>
    <n v="56.67"/>
    <n v="762704.36"/>
    <n v="528844.43999999994"/>
    <n v="233859.92"/>
  </r>
  <r>
    <x v="1"/>
    <s v="Ukraine"/>
    <s v="Meat"/>
    <s v="Online"/>
    <s v="M"/>
    <s v="8/20/2012"/>
    <n v="733636796"/>
    <s v="9/15/2012"/>
    <n v="8286"/>
    <n v="421.89"/>
    <n v="364.69"/>
    <n v="3495780.54"/>
    <n v="3021821.34"/>
    <n v="473959.2"/>
  </r>
  <r>
    <x v="1"/>
    <s v="Bosnia and Herzegovina"/>
    <s v="Snacks"/>
    <s v="Online"/>
    <s v="L"/>
    <s v="12/24/2012"/>
    <n v="183778369"/>
    <d v="2013-07-01T00:00:00"/>
    <n v="2958"/>
    <n v="152.58000000000001"/>
    <n v="97.44"/>
    <n v="451331.64"/>
    <n v="288227.52"/>
    <n v="163104.12"/>
  </r>
  <r>
    <x v="3"/>
    <s v="Lebanon"/>
    <s v="Beverages"/>
    <s v="Online"/>
    <s v="H"/>
    <d v="2016-01-08T00:00:00"/>
    <n v="961466634"/>
    <s v="8/17/2016"/>
    <n v="8198"/>
    <n v="47.45"/>
    <n v="31.79"/>
    <n v="388995.1"/>
    <n v="260614.42"/>
    <n v="128380.68"/>
  </r>
  <r>
    <x v="3"/>
    <s v="United Arab Emirates"/>
    <s v="Meat"/>
    <s v="Offline"/>
    <s v="M"/>
    <d v="2013-08-06T00:00:00"/>
    <n v="785500419"/>
    <s v="7/15/2013"/>
    <n v="5884"/>
    <n v="421.89"/>
    <n v="364.69"/>
    <n v="2482400.7599999998"/>
    <n v="2145835.96"/>
    <n v="336564.8"/>
  </r>
  <r>
    <x v="1"/>
    <s v="Luxembourg"/>
    <s v="Snacks"/>
    <s v="Offline"/>
    <s v="M"/>
    <s v="4/22/2017"/>
    <n v="594991052"/>
    <d v="2017-06-06T00:00:00"/>
    <n v="9929"/>
    <n v="152.58000000000001"/>
    <n v="97.44"/>
    <n v="1514966.82"/>
    <n v="967481.76"/>
    <n v="547485.06000000006"/>
  </r>
  <r>
    <x v="4"/>
    <s v="Tonga"/>
    <s v="Vegetables"/>
    <s v="Offline"/>
    <s v="M"/>
    <s v="7/15/2016"/>
    <n v="499362361"/>
    <d v="2016-01-09T00:00:00"/>
    <n v="1274"/>
    <n v="154.06"/>
    <n v="90.93"/>
    <n v="196272.44"/>
    <n v="115844.82"/>
    <n v="80427.62"/>
  </r>
  <r>
    <x v="3"/>
    <s v="Kuwait"/>
    <s v="Vegetables"/>
    <s v="Online"/>
    <s v="C"/>
    <d v="2015-01-09T00:00:00"/>
    <n v="228350675"/>
    <s v="9/15/2015"/>
    <n v="2894"/>
    <n v="154.06"/>
    <n v="90.93"/>
    <n v="445849.64"/>
    <n v="263151.42"/>
    <n v="182698.22"/>
  </r>
  <r>
    <x v="0"/>
    <s v="Saint Vincent and the Grenadines"/>
    <s v="Baby Food"/>
    <s v="Offline"/>
    <s v="M"/>
    <d v="2016-08-07T00:00:00"/>
    <n v="482004821"/>
    <d v="2016-12-07T00:00:00"/>
    <n v="4793"/>
    <n v="255.28"/>
    <n v="159.41999999999999"/>
    <n v="1223557.04"/>
    <n v="764100.06"/>
    <n v="459456.98"/>
  </r>
  <r>
    <x v="5"/>
    <s v="Sao Tome and Principe"/>
    <s v="Office Supplies"/>
    <s v="Offline"/>
    <s v="M"/>
    <s v="5/30/2014"/>
    <n v="680686128"/>
    <d v="2014-08-07T00:00:00"/>
    <n v="9006"/>
    <n v="651.21"/>
    <n v="524.96"/>
    <n v="5864797.2599999998"/>
    <n v="4727789.76"/>
    <n v="1137007.5"/>
  </r>
  <r>
    <x v="5"/>
    <s v="Burundi"/>
    <s v="Clothes"/>
    <s v="Offline"/>
    <s v="H"/>
    <s v="1/29/2017"/>
    <n v="315068423"/>
    <s v="2/25/2017"/>
    <n v="4603"/>
    <n v="109.28"/>
    <n v="35.840000000000003"/>
    <n v="503015.84"/>
    <n v="164971.51999999999"/>
    <n v="338044.32"/>
  </r>
  <r>
    <x v="4"/>
    <s v="Fiji"/>
    <s v="Clothes"/>
    <s v="Online"/>
    <s v="M"/>
    <d v="2010-11-08T00:00:00"/>
    <n v="296138036"/>
    <s v="9/23/2010"/>
    <n v="2680"/>
    <n v="109.28"/>
    <n v="35.840000000000003"/>
    <n v="292870.40000000002"/>
    <n v="96051.199999999997"/>
    <n v="196819.20000000001"/>
  </r>
  <r>
    <x v="5"/>
    <s v="Ghana"/>
    <s v="Meat"/>
    <s v="Offline"/>
    <s v="M"/>
    <s v="3/26/2016"/>
    <n v="705193793"/>
    <d v="2016-12-05T00:00:00"/>
    <n v="1369"/>
    <n v="421.89"/>
    <n v="364.69"/>
    <n v="577567.41"/>
    <n v="499260.61"/>
    <n v="78306.8"/>
  </r>
  <r>
    <x v="3"/>
    <s v="Somalia"/>
    <s v="Household"/>
    <s v="Offline"/>
    <s v="L"/>
    <s v="10/21/2010"/>
    <n v="343847024"/>
    <d v="2010-05-11T00:00:00"/>
    <n v="830"/>
    <n v="668.27"/>
    <n v="502.54"/>
    <n v="554664.1"/>
    <n v="417108.2"/>
    <n v="137555.9"/>
  </r>
  <r>
    <x v="5"/>
    <s v="Mauritania"/>
    <s v="Cosmetics"/>
    <s v="Offline"/>
    <s v="H"/>
    <s v="11/23/2013"/>
    <n v="784021556"/>
    <d v="2013-02-12T00:00:00"/>
    <n v="8256"/>
    <n v="437.2"/>
    <n v="263.33"/>
    <n v="3609523.2"/>
    <n v="2174052.48"/>
    <n v="1435470.72"/>
  </r>
  <r>
    <x v="5"/>
    <s v="Mozambique"/>
    <s v="Office Supplies"/>
    <s v="Offline"/>
    <s v="M"/>
    <d v="2015-07-11T00:00:00"/>
    <n v="517953717"/>
    <s v="11/14/2015"/>
    <n v="2870"/>
    <n v="651.21"/>
    <n v="524.96"/>
    <n v="1868972.7"/>
    <n v="1506635.2"/>
    <n v="362337.5"/>
  </r>
  <r>
    <x v="2"/>
    <s v="Bhutan"/>
    <s v="Cosmetics"/>
    <s v="Online"/>
    <s v="L"/>
    <s v="11/13/2011"/>
    <n v="808192336"/>
    <d v="2011-05-12T00:00:00"/>
    <n v="927"/>
    <n v="437.2"/>
    <n v="263.33"/>
    <n v="405284.4"/>
    <n v="244106.91"/>
    <n v="161177.49"/>
  </r>
  <r>
    <x v="4"/>
    <s v="Tonga"/>
    <s v="Clothes"/>
    <s v="Offline"/>
    <s v="H"/>
    <d v="2013-09-05T00:00:00"/>
    <n v="737598741"/>
    <d v="2013-10-06T00:00:00"/>
    <n v="713"/>
    <n v="109.28"/>
    <n v="35.840000000000003"/>
    <n v="77916.639999999999"/>
    <n v="25553.919999999998"/>
    <n v="52362.720000000001"/>
  </r>
  <r>
    <x v="5"/>
    <s v="Guinea"/>
    <s v="Clothes"/>
    <s v="Online"/>
    <s v="M"/>
    <d v="2013-06-11T00:00:00"/>
    <n v="359346759"/>
    <d v="2013-09-11T00:00:00"/>
    <n v="7546"/>
    <n v="109.28"/>
    <n v="35.840000000000003"/>
    <n v="824626.88"/>
    <n v="270448.64000000001"/>
    <n v="554178.24"/>
  </r>
  <r>
    <x v="1"/>
    <s v="Albania"/>
    <s v="Office Supplies"/>
    <s v="Online"/>
    <s v="H"/>
    <s v="7/13/2015"/>
    <n v="246922719"/>
    <s v="7/29/2015"/>
    <n v="8775"/>
    <n v="651.21"/>
    <n v="524.96"/>
    <n v="5714367.75"/>
    <n v="4606524"/>
    <n v="1107843.75"/>
  </r>
  <r>
    <x v="5"/>
    <s v="Lesotho"/>
    <s v="Cereal"/>
    <s v="Online"/>
    <s v="H"/>
    <s v="4/14/2010"/>
    <n v="144125449"/>
    <s v="5/22/2010"/>
    <n v="8778"/>
    <n v="205.7"/>
    <n v="117.11"/>
    <n v="1805634.6"/>
    <n v="1027991.58"/>
    <n v="777643.02"/>
  </r>
  <r>
    <x v="1"/>
    <s v="Slovakia"/>
    <s v="Snacks"/>
    <s v="Offline"/>
    <s v="L"/>
    <d v="2013-10-10T00:00:00"/>
    <n v="315066277"/>
    <s v="11/28/2013"/>
    <n v="3968"/>
    <n v="152.58000000000001"/>
    <n v="97.44"/>
    <n v="605437.43999999994"/>
    <n v="386641.91999999998"/>
    <n v="218795.51999999999"/>
  </r>
  <r>
    <x v="4"/>
    <s v="Papua New Guinea"/>
    <s v="Beverages"/>
    <s v="Online"/>
    <s v="C"/>
    <s v="3/25/2016"/>
    <n v="194169032"/>
    <d v="2016-11-04T00:00:00"/>
    <n v="7786"/>
    <n v="47.45"/>
    <n v="31.79"/>
    <n v="369445.7"/>
    <n v="247516.94"/>
    <n v="121928.76"/>
  </r>
  <r>
    <x v="5"/>
    <s v="Cameroon"/>
    <s v="Cosmetics"/>
    <s v="Offline"/>
    <s v="L"/>
    <d v="2016-07-07T00:00:00"/>
    <n v="636170041"/>
    <d v="2016-04-08T00:00:00"/>
    <n v="5707"/>
    <n v="437.2"/>
    <n v="263.33"/>
    <n v="2495100.4"/>
    <n v="1502824.31"/>
    <n v="992276.09"/>
  </r>
  <r>
    <x v="1"/>
    <s v="Sweden"/>
    <s v="Household"/>
    <s v="Offline"/>
    <s v="C"/>
    <d v="2010-09-10T00:00:00"/>
    <n v="766118133"/>
    <d v="2010-10-10T00:00:00"/>
    <n v="235"/>
    <n v="668.27"/>
    <n v="502.54"/>
    <n v="157043.45000000001"/>
    <n v="118096.9"/>
    <n v="38946.550000000003"/>
  </r>
  <r>
    <x v="3"/>
    <s v="Bahrain"/>
    <s v="Fruits"/>
    <s v="Offline"/>
    <s v="M"/>
    <d v="2011-11-05T00:00:00"/>
    <n v="229374635"/>
    <s v="5/31/2011"/>
    <n v="5906"/>
    <n v="9.33"/>
    <n v="6.92"/>
    <n v="55102.98"/>
    <n v="40869.519999999997"/>
    <n v="14233.46"/>
  </r>
  <r>
    <x v="5"/>
    <s v="Mauritania"/>
    <s v="Household"/>
    <s v="Online"/>
    <s v="C"/>
    <d v="2012-03-10T00:00:00"/>
    <n v="541613376"/>
    <d v="2012-11-10T00:00:00"/>
    <n v="4289"/>
    <n v="668.27"/>
    <n v="502.54"/>
    <n v="2866210.03"/>
    <n v="2155394.06"/>
    <n v="710815.97"/>
  </r>
  <r>
    <x v="1"/>
    <s v="Russia"/>
    <s v="Clothes"/>
    <s v="Offline"/>
    <s v="L"/>
    <d v="2010-09-07T00:00:00"/>
    <n v="138820683"/>
    <d v="2010-09-07T00:00:00"/>
    <n v="8980"/>
    <n v="109.28"/>
    <n v="35.840000000000003"/>
    <n v="981334.4"/>
    <n v="321843.20000000001"/>
    <n v="659491.19999999995"/>
  </r>
  <r>
    <x v="0"/>
    <s v="Belize"/>
    <s v="Baby Food"/>
    <s v="Online"/>
    <s v="H"/>
    <s v="8/16/2012"/>
    <n v="227295386"/>
    <d v="2012-06-09T00:00:00"/>
    <n v="611"/>
    <n v="255.28"/>
    <n v="159.41999999999999"/>
    <n v="155976.07999999999"/>
    <n v="97405.62"/>
    <n v="58570.46"/>
  </r>
  <r>
    <x v="1"/>
    <s v="Luxembourg"/>
    <s v="Cereal"/>
    <s v="Online"/>
    <s v="M"/>
    <s v="12/18/2012"/>
    <n v="733648812"/>
    <s v="12/24/2012"/>
    <n v="1842"/>
    <n v="205.7"/>
    <n v="117.11"/>
    <n v="378899.4"/>
    <n v="215716.62"/>
    <n v="163182.78"/>
  </r>
  <r>
    <x v="5"/>
    <s v="Chad"/>
    <s v="Office Supplies"/>
    <s v="Online"/>
    <s v="H"/>
    <s v="4/16/2010"/>
    <n v="754804790"/>
    <s v="5/20/2010"/>
    <n v="2366"/>
    <n v="651.21"/>
    <n v="524.96"/>
    <n v="1540762.86"/>
    <n v="1242055.3600000001"/>
    <n v="298707.5"/>
  </r>
  <r>
    <x v="2"/>
    <s v="Indonesia"/>
    <s v="Vegetables"/>
    <s v="Offline"/>
    <s v="L"/>
    <s v="12/24/2011"/>
    <n v="807999646"/>
    <d v="2012-03-02T00:00:00"/>
    <n v="3906"/>
    <n v="154.06"/>
    <n v="90.93"/>
    <n v="601758.36"/>
    <n v="355172.58"/>
    <n v="246585.78"/>
  </r>
  <r>
    <x v="1"/>
    <s v="Kosovo"/>
    <s v="Office Supplies"/>
    <s v="Online"/>
    <s v="C"/>
    <s v="2/16/2015"/>
    <n v="580782210"/>
    <s v="2/20/2015"/>
    <n v="5217"/>
    <n v="651.21"/>
    <n v="524.96"/>
    <n v="3397362.57"/>
    <n v="2738716.32"/>
    <n v="658646.25"/>
  </r>
  <r>
    <x v="0"/>
    <s v="Saint Kitts and Nevis "/>
    <s v="Personal Care"/>
    <s v="Offline"/>
    <s v="C"/>
    <s v="4/25/2010"/>
    <n v="281013810"/>
    <d v="2010-10-05T00:00:00"/>
    <n v="7086"/>
    <n v="81.73"/>
    <n v="56.67"/>
    <n v="579138.78"/>
    <n v="401563.62"/>
    <n v="177575.16"/>
  </r>
  <r>
    <x v="2"/>
    <s v="South Korea"/>
    <s v="Fruits"/>
    <s v="Online"/>
    <s v="C"/>
    <d v="2015-11-09T00:00:00"/>
    <n v="186868274"/>
    <d v="2015-12-09T00:00:00"/>
    <n v="7330"/>
    <n v="9.33"/>
    <n v="6.92"/>
    <n v="68388.899999999994"/>
    <n v="50723.6"/>
    <n v="17665.3"/>
  </r>
  <r>
    <x v="5"/>
    <s v="Kenya"/>
    <s v="Vegetables"/>
    <s v="Offline"/>
    <s v="M"/>
    <d v="2012-12-08T00:00:00"/>
    <n v="196831929"/>
    <s v="8/18/2012"/>
    <n v="5797"/>
    <n v="154.06"/>
    <n v="90.93"/>
    <n v="893085.82"/>
    <n v="527121.21"/>
    <n v="365964.61"/>
  </r>
  <r>
    <x v="1"/>
    <s v="Hungary"/>
    <s v="Baby Food"/>
    <s v="Offline"/>
    <s v="C"/>
    <d v="2010-01-01T00:00:00"/>
    <n v="279703605"/>
    <d v="2010-10-01T00:00:00"/>
    <n v="9367"/>
    <n v="255.28"/>
    <n v="159.41999999999999"/>
    <n v="2391207.7599999998"/>
    <n v="1493287.14"/>
    <n v="897920.62"/>
  </r>
  <r>
    <x v="3"/>
    <s v="Turkey"/>
    <s v="Baby Food"/>
    <s v="Offline"/>
    <s v="M"/>
    <d v="2010-09-04T00:00:00"/>
    <n v="924594628"/>
    <d v="2010-12-04T00:00:00"/>
    <n v="6952"/>
    <n v="255.28"/>
    <n v="159.41999999999999"/>
    <n v="1774706.56"/>
    <n v="1108287.8400000001"/>
    <n v="666418.72"/>
  </r>
  <r>
    <x v="3"/>
    <s v="Yemen"/>
    <s v="Office Supplies"/>
    <s v="Online"/>
    <s v="C"/>
    <d v="2013-10-02T00:00:00"/>
    <n v="890928828"/>
    <d v="2013-02-03T00:00:00"/>
    <n v="4494"/>
    <n v="651.21"/>
    <n v="524.96"/>
    <n v="2926537.74"/>
    <n v="2359170.2400000002"/>
    <n v="567367.5"/>
  </r>
  <r>
    <x v="2"/>
    <s v="Tajikistan"/>
    <s v="Clothes"/>
    <s v="Online"/>
    <s v="C"/>
    <s v="9/18/2011"/>
    <n v="358442533"/>
    <s v="9/24/2011"/>
    <n v="9966"/>
    <n v="109.28"/>
    <n v="35.840000000000003"/>
    <n v="1089084.48"/>
    <n v="357181.44"/>
    <n v="731903.04"/>
  </r>
  <r>
    <x v="4"/>
    <s v="Australia"/>
    <s v="Baby Food"/>
    <s v="Online"/>
    <s v="M"/>
    <d v="2011-06-09T00:00:00"/>
    <n v="477184569"/>
    <s v="10/20/2011"/>
    <n v="8373"/>
    <n v="255.28"/>
    <n v="159.41999999999999"/>
    <n v="2137459.44"/>
    <n v="1334823.6599999999"/>
    <n v="802635.78"/>
  </r>
  <r>
    <x v="5"/>
    <s v="Benin"/>
    <s v="Personal Care"/>
    <s v="Online"/>
    <s v="M"/>
    <s v="2/14/2012"/>
    <n v="217516267"/>
    <s v="3/14/2012"/>
    <n v="6752"/>
    <n v="81.73"/>
    <n v="56.67"/>
    <n v="551840.96"/>
    <n v="382635.84"/>
    <n v="169205.12"/>
  </r>
  <r>
    <x v="5"/>
    <s v="Gabon"/>
    <s v="Cereal"/>
    <s v="Online"/>
    <s v="L"/>
    <s v="12/24/2016"/>
    <n v="420111453"/>
    <d v="2017-10-02T00:00:00"/>
    <n v="9170"/>
    <n v="205.7"/>
    <n v="117.11"/>
    <n v="1886269"/>
    <n v="1073898.7"/>
    <n v="812370.3"/>
  </r>
  <r>
    <x v="1"/>
    <s v="Poland"/>
    <s v="Baby Food"/>
    <s v="Offline"/>
    <s v="H"/>
    <s v="2/20/2016"/>
    <n v="645956456"/>
    <d v="2016-08-04T00:00:00"/>
    <n v="1725"/>
    <n v="255.28"/>
    <n v="159.41999999999999"/>
    <n v="440358"/>
    <n v="274999.5"/>
    <n v="165358.5"/>
  </r>
  <r>
    <x v="1"/>
    <s v="Montenegro"/>
    <s v="Clothes"/>
    <s v="Offline"/>
    <s v="M"/>
    <s v="11/19/2011"/>
    <n v="526350104"/>
    <d v="2011-04-12T00:00:00"/>
    <n v="7547"/>
    <n v="109.28"/>
    <n v="35.840000000000003"/>
    <n v="824736.16"/>
    <n v="270484.47999999998"/>
    <n v="554251.68000000005"/>
  </r>
  <r>
    <x v="1"/>
    <s v="Andorra"/>
    <s v="Meat"/>
    <s v="Online"/>
    <s v="L"/>
    <s v="2/26/2015"/>
    <n v="212903726"/>
    <s v="2/26/2015"/>
    <n v="1798"/>
    <n v="421.89"/>
    <n v="364.69"/>
    <n v="758558.22"/>
    <n v="655712.62"/>
    <n v="102845.6"/>
  </r>
  <r>
    <x v="5"/>
    <s v="Zambia"/>
    <s v="Personal Care"/>
    <s v="Offline"/>
    <s v="L"/>
    <d v="2011-12-06T00:00:00"/>
    <n v="827541148"/>
    <s v="7/23/2011"/>
    <n v="6670"/>
    <n v="81.73"/>
    <n v="56.67"/>
    <n v="545139.1"/>
    <n v="377988.9"/>
    <n v="167150.20000000001"/>
  </r>
  <r>
    <x v="3"/>
    <s v="Jordan"/>
    <s v="Cosmetics"/>
    <s v="Online"/>
    <s v="M"/>
    <d v="2010-12-01T00:00:00"/>
    <n v="412498700"/>
    <s v="2/19/2010"/>
    <n v="6387"/>
    <n v="437.2"/>
    <n v="263.33"/>
    <n v="2792396.4"/>
    <n v="1681888.71"/>
    <n v="1110507.69"/>
  </r>
  <r>
    <x v="1"/>
    <s v="Finland"/>
    <s v="Vegetables"/>
    <s v="Online"/>
    <s v="C"/>
    <s v="6/21/2017"/>
    <n v="680325210"/>
    <s v="7/23/2017"/>
    <n v="2203"/>
    <n v="154.06"/>
    <n v="90.93"/>
    <n v="339394.18"/>
    <n v="200318.79"/>
    <n v="139075.39000000001"/>
  </r>
  <r>
    <x v="1"/>
    <s v="Slovenia"/>
    <s v="Beverages"/>
    <s v="Online"/>
    <s v="M"/>
    <d v="2011-03-02T00:00:00"/>
    <n v="263882005"/>
    <s v="2/27/2011"/>
    <n v="7404"/>
    <n v="47.45"/>
    <n v="31.79"/>
    <n v="351319.8"/>
    <n v="235373.16"/>
    <n v="115946.64"/>
  </r>
  <r>
    <x v="3"/>
    <s v="Algeria"/>
    <s v="Cereal"/>
    <s v="Offline"/>
    <s v="M"/>
    <d v="2010-10-12T00:00:00"/>
    <n v="566342914"/>
    <s v="12/17/2010"/>
    <n v="2308"/>
    <n v="205.7"/>
    <n v="117.11"/>
    <n v="474755.6"/>
    <n v="270289.88"/>
    <n v="204465.72"/>
  </r>
  <r>
    <x v="5"/>
    <s v="Equatorial Guinea"/>
    <s v="Meat"/>
    <s v="Online"/>
    <s v="M"/>
    <s v="5/29/2015"/>
    <n v="811194264"/>
    <d v="2015-04-07T00:00:00"/>
    <n v="9264"/>
    <n v="421.89"/>
    <n v="364.69"/>
    <n v="3908388.96"/>
    <n v="3378488.16"/>
    <n v="529900.80000000005"/>
  </r>
  <r>
    <x v="2"/>
    <s v="India"/>
    <s v="Baby Food"/>
    <s v="Online"/>
    <s v="C"/>
    <d v="2012-03-08T00:00:00"/>
    <n v="292234885"/>
    <d v="2012-04-08T00:00:00"/>
    <n v="7651"/>
    <n v="255.28"/>
    <n v="159.41999999999999"/>
    <n v="1953147.28"/>
    <n v="1219722.42"/>
    <n v="733424.86"/>
  </r>
  <r>
    <x v="5"/>
    <s v="Democratic Republic of the Congo"/>
    <s v="Fruits"/>
    <s v="Offline"/>
    <s v="M"/>
    <s v="5/15/2014"/>
    <n v="623576104"/>
    <s v="5/25/2014"/>
    <n v="8881"/>
    <n v="9.33"/>
    <n v="6.92"/>
    <n v="82859.73"/>
    <n v="61456.52"/>
    <n v="21403.21"/>
  </r>
  <r>
    <x v="5"/>
    <s v="Sudan"/>
    <s v="Snacks"/>
    <s v="Online"/>
    <s v="M"/>
    <d v="2014-04-10T00:00:00"/>
    <n v="789641749"/>
    <d v="2014-10-10T00:00:00"/>
    <n v="1396"/>
    <n v="152.58000000000001"/>
    <n v="97.44"/>
    <n v="213001.68"/>
    <n v="136026.23999999999"/>
    <n v="76975.44"/>
  </r>
  <r>
    <x v="1"/>
    <s v="Slovenia"/>
    <s v="Fruits"/>
    <s v="Offline"/>
    <s v="L"/>
    <s v="5/28/2016"/>
    <n v="295168149"/>
    <s v="7/16/2016"/>
    <n v="5669"/>
    <n v="9.33"/>
    <n v="6.92"/>
    <n v="52891.77"/>
    <n v="39229.480000000003"/>
    <n v="13662.29"/>
  </r>
  <r>
    <x v="5"/>
    <s v="Uganda"/>
    <s v="Cereal"/>
    <s v="Offline"/>
    <s v="M"/>
    <d v="2011-03-09T00:00:00"/>
    <n v="515204131"/>
    <d v="2011-04-10T00:00:00"/>
    <n v="9206"/>
    <n v="205.7"/>
    <n v="117.11"/>
    <n v="1893674.2"/>
    <n v="1078114.6599999999"/>
    <n v="815559.54"/>
  </r>
  <r>
    <x v="1"/>
    <s v="Greece"/>
    <s v="Meat"/>
    <s v="Offline"/>
    <s v="C"/>
    <d v="2016-12-09T00:00:00"/>
    <n v="645111024"/>
    <s v="9/26/2016"/>
    <n v="1543"/>
    <n v="421.89"/>
    <n v="364.69"/>
    <n v="650976.27"/>
    <n v="562716.67000000004"/>
    <n v="88259.6"/>
  </r>
  <r>
    <x v="1"/>
    <s v="Switzerland"/>
    <s v="Baby Food"/>
    <s v="Offline"/>
    <s v="M"/>
    <d v="2014-11-08T00:00:00"/>
    <n v="850562655"/>
    <s v="9/25/2014"/>
    <n v="9246"/>
    <n v="255.28"/>
    <n v="159.41999999999999"/>
    <n v="2360318.88"/>
    <n v="1473997.32"/>
    <n v="886321.56"/>
  </r>
  <r>
    <x v="5"/>
    <s v="South Sudan"/>
    <s v="Personal Care"/>
    <s v="Offline"/>
    <s v="L"/>
    <s v="4/26/2012"/>
    <n v="917545354"/>
    <s v="5/30/2012"/>
    <n v="915"/>
    <n v="81.73"/>
    <n v="56.67"/>
    <n v="74782.95"/>
    <n v="51853.05"/>
    <n v="22929.9"/>
  </r>
  <r>
    <x v="1"/>
    <s v="Ireland"/>
    <s v="Personal Care"/>
    <s v="Offline"/>
    <s v="L"/>
    <d v="2014-05-01T00:00:00"/>
    <n v="702357947"/>
    <d v="2014-04-02T00:00:00"/>
    <n v="2179"/>
    <n v="81.73"/>
    <n v="56.67"/>
    <n v="178089.67"/>
    <n v="123483.93"/>
    <n v="54605.74"/>
  </r>
  <r>
    <x v="5"/>
    <s v="Niger"/>
    <s v="Baby Food"/>
    <s v="Online"/>
    <s v="H"/>
    <s v="5/17/2017"/>
    <n v="581611764"/>
    <d v="2017-02-07T00:00:00"/>
    <n v="701"/>
    <n v="255.28"/>
    <n v="159.41999999999999"/>
    <n v="178951.28"/>
    <n v="111753.42"/>
    <n v="67197.86"/>
  </r>
  <r>
    <x v="1"/>
    <s v="Montenegro"/>
    <s v="Clothes"/>
    <s v="Online"/>
    <s v="L"/>
    <s v="5/13/2017"/>
    <n v="102230632"/>
    <s v="6/13/2017"/>
    <n v="1171"/>
    <n v="109.28"/>
    <n v="35.840000000000003"/>
    <n v="127966.88"/>
    <n v="41968.639999999999"/>
    <n v="85998.24"/>
  </r>
  <r>
    <x v="1"/>
    <s v="Armenia"/>
    <s v="Clothes"/>
    <s v="Online"/>
    <s v="L"/>
    <d v="2010-03-01T00:00:00"/>
    <n v="231450879"/>
    <s v="2/22/2010"/>
    <n v="313"/>
    <n v="109.28"/>
    <n v="35.840000000000003"/>
    <n v="34204.639999999999"/>
    <n v="11217.92"/>
    <n v="22986.720000000001"/>
  </r>
  <r>
    <x v="5"/>
    <s v="Seychelles "/>
    <s v="Beverages"/>
    <s v="Online"/>
    <s v="L"/>
    <s v="4/29/2011"/>
    <n v="206821334"/>
    <d v="2011-03-05T00:00:00"/>
    <n v="1884"/>
    <n v="47.45"/>
    <n v="31.79"/>
    <n v="89395.8"/>
    <n v="59892.36"/>
    <n v="29503.439999999999"/>
  </r>
  <r>
    <x v="6"/>
    <s v="Canada"/>
    <s v="Beverages"/>
    <s v="Offline"/>
    <s v="L"/>
    <d v="2015-08-09T00:00:00"/>
    <n v="686203324"/>
    <s v="9/18/2015"/>
    <n v="1667"/>
    <n v="47.45"/>
    <n v="31.79"/>
    <n v="79099.149999999994"/>
    <n v="52993.93"/>
    <n v="26105.22"/>
  </r>
  <r>
    <x v="2"/>
    <s v="Malaysia"/>
    <s v="Office Supplies"/>
    <s v="Online"/>
    <s v="L"/>
    <s v="9/27/2014"/>
    <n v="597770678"/>
    <s v="10/19/2014"/>
    <n v="2482"/>
    <n v="651.21"/>
    <n v="524.96"/>
    <n v="1616303.22"/>
    <n v="1302950.72"/>
    <n v="313352.5"/>
  </r>
  <r>
    <x v="2"/>
    <s v="Thailand"/>
    <s v="Baby Food"/>
    <s v="Offline"/>
    <s v="C"/>
    <d v="2016-03-05T00:00:00"/>
    <n v="290009725"/>
    <d v="2016-07-05T00:00:00"/>
    <n v="9177"/>
    <n v="255.28"/>
    <n v="159.41999999999999"/>
    <n v="2342704.56"/>
    <n v="1462997.34"/>
    <n v="879707.22"/>
  </r>
  <r>
    <x v="5"/>
    <s v="Ethiopia"/>
    <s v="Fruits"/>
    <s v="Online"/>
    <s v="H"/>
    <s v="6/22/2010"/>
    <n v="181719291"/>
    <d v="2010-05-07T00:00:00"/>
    <n v="3631"/>
    <n v="9.33"/>
    <n v="6.92"/>
    <n v="33877.230000000003"/>
    <n v="25126.52"/>
    <n v="8750.7099999999991"/>
  </r>
  <r>
    <x v="5"/>
    <s v="South Africa"/>
    <s v="Meat"/>
    <s v="Online"/>
    <s v="L"/>
    <d v="2010-03-12T00:00:00"/>
    <n v="312010705"/>
    <s v="12/21/2010"/>
    <n v="9756"/>
    <n v="421.89"/>
    <n v="364.69"/>
    <n v="4115958.84"/>
    <n v="3557915.64"/>
    <n v="558043.19999999995"/>
  </r>
  <r>
    <x v="5"/>
    <s v="Mauritius "/>
    <s v="Fruits"/>
    <s v="Online"/>
    <s v="M"/>
    <d v="2013-04-08T00:00:00"/>
    <n v="790307796"/>
    <s v="8/30/2013"/>
    <n v="8494"/>
    <n v="9.33"/>
    <n v="6.92"/>
    <n v="79249.02"/>
    <n v="58778.48"/>
    <n v="20470.54"/>
  </r>
  <r>
    <x v="5"/>
    <s v="Mauritania"/>
    <s v="Meat"/>
    <s v="Offline"/>
    <s v="C"/>
    <s v="6/14/2015"/>
    <n v="446346890"/>
    <s v="6/18/2015"/>
    <n v="2819"/>
    <n v="421.89"/>
    <n v="364.69"/>
    <n v="1189307.9099999999"/>
    <n v="1028061.11"/>
    <n v="161246.79999999999"/>
  </r>
  <r>
    <x v="1"/>
    <s v="Poland"/>
    <s v="Clothes"/>
    <s v="Online"/>
    <s v="M"/>
    <d v="2010-01-10T00:00:00"/>
    <n v="880176818"/>
    <s v="10/15/2010"/>
    <n v="2735"/>
    <n v="109.28"/>
    <n v="35.840000000000003"/>
    <n v="298880.8"/>
    <n v="98022.399999999994"/>
    <n v="200858.4"/>
  </r>
  <r>
    <x v="3"/>
    <s v="Tunisia "/>
    <s v="Baby Food"/>
    <s v="Offline"/>
    <s v="M"/>
    <d v="2017-09-07T00:00:00"/>
    <n v="612158906"/>
    <d v="2017-04-08T00:00:00"/>
    <n v="279"/>
    <n v="255.28"/>
    <n v="159.41999999999999"/>
    <n v="71223.12"/>
    <n v="44478.18"/>
    <n v="26744.94"/>
  </r>
  <r>
    <x v="2"/>
    <s v="Mongolia"/>
    <s v="Fruits"/>
    <s v="Online"/>
    <s v="C"/>
    <s v="3/20/2013"/>
    <n v="932966983"/>
    <s v="3/20/2013"/>
    <n v="4518"/>
    <n v="9.33"/>
    <n v="6.92"/>
    <n v="42152.94"/>
    <n v="31264.560000000001"/>
    <n v="10888.38"/>
  </r>
  <r>
    <x v="5"/>
    <s v="Equatorial Guinea"/>
    <s v="Meat"/>
    <s v="Online"/>
    <s v="H"/>
    <s v="3/18/2014"/>
    <n v="953587377"/>
    <s v="3/27/2014"/>
    <n v="6550"/>
    <n v="421.89"/>
    <n v="364.69"/>
    <n v="2763379.5"/>
    <n v="2388719.5"/>
    <n v="374660"/>
  </r>
  <r>
    <x v="1"/>
    <s v="Italy"/>
    <s v="Clothes"/>
    <s v="Online"/>
    <s v="H"/>
    <d v="2011-10-06T00:00:00"/>
    <n v="755318915"/>
    <s v="6/25/2011"/>
    <n v="4507"/>
    <n v="109.28"/>
    <n v="35.840000000000003"/>
    <n v="492524.96"/>
    <n v="161530.88"/>
    <n v="330994.08"/>
  </r>
  <r>
    <x v="2"/>
    <s v="Maldives"/>
    <s v="Personal Care"/>
    <s v="Online"/>
    <s v="C"/>
    <s v="1/20/2012"/>
    <n v="939772927"/>
    <d v="2012-03-03T00:00:00"/>
    <n v="8548"/>
    <n v="81.73"/>
    <n v="56.67"/>
    <n v="698628.04"/>
    <n v="484415.16"/>
    <n v="214212.88"/>
  </r>
  <r>
    <x v="1"/>
    <s v="Andorra"/>
    <s v="Beverages"/>
    <s v="Online"/>
    <s v="H"/>
    <s v="11/25/2012"/>
    <n v="378873240"/>
    <s v="11/28/2012"/>
    <n v="5866"/>
    <n v="47.45"/>
    <n v="31.79"/>
    <n v="278341.7"/>
    <n v="186480.14"/>
    <n v="91861.56"/>
  </r>
  <r>
    <x v="1"/>
    <s v="Cyprus"/>
    <s v="Fruits"/>
    <s v="Online"/>
    <s v="L"/>
    <s v="11/27/2011"/>
    <n v="264856183"/>
    <s v="12/23/2011"/>
    <n v="5685"/>
    <n v="9.33"/>
    <n v="6.92"/>
    <n v="53041.05"/>
    <n v="39340.199999999997"/>
    <n v="13700.85"/>
  </r>
  <r>
    <x v="4"/>
    <s v="Marshall Islands"/>
    <s v="Vegetables"/>
    <s v="Offline"/>
    <s v="C"/>
    <d v="2011-01-11T00:00:00"/>
    <n v="960270583"/>
    <s v="11/24/2011"/>
    <n v="4260"/>
    <n v="154.06"/>
    <n v="90.93"/>
    <n v="656295.6"/>
    <n v="387361.8"/>
    <n v="268933.8"/>
  </r>
  <r>
    <x v="5"/>
    <s v="Ghana"/>
    <s v="Office Supplies"/>
    <s v="Offline"/>
    <s v="L"/>
    <d v="2016-10-07T00:00:00"/>
    <n v="647977769"/>
    <d v="2016-03-08T00:00:00"/>
    <n v="9876"/>
    <n v="651.21"/>
    <n v="524.96"/>
    <n v="6431349.96"/>
    <n v="5184504.96"/>
    <n v="1246845"/>
  </r>
  <r>
    <x v="5"/>
    <s v="Malawi"/>
    <s v="Fruits"/>
    <s v="Offline"/>
    <s v="H"/>
    <d v="2011-09-12T00:00:00"/>
    <n v="281151568"/>
    <s v="1/22/2012"/>
    <n v="7852"/>
    <n v="9.33"/>
    <n v="6.92"/>
    <n v="73259.16"/>
    <n v="54335.839999999997"/>
    <n v="18923.32"/>
  </r>
  <r>
    <x v="4"/>
    <s v="Palau"/>
    <s v="Snacks"/>
    <s v="Online"/>
    <s v="H"/>
    <s v="5/27/2015"/>
    <n v="433278310"/>
    <d v="2015-08-06T00:00:00"/>
    <n v="5535"/>
    <n v="152.58000000000001"/>
    <n v="97.44"/>
    <n v="844530.3"/>
    <n v="539330.4"/>
    <n v="305199.90000000002"/>
  </r>
  <r>
    <x v="6"/>
    <s v="Greenland"/>
    <s v="Clothes"/>
    <s v="Offline"/>
    <s v="M"/>
    <s v="3/25/2011"/>
    <n v="848156821"/>
    <d v="2011-11-05T00:00:00"/>
    <n v="7306"/>
    <n v="109.28"/>
    <n v="35.840000000000003"/>
    <n v="798399.68"/>
    <n v="261847.04000000001"/>
    <n v="536552.64"/>
  </r>
  <r>
    <x v="5"/>
    <s v="Republic of the Congo"/>
    <s v="Snacks"/>
    <s v="Offline"/>
    <s v="M"/>
    <s v="1/30/2015"/>
    <n v="889898431"/>
    <s v="2/28/2015"/>
    <n v="9576"/>
    <n v="152.58000000000001"/>
    <n v="97.44"/>
    <n v="1461106.08"/>
    <n v="933085.44"/>
    <n v="528020.64"/>
  </r>
  <r>
    <x v="2"/>
    <s v="Laos"/>
    <s v="Personal Care"/>
    <s v="Online"/>
    <s v="C"/>
    <d v="2017-10-03T00:00:00"/>
    <n v="892926967"/>
    <d v="2017-07-04T00:00:00"/>
    <n v="5787"/>
    <n v="81.73"/>
    <n v="56.67"/>
    <n v="472971.51"/>
    <n v="327949.28999999998"/>
    <n v="145022.22"/>
  </r>
  <r>
    <x v="2"/>
    <s v="Laos"/>
    <s v="Household"/>
    <s v="Online"/>
    <s v="C"/>
    <d v="2016-01-06T00:00:00"/>
    <n v="811978757"/>
    <s v="6/26/2016"/>
    <n v="1413"/>
    <n v="668.27"/>
    <n v="502.54"/>
    <n v="944265.51"/>
    <n v="710089.02"/>
    <n v="234176.49"/>
  </r>
  <r>
    <x v="0"/>
    <s v="Belize"/>
    <s v="Fruits"/>
    <s v="Offline"/>
    <s v="C"/>
    <s v="6/24/2016"/>
    <n v="672102630"/>
    <d v="2016-07-08T00:00:00"/>
    <n v="8959"/>
    <n v="9.33"/>
    <n v="6.92"/>
    <n v="83587.47"/>
    <n v="61996.28"/>
    <n v="21591.19"/>
  </r>
  <r>
    <x v="1"/>
    <s v="Czech Republic"/>
    <s v="Cereal"/>
    <s v="Online"/>
    <s v="C"/>
    <d v="2014-02-08T00:00:00"/>
    <n v="118659913"/>
    <s v="8/17/2014"/>
    <n v="2960"/>
    <n v="205.7"/>
    <n v="117.11"/>
    <n v="608872"/>
    <n v="346645.6"/>
    <n v="262226.40000000002"/>
  </r>
  <r>
    <x v="1"/>
    <s v="San Marino"/>
    <s v="Baby Food"/>
    <s v="Online"/>
    <s v="L"/>
    <s v="10/18/2012"/>
    <n v="667324435"/>
    <s v="10/31/2012"/>
    <n v="4985"/>
    <n v="255.28"/>
    <n v="159.41999999999999"/>
    <n v="1272570.8"/>
    <n v="794708.7"/>
    <n v="477862.1"/>
  </r>
  <r>
    <x v="2"/>
    <s v="Kazakhstan"/>
    <s v="Clothes"/>
    <s v="Online"/>
    <s v="C"/>
    <s v="3/28/2014"/>
    <n v="754082524"/>
    <s v="4/21/2014"/>
    <n v="8631"/>
    <n v="109.28"/>
    <n v="35.840000000000003"/>
    <n v="943195.68"/>
    <n v="309335.03999999998"/>
    <n v="633860.64"/>
  </r>
  <r>
    <x v="1"/>
    <s v="Poland"/>
    <s v="Baby Food"/>
    <s v="Online"/>
    <s v="C"/>
    <s v="9/26/2011"/>
    <n v="685233008"/>
    <s v="10/17/2011"/>
    <n v="4529"/>
    <n v="255.28"/>
    <n v="159.41999999999999"/>
    <n v="1156163.1200000001"/>
    <n v="722013.18"/>
    <n v="434149.94"/>
  </r>
  <r>
    <x v="2"/>
    <s v="Cambodia"/>
    <s v="Cosmetics"/>
    <s v="Offline"/>
    <s v="C"/>
    <d v="2014-01-05T00:00:00"/>
    <n v="387387216"/>
    <d v="2014-11-06T00:00:00"/>
    <n v="5341"/>
    <n v="437.2"/>
    <n v="263.33"/>
    <n v="2335085.2000000002"/>
    <n v="1406445.53"/>
    <n v="928639.67"/>
  </r>
  <r>
    <x v="1"/>
    <s v="Monaco"/>
    <s v="Beverages"/>
    <s v="Online"/>
    <s v="H"/>
    <s v="3/14/2013"/>
    <n v="757468974"/>
    <s v="3/23/2013"/>
    <n v="757"/>
    <n v="47.45"/>
    <n v="31.79"/>
    <n v="35919.65"/>
    <n v="24065.03"/>
    <n v="11854.62"/>
  </r>
  <r>
    <x v="1"/>
    <s v="Belgium"/>
    <s v="Meat"/>
    <s v="Online"/>
    <s v="H"/>
    <s v="9/23/2015"/>
    <n v="512714612"/>
    <d v="2015-09-10T00:00:00"/>
    <n v="2502"/>
    <n v="421.89"/>
    <n v="364.69"/>
    <n v="1055568.78"/>
    <n v="912454.38"/>
    <n v="143114.4"/>
  </r>
  <r>
    <x v="0"/>
    <s v="Dominican Republic"/>
    <s v="Vegetables"/>
    <s v="Online"/>
    <s v="H"/>
    <d v="2011-06-06T00:00:00"/>
    <n v="240672957"/>
    <s v="7/14/2011"/>
    <n v="9331"/>
    <n v="154.06"/>
    <n v="90.93"/>
    <n v="1437533.86"/>
    <n v="848467.83"/>
    <n v="589066.03"/>
  </r>
  <r>
    <x v="3"/>
    <s v="Jordan"/>
    <s v="Personal Care"/>
    <s v="Online"/>
    <s v="L"/>
    <d v="2013-08-08T00:00:00"/>
    <n v="149205338"/>
    <s v="8/21/2013"/>
    <n v="2030"/>
    <n v="81.73"/>
    <n v="56.67"/>
    <n v="165911.9"/>
    <n v="115040.1"/>
    <n v="50871.8"/>
  </r>
  <r>
    <x v="1"/>
    <s v="Georgia"/>
    <s v="Meat"/>
    <s v="Offline"/>
    <s v="M"/>
    <d v="2010-11-02T00:00:00"/>
    <n v="516485583"/>
    <d v="2010-06-03T00:00:00"/>
    <n v="8416"/>
    <n v="421.89"/>
    <n v="364.69"/>
    <n v="3550626.24"/>
    <n v="3069231.04"/>
    <n v="481395.20000000001"/>
  </r>
  <r>
    <x v="3"/>
    <s v="Somalia"/>
    <s v="Baby Food"/>
    <s v="Offline"/>
    <s v="L"/>
    <d v="2012-09-08T00:00:00"/>
    <n v="341000020"/>
    <s v="8/18/2012"/>
    <n v="8339"/>
    <n v="255.28"/>
    <n v="159.41999999999999"/>
    <n v="2128779.92"/>
    <n v="1329403.3799999999"/>
    <n v="799376.54"/>
  </r>
  <r>
    <x v="1"/>
    <s v="Kosovo"/>
    <s v="Vegetables"/>
    <s v="Online"/>
    <s v="H"/>
    <d v="2014-07-11T00:00:00"/>
    <n v="491547477"/>
    <d v="2014-07-11T00:00:00"/>
    <n v="8676"/>
    <n v="154.06"/>
    <n v="90.93"/>
    <n v="1336624.56"/>
    <n v="788908.68"/>
    <n v="547715.88"/>
  </r>
  <r>
    <x v="3"/>
    <s v="Syria"/>
    <s v="Vegetables"/>
    <s v="Offline"/>
    <s v="M"/>
    <d v="2011-11-09T00:00:00"/>
    <n v="557239282"/>
    <s v="10/22/2011"/>
    <n v="8341"/>
    <n v="154.06"/>
    <n v="90.93"/>
    <n v="1285014.46"/>
    <n v="758447.13"/>
    <n v="526567.32999999996"/>
  </r>
  <r>
    <x v="0"/>
    <s v="Panama"/>
    <s v="Snacks"/>
    <s v="Offline"/>
    <s v="C"/>
    <s v="5/27/2010"/>
    <n v="197499263"/>
    <d v="2010-08-06T00:00:00"/>
    <n v="3276"/>
    <n v="152.58000000000001"/>
    <n v="97.44"/>
    <n v="499852.08"/>
    <n v="319213.44"/>
    <n v="180638.64"/>
  </r>
  <r>
    <x v="3"/>
    <s v="Yemen"/>
    <s v="Personal Care"/>
    <s v="Offline"/>
    <s v="L"/>
    <s v="9/25/2011"/>
    <n v="492063748"/>
    <d v="2011-05-10T00:00:00"/>
    <n v="1453"/>
    <n v="81.73"/>
    <n v="56.67"/>
    <n v="118753.69"/>
    <n v="82341.509999999995"/>
    <n v="36412.18"/>
  </r>
  <r>
    <x v="3"/>
    <s v="Turkey"/>
    <s v="Vegetables"/>
    <s v="Online"/>
    <s v="H"/>
    <s v="9/20/2013"/>
    <n v="790981566"/>
    <d v="2013-08-10T00:00:00"/>
    <n v="7878"/>
    <n v="154.06"/>
    <n v="90.93"/>
    <n v="1213684.68"/>
    <n v="716346.54"/>
    <n v="497338.14"/>
  </r>
  <r>
    <x v="0"/>
    <s v="El Salvador"/>
    <s v="Household"/>
    <s v="Offline"/>
    <s v="C"/>
    <s v="6/20/2015"/>
    <n v="964614045"/>
    <s v="7/21/2015"/>
    <n v="9587"/>
    <n v="668.27"/>
    <n v="502.54"/>
    <n v="6406704.4900000002"/>
    <n v="4817850.9800000004"/>
    <n v="1588853.51"/>
  </r>
  <r>
    <x v="5"/>
    <s v="Burundi"/>
    <s v="Fruits"/>
    <s v="Offline"/>
    <s v="H"/>
    <d v="2013-10-05T00:00:00"/>
    <n v="953635013"/>
    <s v="6/14/2013"/>
    <n v="647"/>
    <n v="9.33"/>
    <n v="6.92"/>
    <n v="6036.51"/>
    <n v="4477.24"/>
    <n v="1559.27"/>
  </r>
  <r>
    <x v="5"/>
    <s v="Liberia"/>
    <s v="Vegetables"/>
    <s v="Offline"/>
    <s v="L"/>
    <s v="5/26/2012"/>
    <n v="319030797"/>
    <s v="6/23/2012"/>
    <n v="7157"/>
    <n v="154.06"/>
    <n v="90.93"/>
    <n v="1102607.42"/>
    <n v="650786.01"/>
    <n v="451821.41"/>
  </r>
  <r>
    <x v="0"/>
    <s v="Dominican Republic"/>
    <s v="Meat"/>
    <s v="Online"/>
    <s v="C"/>
    <s v="11/24/2014"/>
    <n v="492100226"/>
    <d v="2015-11-01T00:00:00"/>
    <n v="2247"/>
    <n v="421.89"/>
    <n v="364.69"/>
    <n v="947986.83"/>
    <n v="819458.43"/>
    <n v="128528.4"/>
  </r>
  <r>
    <x v="0"/>
    <s v="Saint Vincent and the Grenadines"/>
    <s v="Beverages"/>
    <s v="Offline"/>
    <s v="M"/>
    <s v="8/21/2016"/>
    <n v="724454629"/>
    <d v="2016-02-10T00:00:00"/>
    <n v="1079"/>
    <n v="47.45"/>
    <n v="31.79"/>
    <n v="51198.55"/>
    <n v="34301.410000000003"/>
    <n v="16897.14"/>
  </r>
  <r>
    <x v="5"/>
    <s v="Zambia"/>
    <s v="Beverages"/>
    <s v="Offline"/>
    <s v="M"/>
    <d v="2010-09-09T00:00:00"/>
    <n v="338017833"/>
    <s v="10/28/2010"/>
    <n v="5843"/>
    <n v="47.45"/>
    <n v="31.79"/>
    <n v="277250.34999999998"/>
    <n v="185748.97"/>
    <n v="91501.38"/>
  </r>
  <r>
    <x v="3"/>
    <s v="Oman"/>
    <s v="Personal Care"/>
    <s v="Online"/>
    <s v="M"/>
    <s v="11/24/2013"/>
    <n v="975026166"/>
    <s v="12/15/2013"/>
    <n v="765"/>
    <n v="81.73"/>
    <n v="56.67"/>
    <n v="62523.45"/>
    <n v="43352.55"/>
    <n v="19170.900000000001"/>
  </r>
  <r>
    <x v="5"/>
    <s v="Mali"/>
    <s v="Cereal"/>
    <s v="Online"/>
    <s v="C"/>
    <d v="2010-07-02T00:00:00"/>
    <n v="748028457"/>
    <s v="3/26/2010"/>
    <n v="7098"/>
    <n v="205.7"/>
    <n v="117.11"/>
    <n v="1460058.6"/>
    <n v="831246.78"/>
    <n v="628811.81999999995"/>
  </r>
  <r>
    <x v="5"/>
    <s v="Malawi"/>
    <s v="Fruits"/>
    <s v="Online"/>
    <s v="L"/>
    <d v="2014-02-07T00:00:00"/>
    <n v="989886033"/>
    <d v="2014-01-08T00:00:00"/>
    <n v="8129"/>
    <n v="9.33"/>
    <n v="6.92"/>
    <n v="75843.570000000007"/>
    <n v="56252.68"/>
    <n v="19590.89"/>
  </r>
  <r>
    <x v="5"/>
    <s v="Democratic Republic of the Congo"/>
    <s v="Cosmetics"/>
    <s v="Offline"/>
    <s v="C"/>
    <d v="2016-02-11T00:00:00"/>
    <n v="403772723"/>
    <s v="11/13/2016"/>
    <n v="4176"/>
    <n v="437.2"/>
    <n v="263.33"/>
    <n v="1825747.2"/>
    <n v="1099666.08"/>
    <n v="726081.12"/>
  </r>
  <r>
    <x v="4"/>
    <s v="Nauru"/>
    <s v="Meat"/>
    <s v="Online"/>
    <s v="H"/>
    <d v="2015-08-07T00:00:00"/>
    <n v="913174855"/>
    <s v="8/23/2015"/>
    <n v="7587"/>
    <n v="421.89"/>
    <n v="364.69"/>
    <n v="3200879.43"/>
    <n v="2766903.03"/>
    <n v="433976.4"/>
  </r>
  <r>
    <x v="1"/>
    <s v="Bulgaria"/>
    <s v="Fruits"/>
    <s v="Offline"/>
    <s v="C"/>
    <d v="2013-08-10T00:00:00"/>
    <n v="911891257"/>
    <d v="2013-01-11T00:00:00"/>
    <n v="7742"/>
    <n v="9.33"/>
    <n v="6.92"/>
    <n v="72232.86"/>
    <n v="53574.64"/>
    <n v="18658.22"/>
  </r>
  <r>
    <x v="1"/>
    <s v="Russia"/>
    <s v="Snacks"/>
    <s v="Offline"/>
    <s v="L"/>
    <s v="11/29/2015"/>
    <n v="214033257"/>
    <d v="2015-03-12T00:00:00"/>
    <n v="6052"/>
    <n v="152.58000000000001"/>
    <n v="97.44"/>
    <n v="923414.16"/>
    <n v="589706.88"/>
    <n v="333707.28000000003"/>
  </r>
  <r>
    <x v="1"/>
    <s v="Ukraine"/>
    <s v="Cereal"/>
    <s v="Online"/>
    <s v="H"/>
    <s v="12/14/2015"/>
    <n v="504024684"/>
    <s v="1/14/2016"/>
    <n v="959"/>
    <n v="205.7"/>
    <n v="117.11"/>
    <n v="197266.3"/>
    <n v="112308.49"/>
    <n v="84957.81"/>
  </r>
  <r>
    <x v="1"/>
    <s v="Lithuania"/>
    <s v="Vegetables"/>
    <s v="Online"/>
    <s v="L"/>
    <s v="7/17/2016"/>
    <n v="386601865"/>
    <s v="7/26/2016"/>
    <n v="2938"/>
    <n v="154.06"/>
    <n v="90.93"/>
    <n v="452628.28"/>
    <n v="267152.34000000003"/>
    <n v="185475.94"/>
  </r>
  <r>
    <x v="1"/>
    <s v="Sweden"/>
    <s v="Cosmetics"/>
    <s v="Offline"/>
    <s v="C"/>
    <s v="1/16/2010"/>
    <n v="336813628"/>
    <s v="2/23/2010"/>
    <n v="9492"/>
    <n v="437.2"/>
    <n v="263.33"/>
    <n v="4149902.4"/>
    <n v="2499528.36"/>
    <n v="1650374.04"/>
  </r>
  <r>
    <x v="2"/>
    <s v="Kyrgyzstan"/>
    <s v="Beverages"/>
    <s v="Offline"/>
    <s v="C"/>
    <d v="2012-04-08T00:00:00"/>
    <n v="450021302"/>
    <s v="8/27/2012"/>
    <n v="159"/>
    <n v="47.45"/>
    <n v="31.79"/>
    <n v="7544.55"/>
    <n v="5054.6099999999997"/>
    <n v="2489.94"/>
  </r>
  <r>
    <x v="5"/>
    <s v="Chad"/>
    <s v="Beverages"/>
    <s v="Online"/>
    <s v="L"/>
    <s v="11/21/2014"/>
    <n v="891898715"/>
    <d v="2014-05-12T00:00:00"/>
    <n v="1505"/>
    <n v="47.45"/>
    <n v="31.79"/>
    <n v="71412.25"/>
    <n v="47843.95"/>
    <n v="23568.3"/>
  </r>
  <r>
    <x v="4"/>
    <s v="Solomon Islands"/>
    <s v="Fruits"/>
    <s v="Offline"/>
    <s v="L"/>
    <d v="2016-09-04T00:00:00"/>
    <n v="548432195"/>
    <d v="2016-01-05T00:00:00"/>
    <n v="2129"/>
    <n v="9.33"/>
    <n v="6.92"/>
    <n v="19863.57"/>
    <n v="14732.68"/>
    <n v="5130.8900000000003"/>
  </r>
  <r>
    <x v="5"/>
    <s v="Madagascar"/>
    <s v="Fruits"/>
    <s v="Offline"/>
    <s v="H"/>
    <d v="2013-11-05T00:00:00"/>
    <n v="175920569"/>
    <s v="6/24/2013"/>
    <n v="7661"/>
    <n v="9.33"/>
    <n v="6.92"/>
    <n v="71477.13"/>
    <n v="53014.12"/>
    <n v="18463.009999999998"/>
  </r>
  <r>
    <x v="4"/>
    <s v="Papua New Guinea"/>
    <s v="Clothes"/>
    <s v="Offline"/>
    <s v="H"/>
    <s v="5/28/2011"/>
    <n v="150975167"/>
    <d v="2011-11-07T00:00:00"/>
    <n v="5762"/>
    <n v="109.28"/>
    <n v="35.840000000000003"/>
    <n v="629671.36"/>
    <n v="206510.07999999999"/>
    <n v="423161.28"/>
  </r>
  <r>
    <x v="5"/>
    <s v="Central African Republic"/>
    <s v="Beverages"/>
    <s v="Offline"/>
    <s v="M"/>
    <d v="2012-09-12T00:00:00"/>
    <n v="920519816"/>
    <s v="12/30/2012"/>
    <n v="1125"/>
    <n v="47.45"/>
    <n v="31.79"/>
    <n v="53381.25"/>
    <n v="35763.75"/>
    <n v="17617.5"/>
  </r>
  <r>
    <x v="2"/>
    <s v="Maldives"/>
    <s v="Meat"/>
    <s v="Online"/>
    <s v="C"/>
    <s v="12/28/2013"/>
    <n v="751790845"/>
    <d v="2014-06-02T00:00:00"/>
    <n v="472"/>
    <n v="421.89"/>
    <n v="364.69"/>
    <n v="199132.08"/>
    <n v="172133.68"/>
    <n v="26998.400000000001"/>
  </r>
  <r>
    <x v="0"/>
    <s v="Dominican Republic"/>
    <s v="Meat"/>
    <s v="Online"/>
    <s v="M"/>
    <d v="2015-08-06T00:00:00"/>
    <n v="682337081"/>
    <d v="2015-10-06T00:00:00"/>
    <n v="7560"/>
    <n v="421.89"/>
    <n v="364.69"/>
    <n v="3189488.4"/>
    <n v="2757056.4"/>
    <n v="432432"/>
  </r>
  <r>
    <x v="0"/>
    <s v="Haiti"/>
    <s v="Meat"/>
    <s v="Online"/>
    <s v="H"/>
    <s v="8/22/2011"/>
    <n v="470019853"/>
    <s v="9/14/2011"/>
    <n v="8174"/>
    <n v="421.89"/>
    <n v="364.69"/>
    <n v="3448528.86"/>
    <n v="2980976.06"/>
    <n v="467552.8"/>
  </r>
  <r>
    <x v="5"/>
    <s v="Togo"/>
    <s v="Fruits"/>
    <s v="Offline"/>
    <s v="H"/>
    <s v="12/19/2016"/>
    <n v="843012988"/>
    <s v="12/26/2016"/>
    <n v="5132"/>
    <n v="9.33"/>
    <n v="6.92"/>
    <n v="47881.56"/>
    <n v="35513.440000000002"/>
    <n v="12368.12"/>
  </r>
  <r>
    <x v="2"/>
    <s v="Taiwan"/>
    <s v="Vegetables"/>
    <s v="Offline"/>
    <s v="C"/>
    <s v="7/25/2016"/>
    <n v="349802815"/>
    <s v="8/15/2016"/>
    <n v="3281"/>
    <n v="154.06"/>
    <n v="90.93"/>
    <n v="505470.86"/>
    <n v="298341.33"/>
    <n v="207129.53"/>
  </r>
  <r>
    <x v="1"/>
    <s v="Belgium"/>
    <s v="Fruits"/>
    <s v="Online"/>
    <s v="C"/>
    <s v="7/24/2015"/>
    <n v="309188163"/>
    <d v="2015-12-08T00:00:00"/>
    <n v="4503"/>
    <n v="9.33"/>
    <n v="6.92"/>
    <n v="42012.99"/>
    <n v="31160.76"/>
    <n v="10852.23"/>
  </r>
  <r>
    <x v="1"/>
    <s v="Kosovo"/>
    <s v="Office Supplies"/>
    <s v="Offline"/>
    <s v="M"/>
    <d v="2012-01-08T00:00:00"/>
    <n v="760280358"/>
    <s v="8/21/2012"/>
    <n v="2708"/>
    <n v="651.21"/>
    <n v="524.96"/>
    <n v="1763476.68"/>
    <n v="1421591.68"/>
    <n v="341885"/>
  </r>
  <r>
    <x v="5"/>
    <s v="Republic of the Congo"/>
    <s v="Fruits"/>
    <s v="Online"/>
    <s v="H"/>
    <s v="2/13/2011"/>
    <n v="912503230"/>
    <s v="3/17/2011"/>
    <n v="8838"/>
    <n v="9.33"/>
    <n v="6.92"/>
    <n v="82458.539999999994"/>
    <n v="61158.96"/>
    <n v="21299.58"/>
  </r>
  <r>
    <x v="1"/>
    <s v="Slovakia"/>
    <s v="Beverages"/>
    <s v="Offline"/>
    <s v="M"/>
    <s v="9/15/2015"/>
    <n v="495593106"/>
    <d v="2015-08-10T00:00:00"/>
    <n v="5868"/>
    <n v="47.45"/>
    <n v="31.79"/>
    <n v="278436.59999999998"/>
    <n v="186543.72"/>
    <n v="91892.88"/>
  </r>
  <r>
    <x v="1"/>
    <s v="Cyprus"/>
    <s v="Clothes"/>
    <s v="Offline"/>
    <s v="L"/>
    <d v="2013-09-01T00:00:00"/>
    <n v="209598815"/>
    <d v="2013-11-01T00:00:00"/>
    <n v="3802"/>
    <n v="109.28"/>
    <n v="35.840000000000003"/>
    <n v="415482.56"/>
    <n v="136263.67999999999"/>
    <n v="279218.88"/>
  </r>
  <r>
    <x v="5"/>
    <s v="Comoros"/>
    <s v="Clothes"/>
    <s v="Offline"/>
    <s v="L"/>
    <s v="7/13/2013"/>
    <n v="374881684"/>
    <s v="8/25/2013"/>
    <n v="4676"/>
    <n v="109.28"/>
    <n v="35.840000000000003"/>
    <n v="510993.28"/>
    <n v="167587.84"/>
    <n v="343405.44"/>
  </r>
  <r>
    <x v="6"/>
    <s v="United States of America"/>
    <s v="Baby Food"/>
    <s v="Offline"/>
    <s v="H"/>
    <s v="5/26/2017"/>
    <n v="482115542"/>
    <s v="5/28/2017"/>
    <n v="7558"/>
    <n v="255.28"/>
    <n v="159.41999999999999"/>
    <n v="1929406.24"/>
    <n v="1204896.3600000001"/>
    <n v="724509.88"/>
  </r>
  <r>
    <x v="0"/>
    <s v="Guatemala"/>
    <s v="Meat"/>
    <s v="Online"/>
    <s v="M"/>
    <s v="9/16/2010"/>
    <n v="542286717"/>
    <s v="9/20/2010"/>
    <n v="3545"/>
    <n v="421.89"/>
    <n v="364.69"/>
    <n v="1495600.05"/>
    <n v="1292826.05"/>
    <n v="202774"/>
  </r>
  <r>
    <x v="2"/>
    <s v="Laos"/>
    <s v="Cereal"/>
    <s v="Online"/>
    <s v="L"/>
    <d v="2014-09-09T00:00:00"/>
    <n v="636694037"/>
    <s v="9/20/2014"/>
    <n v="769"/>
    <n v="205.7"/>
    <n v="117.11"/>
    <n v="158183.29999999999"/>
    <n v="90057.59"/>
    <n v="68125.710000000006"/>
  </r>
  <r>
    <x v="4"/>
    <s v="Solomon Islands"/>
    <s v="Personal Care"/>
    <s v="Offline"/>
    <s v="H"/>
    <d v="2013-09-10T00:00:00"/>
    <n v="466948831"/>
    <s v="11/26/2013"/>
    <n v="9390"/>
    <n v="81.73"/>
    <n v="56.67"/>
    <n v="767444.7"/>
    <n v="532131.30000000005"/>
    <n v="235313.4"/>
  </r>
  <r>
    <x v="5"/>
    <s v="Mali"/>
    <s v="Snacks"/>
    <s v="Offline"/>
    <s v="L"/>
    <s v="5/19/2012"/>
    <n v="704974925"/>
    <s v="6/14/2012"/>
    <n v="6601"/>
    <n v="152.58000000000001"/>
    <n v="97.44"/>
    <n v="1007180.58"/>
    <n v="643201.43999999994"/>
    <n v="363979.14"/>
  </r>
  <r>
    <x v="5"/>
    <s v="Sudan"/>
    <s v="Fruits"/>
    <s v="Online"/>
    <s v="H"/>
    <d v="2016-04-01T00:00:00"/>
    <n v="743008649"/>
    <s v="1/27/2016"/>
    <n v="1625"/>
    <n v="9.33"/>
    <n v="6.92"/>
    <n v="15161.25"/>
    <n v="11245"/>
    <n v="3916.25"/>
  </r>
  <r>
    <x v="4"/>
    <s v="Marshall Islands"/>
    <s v="Household"/>
    <s v="Offline"/>
    <s v="L"/>
    <d v="2012-11-04T00:00:00"/>
    <n v="943598830"/>
    <s v="4/13/2012"/>
    <n v="718"/>
    <n v="668.27"/>
    <n v="502.54"/>
    <n v="479817.86"/>
    <n v="360823.72"/>
    <n v="118994.14"/>
  </r>
  <r>
    <x v="0"/>
    <s v="Guatemala"/>
    <s v="Vegetables"/>
    <s v="Online"/>
    <s v="L"/>
    <d v="2012-05-08T00:00:00"/>
    <n v="389606797"/>
    <s v="9/18/2012"/>
    <n v="2164"/>
    <n v="154.06"/>
    <n v="90.93"/>
    <n v="333385.84000000003"/>
    <n v="196772.52"/>
    <n v="136613.32"/>
  </r>
  <r>
    <x v="5"/>
    <s v="Togo"/>
    <s v="Snacks"/>
    <s v="Online"/>
    <s v="M"/>
    <d v="2010-02-07T00:00:00"/>
    <n v="934206378"/>
    <s v="7/13/2010"/>
    <n v="1282"/>
    <n v="152.58000000000001"/>
    <n v="97.44"/>
    <n v="195607.56"/>
    <n v="124918.08"/>
    <n v="70689.48"/>
  </r>
  <r>
    <x v="5"/>
    <s v="Republic of the Congo"/>
    <s v="Meat"/>
    <s v="Online"/>
    <s v="L"/>
    <s v="9/30/2015"/>
    <n v="450883901"/>
    <d v="2015-05-11T00:00:00"/>
    <n v="5421"/>
    <n v="421.89"/>
    <n v="364.69"/>
    <n v="2287065.69"/>
    <n v="1976984.49"/>
    <n v="310081.2"/>
  </r>
  <r>
    <x v="1"/>
    <s v="Georgia"/>
    <s v="Meat"/>
    <s v="Online"/>
    <s v="H"/>
    <s v="8/23/2012"/>
    <n v="483438193"/>
    <s v="9/26/2012"/>
    <n v="8959"/>
    <n v="421.89"/>
    <n v="364.69"/>
    <n v="3779712.51"/>
    <n v="3267257.71"/>
    <n v="512454.8"/>
  </r>
  <r>
    <x v="4"/>
    <s v="Vanuatu"/>
    <s v="Cereal"/>
    <s v="Online"/>
    <s v="M"/>
    <d v="2016-10-11T00:00:00"/>
    <n v="395980584"/>
    <s v="12/18/2016"/>
    <n v="8309"/>
    <n v="205.7"/>
    <n v="117.11"/>
    <n v="1709161.3"/>
    <n v="973066.99"/>
    <n v="736094.31"/>
  </r>
  <r>
    <x v="3"/>
    <s v="Qatar"/>
    <s v="Vegetables"/>
    <s v="Offline"/>
    <s v="M"/>
    <s v="1/18/2011"/>
    <n v="522934901"/>
    <d v="2011-03-02T00:00:00"/>
    <n v="6913"/>
    <n v="154.06"/>
    <n v="90.93"/>
    <n v="1065016.78"/>
    <n v="628599.09"/>
    <n v="436417.69"/>
  </r>
  <r>
    <x v="1"/>
    <s v="Switzerland"/>
    <s v="Vegetables"/>
    <s v="Online"/>
    <s v="L"/>
    <s v="10/15/2016"/>
    <n v="819037473"/>
    <s v="10/15/2016"/>
    <n v="244"/>
    <n v="154.06"/>
    <n v="90.93"/>
    <n v="37590.639999999999"/>
    <n v="22186.92"/>
    <n v="15403.72"/>
  </r>
  <r>
    <x v="5"/>
    <s v="Chad"/>
    <s v="Baby Food"/>
    <s v="Offline"/>
    <s v="C"/>
    <d v="2015-01-02T00:00:00"/>
    <n v="409337127"/>
    <s v="2/14/2015"/>
    <n v="807"/>
    <n v="255.28"/>
    <n v="159.41999999999999"/>
    <n v="206010.96"/>
    <n v="128651.94"/>
    <n v="77359.02"/>
  </r>
  <r>
    <x v="0"/>
    <s v="Antigua and Barbuda "/>
    <s v="Cereal"/>
    <s v="Online"/>
    <s v="M"/>
    <s v="9/19/2010"/>
    <n v="739195191"/>
    <s v="10/28/2010"/>
    <n v="3139"/>
    <n v="205.7"/>
    <n v="117.11"/>
    <n v="645692.30000000005"/>
    <n v="367608.29"/>
    <n v="278084.01"/>
  </r>
  <r>
    <x v="3"/>
    <s v="Lebanon"/>
    <s v="Personal Care"/>
    <s v="Offline"/>
    <s v="L"/>
    <s v="4/24/2013"/>
    <n v="624285495"/>
    <d v="2013-11-06T00:00:00"/>
    <n v="8806"/>
    <n v="81.73"/>
    <n v="56.67"/>
    <n v="719714.38"/>
    <n v="499036.02"/>
    <n v="220678.36"/>
  </r>
  <r>
    <x v="5"/>
    <s v="Burkina Faso"/>
    <s v="Baby Food"/>
    <s v="Offline"/>
    <s v="L"/>
    <d v="2010-08-11T00:00:00"/>
    <n v="300594365"/>
    <d v="2010-04-12T00:00:00"/>
    <n v="1407"/>
    <n v="255.28"/>
    <n v="159.41999999999999"/>
    <n v="359178.96"/>
    <n v="224303.94"/>
    <n v="134875.01999999999"/>
  </r>
  <r>
    <x v="1"/>
    <s v="Liechtenstein"/>
    <s v="Fruits"/>
    <s v="Offline"/>
    <s v="H"/>
    <s v="4/26/2011"/>
    <n v="974420630"/>
    <s v="6/15/2011"/>
    <n v="1573"/>
    <n v="9.33"/>
    <n v="6.92"/>
    <n v="14676.09"/>
    <n v="10885.16"/>
    <n v="3790.93"/>
  </r>
  <r>
    <x v="5"/>
    <s v="Cameroon"/>
    <s v="Personal Care"/>
    <s v="Online"/>
    <s v="L"/>
    <d v="2016-03-03T00:00:00"/>
    <n v="772375619"/>
    <d v="2016-06-03T00:00:00"/>
    <n v="1964"/>
    <n v="81.73"/>
    <n v="56.67"/>
    <n v="160517.72"/>
    <n v="111299.88"/>
    <n v="49217.84"/>
  </r>
  <r>
    <x v="3"/>
    <s v="Qatar"/>
    <s v="Household"/>
    <s v="Online"/>
    <s v="M"/>
    <d v="2016-01-08T00:00:00"/>
    <n v="591383159"/>
    <s v="8/15/2016"/>
    <n v="2273"/>
    <n v="668.27"/>
    <n v="502.54"/>
    <n v="1518977.71"/>
    <n v="1142273.42"/>
    <n v="376704.29"/>
  </r>
  <r>
    <x v="0"/>
    <s v="Jamaica"/>
    <s v="Snacks"/>
    <s v="Online"/>
    <s v="H"/>
    <s v="5/16/2012"/>
    <n v="948679578"/>
    <d v="2012-05-06T00:00:00"/>
    <n v="4224"/>
    <n v="152.58000000000001"/>
    <n v="97.44"/>
    <n v="644497.92000000004"/>
    <n v="411586.56"/>
    <n v="232911.35999999999"/>
  </r>
  <r>
    <x v="5"/>
    <s v="Senegal"/>
    <s v="Meat"/>
    <s v="Online"/>
    <s v="L"/>
    <d v="2015-10-10T00:00:00"/>
    <n v="631813704"/>
    <s v="11/28/2015"/>
    <n v="6570"/>
    <n v="421.89"/>
    <n v="364.69"/>
    <n v="2771817.3"/>
    <n v="2396013.2999999998"/>
    <n v="375804"/>
  </r>
  <r>
    <x v="5"/>
    <s v="Madagascar"/>
    <s v="Clothes"/>
    <s v="Online"/>
    <s v="C"/>
    <s v="5/13/2017"/>
    <n v="748646867"/>
    <s v="6/22/2017"/>
    <n v="99"/>
    <n v="109.28"/>
    <n v="35.840000000000003"/>
    <n v="10818.72"/>
    <n v="3548.16"/>
    <n v="7270.56"/>
  </r>
  <r>
    <x v="5"/>
    <s v="Republic of the Congo"/>
    <s v="Beverages"/>
    <s v="Online"/>
    <s v="M"/>
    <s v="7/31/2012"/>
    <n v="677352893"/>
    <s v="8/23/2012"/>
    <n v="2628"/>
    <n v="47.45"/>
    <n v="31.79"/>
    <n v="124698.6"/>
    <n v="83544.12"/>
    <n v="41154.480000000003"/>
  </r>
  <r>
    <x v="5"/>
    <s v="Gabon"/>
    <s v="Beverages"/>
    <s v="Offline"/>
    <s v="M"/>
    <s v="1/25/2013"/>
    <n v="316418111"/>
    <d v="2013-06-03T00:00:00"/>
    <n v="4005"/>
    <n v="47.45"/>
    <n v="31.79"/>
    <n v="190037.25"/>
    <n v="127318.95"/>
    <n v="62718.3"/>
  </r>
  <r>
    <x v="1"/>
    <s v="Russia"/>
    <s v="Beverages"/>
    <s v="Offline"/>
    <s v="L"/>
    <d v="2012-07-08T00:00:00"/>
    <n v="534641349"/>
    <s v="8/27/2012"/>
    <n v="1111"/>
    <n v="47.45"/>
    <n v="31.79"/>
    <n v="52716.95"/>
    <n v="35318.69"/>
    <n v="17398.259999999998"/>
  </r>
  <r>
    <x v="1"/>
    <s v="Belgium"/>
    <s v="Snacks"/>
    <s v="Online"/>
    <s v="L"/>
    <d v="2013-05-08T00:00:00"/>
    <n v="921133935"/>
    <d v="2013-11-08T00:00:00"/>
    <n v="2856"/>
    <n v="152.58000000000001"/>
    <n v="97.44"/>
    <n v="435768.48"/>
    <n v="278288.64000000001"/>
    <n v="157479.84"/>
  </r>
  <r>
    <x v="2"/>
    <s v="Kyrgyzstan"/>
    <s v="Office Supplies"/>
    <s v="Offline"/>
    <s v="H"/>
    <s v="9/28/2015"/>
    <n v="235319697"/>
    <s v="10/31/2015"/>
    <n v="5183"/>
    <n v="651.21"/>
    <n v="524.96"/>
    <n v="3375221.43"/>
    <n v="2720867.68"/>
    <n v="654353.75"/>
  </r>
  <r>
    <x v="1"/>
    <s v="San Marino"/>
    <s v="Meat"/>
    <s v="Offline"/>
    <s v="L"/>
    <s v="3/23/2012"/>
    <n v="456934964"/>
    <d v="2012-05-05T00:00:00"/>
    <n v="6065"/>
    <n v="421.89"/>
    <n v="364.69"/>
    <n v="2558762.85"/>
    <n v="2211844.85"/>
    <n v="346918"/>
  </r>
  <r>
    <x v="0"/>
    <s v="Saint Vincent and the Grenadines"/>
    <s v="Beverages"/>
    <s v="Offline"/>
    <s v="H"/>
    <s v="3/25/2016"/>
    <n v="936028563"/>
    <s v="4/14/2016"/>
    <n v="507"/>
    <n v="47.45"/>
    <n v="31.79"/>
    <n v="24057.15"/>
    <n v="16117.53"/>
    <n v="7939.62"/>
  </r>
  <r>
    <x v="0"/>
    <s v="Dominican Republic"/>
    <s v="Baby Food"/>
    <s v="Offline"/>
    <s v="C"/>
    <s v="9/19/2011"/>
    <n v="642961823"/>
    <s v="9/30/2011"/>
    <n v="5546"/>
    <n v="255.28"/>
    <n v="159.41999999999999"/>
    <n v="1415782.88"/>
    <n v="884143.32"/>
    <n v="531639.56000000006"/>
  </r>
  <r>
    <x v="5"/>
    <s v="Burkina Faso"/>
    <s v="Personal Care"/>
    <s v="Offline"/>
    <s v="H"/>
    <s v="3/15/2010"/>
    <n v="418408572"/>
    <s v="3/15/2010"/>
    <n v="5249"/>
    <n v="81.73"/>
    <n v="56.67"/>
    <n v="429000.77"/>
    <n v="297460.83"/>
    <n v="131539.94"/>
  </r>
  <r>
    <x v="3"/>
    <s v="Jordan"/>
    <s v="Beverages"/>
    <s v="Offline"/>
    <s v="L"/>
    <s v="9/16/2016"/>
    <n v="723355138"/>
    <s v="10/24/2016"/>
    <n v="5715"/>
    <n v="47.45"/>
    <n v="31.79"/>
    <n v="271176.75"/>
    <n v="181679.85"/>
    <n v="89496.9"/>
  </r>
  <r>
    <x v="5"/>
    <s v="Mali"/>
    <s v="Meat"/>
    <s v="Online"/>
    <s v="C"/>
    <s v="10/24/2010"/>
    <n v="289100348"/>
    <s v="10/31/2010"/>
    <n v="72"/>
    <n v="421.89"/>
    <n v="364.69"/>
    <n v="30376.080000000002"/>
    <n v="26257.68"/>
    <n v="4118.3999999999996"/>
  </r>
  <r>
    <x v="2"/>
    <s v="Mongolia"/>
    <s v="Personal Care"/>
    <s v="Offline"/>
    <s v="M"/>
    <d v="2011-09-01T00:00:00"/>
    <n v="167255532"/>
    <s v="1/20/2011"/>
    <n v="3484"/>
    <n v="81.73"/>
    <n v="56.67"/>
    <n v="284747.32"/>
    <n v="197438.28"/>
    <n v="87309.04"/>
  </r>
  <r>
    <x v="4"/>
    <s v="Papua New Guinea"/>
    <s v="Meat"/>
    <s v="Online"/>
    <s v="L"/>
    <s v="5/28/2010"/>
    <n v="579744517"/>
    <d v="2010-02-07T00:00:00"/>
    <n v="8141"/>
    <n v="421.89"/>
    <n v="364.69"/>
    <n v="3434606.49"/>
    <n v="2968941.29"/>
    <n v="465665.2"/>
  </r>
  <r>
    <x v="1"/>
    <s v="Bulgaria"/>
    <s v="Fruits"/>
    <s v="Online"/>
    <s v="L"/>
    <s v="8/31/2010"/>
    <n v="468803632"/>
    <d v="2010-02-10T00:00:00"/>
    <n v="8267"/>
    <n v="9.33"/>
    <n v="6.92"/>
    <n v="77131.11"/>
    <n v="57207.64"/>
    <n v="19923.47"/>
  </r>
  <r>
    <x v="1"/>
    <s v="Finland"/>
    <s v="Baby Food"/>
    <s v="Online"/>
    <s v="M"/>
    <s v="10/13/2010"/>
    <n v="646981704"/>
    <s v="11/23/2010"/>
    <n v="5118"/>
    <n v="255.28"/>
    <n v="159.41999999999999"/>
    <n v="1306523.04"/>
    <n v="815911.56"/>
    <n v="490611.48"/>
  </r>
  <r>
    <x v="3"/>
    <s v="Iraq"/>
    <s v="Household"/>
    <s v="Online"/>
    <s v="H"/>
    <s v="10/22/2010"/>
    <n v="647140061"/>
    <d v="2010-05-11T00:00:00"/>
    <n v="1980"/>
    <n v="668.27"/>
    <n v="502.54"/>
    <n v="1323174.6000000001"/>
    <n v="995029.2"/>
    <n v="328145.40000000002"/>
  </r>
  <r>
    <x v="1"/>
    <s v="Finland"/>
    <s v="Vegetables"/>
    <s v="Online"/>
    <s v="L"/>
    <s v="8/22/2015"/>
    <n v="972452533"/>
    <d v="2015-04-10T00:00:00"/>
    <n v="9169"/>
    <n v="154.06"/>
    <n v="90.93"/>
    <n v="1412576.14"/>
    <n v="833737.17"/>
    <n v="578838.97"/>
  </r>
  <r>
    <x v="3"/>
    <s v="Somalia"/>
    <s v="Household"/>
    <s v="Offline"/>
    <s v="M"/>
    <d v="2016-05-02T00:00:00"/>
    <n v="846405446"/>
    <d v="2016-09-03T00:00:00"/>
    <n v="9035"/>
    <n v="668.27"/>
    <n v="502.54"/>
    <n v="6037819.4500000002"/>
    <n v="4540448.9000000004"/>
    <n v="1497370.55"/>
  </r>
  <r>
    <x v="0"/>
    <s v="Trinidad and Tobago"/>
    <s v="Personal Care"/>
    <s v="Online"/>
    <s v="H"/>
    <d v="2015-04-06T00:00:00"/>
    <n v="462797629"/>
    <s v="6/30/2015"/>
    <n v="958"/>
    <n v="81.73"/>
    <n v="56.67"/>
    <n v="78297.34"/>
    <n v="54289.86"/>
    <n v="24007.48"/>
  </r>
  <r>
    <x v="1"/>
    <s v="Austria"/>
    <s v="Personal Care"/>
    <s v="Offline"/>
    <s v="M"/>
    <d v="2010-10-05T00:00:00"/>
    <n v="535740411"/>
    <d v="2010-07-06T00:00:00"/>
    <n v="6348"/>
    <n v="81.73"/>
    <n v="56.67"/>
    <n v="518822.04"/>
    <n v="359741.16"/>
    <n v="159080.88"/>
  </r>
  <r>
    <x v="3"/>
    <s v="Libya"/>
    <s v="Meat"/>
    <s v="Online"/>
    <s v="H"/>
    <s v="1/18/2010"/>
    <n v="949657618"/>
    <s v="2/20/2010"/>
    <n v="3648"/>
    <n v="421.89"/>
    <n v="364.69"/>
    <n v="1539054.72"/>
    <n v="1330389.1200000001"/>
    <n v="208665.60000000001"/>
  </r>
  <r>
    <x v="1"/>
    <s v="Ireland"/>
    <s v="Personal Care"/>
    <s v="Offline"/>
    <s v="H"/>
    <s v="2/26/2017"/>
    <n v="309285581"/>
    <s v="4/17/2017"/>
    <n v="3331"/>
    <n v="81.73"/>
    <n v="56.67"/>
    <n v="272242.63"/>
    <n v="188767.77"/>
    <n v="83474.86"/>
  </r>
  <r>
    <x v="3"/>
    <s v="Egypt"/>
    <s v="Meat"/>
    <s v="Online"/>
    <s v="C"/>
    <s v="6/17/2016"/>
    <n v="889673125"/>
    <d v="2016-09-07T00:00:00"/>
    <n v="2903"/>
    <n v="421.89"/>
    <n v="364.69"/>
    <n v="1224746.67"/>
    <n v="1058695.07"/>
    <n v="166051.6"/>
  </r>
  <r>
    <x v="5"/>
    <s v="Mauritius "/>
    <s v="Meat"/>
    <s v="Offline"/>
    <s v="H"/>
    <s v="7/13/2016"/>
    <n v="986181581"/>
    <s v="7/23/2016"/>
    <n v="1900"/>
    <n v="421.89"/>
    <n v="364.69"/>
    <n v="801591"/>
    <n v="692911"/>
    <n v="108680"/>
  </r>
  <r>
    <x v="4"/>
    <s v="Palau"/>
    <s v="Baby Food"/>
    <s v="Offline"/>
    <s v="M"/>
    <s v="8/22/2015"/>
    <n v="764484775"/>
    <d v="2015-03-09T00:00:00"/>
    <n v="6888"/>
    <n v="255.28"/>
    <n v="159.41999999999999"/>
    <n v="1758368.64"/>
    <n v="1098084.96"/>
    <n v="660283.68000000005"/>
  </r>
  <r>
    <x v="3"/>
    <s v="Afghanistan"/>
    <s v="Cereal"/>
    <s v="Online"/>
    <s v="C"/>
    <s v="2/15/2013"/>
    <n v="910569036"/>
    <s v="3/25/2013"/>
    <n v="6467"/>
    <n v="205.7"/>
    <n v="117.11"/>
    <n v="1330261.8999999999"/>
    <n v="757350.37"/>
    <n v="572911.53"/>
  </r>
  <r>
    <x v="1"/>
    <s v="Andorra"/>
    <s v="Baby Food"/>
    <s v="Offline"/>
    <s v="C"/>
    <d v="2013-07-03T00:00:00"/>
    <n v="380733191"/>
    <s v="4/13/2013"/>
    <n v="6267"/>
    <n v="255.28"/>
    <n v="159.41999999999999"/>
    <n v="1599839.76"/>
    <n v="999085.14"/>
    <n v="600754.62"/>
  </r>
  <r>
    <x v="3"/>
    <s v="Egypt"/>
    <s v="Household"/>
    <s v="Online"/>
    <s v="M"/>
    <s v="6/24/2013"/>
    <n v="451588571"/>
    <s v="7/14/2013"/>
    <n v="3948"/>
    <n v="668.27"/>
    <n v="502.54"/>
    <n v="2638329.96"/>
    <n v="1984027.92"/>
    <n v="654302.04"/>
  </r>
  <r>
    <x v="2"/>
    <s v="China"/>
    <s v="Fruits"/>
    <s v="Online"/>
    <s v="H"/>
    <s v="7/24/2016"/>
    <n v="670059001"/>
    <d v="2016-01-09T00:00:00"/>
    <n v="4203"/>
    <n v="9.33"/>
    <n v="6.92"/>
    <n v="39213.99"/>
    <n v="29084.76"/>
    <n v="10129.23"/>
  </r>
  <r>
    <x v="4"/>
    <s v="Kiribati"/>
    <s v="Office Supplies"/>
    <s v="Online"/>
    <s v="L"/>
    <s v="11/16/2010"/>
    <n v="203380811"/>
    <s v="11/23/2010"/>
    <n v="3756"/>
    <n v="651.21"/>
    <n v="524.96"/>
    <n v="2445944.7599999998"/>
    <n v="1971749.76"/>
    <n v="474195"/>
  </r>
  <r>
    <x v="1"/>
    <s v="Kosovo"/>
    <s v="Fruits"/>
    <s v="Online"/>
    <s v="L"/>
    <d v="2012-11-06T00:00:00"/>
    <n v="989102828"/>
    <d v="2012-08-07T00:00:00"/>
    <n v="6362"/>
    <n v="9.33"/>
    <n v="6.92"/>
    <n v="59357.46"/>
    <n v="44025.04"/>
    <n v="15332.42"/>
  </r>
  <r>
    <x v="5"/>
    <s v="Gabon"/>
    <s v="Fruits"/>
    <s v="Offline"/>
    <s v="H"/>
    <s v="8/21/2015"/>
    <n v="985086381"/>
    <d v="2015-04-09T00:00:00"/>
    <n v="7806"/>
    <n v="9.33"/>
    <n v="6.92"/>
    <n v="72829.98"/>
    <n v="54017.52"/>
    <n v="18812.46"/>
  </r>
  <r>
    <x v="5"/>
    <s v="Liberia"/>
    <s v="Vegetables"/>
    <s v="Online"/>
    <s v="L"/>
    <d v="2012-06-02T00:00:00"/>
    <n v="919505298"/>
    <s v="2/27/2012"/>
    <n v="906"/>
    <n v="154.06"/>
    <n v="90.93"/>
    <n v="139578.35999999999"/>
    <n v="82382.58"/>
    <n v="57195.78"/>
  </r>
  <r>
    <x v="3"/>
    <s v="Bahrain"/>
    <s v="Snacks"/>
    <s v="Online"/>
    <s v="M"/>
    <d v="2017-06-04T00:00:00"/>
    <n v="240845906"/>
    <s v="4/21/2017"/>
    <n v="511"/>
    <n v="152.58000000000001"/>
    <n v="97.44"/>
    <n v="77968.38"/>
    <n v="49791.839999999997"/>
    <n v="28176.54"/>
  </r>
  <r>
    <x v="5"/>
    <s v="Zambia"/>
    <s v="Office Supplies"/>
    <s v="Offline"/>
    <s v="H"/>
    <s v="7/18/2013"/>
    <n v="267907035"/>
    <s v="7/20/2013"/>
    <n v="8500"/>
    <n v="651.21"/>
    <n v="524.96"/>
    <n v="5535285"/>
    <n v="4462160"/>
    <n v="1073125"/>
  </r>
  <r>
    <x v="4"/>
    <s v="Papua New Guinea"/>
    <s v="Meat"/>
    <s v="Online"/>
    <s v="M"/>
    <s v="9/20/2014"/>
    <n v="139800012"/>
    <s v="9/20/2014"/>
    <n v="8785"/>
    <n v="421.89"/>
    <n v="364.69"/>
    <n v="3706303.65"/>
    <n v="3203801.65"/>
    <n v="502502"/>
  </r>
  <r>
    <x v="5"/>
    <s v="Botswana"/>
    <s v="Meat"/>
    <s v="Online"/>
    <s v="C"/>
    <d v="2016-10-09T00:00:00"/>
    <n v="865948665"/>
    <s v="9/26/2016"/>
    <n v="2308"/>
    <n v="421.89"/>
    <n v="364.69"/>
    <n v="973722.12"/>
    <n v="841704.52"/>
    <n v="132017.60000000001"/>
  </r>
  <r>
    <x v="3"/>
    <s v="Qatar"/>
    <s v="Meat"/>
    <s v="Offline"/>
    <s v="H"/>
    <d v="2016-08-06T00:00:00"/>
    <n v="376089322"/>
    <s v="6/27/2016"/>
    <n v="2043"/>
    <n v="421.89"/>
    <n v="364.69"/>
    <n v="861921.27"/>
    <n v="745061.67"/>
    <n v="116859.6"/>
  </r>
  <r>
    <x v="3"/>
    <s v="Tunisia "/>
    <s v="Snacks"/>
    <s v="Online"/>
    <s v="H"/>
    <d v="2015-09-10T00:00:00"/>
    <n v="270270812"/>
    <s v="10/28/2015"/>
    <n v="7994"/>
    <n v="152.58000000000001"/>
    <n v="97.44"/>
    <n v="1219724.52"/>
    <n v="778935.36"/>
    <n v="440789.16"/>
  </r>
  <r>
    <x v="3"/>
    <s v="Saudi Arabia"/>
    <s v="Personal Care"/>
    <s v="Offline"/>
    <s v="M"/>
    <d v="2010-06-01T00:00:00"/>
    <n v="868854463"/>
    <d v="2010-12-02T00:00:00"/>
    <n v="2198"/>
    <n v="81.73"/>
    <n v="56.67"/>
    <n v="179642.54"/>
    <n v="124560.66"/>
    <n v="55081.88"/>
  </r>
  <r>
    <x v="2"/>
    <s v="Malaysia"/>
    <s v="Beverages"/>
    <s v="Online"/>
    <s v="L"/>
    <s v="6/26/2014"/>
    <n v="762514102"/>
    <s v="7/28/2014"/>
    <n v="3722"/>
    <n v="47.45"/>
    <n v="31.79"/>
    <n v="176608.9"/>
    <n v="118322.38"/>
    <n v="58286.52"/>
  </r>
  <r>
    <x v="6"/>
    <s v="Mexico"/>
    <s v="Personal Care"/>
    <s v="Offline"/>
    <s v="H"/>
    <d v="2015-03-04T00:00:00"/>
    <n v="862236058"/>
    <d v="2015-01-05T00:00:00"/>
    <n v="3665"/>
    <n v="81.73"/>
    <n v="56.67"/>
    <n v="299540.45"/>
    <n v="207695.55"/>
    <n v="91844.9"/>
  </r>
  <r>
    <x v="5"/>
    <s v="Mauritania"/>
    <s v="Household"/>
    <s v="Online"/>
    <s v="H"/>
    <d v="2010-04-11T00:00:00"/>
    <n v="349319159"/>
    <d v="2010-10-12T00:00:00"/>
    <n v="157"/>
    <n v="668.27"/>
    <n v="502.54"/>
    <n v="104918.39"/>
    <n v="78898.78"/>
    <n v="26019.61"/>
  </r>
  <r>
    <x v="4"/>
    <s v="Federated States of Micronesia"/>
    <s v="Snacks"/>
    <s v="Online"/>
    <s v="C"/>
    <s v="12/19/2015"/>
    <n v="725374734"/>
    <s v="1/19/2016"/>
    <n v="3358"/>
    <n v="152.58000000000001"/>
    <n v="97.44"/>
    <n v="512363.64"/>
    <n v="327203.52"/>
    <n v="185160.12"/>
  </r>
  <r>
    <x v="1"/>
    <s v="Latvia"/>
    <s v="Beverages"/>
    <s v="Online"/>
    <s v="M"/>
    <d v="2012-02-05T00:00:00"/>
    <n v="862326610"/>
    <s v="5/28/2012"/>
    <n v="461"/>
    <n v="47.45"/>
    <n v="31.79"/>
    <n v="21874.45"/>
    <n v="14655.19"/>
    <n v="7219.26"/>
  </r>
  <r>
    <x v="1"/>
    <s v="Sweden"/>
    <s v="Meat"/>
    <s v="Online"/>
    <s v="H"/>
    <d v="2013-04-01T00:00:00"/>
    <n v="152411115"/>
    <s v="2/21/2013"/>
    <n v="691"/>
    <n v="421.89"/>
    <n v="364.69"/>
    <n v="291525.99"/>
    <n v="252000.79"/>
    <n v="39525.199999999997"/>
  </r>
  <r>
    <x v="2"/>
    <s v="Bangladesh"/>
    <s v="Cosmetics"/>
    <s v="Online"/>
    <s v="L"/>
    <d v="2013-11-03T00:00:00"/>
    <n v="758177077"/>
    <s v="3/21/2013"/>
    <n v="300"/>
    <n v="437.2"/>
    <n v="263.33"/>
    <n v="131160"/>
    <n v="78999"/>
    <n v="52161"/>
  </r>
  <r>
    <x v="1"/>
    <s v="Ukraine"/>
    <s v="Office Supplies"/>
    <s v="Offline"/>
    <s v="C"/>
    <s v="9/16/2016"/>
    <n v="862485826"/>
    <s v="10/27/2016"/>
    <n v="7577"/>
    <n v="651.21"/>
    <n v="524.96"/>
    <n v="4934218.17"/>
    <n v="3977621.92"/>
    <n v="956596.25"/>
  </r>
  <r>
    <x v="2"/>
    <s v="South Korea"/>
    <s v="Household"/>
    <s v="Offline"/>
    <s v="C"/>
    <d v="2017-09-02T00:00:00"/>
    <n v="518511188"/>
    <s v="2/16/2017"/>
    <n v="7838"/>
    <n v="668.27"/>
    <n v="502.54"/>
    <n v="5237900.26"/>
    <n v="3938908.52"/>
    <n v="1298991.74"/>
  </r>
  <r>
    <x v="1"/>
    <s v="Vatican City"/>
    <s v="Fruits"/>
    <s v="Offline"/>
    <s v="M"/>
    <s v="7/25/2016"/>
    <n v="299739491"/>
    <d v="2016-01-09T00:00:00"/>
    <n v="8431"/>
    <n v="9.33"/>
    <n v="6.92"/>
    <n v="78661.23"/>
    <n v="58342.52"/>
    <n v="20318.71"/>
  </r>
  <r>
    <x v="3"/>
    <s v="Qatar"/>
    <s v="Meat"/>
    <s v="Online"/>
    <s v="H"/>
    <s v="7/15/2014"/>
    <n v="849969565"/>
    <d v="2014-03-09T00:00:00"/>
    <n v="3737"/>
    <n v="421.89"/>
    <n v="364.69"/>
    <n v="1576602.93"/>
    <n v="1362846.53"/>
    <n v="213756.4"/>
  </r>
  <r>
    <x v="1"/>
    <s v="France"/>
    <s v="Meat"/>
    <s v="Offline"/>
    <s v="L"/>
    <s v="7/17/2011"/>
    <n v="633312737"/>
    <d v="2011-11-08T00:00:00"/>
    <n v="167"/>
    <n v="421.89"/>
    <n v="364.69"/>
    <n v="70455.63"/>
    <n v="60903.23"/>
    <n v="9552.4"/>
  </r>
  <r>
    <x v="1"/>
    <s v="Norway"/>
    <s v="Office Supplies"/>
    <s v="Offline"/>
    <s v="C"/>
    <s v="12/14/2012"/>
    <n v="884192836"/>
    <s v="1/15/2013"/>
    <n v="1164"/>
    <n v="651.21"/>
    <n v="524.96"/>
    <n v="758008.44"/>
    <n v="611053.43999999994"/>
    <n v="146955"/>
  </r>
  <r>
    <x v="2"/>
    <s v="Cambodia"/>
    <s v="Cosmetics"/>
    <s v="Offline"/>
    <s v="C"/>
    <s v="1/24/2010"/>
    <n v="657346189"/>
    <s v="1/28/2010"/>
    <n v="2200"/>
    <n v="437.2"/>
    <n v="263.33"/>
    <n v="961840"/>
    <n v="579326"/>
    <n v="382514"/>
  </r>
  <r>
    <x v="5"/>
    <s v="Togo"/>
    <s v="Beverages"/>
    <s v="Offline"/>
    <s v="M"/>
    <d v="2014-02-03T00:00:00"/>
    <n v="877821624"/>
    <s v="3/14/2014"/>
    <n v="5780"/>
    <n v="47.45"/>
    <n v="31.79"/>
    <n v="274261"/>
    <n v="183746.2"/>
    <n v="90514.8"/>
  </r>
  <r>
    <x v="5"/>
    <s v="Rwanda"/>
    <s v="Fruits"/>
    <s v="Online"/>
    <s v="M"/>
    <s v="11/22/2014"/>
    <n v="290980470"/>
    <d v="2015-01-01T00:00:00"/>
    <n v="6442"/>
    <n v="9.33"/>
    <n v="6.92"/>
    <n v="60103.86"/>
    <n v="44578.64"/>
    <n v="15525.22"/>
  </r>
  <r>
    <x v="4"/>
    <s v="Vanuatu"/>
    <s v="Fruits"/>
    <s v="Online"/>
    <s v="H"/>
    <s v="4/20/2014"/>
    <n v="412496554"/>
    <s v="4/29/2014"/>
    <n v="5752"/>
    <n v="9.33"/>
    <n v="6.92"/>
    <n v="53666.16"/>
    <n v="39803.839999999997"/>
    <n v="13862.32"/>
  </r>
  <r>
    <x v="1"/>
    <s v="Iceland"/>
    <s v="Meat"/>
    <s v="Online"/>
    <s v="M"/>
    <d v="2015-09-07T00:00:00"/>
    <n v="578356206"/>
    <s v="7/15/2015"/>
    <n v="7309"/>
    <n v="421.89"/>
    <n v="364.69"/>
    <n v="3083594.01"/>
    <n v="2665519.21"/>
    <n v="418074.8"/>
  </r>
  <r>
    <x v="1"/>
    <s v="Luxembourg"/>
    <s v="Personal Care"/>
    <s v="Online"/>
    <s v="L"/>
    <s v="5/17/2011"/>
    <n v="194858253"/>
    <s v="5/22/2011"/>
    <n v="1742"/>
    <n v="81.73"/>
    <n v="56.67"/>
    <n v="142373.66"/>
    <n v="98719.14"/>
    <n v="43654.52"/>
  </r>
  <r>
    <x v="1"/>
    <s v="Macedonia"/>
    <s v="Cereal"/>
    <s v="Offline"/>
    <s v="L"/>
    <s v="11/28/2010"/>
    <n v="988614022"/>
    <d v="2011-11-01T00:00:00"/>
    <n v="1713"/>
    <n v="205.7"/>
    <n v="117.11"/>
    <n v="352364.1"/>
    <n v="200609.43"/>
    <n v="151754.67000000001"/>
  </r>
  <r>
    <x v="2"/>
    <s v="Myanmar"/>
    <s v="Personal Care"/>
    <s v="Online"/>
    <s v="C"/>
    <s v="11/13/2012"/>
    <n v="256547343"/>
    <s v="12/30/2012"/>
    <n v="6915"/>
    <n v="81.73"/>
    <n v="56.67"/>
    <n v="565162.94999999995"/>
    <n v="391873.05"/>
    <n v="173289.9"/>
  </r>
  <r>
    <x v="2"/>
    <s v="Brunei"/>
    <s v="Vegetables"/>
    <s v="Offline"/>
    <s v="M"/>
    <s v="1/25/2017"/>
    <n v="315894544"/>
    <s v="1/27/2017"/>
    <n v="9070"/>
    <n v="154.06"/>
    <n v="90.93"/>
    <n v="1397324.2"/>
    <n v="824735.1"/>
    <n v="572589.1"/>
  </r>
  <r>
    <x v="3"/>
    <s v="Israel"/>
    <s v="Snacks"/>
    <s v="Online"/>
    <s v="L"/>
    <d v="2013-07-01T00:00:00"/>
    <n v="854204452"/>
    <s v="2/14/2013"/>
    <n v="6934"/>
    <n v="152.58000000000001"/>
    <n v="97.44"/>
    <n v="1057989.72"/>
    <n v="675648.96"/>
    <n v="382340.76"/>
  </r>
  <r>
    <x v="1"/>
    <s v="Russia"/>
    <s v="Cereal"/>
    <s v="Online"/>
    <s v="L"/>
    <d v="2014-10-01T00:00:00"/>
    <n v="279338395"/>
    <s v="2/24/2014"/>
    <n v="1293"/>
    <n v="205.7"/>
    <n v="117.11"/>
    <n v="265970.09999999998"/>
    <n v="151423.23000000001"/>
    <n v="114546.87"/>
  </r>
  <r>
    <x v="2"/>
    <s v="Uzbekistan"/>
    <s v="Meat"/>
    <s v="Online"/>
    <s v="C"/>
    <d v="2015-10-07T00:00:00"/>
    <n v="669470202"/>
    <d v="2015-11-07T00:00:00"/>
    <n v="9965"/>
    <n v="421.89"/>
    <n v="364.69"/>
    <n v="4204133.8499999996"/>
    <n v="3634135.85"/>
    <n v="569998"/>
  </r>
  <r>
    <x v="1"/>
    <s v="Estonia"/>
    <s v="Baby Food"/>
    <s v="Offline"/>
    <s v="M"/>
    <d v="2014-02-01T00:00:00"/>
    <n v="123086202"/>
    <s v="2/20/2014"/>
    <n v="2797"/>
    <n v="255.28"/>
    <n v="159.41999999999999"/>
    <n v="714018.16"/>
    <n v="445897.74"/>
    <n v="268120.42"/>
  </r>
  <r>
    <x v="0"/>
    <s v="Honduras"/>
    <s v="Clothes"/>
    <s v="Online"/>
    <s v="M"/>
    <s v="10/28/2010"/>
    <n v="408985221"/>
    <s v="11/14/2010"/>
    <n v="6670"/>
    <n v="109.28"/>
    <n v="35.840000000000003"/>
    <n v="728897.6"/>
    <n v="239052.79999999999"/>
    <n v="489844.8"/>
  </r>
  <r>
    <x v="1"/>
    <s v="Luxembourg"/>
    <s v="Meat"/>
    <s v="Online"/>
    <s v="M"/>
    <s v="12/19/2015"/>
    <n v="216278588"/>
    <s v="12/19/2015"/>
    <n v="495"/>
    <n v="421.89"/>
    <n v="364.69"/>
    <n v="208835.55"/>
    <n v="180521.55"/>
    <n v="28314"/>
  </r>
  <r>
    <x v="6"/>
    <s v="United States of America"/>
    <s v="Fruits"/>
    <s v="Online"/>
    <s v="L"/>
    <s v="12/23/2013"/>
    <n v="104390132"/>
    <s v="1/23/2014"/>
    <n v="215"/>
    <n v="9.33"/>
    <n v="6.92"/>
    <n v="2005.95"/>
    <n v="1487.8"/>
    <n v="518.15"/>
  </r>
  <r>
    <x v="5"/>
    <s v="Ethiopia"/>
    <s v="Household"/>
    <s v="Online"/>
    <s v="C"/>
    <d v="2013-11-03T00:00:00"/>
    <n v="253056180"/>
    <s v="3/14/2013"/>
    <n v="3802"/>
    <n v="668.27"/>
    <n v="502.54"/>
    <n v="2540762.54"/>
    <n v="1910657.08"/>
    <n v="630105.46"/>
  </r>
  <r>
    <x v="2"/>
    <s v="Taiwan"/>
    <s v="Personal Care"/>
    <s v="Online"/>
    <s v="M"/>
    <s v="8/24/2011"/>
    <n v="912325561"/>
    <s v="8/24/2011"/>
    <n v="6262"/>
    <n v="81.73"/>
    <n v="56.67"/>
    <n v="511793.26"/>
    <n v="354867.54"/>
    <n v="156925.72"/>
  </r>
  <r>
    <x v="0"/>
    <s v="Saint Lucia"/>
    <s v="Meat"/>
    <s v="Online"/>
    <s v="H"/>
    <d v="2016-04-01T00:00:00"/>
    <n v="152559602"/>
    <s v="1/23/2016"/>
    <n v="4631"/>
    <n v="421.89"/>
    <n v="364.69"/>
    <n v="1953772.59"/>
    <n v="1688879.39"/>
    <n v="264893.2"/>
  </r>
  <r>
    <x v="5"/>
    <s v="Djibouti"/>
    <s v="Cereal"/>
    <s v="Online"/>
    <s v="M"/>
    <d v="2015-04-02T00:00:00"/>
    <n v="614432132"/>
    <s v="3/21/2015"/>
    <n v="2977"/>
    <n v="205.7"/>
    <n v="117.11"/>
    <n v="612368.9"/>
    <n v="348636.47"/>
    <n v="263732.43"/>
  </r>
  <r>
    <x v="0"/>
    <s v="Trinidad and Tobago"/>
    <s v="Household"/>
    <s v="Offline"/>
    <s v="C"/>
    <d v="2013-01-12T00:00:00"/>
    <n v="958929479"/>
    <s v="12/26/2013"/>
    <n v="7397"/>
    <n v="668.27"/>
    <n v="502.54"/>
    <n v="4943193.1900000004"/>
    <n v="3717288.38"/>
    <n v="1225904.81"/>
  </r>
  <r>
    <x v="2"/>
    <s v="Mongolia"/>
    <s v="Household"/>
    <s v="Offline"/>
    <s v="H"/>
    <d v="2014-10-10T00:00:00"/>
    <n v="817350471"/>
    <s v="11/26/2014"/>
    <n v="1022"/>
    <n v="668.27"/>
    <n v="502.54"/>
    <n v="682971.94"/>
    <n v="513595.88"/>
    <n v="169376.06"/>
  </r>
  <r>
    <x v="0"/>
    <s v="Cuba"/>
    <s v="Office Supplies"/>
    <s v="Online"/>
    <s v="L"/>
    <s v="6/15/2013"/>
    <n v="341306436"/>
    <s v="6/23/2013"/>
    <n v="9014"/>
    <n v="651.21"/>
    <n v="524.96"/>
    <n v="5870006.9400000004"/>
    <n v="4731989.4400000004"/>
    <n v="1138017.5"/>
  </r>
  <r>
    <x v="2"/>
    <s v="Nepal"/>
    <s v="Cosmetics"/>
    <s v="Offline"/>
    <s v="C"/>
    <d v="2010-06-08T00:00:00"/>
    <n v="652721202"/>
    <s v="9/25/2010"/>
    <n v="3563"/>
    <n v="437.2"/>
    <n v="263.33"/>
    <n v="1557743.6"/>
    <n v="938244.79"/>
    <n v="619498.81000000006"/>
  </r>
  <r>
    <x v="1"/>
    <s v="Romania"/>
    <s v="Baby Food"/>
    <s v="Offline"/>
    <s v="H"/>
    <s v="6/23/2015"/>
    <n v="693831098"/>
    <s v="7/14/2015"/>
    <n v="8895"/>
    <n v="255.28"/>
    <n v="159.41999999999999"/>
    <n v="2270715.6"/>
    <n v="1418040.9"/>
    <n v="852674.7"/>
  </r>
  <r>
    <x v="4"/>
    <s v="Fiji"/>
    <s v="Cereal"/>
    <s v="Offline"/>
    <s v="H"/>
    <d v="2011-07-12T00:00:00"/>
    <n v="377184951"/>
    <s v="12/19/2011"/>
    <n v="6264"/>
    <n v="205.7"/>
    <n v="117.11"/>
    <n v="1288504.8"/>
    <n v="733577.04"/>
    <n v="554927.76"/>
  </r>
  <r>
    <x v="0"/>
    <s v="Honduras"/>
    <s v="Vegetables"/>
    <s v="Online"/>
    <s v="H"/>
    <s v="2/28/2015"/>
    <n v="135644090"/>
    <s v="3/26/2015"/>
    <n v="8955"/>
    <n v="154.06"/>
    <n v="90.93"/>
    <n v="1379607.3"/>
    <n v="814278.15"/>
    <n v="565329.15"/>
  </r>
  <r>
    <x v="2"/>
    <s v="Indonesia"/>
    <s v="Clothes"/>
    <s v="Offline"/>
    <s v="L"/>
    <s v="11/29/2014"/>
    <n v="472382342"/>
    <d v="2014-02-12T00:00:00"/>
    <n v="7287"/>
    <n v="109.28"/>
    <n v="35.840000000000003"/>
    <n v="796323.36"/>
    <n v="261166.07999999999"/>
    <n v="535157.28"/>
  </r>
  <r>
    <x v="0"/>
    <s v="Dominica"/>
    <s v="Cereal"/>
    <s v="Online"/>
    <s v="L"/>
    <s v="2/25/2017"/>
    <n v="610886037"/>
    <s v="4/15/2017"/>
    <n v="3608"/>
    <n v="205.7"/>
    <n v="117.11"/>
    <n v="742165.6"/>
    <n v="422532.88"/>
    <n v="319632.71999999997"/>
  </r>
  <r>
    <x v="2"/>
    <s v="Laos"/>
    <s v="Cosmetics"/>
    <s v="Offline"/>
    <s v="C"/>
    <s v="7/20/2017"/>
    <n v="744954001"/>
    <s v="7/25/2017"/>
    <n v="7298"/>
    <n v="437.2"/>
    <n v="263.33"/>
    <n v="3190685.6"/>
    <n v="1921782.34"/>
    <n v="1268903.26"/>
  </r>
  <r>
    <x v="3"/>
    <s v="Egypt"/>
    <s v="Personal Care"/>
    <s v="Offline"/>
    <s v="M"/>
    <d v="2012-04-11T00:00:00"/>
    <n v="688697564"/>
    <d v="2012-03-12T00:00:00"/>
    <n v="9768"/>
    <n v="81.73"/>
    <n v="56.67"/>
    <n v="798338.64"/>
    <n v="553552.56000000006"/>
    <n v="244786.08"/>
  </r>
  <r>
    <x v="4"/>
    <s v="Palau"/>
    <s v="Cereal"/>
    <s v="Online"/>
    <s v="L"/>
    <d v="2012-10-03T00:00:00"/>
    <n v="326540553"/>
    <s v="3/23/2012"/>
    <n v="9461"/>
    <n v="205.7"/>
    <n v="117.11"/>
    <n v="1946127.7"/>
    <n v="1107977.71"/>
    <n v="838149.99"/>
  </r>
  <r>
    <x v="1"/>
    <s v="Macedonia"/>
    <s v="Cereal"/>
    <s v="Online"/>
    <s v="C"/>
    <d v="2010-01-09T00:00:00"/>
    <n v="963219296"/>
    <s v="9/18/2010"/>
    <n v="6850"/>
    <n v="205.7"/>
    <n v="117.11"/>
    <n v="1409045"/>
    <n v="802203.5"/>
    <n v="606841.5"/>
  </r>
  <r>
    <x v="5"/>
    <s v="Tanzania"/>
    <s v="Cereal"/>
    <s v="Offline"/>
    <s v="C"/>
    <d v="2015-11-10T00:00:00"/>
    <n v="373782622"/>
    <s v="11/15/2015"/>
    <n v="9439"/>
    <n v="205.7"/>
    <n v="117.11"/>
    <n v="1941602.3"/>
    <n v="1105401.29"/>
    <n v="836201.01"/>
  </r>
  <r>
    <x v="0"/>
    <s v="Saint Kitts and Nevis "/>
    <s v="Vegetables"/>
    <s v="Online"/>
    <s v="L"/>
    <s v="5/15/2013"/>
    <n v="453591859"/>
    <d v="2013-10-06T00:00:00"/>
    <n v="6766"/>
    <n v="154.06"/>
    <n v="90.93"/>
    <n v="1042369.96"/>
    <n v="615232.38"/>
    <n v="427137.58"/>
  </r>
  <r>
    <x v="1"/>
    <s v="Austria"/>
    <s v="Vegetables"/>
    <s v="Offline"/>
    <s v="M"/>
    <d v="2016-12-11T00:00:00"/>
    <n v="468320834"/>
    <s v="12/21/2016"/>
    <n v="5397"/>
    <n v="154.06"/>
    <n v="90.93"/>
    <n v="831461.82"/>
    <n v="490749.21"/>
    <n v="340712.61"/>
  </r>
  <r>
    <x v="1"/>
    <s v="Iceland"/>
    <s v="Cereal"/>
    <s v="Online"/>
    <s v="M"/>
    <s v="6/15/2010"/>
    <n v="203955876"/>
    <s v="7/18/2010"/>
    <n v="3931"/>
    <n v="205.7"/>
    <n v="117.11"/>
    <n v="808606.7"/>
    <n v="460359.41"/>
    <n v="348247.29"/>
  </r>
  <r>
    <x v="5"/>
    <s v="Mauritius "/>
    <s v="Baby Food"/>
    <s v="Offline"/>
    <s v="C"/>
    <s v="6/22/2013"/>
    <n v="416795814"/>
    <s v="6/29/2013"/>
    <n v="7998"/>
    <n v="255.28"/>
    <n v="159.41999999999999"/>
    <n v="2041729.44"/>
    <n v="1275041.1599999999"/>
    <n v="766688.28"/>
  </r>
  <r>
    <x v="1"/>
    <s v="Moldova "/>
    <s v="Snacks"/>
    <s v="Offline"/>
    <s v="H"/>
    <d v="2016-11-01T00:00:00"/>
    <n v="583451974"/>
    <d v="2016-05-02T00:00:00"/>
    <n v="5260"/>
    <n v="152.58000000000001"/>
    <n v="97.44"/>
    <n v="802570.8"/>
    <n v="512534.4"/>
    <n v="290036.40000000002"/>
  </r>
  <r>
    <x v="1"/>
    <s v="Luxembourg"/>
    <s v="Clothes"/>
    <s v="Online"/>
    <s v="M"/>
    <s v="1/30/2013"/>
    <n v="250848186"/>
    <d v="2013-07-03T00:00:00"/>
    <n v="407"/>
    <n v="109.28"/>
    <n v="35.840000000000003"/>
    <n v="44476.959999999999"/>
    <n v="14586.88"/>
    <n v="29890.080000000002"/>
  </r>
  <r>
    <x v="5"/>
    <s v="Senegal"/>
    <s v="Meat"/>
    <s v="Online"/>
    <s v="M"/>
    <s v="10/22/2015"/>
    <n v="386220777"/>
    <s v="10/25/2015"/>
    <n v="165"/>
    <n v="421.89"/>
    <n v="364.69"/>
    <n v="69611.850000000006"/>
    <n v="60173.85"/>
    <n v="9438"/>
  </r>
  <r>
    <x v="3"/>
    <s v="Syria"/>
    <s v="Cosmetics"/>
    <s v="Online"/>
    <s v="H"/>
    <d v="2017-02-07T00:00:00"/>
    <n v="227118575"/>
    <d v="2017-02-08T00:00:00"/>
    <n v="8288"/>
    <n v="437.2"/>
    <n v="263.33"/>
    <n v="3623513.6"/>
    <n v="2182479.04"/>
    <n v="1441034.56"/>
  </r>
  <r>
    <x v="4"/>
    <s v="Nauru"/>
    <s v="Fruits"/>
    <s v="Offline"/>
    <s v="M"/>
    <s v="7/14/2012"/>
    <n v="431402909"/>
    <s v="8/16/2012"/>
    <n v="562"/>
    <n v="9.33"/>
    <n v="6.92"/>
    <n v="5243.46"/>
    <n v="3889.04"/>
    <n v="1354.42"/>
  </r>
  <r>
    <x v="5"/>
    <s v="Ethiopia"/>
    <s v="Meat"/>
    <s v="Offline"/>
    <s v="L"/>
    <d v="2015-12-04T00:00:00"/>
    <n v="827247607"/>
    <s v="4/25/2015"/>
    <n v="9805"/>
    <n v="421.89"/>
    <n v="364.69"/>
    <n v="4136631.45"/>
    <n v="3575785.45"/>
    <n v="560846"/>
  </r>
  <r>
    <x v="1"/>
    <s v="Albania"/>
    <s v="Meat"/>
    <s v="Online"/>
    <s v="C"/>
    <d v="2010-12-11T00:00:00"/>
    <n v="863138997"/>
    <s v="12/21/2010"/>
    <n v="865"/>
    <n v="421.89"/>
    <n v="364.69"/>
    <n v="364934.85"/>
    <n v="315456.84999999998"/>
    <n v="49478"/>
  </r>
  <r>
    <x v="0"/>
    <s v="Dominica"/>
    <s v="Snacks"/>
    <s v="Offline"/>
    <s v="L"/>
    <d v="2012-02-01T00:00:00"/>
    <n v="957875907"/>
    <s v="1/16/2012"/>
    <n v="5622"/>
    <n v="152.58000000000001"/>
    <n v="97.44"/>
    <n v="857804.76"/>
    <n v="547807.68000000005"/>
    <n v="309997.08"/>
  </r>
  <r>
    <x v="0"/>
    <s v="Honduras"/>
    <s v="Clothes"/>
    <s v="Offline"/>
    <s v="L"/>
    <s v="4/30/2017"/>
    <n v="250569665"/>
    <d v="2017-08-05T00:00:00"/>
    <n v="7987"/>
    <n v="109.28"/>
    <n v="35.840000000000003"/>
    <n v="872819.36"/>
    <n v="286254.08000000002"/>
    <n v="586565.28"/>
  </r>
  <r>
    <x v="5"/>
    <s v="Cape Verde"/>
    <s v="Snacks"/>
    <s v="Online"/>
    <s v="H"/>
    <d v="2015-02-03T00:00:00"/>
    <n v="650644099"/>
    <s v="3/31/2015"/>
    <n v="8903"/>
    <n v="152.58000000000001"/>
    <n v="97.44"/>
    <n v="1358419.74"/>
    <n v="867508.32"/>
    <n v="490911.42"/>
  </r>
  <r>
    <x v="2"/>
    <s v="Indonesia"/>
    <s v="Fruits"/>
    <s v="Offline"/>
    <s v="H"/>
    <s v="1/24/2010"/>
    <n v="987835538"/>
    <d v="2010-10-03T00:00:00"/>
    <n v="1342"/>
    <n v="9.33"/>
    <n v="6.92"/>
    <n v="12520.86"/>
    <n v="9286.64"/>
    <n v="3234.22"/>
  </r>
  <r>
    <x v="3"/>
    <s v="Somalia"/>
    <s v="Cosmetics"/>
    <s v="Online"/>
    <s v="H"/>
    <d v="2011-03-06T00:00:00"/>
    <n v="162192809"/>
    <s v="6/17/2011"/>
    <n v="5311"/>
    <n v="437.2"/>
    <n v="263.33"/>
    <n v="2321969.2000000002"/>
    <n v="1398545.63"/>
    <n v="923423.57"/>
  </r>
  <r>
    <x v="5"/>
    <s v="Mozambique"/>
    <s v="Clothes"/>
    <s v="Offline"/>
    <s v="H"/>
    <s v="7/19/2014"/>
    <n v="294077241"/>
    <s v="7/28/2014"/>
    <n v="2845"/>
    <n v="109.28"/>
    <n v="35.840000000000003"/>
    <n v="310901.59999999998"/>
    <n v="101964.8"/>
    <n v="208936.8"/>
  </r>
  <r>
    <x v="5"/>
    <s v="Angola"/>
    <s v="Baby Food"/>
    <s v="Offline"/>
    <s v="L"/>
    <s v="1/15/2012"/>
    <n v="874162662"/>
    <s v="2/24/2012"/>
    <n v="3012"/>
    <n v="255.28"/>
    <n v="159.41999999999999"/>
    <n v="768903.36"/>
    <n v="480173.04"/>
    <n v="288730.32"/>
  </r>
  <r>
    <x v="6"/>
    <s v="Greenland"/>
    <s v="Beverages"/>
    <s v="Offline"/>
    <s v="C"/>
    <s v="9/13/2012"/>
    <n v="113435399"/>
    <d v="2012-12-10T00:00:00"/>
    <n v="6910"/>
    <n v="47.45"/>
    <n v="31.79"/>
    <n v="327879.5"/>
    <n v="219668.9"/>
    <n v="108210.6"/>
  </r>
  <r>
    <x v="0"/>
    <s v="Honduras"/>
    <s v="Meat"/>
    <s v="Offline"/>
    <s v="H"/>
    <s v="1/15/2015"/>
    <n v="793194282"/>
    <s v="2/23/2015"/>
    <n v="2669"/>
    <n v="421.89"/>
    <n v="364.69"/>
    <n v="1126024.4099999999"/>
    <n v="973357.61"/>
    <n v="152666.79999999999"/>
  </r>
  <r>
    <x v="4"/>
    <s v="Samoa "/>
    <s v="Fruits"/>
    <s v="Offline"/>
    <s v="C"/>
    <s v="1/23/2011"/>
    <n v="815050637"/>
    <d v="2011-07-03T00:00:00"/>
    <n v="451"/>
    <n v="9.33"/>
    <n v="6.92"/>
    <n v="4207.83"/>
    <n v="3120.92"/>
    <n v="1086.9100000000001"/>
  </r>
  <r>
    <x v="2"/>
    <s v="North Korea"/>
    <s v="Fruits"/>
    <s v="Online"/>
    <s v="M"/>
    <d v="2012-05-10T00:00:00"/>
    <n v="850928294"/>
    <d v="2012-09-10T00:00:00"/>
    <n v="7447"/>
    <n v="9.33"/>
    <n v="6.92"/>
    <n v="69480.509999999995"/>
    <n v="51533.24"/>
    <n v="17947.27"/>
  </r>
  <r>
    <x v="3"/>
    <s v="Jordan"/>
    <s v="Snacks"/>
    <s v="Online"/>
    <s v="M"/>
    <s v="6/27/2010"/>
    <n v="293063580"/>
    <s v="6/27/2010"/>
    <n v="2881"/>
    <n v="152.58000000000001"/>
    <n v="97.44"/>
    <n v="439582.98"/>
    <n v="280724.64"/>
    <n v="158858.34"/>
  </r>
  <r>
    <x v="2"/>
    <s v="Thailand"/>
    <s v="Beverages"/>
    <s v="Online"/>
    <s v="H"/>
    <s v="7/31/2014"/>
    <n v="404005324"/>
    <s v="9/15/2014"/>
    <n v="3008"/>
    <n v="47.45"/>
    <n v="31.79"/>
    <n v="142729.60000000001"/>
    <n v="95624.320000000007"/>
    <n v="47105.279999999999"/>
  </r>
  <r>
    <x v="1"/>
    <s v="Serbia"/>
    <s v="Household"/>
    <s v="Online"/>
    <s v="M"/>
    <s v="9/23/2013"/>
    <n v="266614854"/>
    <d v="2013-10-10T00:00:00"/>
    <n v="6115"/>
    <n v="668.27"/>
    <n v="502.54"/>
    <n v="4086471.05"/>
    <n v="3073032.1"/>
    <n v="1013438.95"/>
  </r>
  <r>
    <x v="1"/>
    <s v="Andorra"/>
    <s v="Household"/>
    <s v="Offline"/>
    <s v="L"/>
    <s v="8/14/2016"/>
    <n v="834065997"/>
    <s v="9/14/2016"/>
    <n v="7518"/>
    <n v="668.27"/>
    <n v="502.54"/>
    <n v="5024053.8600000003"/>
    <n v="3778095.72"/>
    <n v="1245958.1399999999"/>
  </r>
  <r>
    <x v="1"/>
    <s v="Lithuania"/>
    <s v="Fruits"/>
    <s v="Offline"/>
    <s v="M"/>
    <s v="4/14/2010"/>
    <n v="879845082"/>
    <d v="2010-01-05T00:00:00"/>
    <n v="4567"/>
    <n v="9.33"/>
    <n v="6.92"/>
    <n v="42610.11"/>
    <n v="31603.64"/>
    <n v="11006.47"/>
  </r>
  <r>
    <x v="3"/>
    <s v="Egypt"/>
    <s v="Household"/>
    <s v="Offline"/>
    <s v="M"/>
    <s v="11/24/2016"/>
    <n v="147750937"/>
    <d v="2017-06-01T00:00:00"/>
    <n v="1641"/>
    <n v="668.27"/>
    <n v="502.54"/>
    <n v="1096631.07"/>
    <n v="824668.14"/>
    <n v="271962.93"/>
  </r>
  <r>
    <x v="5"/>
    <s v="The Gambia"/>
    <s v="Baby Food"/>
    <s v="Online"/>
    <s v="M"/>
    <d v="2014-08-04T00:00:00"/>
    <n v="701894891"/>
    <s v="5/18/2014"/>
    <n v="5151"/>
    <n v="255.28"/>
    <n v="159.41999999999999"/>
    <n v="1314947.28"/>
    <n v="821172.42"/>
    <n v="493774.86"/>
  </r>
  <r>
    <x v="5"/>
    <s v="Equatorial Guinea"/>
    <s v="Personal Care"/>
    <s v="Online"/>
    <s v="C"/>
    <d v="2015-02-05T00:00:00"/>
    <n v="176700770"/>
    <s v="5/29/2015"/>
    <n v="8539"/>
    <n v="81.73"/>
    <n v="56.67"/>
    <n v="697892.47"/>
    <n v="483905.13"/>
    <n v="213987.34"/>
  </r>
  <r>
    <x v="0"/>
    <s v="Dominica"/>
    <s v="Fruits"/>
    <s v="Offline"/>
    <s v="H"/>
    <s v="5/22/2011"/>
    <n v="326904904"/>
    <s v="6/27/2011"/>
    <n v="7281"/>
    <n v="9.33"/>
    <n v="6.92"/>
    <n v="67931.73"/>
    <n v="50384.52"/>
    <n v="17547.21"/>
  </r>
  <r>
    <x v="3"/>
    <s v="Algeria"/>
    <s v="Baby Food"/>
    <s v="Online"/>
    <s v="H"/>
    <s v="9/20/2013"/>
    <n v="277556121"/>
    <s v="10/29/2013"/>
    <n v="3879"/>
    <n v="255.28"/>
    <n v="159.41999999999999"/>
    <n v="990231.12"/>
    <n v="618390.18000000005"/>
    <n v="371840.94"/>
  </r>
  <r>
    <x v="3"/>
    <s v="Kuwait"/>
    <s v="Household"/>
    <s v="Online"/>
    <s v="M"/>
    <s v="12/20/2011"/>
    <n v="574015748"/>
    <d v="2012-08-01T00:00:00"/>
    <n v="2871"/>
    <n v="668.27"/>
    <n v="502.54"/>
    <n v="1918603.17"/>
    <n v="1442792.34"/>
    <n v="475810.83"/>
  </r>
  <r>
    <x v="5"/>
    <s v="Rwanda"/>
    <s v="Cosmetics"/>
    <s v="Offline"/>
    <s v="L"/>
    <d v="2015-06-10T00:00:00"/>
    <n v="931957614"/>
    <s v="11/25/2015"/>
    <n v="5823"/>
    <n v="437.2"/>
    <n v="263.33"/>
    <n v="2545815.6"/>
    <n v="1533370.59"/>
    <n v="1012445.01"/>
  </r>
  <r>
    <x v="2"/>
    <s v="Uzbekistan"/>
    <s v="Cereal"/>
    <s v="Online"/>
    <s v="L"/>
    <s v="1/30/2013"/>
    <n v="687368047"/>
    <s v="2/14/2013"/>
    <n v="6335"/>
    <n v="205.7"/>
    <n v="117.11"/>
    <n v="1303109.5"/>
    <n v="741891.85"/>
    <n v="561217.65"/>
  </r>
  <r>
    <x v="1"/>
    <s v="Slovakia"/>
    <s v="Cosmetics"/>
    <s v="Offline"/>
    <s v="M"/>
    <s v="11/27/2011"/>
    <n v="146545875"/>
    <d v="2012-07-01T00:00:00"/>
    <n v="5036"/>
    <n v="437.2"/>
    <n v="263.33"/>
    <n v="2201739.2000000002"/>
    <n v="1326129.8799999999"/>
    <n v="875609.32"/>
  </r>
  <r>
    <x v="3"/>
    <s v="Morocco"/>
    <s v="Snacks"/>
    <s v="Offline"/>
    <s v="C"/>
    <d v="2013-11-09T00:00:00"/>
    <n v="136102426"/>
    <s v="9/23/2013"/>
    <n v="4587"/>
    <n v="152.58000000000001"/>
    <n v="97.44"/>
    <n v="699884.46"/>
    <n v="446957.28"/>
    <n v="252927.18"/>
  </r>
  <r>
    <x v="2"/>
    <s v="Bhutan"/>
    <s v="Household"/>
    <s v="Online"/>
    <s v="C"/>
    <s v="3/14/2017"/>
    <n v="652961528"/>
    <s v="3/20/2017"/>
    <n v="4681"/>
    <n v="668.27"/>
    <n v="502.54"/>
    <n v="3128171.87"/>
    <n v="2352389.7400000002"/>
    <n v="775782.13"/>
  </r>
  <r>
    <x v="1"/>
    <s v="Romania"/>
    <s v="Baby Food"/>
    <s v="Offline"/>
    <s v="C"/>
    <s v="8/30/2014"/>
    <n v="414359509"/>
    <d v="2014-11-09T00:00:00"/>
    <n v="7042"/>
    <n v="255.28"/>
    <n v="159.41999999999999"/>
    <n v="1797681.76"/>
    <n v="1122635.6399999999"/>
    <n v="675046.12"/>
  </r>
  <r>
    <x v="0"/>
    <s v="Costa Rica"/>
    <s v="Vegetables"/>
    <s v="Online"/>
    <s v="L"/>
    <s v="9/27/2010"/>
    <n v="907845199"/>
    <d v="2010-02-10T00:00:00"/>
    <n v="423"/>
    <n v="154.06"/>
    <n v="90.93"/>
    <n v="65167.38"/>
    <n v="38463.39"/>
    <n v="26703.99"/>
  </r>
  <r>
    <x v="3"/>
    <s v="Libya"/>
    <s v="Household"/>
    <s v="Offline"/>
    <s v="M"/>
    <d v="2011-01-03T00:00:00"/>
    <n v="541279923"/>
    <s v="3/29/2011"/>
    <n v="5613"/>
    <n v="668.27"/>
    <n v="502.54"/>
    <n v="3750999.51"/>
    <n v="2820757.02"/>
    <n v="930242.49"/>
  </r>
  <r>
    <x v="0"/>
    <s v="Jamaica"/>
    <s v="Vegetables"/>
    <s v="Offline"/>
    <s v="M"/>
    <s v="5/13/2011"/>
    <n v="492837512"/>
    <s v="5/20/2011"/>
    <n v="427"/>
    <n v="154.06"/>
    <n v="90.93"/>
    <n v="65783.62"/>
    <n v="38827.11"/>
    <n v="26956.51"/>
  </r>
  <r>
    <x v="4"/>
    <s v="Solomon Islands"/>
    <s v="Fruits"/>
    <s v="Offline"/>
    <s v="C"/>
    <d v="2015-01-06T00:00:00"/>
    <n v="661004292"/>
    <d v="2015-07-07T00:00:00"/>
    <n v="4714"/>
    <n v="9.33"/>
    <n v="6.92"/>
    <n v="43981.62"/>
    <n v="32620.880000000001"/>
    <n v="11360.74"/>
  </r>
  <r>
    <x v="5"/>
    <s v="Mozambique"/>
    <s v="Household"/>
    <s v="Online"/>
    <s v="L"/>
    <d v="2017-02-02T00:00:00"/>
    <n v="114579093"/>
    <s v="3/17/2017"/>
    <n v="5355"/>
    <n v="668.27"/>
    <n v="502.54"/>
    <n v="3578585.85"/>
    <n v="2691101.7"/>
    <n v="887484.15"/>
  </r>
  <r>
    <x v="0"/>
    <s v="Dominica"/>
    <s v="Vegetables"/>
    <s v="Offline"/>
    <s v="M"/>
    <s v="3/28/2011"/>
    <n v="242673242"/>
    <s v="4/20/2011"/>
    <n v="1260"/>
    <n v="154.06"/>
    <n v="90.93"/>
    <n v="194115.6"/>
    <n v="114571.8"/>
    <n v="79543.8"/>
  </r>
  <r>
    <x v="2"/>
    <s v="Philippines"/>
    <s v="Fruits"/>
    <s v="Online"/>
    <s v="M"/>
    <d v="2012-08-09T00:00:00"/>
    <n v="704710566"/>
    <s v="9/15/2012"/>
    <n v="8372"/>
    <n v="9.33"/>
    <n v="6.92"/>
    <n v="78110.759999999995"/>
    <n v="57934.239999999998"/>
    <n v="20176.52"/>
  </r>
  <r>
    <x v="2"/>
    <s v="Mongolia"/>
    <s v="Cereal"/>
    <s v="Online"/>
    <s v="L"/>
    <s v="8/19/2014"/>
    <n v="780427396"/>
    <s v="9/30/2014"/>
    <n v="4664"/>
    <n v="205.7"/>
    <n v="117.11"/>
    <n v="959384.8"/>
    <n v="546201.04"/>
    <n v="413183.76"/>
  </r>
  <r>
    <x v="0"/>
    <s v="Panama"/>
    <s v="Meat"/>
    <s v="Offline"/>
    <s v="C"/>
    <d v="2015-07-02T00:00:00"/>
    <n v="719872558"/>
    <s v="2/16/2015"/>
    <n v="5142"/>
    <n v="421.89"/>
    <n v="364.69"/>
    <n v="2169358.38"/>
    <n v="1875235.98"/>
    <n v="294122.40000000002"/>
  </r>
  <r>
    <x v="5"/>
    <s v="Ghana"/>
    <s v="Fruits"/>
    <s v="Online"/>
    <s v="L"/>
    <s v="3/16/2013"/>
    <n v="393407380"/>
    <s v="3/21/2013"/>
    <n v="6841"/>
    <n v="9.33"/>
    <n v="6.92"/>
    <n v="63826.53"/>
    <n v="47339.72"/>
    <n v="16486.810000000001"/>
  </r>
  <r>
    <x v="5"/>
    <s v="Sao Tome and Principe"/>
    <s v="Clothes"/>
    <s v="Online"/>
    <s v="C"/>
    <s v="11/20/2012"/>
    <n v="641705691"/>
    <d v="2012-07-12T00:00:00"/>
    <n v="3829"/>
    <n v="109.28"/>
    <n v="35.840000000000003"/>
    <n v="418433.12"/>
    <n v="137231.35999999999"/>
    <n v="281201.76"/>
  </r>
  <r>
    <x v="3"/>
    <s v="Iraq"/>
    <s v="Personal Care"/>
    <s v="Offline"/>
    <s v="M"/>
    <d v="2011-08-08T00:00:00"/>
    <n v="125753819"/>
    <s v="9/18/2011"/>
    <n v="2205"/>
    <n v="81.73"/>
    <n v="56.67"/>
    <n v="180214.65"/>
    <n v="124957.35"/>
    <n v="55257.3"/>
  </r>
  <r>
    <x v="1"/>
    <s v="Malta"/>
    <s v="Baby Food"/>
    <s v="Offline"/>
    <s v="L"/>
    <s v="8/21/2011"/>
    <n v="276850593"/>
    <d v="2011-03-09T00:00:00"/>
    <n v="5097"/>
    <n v="255.28"/>
    <n v="159.41999999999999"/>
    <n v="1301162.1599999999"/>
    <n v="812563.74"/>
    <n v="488598.42"/>
  </r>
  <r>
    <x v="2"/>
    <s v="Uzbekistan"/>
    <s v="Office Supplies"/>
    <s v="Online"/>
    <s v="H"/>
    <d v="2016-10-05T00:00:00"/>
    <n v="346607339"/>
    <s v="6/13/2016"/>
    <n v="7669"/>
    <n v="651.21"/>
    <n v="524.96"/>
    <n v="4994129.49"/>
    <n v="4025918.24"/>
    <n v="968211.25"/>
  </r>
  <r>
    <x v="1"/>
    <s v="Andorra"/>
    <s v="Cereal"/>
    <s v="Online"/>
    <s v="L"/>
    <d v="2011-05-04T00:00:00"/>
    <n v="556947886"/>
    <s v="5/17/2011"/>
    <n v="2111"/>
    <n v="205.7"/>
    <n v="117.11"/>
    <n v="434232.7"/>
    <n v="247219.21"/>
    <n v="187013.49"/>
  </r>
  <r>
    <x v="5"/>
    <s v="Burundi"/>
    <s v="Baby Food"/>
    <s v="Offline"/>
    <s v="C"/>
    <d v="2013-09-03T00:00:00"/>
    <n v="750108563"/>
    <s v="4/16/2013"/>
    <n v="2648"/>
    <n v="255.28"/>
    <n v="159.41999999999999"/>
    <n v="675981.44"/>
    <n v="422144.16"/>
    <n v="253837.28"/>
  </r>
  <r>
    <x v="0"/>
    <s v="Dominica"/>
    <s v="Office Supplies"/>
    <s v="Offline"/>
    <s v="H"/>
    <s v="7/22/2013"/>
    <n v="838638198"/>
    <d v="2013-02-08T00:00:00"/>
    <n v="534"/>
    <n v="651.21"/>
    <n v="524.96"/>
    <n v="347746.14"/>
    <n v="280328.64"/>
    <n v="67417.5"/>
  </r>
  <r>
    <x v="2"/>
    <s v="Taiwan"/>
    <s v="Cosmetics"/>
    <s v="Online"/>
    <s v="H"/>
    <s v="5/31/2012"/>
    <n v="355398118"/>
    <s v="6/15/2012"/>
    <n v="9056"/>
    <n v="437.2"/>
    <n v="263.33"/>
    <n v="3959283.2"/>
    <n v="2384716.48"/>
    <n v="1574566.72"/>
  </r>
  <r>
    <x v="5"/>
    <s v="Lesotho"/>
    <s v="Vegetables"/>
    <s v="Offline"/>
    <s v="H"/>
    <s v="8/29/2014"/>
    <n v="703562152"/>
    <d v="2014-09-10T00:00:00"/>
    <n v="8530"/>
    <n v="154.06"/>
    <n v="90.93"/>
    <n v="1314131.8"/>
    <n v="775632.9"/>
    <n v="538498.9"/>
  </r>
  <r>
    <x v="4"/>
    <s v="Tuvalu"/>
    <s v="Household"/>
    <s v="Offline"/>
    <s v="M"/>
    <d v="2011-09-02T00:00:00"/>
    <n v="206616628"/>
    <s v="3/24/2011"/>
    <n v="1306"/>
    <n v="668.27"/>
    <n v="502.54"/>
    <n v="872760.62"/>
    <n v="656317.24"/>
    <n v="216443.38"/>
  </r>
  <r>
    <x v="6"/>
    <s v="Greenland"/>
    <s v="Beverages"/>
    <s v="Online"/>
    <s v="C"/>
    <s v="7/30/2012"/>
    <n v="858360373"/>
    <d v="2012-12-08T00:00:00"/>
    <n v="6764"/>
    <n v="47.45"/>
    <n v="31.79"/>
    <n v="320951.8"/>
    <n v="215027.56"/>
    <n v="105924.24"/>
  </r>
  <r>
    <x v="2"/>
    <s v="Sri Lanka"/>
    <s v="Clothes"/>
    <s v="Online"/>
    <s v="L"/>
    <s v="10/22/2015"/>
    <n v="672904717"/>
    <s v="10/30/2015"/>
    <n v="6314"/>
    <n v="109.28"/>
    <n v="35.840000000000003"/>
    <n v="689993.92"/>
    <n v="226293.76000000001"/>
    <n v="463700.16"/>
  </r>
  <r>
    <x v="5"/>
    <s v="Kenya"/>
    <s v="Beverages"/>
    <s v="Offline"/>
    <s v="H"/>
    <s v="10/21/2014"/>
    <n v="434673488"/>
    <d v="2014-12-11T00:00:00"/>
    <n v="8399"/>
    <n v="47.45"/>
    <n v="31.79"/>
    <n v="398532.55"/>
    <n v="267004.21000000002"/>
    <n v="131528.34"/>
  </r>
  <r>
    <x v="1"/>
    <s v="United Kingdom"/>
    <s v="Household"/>
    <s v="Online"/>
    <s v="C"/>
    <s v="3/23/2012"/>
    <n v="548403012"/>
    <d v="2012-04-04T00:00:00"/>
    <n v="3493"/>
    <n v="668.27"/>
    <n v="502.54"/>
    <n v="2334267.11"/>
    <n v="1755372.22"/>
    <n v="578894.89"/>
  </r>
  <r>
    <x v="5"/>
    <s v="Burundi"/>
    <s v="Clothes"/>
    <s v="Offline"/>
    <s v="M"/>
    <s v="7/27/2015"/>
    <n v="589142119"/>
    <s v="8/21/2015"/>
    <n v="9100"/>
    <n v="109.28"/>
    <n v="35.840000000000003"/>
    <n v="994448"/>
    <n v="326144"/>
    <n v="668304"/>
  </r>
  <r>
    <x v="1"/>
    <s v="United Kingdom"/>
    <s v="Vegetables"/>
    <s v="Online"/>
    <s v="L"/>
    <d v="2010-07-09T00:00:00"/>
    <n v="652252137"/>
    <s v="9/26/2010"/>
    <n v="4757"/>
    <n v="154.06"/>
    <n v="90.93"/>
    <n v="732863.42"/>
    <n v="432554.01"/>
    <n v="300309.40999999997"/>
  </r>
  <r>
    <x v="5"/>
    <s v="Botswana"/>
    <s v="Snacks"/>
    <s v="Online"/>
    <s v="C"/>
    <s v="12/28/2010"/>
    <n v="903406894"/>
    <d v="2011-09-02T00:00:00"/>
    <n v="7030"/>
    <n v="152.58000000000001"/>
    <n v="97.44"/>
    <n v="1072637.3999999999"/>
    <n v="685003.2"/>
    <n v="387634.2"/>
  </r>
  <r>
    <x v="5"/>
    <s v="Benin"/>
    <s v="Vegetables"/>
    <s v="Offline"/>
    <s v="H"/>
    <s v="10/30/2015"/>
    <n v="228592717"/>
    <d v="2015-03-11T00:00:00"/>
    <n v="4520"/>
    <n v="154.06"/>
    <n v="90.93"/>
    <n v="696351.2"/>
    <n v="411003.6"/>
    <n v="285347.59999999998"/>
  </r>
  <r>
    <x v="1"/>
    <s v="Malta"/>
    <s v="Cosmetics"/>
    <s v="Online"/>
    <s v="M"/>
    <s v="3/29/2014"/>
    <n v="284108436"/>
    <d v="2014-03-04T00:00:00"/>
    <n v="2854"/>
    <n v="437.2"/>
    <n v="263.33"/>
    <n v="1247768.8"/>
    <n v="751543.82"/>
    <n v="496224.98"/>
  </r>
  <r>
    <x v="5"/>
    <s v="Gabon"/>
    <s v="Cereal"/>
    <s v="Offline"/>
    <s v="C"/>
    <s v="6/24/2011"/>
    <n v="546565377"/>
    <d v="2011-01-07T00:00:00"/>
    <n v="9696"/>
    <n v="205.7"/>
    <n v="117.11"/>
    <n v="1994467.2"/>
    <n v="1135498.56"/>
    <n v="858968.64"/>
  </r>
  <r>
    <x v="5"/>
    <s v="Seychelles "/>
    <s v="Office Supplies"/>
    <s v="Online"/>
    <s v="H"/>
    <s v="1/29/2010"/>
    <n v="562887370"/>
    <d v="2010-08-02T00:00:00"/>
    <n v="9736"/>
    <n v="651.21"/>
    <n v="524.96"/>
    <n v="6340180.5599999996"/>
    <n v="5111010.5599999996"/>
    <n v="1229170"/>
  </r>
  <r>
    <x v="5"/>
    <s v="Nigeria"/>
    <s v="Snacks"/>
    <s v="Online"/>
    <s v="L"/>
    <s v="8/20/2013"/>
    <n v="400310742"/>
    <s v="9/17/2013"/>
    <n v="9699"/>
    <n v="152.58000000000001"/>
    <n v="97.44"/>
    <n v="1479873.42"/>
    <n v="945070.56"/>
    <n v="534802.86"/>
  </r>
  <r>
    <x v="3"/>
    <s v="Egypt"/>
    <s v="Fruits"/>
    <s v="Online"/>
    <s v="H"/>
    <s v="6/16/2015"/>
    <n v="196384322"/>
    <s v="6/28/2015"/>
    <n v="3340"/>
    <n v="9.33"/>
    <n v="6.92"/>
    <n v="31162.2"/>
    <n v="23112.799999999999"/>
    <n v="8049.4"/>
  </r>
  <r>
    <x v="3"/>
    <s v="Pakistan"/>
    <s v="Vegetables"/>
    <s v="Offline"/>
    <s v="C"/>
    <s v="6/25/2017"/>
    <n v="608969438"/>
    <s v="7/25/2017"/>
    <n v="6444"/>
    <n v="154.06"/>
    <n v="90.93"/>
    <n v="992762.64"/>
    <n v="585952.92000000004"/>
    <n v="406809.72"/>
  </r>
  <r>
    <x v="5"/>
    <s v="Ghana"/>
    <s v="Beverages"/>
    <s v="Offline"/>
    <s v="C"/>
    <d v="2011-10-05T00:00:00"/>
    <n v="566239917"/>
    <d v="2011-12-06T00:00:00"/>
    <n v="1829"/>
    <n v="47.45"/>
    <n v="31.79"/>
    <n v="86786.05"/>
    <n v="58143.91"/>
    <n v="28642.14"/>
  </r>
  <r>
    <x v="1"/>
    <s v="Norway"/>
    <s v="Vegetables"/>
    <s v="Offline"/>
    <s v="H"/>
    <d v="2012-05-07T00:00:00"/>
    <n v="416682088"/>
    <s v="8/14/2012"/>
    <n v="4344"/>
    <n v="154.06"/>
    <n v="90.93"/>
    <n v="669236.64"/>
    <n v="394999.92"/>
    <n v="274236.71999999997"/>
  </r>
  <r>
    <x v="1"/>
    <s v="Cyprus"/>
    <s v="Vegetables"/>
    <s v="Offline"/>
    <s v="M"/>
    <d v="2010-08-12T00:00:00"/>
    <n v="579094779"/>
    <d v="2010-11-12T00:00:00"/>
    <n v="5869"/>
    <n v="154.06"/>
    <n v="90.93"/>
    <n v="904178.14"/>
    <n v="533668.17000000004"/>
    <n v="370509.97"/>
  </r>
  <r>
    <x v="1"/>
    <s v="Czech Republic"/>
    <s v="Fruits"/>
    <s v="Online"/>
    <s v="M"/>
    <d v="2012-01-11T00:00:00"/>
    <n v="192589318"/>
    <s v="12/16/2012"/>
    <n v="314"/>
    <n v="9.33"/>
    <n v="6.92"/>
    <n v="2929.62"/>
    <n v="2172.88"/>
    <n v="756.74"/>
  </r>
  <r>
    <x v="5"/>
    <s v="Guinea-Bissau"/>
    <s v="Office Supplies"/>
    <s v="Online"/>
    <s v="M"/>
    <d v="2014-11-02T00:00:00"/>
    <n v="266589534"/>
    <d v="2014-02-03T00:00:00"/>
    <n v="8622"/>
    <n v="651.21"/>
    <n v="524.96"/>
    <n v="5614732.6200000001"/>
    <n v="4526205.12"/>
    <n v="1088527.5"/>
  </r>
  <r>
    <x v="5"/>
    <s v="Togo"/>
    <s v="Cosmetics"/>
    <s v="Offline"/>
    <s v="L"/>
    <s v="9/28/2011"/>
    <n v="530831754"/>
    <s v="11/14/2011"/>
    <n v="3767"/>
    <n v="437.2"/>
    <n v="263.33"/>
    <n v="1646932.4"/>
    <n v="991964.11"/>
    <n v="654968.29"/>
  </r>
  <r>
    <x v="1"/>
    <s v="Belarus"/>
    <s v="Household"/>
    <s v="Offline"/>
    <s v="M"/>
    <d v="2015-12-02T00:00:00"/>
    <n v="785364806"/>
    <s v="3/21/2015"/>
    <n v="5754"/>
    <n v="668.27"/>
    <n v="502.54"/>
    <n v="3845225.58"/>
    <n v="2891615.16"/>
    <n v="953610.42"/>
  </r>
  <r>
    <x v="1"/>
    <s v="Russia"/>
    <s v="Baby Food"/>
    <s v="Offline"/>
    <s v="M"/>
    <s v="12/24/2011"/>
    <n v="450550019"/>
    <d v="2012-02-01T00:00:00"/>
    <n v="6618"/>
    <n v="255.28"/>
    <n v="159.41999999999999"/>
    <n v="1689443.04"/>
    <n v="1055041.56"/>
    <n v="634401.48"/>
  </r>
  <r>
    <x v="1"/>
    <s v="Bulgaria"/>
    <s v="Vegetables"/>
    <s v="Offline"/>
    <s v="C"/>
    <s v="1/26/2010"/>
    <n v="817061221"/>
    <s v="2/21/2010"/>
    <n v="5427"/>
    <n v="154.06"/>
    <n v="90.93"/>
    <n v="836083.62"/>
    <n v="493477.11"/>
    <n v="342606.51"/>
  </r>
  <r>
    <x v="0"/>
    <s v="Dominican Republic"/>
    <s v="Office Supplies"/>
    <s v="Online"/>
    <s v="H"/>
    <s v="8/15/2010"/>
    <n v="995884740"/>
    <s v="8/23/2010"/>
    <n v="3280"/>
    <n v="651.21"/>
    <n v="524.96"/>
    <n v="2135968.7999999998"/>
    <n v="1721868.8"/>
    <n v="414100"/>
  </r>
  <r>
    <x v="1"/>
    <s v="Slovakia"/>
    <s v="Office Supplies"/>
    <s v="Online"/>
    <s v="H"/>
    <s v="2/20/2012"/>
    <n v="168319404"/>
    <d v="2012-10-03T00:00:00"/>
    <n v="8307"/>
    <n v="651.21"/>
    <n v="524.96"/>
    <n v="5409601.4699999997"/>
    <n v="4360842.72"/>
    <n v="1048758.75"/>
  </r>
  <r>
    <x v="2"/>
    <s v="Laos"/>
    <s v="Beverages"/>
    <s v="Offline"/>
    <s v="H"/>
    <s v="3/15/2014"/>
    <n v="735976541"/>
    <s v="4/17/2014"/>
    <n v="668"/>
    <n v="47.45"/>
    <n v="31.79"/>
    <n v="31696.6"/>
    <n v="21235.72"/>
    <n v="10460.879999999999"/>
  </r>
  <r>
    <x v="5"/>
    <s v="Guinea"/>
    <s v="Clothes"/>
    <s v="Offline"/>
    <s v="C"/>
    <s v="8/29/2013"/>
    <n v="670779979"/>
    <d v="2013-09-09T00:00:00"/>
    <n v="7557"/>
    <n v="109.28"/>
    <n v="35.840000000000003"/>
    <n v="825828.96"/>
    <n v="270842.88"/>
    <n v="554986.07999999996"/>
  </r>
  <r>
    <x v="4"/>
    <s v="Kiribati"/>
    <s v="Office Supplies"/>
    <s v="Online"/>
    <s v="C"/>
    <d v="2016-04-01T00:00:00"/>
    <n v="264966046"/>
    <d v="2016-05-02T00:00:00"/>
    <n v="8196"/>
    <n v="651.21"/>
    <n v="524.96"/>
    <n v="5337317.16"/>
    <n v="4302572.16"/>
    <n v="1034745"/>
  </r>
  <r>
    <x v="1"/>
    <s v="Croatia"/>
    <s v="Clothes"/>
    <s v="Online"/>
    <s v="C"/>
    <d v="2016-09-06T00:00:00"/>
    <n v="781083571"/>
    <s v="6/18/2016"/>
    <n v="8841"/>
    <n v="109.28"/>
    <n v="35.840000000000003"/>
    <n v="966144.48"/>
    <n v="316861.44"/>
    <n v="649283.04"/>
  </r>
  <r>
    <x v="1"/>
    <s v="Ukraine"/>
    <s v="Cereal"/>
    <s v="Offline"/>
    <s v="M"/>
    <s v="3/21/2011"/>
    <n v="401993882"/>
    <d v="2011-11-04T00:00:00"/>
    <n v="7778"/>
    <n v="205.7"/>
    <n v="117.11"/>
    <n v="1599934.6"/>
    <n v="910881.58"/>
    <n v="689053.02"/>
  </r>
  <r>
    <x v="0"/>
    <s v="The Bahamas"/>
    <s v="Snacks"/>
    <s v="Offline"/>
    <s v="L"/>
    <d v="2016-07-08T00:00:00"/>
    <n v="980870807"/>
    <d v="2016-09-09T00:00:00"/>
    <n v="324"/>
    <n v="152.58000000000001"/>
    <n v="97.44"/>
    <n v="49435.92"/>
    <n v="31570.560000000001"/>
    <n v="17865.36"/>
  </r>
  <r>
    <x v="1"/>
    <s v="France"/>
    <s v="Office Supplies"/>
    <s v="Online"/>
    <s v="L"/>
    <s v="1/19/2012"/>
    <n v="391200673"/>
    <s v="2/13/2012"/>
    <n v="3827"/>
    <n v="651.21"/>
    <n v="524.96"/>
    <n v="2492180.67"/>
    <n v="2009021.92"/>
    <n v="483158.75"/>
  </r>
  <r>
    <x v="3"/>
    <s v="Iran"/>
    <s v="Baby Food"/>
    <s v="Offline"/>
    <s v="H"/>
    <d v="2012-01-03T00:00:00"/>
    <n v="176782310"/>
    <s v="3/16/2012"/>
    <n v="2669"/>
    <n v="255.28"/>
    <n v="159.41999999999999"/>
    <n v="681342.32"/>
    <n v="425491.98"/>
    <n v="255850.34"/>
  </r>
  <r>
    <x v="3"/>
    <s v="Qatar"/>
    <s v="Snacks"/>
    <s v="Offline"/>
    <s v="M"/>
    <s v="6/19/2017"/>
    <n v="601727044"/>
    <s v="7/22/2017"/>
    <n v="3259"/>
    <n v="152.58000000000001"/>
    <n v="97.44"/>
    <n v="497258.22"/>
    <n v="317556.96000000002"/>
    <n v="179701.26"/>
  </r>
  <r>
    <x v="2"/>
    <s v="Myanmar"/>
    <s v="Baby Food"/>
    <s v="Online"/>
    <s v="M"/>
    <d v="2010-11-08T00:00:00"/>
    <n v="200458705"/>
    <s v="9/30/2010"/>
    <n v="9040"/>
    <n v="255.28"/>
    <n v="159.41999999999999"/>
    <n v="2307731.2000000002"/>
    <n v="1441156.8"/>
    <n v="866574.4"/>
  </r>
  <r>
    <x v="3"/>
    <s v="Oman"/>
    <s v="Office Supplies"/>
    <s v="Offline"/>
    <s v="C"/>
    <d v="2013-07-03T00:00:00"/>
    <n v="727713620"/>
    <s v="4/22/2013"/>
    <n v="5486"/>
    <n v="651.21"/>
    <n v="524.96"/>
    <n v="3572538.06"/>
    <n v="2879930.56"/>
    <n v="692607.5"/>
  </r>
  <r>
    <x v="1"/>
    <s v="San Marino"/>
    <s v="Vegetables"/>
    <s v="Offline"/>
    <s v="M"/>
    <s v="9/30/2013"/>
    <n v="408540618"/>
    <s v="11/13/2013"/>
    <n v="5102"/>
    <n v="154.06"/>
    <n v="90.93"/>
    <n v="786014.12"/>
    <n v="463924.86"/>
    <n v="322089.26"/>
  </r>
  <r>
    <x v="0"/>
    <s v="Haiti"/>
    <s v="Fruits"/>
    <s v="Online"/>
    <s v="H"/>
    <d v="2017-02-02T00:00:00"/>
    <n v="688301026"/>
    <d v="2017-01-03T00:00:00"/>
    <n v="2424"/>
    <n v="9.33"/>
    <n v="6.92"/>
    <n v="22615.919999999998"/>
    <n v="16774.080000000002"/>
    <n v="5841.84"/>
  </r>
  <r>
    <x v="5"/>
    <s v="Ghana"/>
    <s v="Fruits"/>
    <s v="Online"/>
    <s v="L"/>
    <s v="2/15/2010"/>
    <n v="382668673"/>
    <d v="2010-04-03T00:00:00"/>
    <n v="9019"/>
    <n v="9.33"/>
    <n v="6.92"/>
    <n v="84147.27"/>
    <n v="62411.48"/>
    <n v="21735.79"/>
  </r>
  <r>
    <x v="4"/>
    <s v="New Zealand"/>
    <s v="Beverages"/>
    <s v="Offline"/>
    <s v="H"/>
    <s v="2/13/2011"/>
    <n v="627629888"/>
    <s v="2/14/2011"/>
    <n v="8486"/>
    <n v="47.45"/>
    <n v="31.79"/>
    <n v="402660.7"/>
    <n v="269769.94"/>
    <n v="132890.76"/>
  </r>
  <r>
    <x v="0"/>
    <s v="Jamaica"/>
    <s v="Beverages"/>
    <s v="Online"/>
    <s v="M"/>
    <s v="11/27/2012"/>
    <n v="829483497"/>
    <s v="11/30/2012"/>
    <n v="1454"/>
    <n v="47.45"/>
    <n v="31.79"/>
    <n v="68992.3"/>
    <n v="46222.66"/>
    <n v="22769.64"/>
  </r>
  <r>
    <x v="2"/>
    <s v="Laos"/>
    <s v="Clothes"/>
    <s v="Offline"/>
    <s v="M"/>
    <s v="12/14/2016"/>
    <n v="914840829"/>
    <s v="12/23/2016"/>
    <n v="586"/>
    <n v="109.28"/>
    <n v="35.840000000000003"/>
    <n v="64038.080000000002"/>
    <n v="21002.240000000002"/>
    <n v="43035.839999999997"/>
  </r>
  <r>
    <x v="4"/>
    <s v="Tonga"/>
    <s v="Baby Food"/>
    <s v="Online"/>
    <s v="H"/>
    <d v="2014-07-06T00:00:00"/>
    <n v="880625712"/>
    <s v="7/23/2014"/>
    <n v="5573"/>
    <n v="255.28"/>
    <n v="159.41999999999999"/>
    <n v="1422675.44"/>
    <n v="888447.66"/>
    <n v="534227.78"/>
  </r>
  <r>
    <x v="4"/>
    <s v="Solomon Islands"/>
    <s v="Beverages"/>
    <s v="Offline"/>
    <s v="L"/>
    <s v="9/23/2012"/>
    <n v="344074475"/>
    <s v="9/23/2012"/>
    <n v="8138"/>
    <n v="47.45"/>
    <n v="31.79"/>
    <n v="386148.1"/>
    <n v="258707.02"/>
    <n v="127441.08"/>
  </r>
  <r>
    <x v="2"/>
    <s v="India"/>
    <s v="Baby Food"/>
    <s v="Online"/>
    <s v="H"/>
    <d v="2016-03-07T00:00:00"/>
    <n v="792735946"/>
    <d v="2016-04-07T00:00:00"/>
    <n v="7038"/>
    <n v="255.28"/>
    <n v="159.41999999999999"/>
    <n v="1796660.64"/>
    <n v="1121997.96"/>
    <n v="674662.68"/>
  </r>
  <r>
    <x v="2"/>
    <s v="Bangladesh"/>
    <s v="Vegetables"/>
    <s v="Online"/>
    <s v="L"/>
    <d v="2016-05-05T00:00:00"/>
    <n v="634471452"/>
    <s v="6/13/2016"/>
    <n v="3057"/>
    <n v="154.06"/>
    <n v="90.93"/>
    <n v="470961.42"/>
    <n v="277973.01"/>
    <n v="192988.41"/>
  </r>
  <r>
    <x v="3"/>
    <s v="Egypt"/>
    <s v="Fruits"/>
    <s v="Offline"/>
    <s v="M"/>
    <d v="2015-02-04T00:00:00"/>
    <n v="147454822"/>
    <s v="5/14/2015"/>
    <n v="4013"/>
    <n v="9.33"/>
    <n v="6.92"/>
    <n v="37441.29"/>
    <n v="27769.96"/>
    <n v="9671.33"/>
  </r>
  <r>
    <x v="5"/>
    <s v="Burundi"/>
    <s v="Clothes"/>
    <s v="Online"/>
    <s v="L"/>
    <s v="4/19/2017"/>
    <n v="130172383"/>
    <s v="4/19/2017"/>
    <n v="9756"/>
    <n v="109.28"/>
    <n v="35.840000000000003"/>
    <n v="1066135.68"/>
    <n v="349655.03999999998"/>
    <n v="716480.64"/>
  </r>
  <r>
    <x v="2"/>
    <s v="Myanmar"/>
    <s v="Snacks"/>
    <s v="Offline"/>
    <s v="H"/>
    <d v="2016-05-04T00:00:00"/>
    <n v="551422965"/>
    <s v="5/22/2016"/>
    <n v="7164"/>
    <n v="152.58000000000001"/>
    <n v="97.44"/>
    <n v="1093083.1200000001"/>
    <n v="698060.16"/>
    <n v="395022.96"/>
  </r>
  <r>
    <x v="5"/>
    <s v="Mozambique"/>
    <s v="Office Supplies"/>
    <s v="Offline"/>
    <s v="L"/>
    <s v="7/22/2014"/>
    <n v="100317895"/>
    <s v="8/14/2014"/>
    <n v="5149"/>
    <n v="651.21"/>
    <n v="524.96"/>
    <n v="3353080.29"/>
    <n v="2703019.04"/>
    <n v="650061.25"/>
  </r>
  <r>
    <x v="5"/>
    <s v="Republic of the Congo"/>
    <s v="Office Supplies"/>
    <s v="Offline"/>
    <s v="M"/>
    <s v="11/15/2011"/>
    <n v="236281001"/>
    <s v="11/27/2011"/>
    <n v="9654"/>
    <n v="651.21"/>
    <n v="524.96"/>
    <n v="6286781.3399999999"/>
    <n v="5067963.84"/>
    <n v="1218817.5"/>
  </r>
  <r>
    <x v="1"/>
    <s v="San Marino"/>
    <s v="Personal Care"/>
    <s v="Online"/>
    <s v="L"/>
    <s v="7/17/2016"/>
    <n v="239048612"/>
    <s v="7/26/2016"/>
    <n v="8651"/>
    <n v="81.73"/>
    <n v="56.67"/>
    <n v="707046.23"/>
    <n v="490252.17"/>
    <n v="216794.06"/>
  </r>
  <r>
    <x v="3"/>
    <s v="Pakistan"/>
    <s v="Household"/>
    <s v="Online"/>
    <s v="C"/>
    <s v="6/18/2011"/>
    <n v="358669555"/>
    <d v="2011-03-08T00:00:00"/>
    <n v="7147"/>
    <n v="668.27"/>
    <n v="502.54"/>
    <n v="4776125.6900000004"/>
    <n v="3591653.38"/>
    <n v="1184472.31"/>
  </r>
  <r>
    <x v="4"/>
    <s v="Marshall Islands"/>
    <s v="Cereal"/>
    <s v="Online"/>
    <s v="M"/>
    <s v="11/15/2010"/>
    <n v="465505158"/>
    <d v="2010-05-12T00:00:00"/>
    <n v="2176"/>
    <n v="205.7"/>
    <n v="117.11"/>
    <n v="447603.20000000001"/>
    <n v="254831.35999999999"/>
    <n v="192771.84"/>
  </r>
  <r>
    <x v="2"/>
    <s v="Indonesia"/>
    <s v="Household"/>
    <s v="Online"/>
    <s v="L"/>
    <s v="2/26/2011"/>
    <n v="500229251"/>
    <s v="3/15/2011"/>
    <n v="7806"/>
    <n v="668.27"/>
    <n v="502.54"/>
    <n v="5216515.62"/>
    <n v="3922827.24"/>
    <n v="1293688.3799999999"/>
  </r>
  <r>
    <x v="5"/>
    <s v="Guinea"/>
    <s v="Household"/>
    <s v="Offline"/>
    <s v="H"/>
    <s v="4/30/2017"/>
    <n v="923828160"/>
    <d v="2017-03-06T00:00:00"/>
    <n v="137"/>
    <n v="668.27"/>
    <n v="502.54"/>
    <n v="91552.99"/>
    <n v="68847.98"/>
    <n v="22705.01"/>
  </r>
  <r>
    <x v="5"/>
    <s v="Mozambique"/>
    <s v="Personal Care"/>
    <s v="Online"/>
    <s v="L"/>
    <s v="7/18/2016"/>
    <n v="467600715"/>
    <s v="7/25/2016"/>
    <n v="2297"/>
    <n v="81.73"/>
    <n v="56.67"/>
    <n v="187733.81"/>
    <n v="130170.99"/>
    <n v="57562.82"/>
  </r>
  <r>
    <x v="5"/>
    <s v="The Gambia"/>
    <s v="Household"/>
    <s v="Offline"/>
    <s v="H"/>
    <s v="2/29/2012"/>
    <n v="183158242"/>
    <d v="2012-07-04T00:00:00"/>
    <n v="9449"/>
    <n v="668.27"/>
    <n v="502.54"/>
    <n v="6314483.2300000004"/>
    <n v="4748500.46"/>
    <n v="1565982.77"/>
  </r>
  <r>
    <x v="1"/>
    <s v="Vatican City"/>
    <s v="Cosmetics"/>
    <s v="Offline"/>
    <s v="C"/>
    <s v="5/24/2012"/>
    <n v="292424571"/>
    <d v="2012-05-06T00:00:00"/>
    <n v="3784"/>
    <n v="437.2"/>
    <n v="263.33"/>
    <n v="1654364.8"/>
    <n v="996440.72"/>
    <n v="657924.07999999996"/>
  </r>
  <r>
    <x v="4"/>
    <s v="Palau"/>
    <s v="Cosmetics"/>
    <s v="Online"/>
    <s v="H"/>
    <s v="5/17/2011"/>
    <n v="637636029"/>
    <s v="6/19/2011"/>
    <n v="9526"/>
    <n v="437.2"/>
    <n v="263.33"/>
    <n v="4164767.2"/>
    <n v="2508481.58"/>
    <n v="1656285.62"/>
  </r>
  <r>
    <x v="1"/>
    <s v="Bosnia and Herzegovina"/>
    <s v="Beverages"/>
    <s v="Online"/>
    <s v="M"/>
    <s v="8/28/2015"/>
    <n v="231341445"/>
    <d v="2015-07-10T00:00:00"/>
    <n v="7929"/>
    <n v="47.45"/>
    <n v="31.79"/>
    <n v="376231.05"/>
    <n v="252062.91"/>
    <n v="124168.14"/>
  </r>
  <r>
    <x v="5"/>
    <s v="Burkina Faso"/>
    <s v="Fruits"/>
    <s v="Online"/>
    <s v="C"/>
    <s v="2/21/2010"/>
    <n v="406402146"/>
    <s v="3/27/2010"/>
    <n v="2281"/>
    <n v="9.33"/>
    <n v="6.92"/>
    <n v="21281.73"/>
    <n v="15784.52"/>
    <n v="5497.21"/>
  </r>
  <r>
    <x v="0"/>
    <s v="El Salvador"/>
    <s v="Cosmetics"/>
    <s v="Offline"/>
    <s v="C"/>
    <s v="11/17/2014"/>
    <n v="765991961"/>
    <s v="11/24/2014"/>
    <n v="2898"/>
    <n v="437.2"/>
    <n v="263.33"/>
    <n v="1267005.6000000001"/>
    <n v="763130.34"/>
    <n v="503875.26"/>
  </r>
  <r>
    <x v="1"/>
    <s v="Portugal"/>
    <s v="Office Supplies"/>
    <s v="Online"/>
    <s v="M"/>
    <d v="2013-09-02T00:00:00"/>
    <n v="533597218"/>
    <s v="2/24/2013"/>
    <n v="2130"/>
    <n v="651.21"/>
    <n v="524.96"/>
    <n v="1387077.3"/>
    <n v="1118164.8"/>
    <n v="268912.5"/>
  </r>
  <r>
    <x v="2"/>
    <s v="Malaysia"/>
    <s v="Beverages"/>
    <s v="Offline"/>
    <s v="H"/>
    <s v="8/27/2015"/>
    <n v="803016746"/>
    <s v="10/15/2015"/>
    <n v="9355"/>
    <n v="47.45"/>
    <n v="31.79"/>
    <n v="443894.75"/>
    <n v="297395.45"/>
    <n v="146499.29999999999"/>
  </r>
  <r>
    <x v="2"/>
    <s v="Taiwan"/>
    <s v="Cereal"/>
    <s v="Offline"/>
    <s v="M"/>
    <d v="2011-03-09T00:00:00"/>
    <n v="488361871"/>
    <s v="9/18/2011"/>
    <n v="5985"/>
    <n v="205.7"/>
    <n v="117.11"/>
    <n v="1231114.5"/>
    <n v="700903.35"/>
    <n v="530211.15"/>
  </r>
  <r>
    <x v="5"/>
    <s v="Angola"/>
    <s v="Snacks"/>
    <s v="Offline"/>
    <s v="H"/>
    <s v="4/28/2010"/>
    <n v="374056422"/>
    <d v="2010-06-05T00:00:00"/>
    <n v="463"/>
    <n v="152.58000000000001"/>
    <n v="97.44"/>
    <n v="70644.539999999994"/>
    <n v="45114.720000000001"/>
    <n v="25529.82"/>
  </r>
  <r>
    <x v="5"/>
    <s v="Burundi"/>
    <s v="Meat"/>
    <s v="Offline"/>
    <s v="H"/>
    <d v="2014-04-04T00:00:00"/>
    <n v="864836728"/>
    <d v="2014-10-05T00:00:00"/>
    <n v="3261"/>
    <n v="421.89"/>
    <n v="364.69"/>
    <n v="1375783.29"/>
    <n v="1189254.0900000001"/>
    <n v="186529.2"/>
  </r>
  <r>
    <x v="6"/>
    <s v="Canada"/>
    <s v="Household"/>
    <s v="Offline"/>
    <s v="H"/>
    <s v="10/31/2015"/>
    <n v="635751616"/>
    <s v="12/14/2015"/>
    <n v="1886"/>
    <n v="668.27"/>
    <n v="502.54"/>
    <n v="1260357.22"/>
    <n v="947790.44"/>
    <n v="312566.78000000003"/>
  </r>
  <r>
    <x v="1"/>
    <s v="Romania"/>
    <s v="Meat"/>
    <s v="Offline"/>
    <s v="C"/>
    <s v="1/16/2016"/>
    <n v="682162415"/>
    <s v="2/26/2016"/>
    <n v="5873"/>
    <n v="421.89"/>
    <n v="364.69"/>
    <n v="2477759.9700000002"/>
    <n v="2141824.37"/>
    <n v="335935.6"/>
  </r>
  <r>
    <x v="2"/>
    <s v="Taiwan"/>
    <s v="Meat"/>
    <s v="Online"/>
    <s v="M"/>
    <d v="2013-01-03T00:00:00"/>
    <n v="269742953"/>
    <s v="3/26/2013"/>
    <n v="1789"/>
    <n v="421.89"/>
    <n v="364.69"/>
    <n v="754761.21"/>
    <n v="652430.41"/>
    <n v="102330.8"/>
  </r>
  <r>
    <x v="2"/>
    <s v="Cambodia"/>
    <s v="Clothes"/>
    <s v="Online"/>
    <s v="M"/>
    <d v="2014-07-02T00:00:00"/>
    <n v="984479558"/>
    <d v="2014-12-02T00:00:00"/>
    <n v="8233"/>
    <n v="109.28"/>
    <n v="35.840000000000003"/>
    <n v="899702.24"/>
    <n v="295070.71999999997"/>
    <n v="604631.52"/>
  </r>
  <r>
    <x v="2"/>
    <s v="Myanmar"/>
    <s v="Meat"/>
    <s v="Online"/>
    <s v="H"/>
    <s v="6/25/2015"/>
    <n v="882671058"/>
    <s v="7/28/2015"/>
    <n v="836"/>
    <n v="421.89"/>
    <n v="364.69"/>
    <n v="352700.04"/>
    <n v="304880.84000000003"/>
    <n v="47819.199999999997"/>
  </r>
  <r>
    <x v="2"/>
    <s v="Vietnam"/>
    <s v="Household"/>
    <s v="Online"/>
    <s v="H"/>
    <s v="12/22/2014"/>
    <n v="340928781"/>
    <d v="2015-09-01T00:00:00"/>
    <n v="7257"/>
    <n v="668.27"/>
    <n v="502.54"/>
    <n v="4849635.3899999997"/>
    <n v="3646932.78"/>
    <n v="1202702.6100000001"/>
  </r>
  <r>
    <x v="1"/>
    <s v="Iceland"/>
    <s v="Vegetables"/>
    <s v="Offline"/>
    <s v="C"/>
    <s v="2/13/2015"/>
    <n v="706176555"/>
    <s v="2/26/2015"/>
    <n v="2190"/>
    <n v="154.06"/>
    <n v="90.93"/>
    <n v="337391.4"/>
    <n v="199136.7"/>
    <n v="138254.70000000001"/>
  </r>
  <r>
    <x v="5"/>
    <s v="Sudan"/>
    <s v="Vegetables"/>
    <s v="Offline"/>
    <s v="H"/>
    <d v="2011-10-12T00:00:00"/>
    <n v="245650708"/>
    <d v="2012-09-01T00:00:00"/>
    <n v="2358"/>
    <n v="154.06"/>
    <n v="90.93"/>
    <n v="363273.48"/>
    <n v="214412.94"/>
    <n v="148860.54"/>
  </r>
  <r>
    <x v="3"/>
    <s v="Algeria"/>
    <s v="Personal Care"/>
    <s v="Online"/>
    <s v="H"/>
    <s v="11/20/2013"/>
    <n v="896900069"/>
    <d v="2013-12-12T00:00:00"/>
    <n v="1516"/>
    <n v="81.73"/>
    <n v="56.67"/>
    <n v="123902.68"/>
    <n v="85911.72"/>
    <n v="37990.959999999999"/>
  </r>
  <r>
    <x v="6"/>
    <s v="United States of America"/>
    <s v="Household"/>
    <s v="Online"/>
    <s v="L"/>
    <s v="4/30/2015"/>
    <n v="617785966"/>
    <d v="2015-05-05T00:00:00"/>
    <n v="5451"/>
    <n v="668.27"/>
    <n v="502.54"/>
    <n v="3642739.77"/>
    <n v="2739345.54"/>
    <n v="903394.23"/>
  </r>
  <r>
    <x v="5"/>
    <s v="Nigeria"/>
    <s v="Meat"/>
    <s v="Offline"/>
    <s v="L"/>
    <s v="6/25/2015"/>
    <n v="136482226"/>
    <s v="7/26/2015"/>
    <n v="6979"/>
    <n v="421.89"/>
    <n v="364.69"/>
    <n v="2944370.31"/>
    <n v="2545171.5099999998"/>
    <n v="399198.8"/>
  </r>
  <r>
    <x v="5"/>
    <s v="Burundi"/>
    <s v="Office Supplies"/>
    <s v="Online"/>
    <s v="M"/>
    <s v="8/18/2014"/>
    <n v="701475179"/>
    <d v="2014-05-09T00:00:00"/>
    <n v="949"/>
    <n v="651.21"/>
    <n v="524.96"/>
    <n v="617998.29"/>
    <n v="498187.04"/>
    <n v="119811.25"/>
  </r>
  <r>
    <x v="2"/>
    <s v="Tajikistan"/>
    <s v="Cereal"/>
    <s v="Offline"/>
    <s v="L"/>
    <d v="2010-05-05T00:00:00"/>
    <n v="931563651"/>
    <s v="5/26/2010"/>
    <n v="9241"/>
    <n v="205.7"/>
    <n v="117.11"/>
    <n v="1900873.7"/>
    <n v="1082213.51"/>
    <n v="818660.19"/>
  </r>
  <r>
    <x v="2"/>
    <s v="Nepal"/>
    <s v="Beverages"/>
    <s v="Online"/>
    <s v="M"/>
    <s v="5/22/2016"/>
    <n v="865858972"/>
    <s v="5/31/2016"/>
    <n v="5766"/>
    <n v="47.45"/>
    <n v="31.79"/>
    <n v="273596.7"/>
    <n v="183301.14"/>
    <n v="90295.56"/>
  </r>
  <r>
    <x v="4"/>
    <s v="Australia"/>
    <s v="Fruits"/>
    <s v="Offline"/>
    <s v="M"/>
    <s v="7/14/2013"/>
    <n v="613784968"/>
    <s v="8/21/2013"/>
    <n v="1467"/>
    <n v="9.33"/>
    <n v="6.92"/>
    <n v="13687.11"/>
    <n v="10151.64"/>
    <n v="3535.47"/>
  </r>
  <r>
    <x v="5"/>
    <s v="Mozambique"/>
    <s v="Fruits"/>
    <s v="Online"/>
    <s v="H"/>
    <s v="11/21/2013"/>
    <n v="805077970"/>
    <s v="12/19/2013"/>
    <n v="9317"/>
    <n v="9.33"/>
    <n v="6.92"/>
    <n v="86927.61"/>
    <n v="64473.64"/>
    <n v="22453.97"/>
  </r>
  <r>
    <x v="1"/>
    <s v="Luxembourg"/>
    <s v="Office Supplies"/>
    <s v="Offline"/>
    <s v="H"/>
    <s v="9/17/2011"/>
    <n v="339786803"/>
    <s v="10/25/2011"/>
    <n v="9321"/>
    <n v="651.21"/>
    <n v="524.96"/>
    <n v="6069928.4100000001"/>
    <n v="4893152.16"/>
    <n v="1176776.25"/>
  </r>
  <r>
    <x v="3"/>
    <s v="Iraq"/>
    <s v="Meat"/>
    <s v="Online"/>
    <s v="C"/>
    <s v="6/16/2017"/>
    <n v="438272798"/>
    <s v="7/24/2017"/>
    <n v="3515"/>
    <n v="421.89"/>
    <n v="364.69"/>
    <n v="1482943.35"/>
    <n v="1281885.3500000001"/>
    <n v="201058"/>
  </r>
  <r>
    <x v="2"/>
    <s v="Cambodia"/>
    <s v="Snacks"/>
    <s v="Online"/>
    <s v="M"/>
    <s v="2/23/2016"/>
    <n v="591209781"/>
    <d v="2016-03-04T00:00:00"/>
    <n v="967"/>
    <n v="152.58000000000001"/>
    <n v="97.44"/>
    <n v="147544.85999999999"/>
    <n v="94224.48"/>
    <n v="53320.38"/>
  </r>
  <r>
    <x v="5"/>
    <s v="Comoros"/>
    <s v="Cosmetics"/>
    <s v="Online"/>
    <s v="L"/>
    <d v="2016-02-08T00:00:00"/>
    <n v="809584081"/>
    <s v="8/18/2016"/>
    <n v="2775"/>
    <n v="437.2"/>
    <n v="263.33"/>
    <n v="1213230"/>
    <n v="730740.75"/>
    <n v="482489.25"/>
  </r>
  <r>
    <x v="1"/>
    <s v="Malta"/>
    <s v="Personal Care"/>
    <s v="Offline"/>
    <s v="C"/>
    <s v="4/13/2017"/>
    <n v="274694526"/>
    <d v="2017-11-05T00:00:00"/>
    <n v="7069"/>
    <n v="81.73"/>
    <n v="56.67"/>
    <n v="577749.37"/>
    <n v="400600.23"/>
    <n v="177149.14"/>
  </r>
  <r>
    <x v="3"/>
    <s v="Oman"/>
    <s v="Household"/>
    <s v="Online"/>
    <s v="L"/>
    <s v="3/30/2010"/>
    <n v="488152444"/>
    <s v="3/30/2010"/>
    <n v="4011"/>
    <n v="668.27"/>
    <n v="502.54"/>
    <n v="2680430.9700000002"/>
    <n v="2015687.94"/>
    <n v="664743.03"/>
  </r>
  <r>
    <x v="6"/>
    <s v="United States of America"/>
    <s v="Office Supplies"/>
    <s v="Offline"/>
    <s v="L"/>
    <s v="1/13/2015"/>
    <n v="321881663"/>
    <s v="2/28/2015"/>
    <n v="792"/>
    <n v="651.21"/>
    <n v="524.96"/>
    <n v="515758.32"/>
    <n v="415768.32000000001"/>
    <n v="99990"/>
  </r>
  <r>
    <x v="5"/>
    <s v="Ethiopia"/>
    <s v="Fruits"/>
    <s v="Offline"/>
    <s v="L"/>
    <d v="2014-06-06T00:00:00"/>
    <n v="968118512"/>
    <s v="7/18/2014"/>
    <n v="6636"/>
    <n v="9.33"/>
    <n v="6.92"/>
    <n v="61913.88"/>
    <n v="45921.120000000003"/>
    <n v="15992.76"/>
  </r>
  <r>
    <x v="0"/>
    <s v="Barbados"/>
    <s v="Snacks"/>
    <s v="Offline"/>
    <s v="C"/>
    <s v="3/15/2011"/>
    <n v="989411818"/>
    <s v="3/16/2011"/>
    <n v="7799"/>
    <n v="152.58000000000001"/>
    <n v="97.44"/>
    <n v="1189971.42"/>
    <n v="759934.56"/>
    <n v="430036.86"/>
  </r>
  <r>
    <x v="0"/>
    <s v="Guatemala"/>
    <s v="Household"/>
    <s v="Offline"/>
    <s v="L"/>
    <d v="2016-02-10T00:00:00"/>
    <n v="368622910"/>
    <d v="2016-05-10T00:00:00"/>
    <n v="2566"/>
    <n v="668.27"/>
    <n v="502.54"/>
    <n v="1714780.82"/>
    <n v="1289517.6399999999"/>
    <n v="425263.18"/>
  </r>
  <r>
    <x v="5"/>
    <s v="Uganda"/>
    <s v="Fruits"/>
    <s v="Offline"/>
    <s v="H"/>
    <s v="1/21/2017"/>
    <n v="958925616"/>
    <d v="2017-03-02T00:00:00"/>
    <n v="6254"/>
    <n v="9.33"/>
    <n v="6.92"/>
    <n v="58349.82"/>
    <n v="43277.68"/>
    <n v="15072.14"/>
  </r>
  <r>
    <x v="1"/>
    <s v="France"/>
    <s v="Clothes"/>
    <s v="Online"/>
    <s v="M"/>
    <s v="4/15/2014"/>
    <n v="633806264"/>
    <s v="4/26/2014"/>
    <n v="6213"/>
    <n v="109.28"/>
    <n v="35.840000000000003"/>
    <n v="678956.64"/>
    <n v="222673.92000000001"/>
    <n v="456282.72"/>
  </r>
  <r>
    <x v="3"/>
    <s v="Somalia"/>
    <s v="Personal Care"/>
    <s v="Offline"/>
    <s v="H"/>
    <s v="6/23/2015"/>
    <n v="937063682"/>
    <d v="2015-08-07T00:00:00"/>
    <n v="6822"/>
    <n v="81.73"/>
    <n v="56.67"/>
    <n v="557562.06000000006"/>
    <n v="386602.74"/>
    <n v="170959.32"/>
  </r>
  <r>
    <x v="5"/>
    <s v="Ghana"/>
    <s v="Clothes"/>
    <s v="Online"/>
    <s v="L"/>
    <s v="7/26/2013"/>
    <n v="332809197"/>
    <s v="7/30/2013"/>
    <n v="4492"/>
    <n v="109.28"/>
    <n v="35.840000000000003"/>
    <n v="490885.76"/>
    <n v="160993.28"/>
    <n v="329892.47999999998"/>
  </r>
  <r>
    <x v="1"/>
    <s v="Spain"/>
    <s v="Personal Care"/>
    <s v="Online"/>
    <s v="C"/>
    <d v="2013-08-12T00:00:00"/>
    <n v="955466639"/>
    <s v="1/27/2014"/>
    <n v="2666"/>
    <n v="81.73"/>
    <n v="56.67"/>
    <n v="217892.18"/>
    <n v="151082.22"/>
    <n v="66809.960000000006"/>
  </r>
  <r>
    <x v="5"/>
    <s v="Zambia"/>
    <s v="Beverages"/>
    <s v="Offline"/>
    <s v="C"/>
    <s v="6/14/2015"/>
    <n v="959772336"/>
    <s v="7/18/2015"/>
    <n v="6817"/>
    <n v="47.45"/>
    <n v="31.79"/>
    <n v="323466.65000000002"/>
    <n v="216712.43"/>
    <n v="106754.22"/>
  </r>
  <r>
    <x v="5"/>
    <s v="Senegal"/>
    <s v="Snacks"/>
    <s v="Online"/>
    <s v="L"/>
    <d v="2014-01-04T00:00:00"/>
    <n v="370775115"/>
    <s v="4/27/2014"/>
    <n v="9451"/>
    <n v="152.58000000000001"/>
    <n v="97.44"/>
    <n v="1442033.58"/>
    <n v="920905.44"/>
    <n v="521128.14"/>
  </r>
  <r>
    <x v="2"/>
    <s v="Myanmar"/>
    <s v="Cereal"/>
    <s v="Online"/>
    <s v="C"/>
    <d v="2015-11-02T00:00:00"/>
    <n v="633836305"/>
    <s v="2/23/2015"/>
    <n v="5103"/>
    <n v="205.7"/>
    <n v="117.11"/>
    <n v="1049687.1000000001"/>
    <n v="597612.32999999996"/>
    <n v="452074.77"/>
  </r>
  <r>
    <x v="5"/>
    <s v="Equatorial Guinea"/>
    <s v="Personal Care"/>
    <s v="Online"/>
    <s v="H"/>
    <s v="7/13/2012"/>
    <n v="564629733"/>
    <s v="7/26/2012"/>
    <n v="5340"/>
    <n v="81.73"/>
    <n v="56.67"/>
    <n v="436438.2"/>
    <n v="302617.8"/>
    <n v="133820.4"/>
  </r>
  <r>
    <x v="5"/>
    <s v="Rwanda"/>
    <s v="Beverages"/>
    <s v="Offline"/>
    <s v="C"/>
    <s v="3/15/2017"/>
    <n v="399141728"/>
    <s v="3/31/2017"/>
    <n v="3762"/>
    <n v="47.45"/>
    <n v="31.79"/>
    <n v="178506.9"/>
    <n v="119593.98"/>
    <n v="58912.92"/>
  </r>
  <r>
    <x v="5"/>
    <s v="Mozambique"/>
    <s v="Snacks"/>
    <s v="Online"/>
    <s v="L"/>
    <s v="5/20/2014"/>
    <n v="443671119"/>
    <d v="2014-03-07T00:00:00"/>
    <n v="998"/>
    <n v="152.58000000000001"/>
    <n v="97.44"/>
    <n v="152274.84"/>
    <n v="97245.119999999995"/>
    <n v="55029.72"/>
  </r>
  <r>
    <x v="4"/>
    <s v="Tonga"/>
    <s v="Snacks"/>
    <s v="Offline"/>
    <s v="M"/>
    <d v="2013-10-02T00:00:00"/>
    <n v="624829232"/>
    <s v="3/16/2013"/>
    <n v="9710"/>
    <n v="152.58000000000001"/>
    <n v="97.44"/>
    <n v="1481551.8"/>
    <n v="946142.4"/>
    <n v="535409.4"/>
  </r>
  <r>
    <x v="2"/>
    <s v="India"/>
    <s v="Office Supplies"/>
    <s v="Offline"/>
    <s v="L"/>
    <s v="2/20/2012"/>
    <n v="939539897"/>
    <d v="2012-03-03T00:00:00"/>
    <n v="9589"/>
    <n v="651.21"/>
    <n v="524.96"/>
    <n v="6244452.6900000004"/>
    <n v="5033841.4400000004"/>
    <n v="1210611.25"/>
  </r>
  <r>
    <x v="0"/>
    <s v="The Bahamas"/>
    <s v="Baby Food"/>
    <s v="Offline"/>
    <s v="C"/>
    <d v="2011-09-04T00:00:00"/>
    <n v="105039441"/>
    <s v="4/26/2011"/>
    <n v="2360"/>
    <n v="255.28"/>
    <n v="159.41999999999999"/>
    <n v="602460.80000000005"/>
    <n v="376231.2"/>
    <n v="226229.6"/>
  </r>
  <r>
    <x v="6"/>
    <s v="Mexico"/>
    <s v="Beverages"/>
    <s v="Offline"/>
    <s v="H"/>
    <d v="2015-04-03T00:00:00"/>
    <n v="508876693"/>
    <s v="3/29/2015"/>
    <n v="6777"/>
    <n v="47.45"/>
    <n v="31.79"/>
    <n v="321568.65000000002"/>
    <n v="215440.83"/>
    <n v="106127.82"/>
  </r>
  <r>
    <x v="5"/>
    <s v="Seychelles "/>
    <s v="Fruits"/>
    <s v="Offline"/>
    <s v="H"/>
    <d v="2014-05-06T00:00:00"/>
    <n v="558912980"/>
    <d v="2014-03-07T00:00:00"/>
    <n v="3626"/>
    <n v="9.33"/>
    <n v="6.92"/>
    <n v="33830.58"/>
    <n v="25091.919999999998"/>
    <n v="8738.66"/>
  </r>
  <r>
    <x v="5"/>
    <s v="Kenya"/>
    <s v="Meat"/>
    <s v="Online"/>
    <s v="L"/>
    <s v="1/15/2012"/>
    <n v="533322131"/>
    <s v="1/18/2012"/>
    <n v="725"/>
    <n v="421.89"/>
    <n v="364.69"/>
    <n v="305870.25"/>
    <n v="264400.25"/>
    <n v="41470"/>
  </r>
  <r>
    <x v="1"/>
    <s v="Norway"/>
    <s v="Office Supplies"/>
    <s v="Online"/>
    <s v="L"/>
    <s v="1/30/2012"/>
    <n v="330590474"/>
    <s v="3/14/2012"/>
    <n v="7923"/>
    <n v="651.21"/>
    <n v="524.96"/>
    <n v="5159536.83"/>
    <n v="4159258.08"/>
    <n v="1000278.75"/>
  </r>
  <r>
    <x v="1"/>
    <s v="Malta"/>
    <s v="Cosmetics"/>
    <s v="Offline"/>
    <s v="C"/>
    <s v="11/26/2015"/>
    <n v="819516837"/>
    <s v="12/25/2015"/>
    <n v="2098"/>
    <n v="437.2"/>
    <n v="263.33"/>
    <n v="917245.6"/>
    <n v="552466.34"/>
    <n v="364779.26"/>
  </r>
  <r>
    <x v="2"/>
    <s v="Thailand"/>
    <s v="Household"/>
    <s v="Offline"/>
    <s v="H"/>
    <d v="2010-09-10T00:00:00"/>
    <n v="689212548"/>
    <d v="2010-10-10T00:00:00"/>
    <n v="2164"/>
    <n v="668.27"/>
    <n v="502.54"/>
    <n v="1446136.28"/>
    <n v="1087496.56"/>
    <n v="358639.72"/>
  </r>
  <r>
    <x v="1"/>
    <s v="Kosovo"/>
    <s v="Snacks"/>
    <s v="Offline"/>
    <s v="C"/>
    <s v="7/13/2011"/>
    <n v="499101436"/>
    <s v="8/28/2011"/>
    <n v="4061"/>
    <n v="152.58000000000001"/>
    <n v="97.44"/>
    <n v="619627.38"/>
    <n v="395703.84"/>
    <n v="223923.54"/>
  </r>
  <r>
    <x v="4"/>
    <s v="Kiribati"/>
    <s v="Vegetables"/>
    <s v="Online"/>
    <s v="H"/>
    <d v="2011-11-05T00:00:00"/>
    <n v="428919827"/>
    <s v="5/14/2011"/>
    <n v="5763"/>
    <n v="154.06"/>
    <n v="90.93"/>
    <n v="887847.78"/>
    <n v="524029.59"/>
    <n v="363818.19"/>
  </r>
  <r>
    <x v="5"/>
    <s v="Sierra Leone"/>
    <s v="Beverages"/>
    <s v="Online"/>
    <s v="H"/>
    <s v="11/13/2015"/>
    <n v="728716552"/>
    <s v="11/24/2015"/>
    <n v="2276"/>
    <n v="47.45"/>
    <n v="31.79"/>
    <n v="107996.2"/>
    <n v="72354.039999999994"/>
    <n v="35642.160000000003"/>
  </r>
  <r>
    <x v="3"/>
    <s v="Israel"/>
    <s v="Cosmetics"/>
    <s v="Online"/>
    <s v="L"/>
    <d v="2016-02-08T00:00:00"/>
    <n v="368852937"/>
    <s v="8/15/2016"/>
    <n v="636"/>
    <n v="437.2"/>
    <n v="263.33"/>
    <n v="278059.2"/>
    <n v="167477.88"/>
    <n v="110581.32"/>
  </r>
  <r>
    <x v="1"/>
    <s v="Andorra"/>
    <s v="Clothes"/>
    <s v="Online"/>
    <s v="C"/>
    <s v="6/20/2017"/>
    <n v="190002810"/>
    <d v="2017-05-08T00:00:00"/>
    <n v="4909"/>
    <n v="109.28"/>
    <n v="35.840000000000003"/>
    <n v="536455.52"/>
    <n v="175938.56"/>
    <n v="360516.96"/>
  </r>
  <r>
    <x v="1"/>
    <s v="Macedonia"/>
    <s v="Beverages"/>
    <s v="Offline"/>
    <s v="M"/>
    <s v="12/17/2015"/>
    <n v="653152501"/>
    <s v="12/22/2015"/>
    <n v="1194"/>
    <n v="47.45"/>
    <n v="31.79"/>
    <n v="56655.3"/>
    <n v="37957.26"/>
    <n v="18698.04"/>
  </r>
  <r>
    <x v="1"/>
    <s v="Austria"/>
    <s v="Vegetables"/>
    <s v="Offline"/>
    <s v="C"/>
    <d v="2014-09-05T00:00:00"/>
    <n v="489600837"/>
    <d v="2014-09-06T00:00:00"/>
    <n v="2622"/>
    <n v="154.06"/>
    <n v="90.93"/>
    <n v="403945.32"/>
    <n v="238418.46"/>
    <n v="165526.85999999999"/>
  </r>
  <r>
    <x v="1"/>
    <s v="Montenegro"/>
    <s v="Baby Food"/>
    <s v="Online"/>
    <s v="M"/>
    <d v="2016-05-01T00:00:00"/>
    <n v="750959146"/>
    <s v="1/25/2016"/>
    <n v="4354"/>
    <n v="255.28"/>
    <n v="159.41999999999999"/>
    <n v="1111489.1200000001"/>
    <n v="694114.68"/>
    <n v="417374.44"/>
  </r>
  <r>
    <x v="5"/>
    <s v="Niger"/>
    <s v="Office Supplies"/>
    <s v="Offline"/>
    <s v="H"/>
    <d v="2014-02-01T00:00:00"/>
    <n v="759151256"/>
    <s v="1/13/2014"/>
    <n v="8581"/>
    <n v="651.21"/>
    <n v="524.96"/>
    <n v="5588033.0099999998"/>
    <n v="4504681.76"/>
    <n v="1083351.25"/>
  </r>
  <r>
    <x v="1"/>
    <s v="Bosnia and Herzegovina"/>
    <s v="Personal Care"/>
    <s v="Offline"/>
    <s v="L"/>
    <d v="2010-12-01T00:00:00"/>
    <n v="356413495"/>
    <s v="1/18/2010"/>
    <n v="9528"/>
    <n v="81.73"/>
    <n v="56.67"/>
    <n v="778723.44"/>
    <n v="539951.76"/>
    <n v="238771.68"/>
  </r>
  <r>
    <x v="2"/>
    <s v="Myanmar"/>
    <s v="Personal Care"/>
    <s v="Online"/>
    <s v="H"/>
    <s v="8/27/2010"/>
    <n v="355294692"/>
    <d v="2010-12-10T00:00:00"/>
    <n v="8450"/>
    <n v="81.73"/>
    <n v="56.67"/>
    <n v="690618.5"/>
    <n v="478861.5"/>
    <n v="211757"/>
  </r>
  <r>
    <x v="1"/>
    <s v="Bosnia and Herzegovina"/>
    <s v="Office Supplies"/>
    <s v="Offline"/>
    <s v="L"/>
    <s v="11/30/2015"/>
    <n v="288656175"/>
    <s v="12/30/2015"/>
    <n v="8632"/>
    <n v="651.21"/>
    <n v="524.96"/>
    <n v="5621244.7199999997"/>
    <n v="4531454.72"/>
    <n v="1089790"/>
  </r>
  <r>
    <x v="1"/>
    <s v="Russia"/>
    <s v="Cosmetics"/>
    <s v="Offline"/>
    <s v="C"/>
    <s v="7/28/2015"/>
    <n v="659671771"/>
    <s v="7/29/2015"/>
    <n v="391"/>
    <n v="437.2"/>
    <n v="263.33"/>
    <n v="170945.2"/>
    <n v="102962.03"/>
    <n v="67983.17"/>
  </r>
  <r>
    <x v="4"/>
    <s v="Vanuatu"/>
    <s v="Vegetables"/>
    <s v="Online"/>
    <s v="L"/>
    <d v="2015-02-08T00:00:00"/>
    <n v="691827809"/>
    <s v="8/17/2015"/>
    <n v="6078"/>
    <n v="154.06"/>
    <n v="90.93"/>
    <n v="936376.68"/>
    <n v="552672.54"/>
    <n v="383704.14"/>
  </r>
  <r>
    <x v="5"/>
    <s v="Botswana"/>
    <s v="Baby Food"/>
    <s v="Online"/>
    <s v="C"/>
    <s v="8/18/2011"/>
    <n v="578923118"/>
    <s v="8/30/2011"/>
    <n v="5070"/>
    <n v="255.28"/>
    <n v="159.41999999999999"/>
    <n v="1294269.6000000001"/>
    <n v="808259.4"/>
    <n v="486010.2"/>
  </r>
  <r>
    <x v="3"/>
    <s v="Iraq"/>
    <s v="Household"/>
    <s v="Online"/>
    <s v="H"/>
    <d v="2015-01-08T00:00:00"/>
    <n v="135069024"/>
    <d v="2015-01-08T00:00:00"/>
    <n v="8781"/>
    <n v="668.27"/>
    <n v="502.54"/>
    <n v="5868078.8700000001"/>
    <n v="4412803.74"/>
    <n v="1455275.13"/>
  </r>
  <r>
    <x v="0"/>
    <s v="Grenada"/>
    <s v="Baby Food"/>
    <s v="Online"/>
    <s v="M"/>
    <s v="11/19/2013"/>
    <n v="144689357"/>
    <d v="2013-12-12T00:00:00"/>
    <n v="5651"/>
    <n v="255.28"/>
    <n v="159.41999999999999"/>
    <n v="1442587.28"/>
    <n v="900882.42"/>
    <n v="541704.86"/>
  </r>
  <r>
    <x v="5"/>
    <s v="Uganda"/>
    <s v="Meat"/>
    <s v="Offline"/>
    <s v="C"/>
    <d v="2016-05-10T00:00:00"/>
    <n v="112520444"/>
    <d v="2016-12-11T00:00:00"/>
    <n v="6155"/>
    <n v="421.89"/>
    <n v="364.69"/>
    <n v="2596732.9500000002"/>
    <n v="2244666.9500000002"/>
    <n v="352066"/>
  </r>
  <r>
    <x v="1"/>
    <s v="Netherlands"/>
    <s v="Clothes"/>
    <s v="Offline"/>
    <s v="H"/>
    <s v="7/26/2016"/>
    <n v="513611114"/>
    <d v="2016-05-09T00:00:00"/>
    <n v="7797"/>
    <n v="109.28"/>
    <n v="35.840000000000003"/>
    <n v="852056.16"/>
    <n v="279444.47999999998"/>
    <n v="572611.68000000005"/>
  </r>
  <r>
    <x v="1"/>
    <s v="Russia"/>
    <s v="Beverages"/>
    <s v="Offline"/>
    <s v="M"/>
    <s v="4/21/2014"/>
    <n v="543322694"/>
    <d v="2014-01-06T00:00:00"/>
    <n v="114"/>
    <n v="47.45"/>
    <n v="31.79"/>
    <n v="5409.3"/>
    <n v="3624.06"/>
    <n v="1785.24"/>
  </r>
  <r>
    <x v="0"/>
    <s v="Nicaragua"/>
    <s v="Office Supplies"/>
    <s v="Online"/>
    <s v="M"/>
    <s v="10/23/2015"/>
    <n v="367329013"/>
    <s v="11/27/2015"/>
    <n v="9673"/>
    <n v="651.21"/>
    <n v="524.96"/>
    <n v="6299154.3300000001"/>
    <n v="5077938.08"/>
    <n v="1221216.25"/>
  </r>
  <r>
    <x v="1"/>
    <s v="Monaco"/>
    <s v="Vegetables"/>
    <s v="Offline"/>
    <s v="C"/>
    <d v="2012-06-11T00:00:00"/>
    <n v="671616399"/>
    <d v="2012-10-12T00:00:00"/>
    <n v="5072"/>
    <n v="154.06"/>
    <n v="90.93"/>
    <n v="781392.32"/>
    <n v="461196.96"/>
    <n v="320195.36"/>
  </r>
  <r>
    <x v="5"/>
    <s v="Mauritius "/>
    <s v="Baby Food"/>
    <s v="Online"/>
    <s v="H"/>
    <d v="2017-11-03T00:00:00"/>
    <n v="412483680"/>
    <s v="4/18/2017"/>
    <n v="1942"/>
    <n v="255.28"/>
    <n v="159.41999999999999"/>
    <n v="495753.76"/>
    <n v="309593.64"/>
    <n v="186160.12"/>
  </r>
  <r>
    <x v="0"/>
    <s v="Dominican Republic"/>
    <s v="Vegetables"/>
    <s v="Online"/>
    <s v="C"/>
    <s v="5/15/2011"/>
    <n v="866542184"/>
    <s v="5/22/2011"/>
    <n v="7944"/>
    <n v="154.06"/>
    <n v="90.93"/>
    <n v="1223852.6399999999"/>
    <n v="722347.92"/>
    <n v="501504.72"/>
  </r>
  <r>
    <x v="4"/>
    <s v="Nauru"/>
    <s v="Office Supplies"/>
    <s v="Online"/>
    <s v="H"/>
    <s v="1/22/2013"/>
    <n v="680715739"/>
    <d v="2013-07-03T00:00:00"/>
    <n v="7769"/>
    <n v="651.21"/>
    <n v="524.96"/>
    <n v="5059250.49"/>
    <n v="4078414.24"/>
    <n v="980836.25"/>
  </r>
  <r>
    <x v="4"/>
    <s v="Tuvalu"/>
    <s v="Baby Food"/>
    <s v="Offline"/>
    <s v="C"/>
    <s v="9/19/2010"/>
    <n v="822240674"/>
    <s v="9/29/2010"/>
    <n v="8142"/>
    <n v="255.28"/>
    <n v="159.41999999999999"/>
    <n v="2078489.76"/>
    <n v="1297997.6399999999"/>
    <n v="780492.12"/>
  </r>
  <r>
    <x v="3"/>
    <s v="Kuwait"/>
    <s v="Baby Food"/>
    <s v="Offline"/>
    <s v="L"/>
    <s v="10/15/2012"/>
    <n v="528665816"/>
    <s v="10/25/2012"/>
    <n v="2818"/>
    <n v="255.28"/>
    <n v="159.41999999999999"/>
    <n v="719379.04"/>
    <n v="449245.56"/>
    <n v="270133.48"/>
  </r>
  <r>
    <x v="4"/>
    <s v="Marshall Islands"/>
    <s v="Cosmetics"/>
    <s v="Offline"/>
    <s v="C"/>
    <s v="8/24/2013"/>
    <n v="457852494"/>
    <d v="2013-01-09T00:00:00"/>
    <n v="7582"/>
    <n v="437.2"/>
    <n v="263.33"/>
    <n v="3314850.4"/>
    <n v="1996568.06"/>
    <n v="1318282.3400000001"/>
  </r>
  <r>
    <x v="4"/>
    <s v="Tonga"/>
    <s v="Fruits"/>
    <s v="Online"/>
    <s v="M"/>
    <d v="2012-03-07T00:00:00"/>
    <n v="437974536"/>
    <d v="2012-10-07T00:00:00"/>
    <n v="5253"/>
    <n v="9.33"/>
    <n v="6.92"/>
    <n v="49010.49"/>
    <n v="36350.76"/>
    <n v="12659.73"/>
  </r>
  <r>
    <x v="4"/>
    <s v="Tonga"/>
    <s v="Household"/>
    <s v="Offline"/>
    <s v="C"/>
    <s v="3/23/2017"/>
    <n v="817518270"/>
    <s v="4/18/2017"/>
    <n v="678"/>
    <n v="668.27"/>
    <n v="502.54"/>
    <n v="453087.06"/>
    <n v="340722.12"/>
    <n v="112364.94"/>
  </r>
  <r>
    <x v="4"/>
    <s v="Tonga"/>
    <s v="Cereal"/>
    <s v="Offline"/>
    <s v="C"/>
    <s v="3/22/2010"/>
    <n v="215282523"/>
    <d v="2010-08-04T00:00:00"/>
    <n v="5738"/>
    <n v="205.7"/>
    <n v="117.11"/>
    <n v="1180306.6000000001"/>
    <n v="671977.18"/>
    <n v="508329.42"/>
  </r>
  <r>
    <x v="4"/>
    <s v="East Timor"/>
    <s v="Clothes"/>
    <s v="Offline"/>
    <s v="L"/>
    <d v="2012-05-11T00:00:00"/>
    <n v="470378625"/>
    <d v="2012-06-11T00:00:00"/>
    <n v="4343"/>
    <n v="109.28"/>
    <n v="35.840000000000003"/>
    <n v="474603.04"/>
    <n v="155653.12"/>
    <n v="318949.92"/>
  </r>
  <r>
    <x v="2"/>
    <s v="Turkmenistan"/>
    <s v="Cosmetics"/>
    <s v="Online"/>
    <s v="M"/>
    <d v="2013-05-06T00:00:00"/>
    <n v="792230403"/>
    <d v="2013-10-07T00:00:00"/>
    <n v="7436"/>
    <n v="437.2"/>
    <n v="263.33"/>
    <n v="3251019.2"/>
    <n v="1958121.88"/>
    <n v="1292897.32"/>
  </r>
  <r>
    <x v="5"/>
    <s v="Mauritania"/>
    <s v="Personal Care"/>
    <s v="Online"/>
    <s v="H"/>
    <d v="2016-06-07T00:00:00"/>
    <n v="910574185"/>
    <d v="2016-12-08T00:00:00"/>
    <n v="7991"/>
    <n v="81.73"/>
    <n v="56.67"/>
    <n v="653104.43000000005"/>
    <n v="452849.97"/>
    <n v="200254.46"/>
  </r>
  <r>
    <x v="0"/>
    <s v="Dominican Republic"/>
    <s v="Fruits"/>
    <s v="Offline"/>
    <s v="C"/>
    <d v="2016-09-05T00:00:00"/>
    <n v="625458800"/>
    <s v="5/25/2016"/>
    <n v="6013"/>
    <n v="9.33"/>
    <n v="6.92"/>
    <n v="56101.29"/>
    <n v="41609.96"/>
    <n v="14491.33"/>
  </r>
  <r>
    <x v="4"/>
    <s v="Nauru"/>
    <s v="Cosmetics"/>
    <s v="Online"/>
    <s v="L"/>
    <d v="2015-01-11T00:00:00"/>
    <n v="257245576"/>
    <s v="12/16/2015"/>
    <n v="3537"/>
    <n v="437.2"/>
    <n v="263.33"/>
    <n v="1546376.4"/>
    <n v="931398.21"/>
    <n v="614978.18999999994"/>
  </r>
  <r>
    <x v="5"/>
    <s v="Madagascar"/>
    <s v="Meat"/>
    <s v="Online"/>
    <s v="H"/>
    <s v="2/15/2015"/>
    <n v="196608340"/>
    <s v="3/20/2015"/>
    <n v="9632"/>
    <n v="421.89"/>
    <n v="364.69"/>
    <n v="4063644.48"/>
    <n v="3512694.08"/>
    <n v="550950.40000000002"/>
  </r>
  <r>
    <x v="5"/>
    <s v="Tanzania"/>
    <s v="Cereal"/>
    <s v="Online"/>
    <s v="M"/>
    <s v="6/14/2015"/>
    <n v="454533421"/>
    <s v="6/15/2015"/>
    <n v="5395"/>
    <n v="205.7"/>
    <n v="117.11"/>
    <n v="1109751.5"/>
    <n v="631808.44999999995"/>
    <n v="477943.05"/>
  </r>
  <r>
    <x v="1"/>
    <s v="Macedonia"/>
    <s v="Beverages"/>
    <s v="Offline"/>
    <s v="L"/>
    <s v="4/30/2015"/>
    <n v="212319648"/>
    <s v="5/15/2015"/>
    <n v="8957"/>
    <n v="47.45"/>
    <n v="31.79"/>
    <n v="425009.65"/>
    <n v="284743.03000000003"/>
    <n v="140266.62"/>
  </r>
  <r>
    <x v="1"/>
    <s v="Monaco"/>
    <s v="Household"/>
    <s v="Online"/>
    <s v="L"/>
    <s v="4/30/2014"/>
    <n v="971578347"/>
    <s v="6/16/2014"/>
    <n v="478"/>
    <n v="668.27"/>
    <n v="502.54"/>
    <n v="319433.06"/>
    <n v="240214.12"/>
    <n v="79218.94"/>
  </r>
  <r>
    <x v="1"/>
    <s v="Italy"/>
    <s v="Fruits"/>
    <s v="Offline"/>
    <s v="L"/>
    <s v="11/17/2016"/>
    <n v="704233348"/>
    <s v="11/26/2016"/>
    <n v="7152"/>
    <n v="9.33"/>
    <n v="6.92"/>
    <n v="66728.160000000003"/>
    <n v="49491.839999999997"/>
    <n v="17236.32"/>
  </r>
  <r>
    <x v="0"/>
    <s v="Jamaica"/>
    <s v="Cosmetics"/>
    <s v="Online"/>
    <s v="C"/>
    <s v="4/29/2013"/>
    <n v="602520978"/>
    <s v="5/28/2013"/>
    <n v="8202"/>
    <n v="437.2"/>
    <n v="263.33"/>
    <n v="3585914.4"/>
    <n v="2159832.66"/>
    <n v="1426081.74"/>
  </r>
  <r>
    <x v="5"/>
    <s v="South Sudan"/>
    <s v="Cosmetics"/>
    <s v="Online"/>
    <s v="H"/>
    <d v="2014-03-01T00:00:00"/>
    <n v="128990066"/>
    <s v="1/24/2014"/>
    <n v="9882"/>
    <n v="437.2"/>
    <n v="263.33"/>
    <n v="4320410.4000000004"/>
    <n v="2602227.06"/>
    <n v="1718183.34"/>
  </r>
  <r>
    <x v="5"/>
    <s v="Ghana"/>
    <s v="Meat"/>
    <s v="Online"/>
    <s v="H"/>
    <d v="2015-12-03T00:00:00"/>
    <n v="166501939"/>
    <s v="3/25/2015"/>
    <n v="479"/>
    <n v="421.89"/>
    <n v="364.69"/>
    <n v="202085.31"/>
    <n v="174686.51"/>
    <n v="27398.799999999999"/>
  </r>
  <r>
    <x v="1"/>
    <s v="Bulgaria"/>
    <s v="Snacks"/>
    <s v="Online"/>
    <s v="C"/>
    <s v="5/31/2010"/>
    <n v="768230426"/>
    <s v="6/22/2010"/>
    <n v="5310"/>
    <n v="152.58000000000001"/>
    <n v="97.44"/>
    <n v="810199.8"/>
    <n v="517406.4"/>
    <n v="292793.40000000002"/>
  </r>
  <r>
    <x v="1"/>
    <s v="Luxembourg"/>
    <s v="Fruits"/>
    <s v="Offline"/>
    <s v="M"/>
    <s v="12/31/2016"/>
    <n v="707661855"/>
    <s v="1/26/2017"/>
    <n v="1723"/>
    <n v="9.33"/>
    <n v="6.92"/>
    <n v="16075.59"/>
    <n v="11923.16"/>
    <n v="4152.43"/>
  </r>
  <r>
    <x v="1"/>
    <s v="Hungary"/>
    <s v="Fruits"/>
    <s v="Offline"/>
    <s v="M"/>
    <d v="2011-08-09T00:00:00"/>
    <n v="628595054"/>
    <s v="10/21/2011"/>
    <n v="4100"/>
    <n v="9.33"/>
    <n v="6.92"/>
    <n v="38253"/>
    <n v="28372"/>
    <n v="9881"/>
  </r>
  <r>
    <x v="1"/>
    <s v="Greece"/>
    <s v="Beverages"/>
    <s v="Offline"/>
    <s v="H"/>
    <s v="2/20/2010"/>
    <n v="795141351"/>
    <s v="2/24/2010"/>
    <n v="8850"/>
    <n v="47.45"/>
    <n v="31.79"/>
    <n v="419932.5"/>
    <n v="281341.5"/>
    <n v="138591"/>
  </r>
  <r>
    <x v="4"/>
    <s v="Samoa "/>
    <s v="Vegetables"/>
    <s v="Offline"/>
    <s v="C"/>
    <d v="2010-01-03T00:00:00"/>
    <n v="641724574"/>
    <s v="3/30/2010"/>
    <n v="9417"/>
    <n v="154.06"/>
    <n v="90.93"/>
    <n v="1450783.02"/>
    <n v="856287.81"/>
    <n v="594495.21"/>
  </r>
  <r>
    <x v="5"/>
    <s v="Benin"/>
    <s v="Meat"/>
    <s v="Offline"/>
    <s v="H"/>
    <s v="8/14/2010"/>
    <n v="123081052"/>
    <d v="2010-03-10T00:00:00"/>
    <n v="1273"/>
    <n v="421.89"/>
    <n v="364.69"/>
    <n v="537065.97"/>
    <n v="464250.37"/>
    <n v="72815.600000000006"/>
  </r>
  <r>
    <x v="1"/>
    <s v="Belgium"/>
    <s v="Meat"/>
    <s v="Offline"/>
    <s v="M"/>
    <s v="3/22/2015"/>
    <n v="164259612"/>
    <s v="4/29/2015"/>
    <n v="6924"/>
    <n v="421.89"/>
    <n v="364.69"/>
    <n v="2921166.36"/>
    <n v="2525113.56"/>
    <n v="396052.8"/>
  </r>
  <r>
    <x v="0"/>
    <s v="Jamaica"/>
    <s v="Baby Food"/>
    <s v="Online"/>
    <s v="H"/>
    <d v="2013-11-08T00:00:00"/>
    <n v="410621583"/>
    <d v="2013-06-09T00:00:00"/>
    <n v="906"/>
    <n v="255.28"/>
    <n v="159.41999999999999"/>
    <n v="231283.68"/>
    <n v="144434.51999999999"/>
    <n v="86849.16"/>
  </r>
  <r>
    <x v="5"/>
    <s v="Kenya"/>
    <s v="Baby Food"/>
    <s v="Online"/>
    <s v="L"/>
    <d v="2015-01-06T00:00:00"/>
    <n v="577840793"/>
    <d v="2015-09-07T00:00:00"/>
    <n v="4786"/>
    <n v="255.28"/>
    <n v="159.41999999999999"/>
    <n v="1221770.08"/>
    <n v="762984.12"/>
    <n v="458785.96"/>
  </r>
  <r>
    <x v="5"/>
    <s v="Liberia"/>
    <s v="Cereal"/>
    <s v="Online"/>
    <s v="H"/>
    <d v="2016-10-03T00:00:00"/>
    <n v="901903569"/>
    <s v="3/19/2016"/>
    <n v="2163"/>
    <n v="205.7"/>
    <n v="117.11"/>
    <n v="444929.1"/>
    <n v="253308.93"/>
    <n v="191620.17"/>
  </r>
  <r>
    <x v="2"/>
    <s v="Mongolia"/>
    <s v="Baby Food"/>
    <s v="Online"/>
    <s v="M"/>
    <d v="2016-01-05T00:00:00"/>
    <n v="789108741"/>
    <s v="5/14/2016"/>
    <n v="3667"/>
    <n v="255.28"/>
    <n v="159.41999999999999"/>
    <n v="936111.76"/>
    <n v="584593.14"/>
    <n v="351518.62"/>
  </r>
  <r>
    <x v="4"/>
    <s v="Palau"/>
    <s v="Cereal"/>
    <s v="Offline"/>
    <s v="L"/>
    <s v="4/26/2017"/>
    <n v="166067636"/>
    <d v="2017-02-06T00:00:00"/>
    <n v="1959"/>
    <n v="205.7"/>
    <n v="117.11"/>
    <n v="402966.3"/>
    <n v="229418.49"/>
    <n v="173547.81"/>
  </r>
  <r>
    <x v="2"/>
    <s v="Uzbekistan"/>
    <s v="Cereal"/>
    <s v="Offline"/>
    <s v="M"/>
    <s v="4/25/2010"/>
    <n v="829704082"/>
    <d v="2010-02-05T00:00:00"/>
    <n v="6730"/>
    <n v="205.7"/>
    <n v="117.11"/>
    <n v="1384361"/>
    <n v="788150.3"/>
    <n v="596210.69999999995"/>
  </r>
  <r>
    <x v="3"/>
    <s v="Kuwait"/>
    <s v="Fruits"/>
    <s v="Offline"/>
    <s v="M"/>
    <s v="4/14/2010"/>
    <n v="597254407"/>
    <s v="4/25/2010"/>
    <n v="9706"/>
    <n v="9.33"/>
    <n v="6.92"/>
    <n v="90556.98"/>
    <n v="67165.52"/>
    <n v="23391.46"/>
  </r>
  <r>
    <x v="2"/>
    <s v="Tajikistan"/>
    <s v="Baby Food"/>
    <s v="Online"/>
    <s v="H"/>
    <s v="4/24/2014"/>
    <n v="956267440"/>
    <s v="5/21/2014"/>
    <n v="9641"/>
    <n v="255.28"/>
    <n v="159.41999999999999"/>
    <n v="2461154.48"/>
    <n v="1536968.22"/>
    <n v="924186.26"/>
  </r>
  <r>
    <x v="5"/>
    <s v="Lesotho"/>
    <s v="Office Supplies"/>
    <s v="Online"/>
    <s v="C"/>
    <s v="12/24/2012"/>
    <n v="314604508"/>
    <d v="2013-08-02T00:00:00"/>
    <n v="7320"/>
    <n v="651.21"/>
    <n v="524.96"/>
    <n v="4766857.2"/>
    <n v="3842707.2"/>
    <n v="924150"/>
  </r>
  <r>
    <x v="1"/>
    <s v="Norway"/>
    <s v="Snacks"/>
    <s v="Online"/>
    <s v="H"/>
    <s v="11/15/2016"/>
    <n v="750439441"/>
    <s v="12/29/2016"/>
    <n v="562"/>
    <n v="152.58000000000001"/>
    <n v="97.44"/>
    <n v="85749.96"/>
    <n v="54761.279999999999"/>
    <n v="30988.68"/>
  </r>
  <r>
    <x v="1"/>
    <s v="Armenia"/>
    <s v="Fruits"/>
    <s v="Offline"/>
    <s v="C"/>
    <s v="11/29/2014"/>
    <n v="362258565"/>
    <s v="12/14/2014"/>
    <n v="9214"/>
    <n v="9.33"/>
    <n v="6.92"/>
    <n v="85966.62"/>
    <n v="63760.88"/>
    <n v="22205.74"/>
  </r>
  <r>
    <x v="5"/>
    <s v="Mauritius "/>
    <s v="Household"/>
    <s v="Online"/>
    <s v="C"/>
    <d v="2016-08-01T00:00:00"/>
    <n v="918860709"/>
    <s v="2/16/2016"/>
    <n v="158"/>
    <n v="668.27"/>
    <n v="502.54"/>
    <n v="105586.66"/>
    <n v="79401.320000000007"/>
    <n v="26185.34"/>
  </r>
  <r>
    <x v="1"/>
    <s v="Slovakia"/>
    <s v="Cereal"/>
    <s v="Online"/>
    <s v="H"/>
    <s v="1/14/2015"/>
    <n v="209357202"/>
    <s v="1/22/2015"/>
    <n v="2303"/>
    <n v="205.7"/>
    <n v="117.11"/>
    <n v="473727.1"/>
    <n v="269704.33"/>
    <n v="204022.77"/>
  </r>
  <r>
    <x v="2"/>
    <s v="Turkmenistan"/>
    <s v="Office Supplies"/>
    <s v="Online"/>
    <s v="L"/>
    <s v="8/29/2011"/>
    <n v="593171870"/>
    <d v="2011-04-09T00:00:00"/>
    <n v="1593"/>
    <n v="651.21"/>
    <n v="524.96"/>
    <n v="1037377.53"/>
    <n v="836261.28"/>
    <n v="201116.25"/>
  </r>
  <r>
    <x v="1"/>
    <s v="Portugal"/>
    <s v="Cosmetics"/>
    <s v="Offline"/>
    <s v="L"/>
    <s v="3/20/2014"/>
    <n v="450041043"/>
    <s v="4/16/2014"/>
    <n v="6000"/>
    <n v="437.2"/>
    <n v="263.33"/>
    <n v="2623200"/>
    <n v="1579980"/>
    <n v="1043220"/>
  </r>
  <r>
    <x v="0"/>
    <s v="Cuba"/>
    <s v="Office Supplies"/>
    <s v="Offline"/>
    <s v="L"/>
    <d v="2013-04-03T00:00:00"/>
    <n v="930013549"/>
    <d v="2013-07-03T00:00:00"/>
    <n v="531"/>
    <n v="651.21"/>
    <n v="524.96"/>
    <n v="345792.51"/>
    <n v="278753.76"/>
    <n v="67038.75"/>
  </r>
  <r>
    <x v="1"/>
    <s v="Slovakia"/>
    <s v="Office Supplies"/>
    <s v="Online"/>
    <s v="H"/>
    <s v="3/15/2015"/>
    <n v="103450715"/>
    <s v="4/18/2015"/>
    <n v="2220"/>
    <n v="651.21"/>
    <n v="524.96"/>
    <n v="1445686.2"/>
    <n v="1165411.2"/>
    <n v="280275"/>
  </r>
  <r>
    <x v="0"/>
    <s v="Cuba"/>
    <s v="Baby Food"/>
    <s v="Online"/>
    <s v="H"/>
    <d v="2016-06-09T00:00:00"/>
    <n v="611026370"/>
    <d v="2016-07-09T00:00:00"/>
    <n v="5136"/>
    <n v="255.28"/>
    <n v="159.41999999999999"/>
    <n v="1311118.08"/>
    <n v="818781.12"/>
    <n v="492336.96"/>
  </r>
  <r>
    <x v="2"/>
    <s v="Turkmenistan"/>
    <s v="Office Supplies"/>
    <s v="Online"/>
    <s v="C"/>
    <s v="1/23/2015"/>
    <n v="213726842"/>
    <s v="1/28/2015"/>
    <n v="5377"/>
    <n v="651.21"/>
    <n v="524.96"/>
    <n v="3501556.17"/>
    <n v="2822709.92"/>
    <n v="678846.25"/>
  </r>
  <r>
    <x v="5"/>
    <s v="Mauritania"/>
    <s v="Fruits"/>
    <s v="Offline"/>
    <s v="M"/>
    <s v="8/20/2012"/>
    <n v="342850959"/>
    <s v="9/21/2012"/>
    <n v="6072"/>
    <n v="9.33"/>
    <n v="6.92"/>
    <n v="56651.76"/>
    <n v="42018.239999999998"/>
    <n v="14633.52"/>
  </r>
  <r>
    <x v="3"/>
    <s v="Israel"/>
    <s v="Personal Care"/>
    <s v="Offline"/>
    <s v="H"/>
    <d v="2012-06-10T00:00:00"/>
    <n v="250010049"/>
    <d v="2012-05-11T00:00:00"/>
    <n v="2384"/>
    <n v="81.73"/>
    <n v="56.67"/>
    <n v="194844.32"/>
    <n v="135101.28"/>
    <n v="59743.040000000001"/>
  </r>
  <r>
    <x v="3"/>
    <s v="Libya"/>
    <s v="Beverages"/>
    <s v="Offline"/>
    <s v="C"/>
    <d v="2016-01-02T00:00:00"/>
    <n v="157127940"/>
    <d v="2016-11-03T00:00:00"/>
    <n v="6504"/>
    <n v="47.45"/>
    <n v="31.79"/>
    <n v="308614.8"/>
    <n v="206762.16"/>
    <n v="101852.64"/>
  </r>
  <r>
    <x v="5"/>
    <s v="Comoros"/>
    <s v="Cereal"/>
    <s v="Online"/>
    <s v="M"/>
    <s v="9/26/2016"/>
    <n v="806440961"/>
    <d v="2016-04-10T00:00:00"/>
    <n v="2656"/>
    <n v="205.7"/>
    <n v="117.11"/>
    <n v="546339.19999999995"/>
    <n v="311044.15999999997"/>
    <n v="235295.04"/>
  </r>
  <r>
    <x v="4"/>
    <s v="Fiji"/>
    <s v="Meat"/>
    <s v="Offline"/>
    <s v="C"/>
    <d v="2013-12-09T00:00:00"/>
    <n v="310497939"/>
    <d v="2013-11-10T00:00:00"/>
    <n v="2095"/>
    <n v="421.89"/>
    <n v="364.69"/>
    <n v="883859.55"/>
    <n v="764025.55"/>
    <n v="119834"/>
  </r>
  <r>
    <x v="4"/>
    <s v="Tuvalu"/>
    <s v="Snacks"/>
    <s v="Online"/>
    <s v="C"/>
    <d v="2014-03-08T00:00:00"/>
    <n v="902160203"/>
    <d v="2014-07-08T00:00:00"/>
    <n v="8107"/>
    <n v="152.58000000000001"/>
    <n v="97.44"/>
    <n v="1236966.06"/>
    <n v="789946.08"/>
    <n v="447019.98"/>
  </r>
  <r>
    <x v="1"/>
    <s v="Luxembourg"/>
    <s v="Fruits"/>
    <s v="Online"/>
    <s v="M"/>
    <s v="9/25/2016"/>
    <n v="384601581"/>
    <s v="10/19/2016"/>
    <n v="1009"/>
    <n v="9.33"/>
    <n v="6.92"/>
    <n v="9413.9699999999993"/>
    <n v="6982.28"/>
    <n v="2431.69"/>
  </r>
  <r>
    <x v="0"/>
    <s v="Dominican Republic"/>
    <s v="Meat"/>
    <s v="Online"/>
    <s v="M"/>
    <s v="12/17/2010"/>
    <n v="681308400"/>
    <s v="1/30/2011"/>
    <n v="3151"/>
    <n v="421.89"/>
    <n v="364.69"/>
    <n v="1329375.3899999999"/>
    <n v="1149138.19"/>
    <n v="180237.2"/>
  </r>
  <r>
    <x v="1"/>
    <s v="Denmark"/>
    <s v="Vegetables"/>
    <s v="Online"/>
    <s v="L"/>
    <s v="8/25/2015"/>
    <n v="186079490"/>
    <s v="8/29/2015"/>
    <n v="3911"/>
    <n v="154.06"/>
    <n v="90.93"/>
    <n v="602528.66"/>
    <n v="355627.23"/>
    <n v="246901.43"/>
  </r>
  <r>
    <x v="1"/>
    <s v="Bulgaria"/>
    <s v="Office Supplies"/>
    <s v="Online"/>
    <s v="M"/>
    <s v="5/22/2012"/>
    <n v="513026177"/>
    <d v="2012-05-06T00:00:00"/>
    <n v="4701"/>
    <n v="651.21"/>
    <n v="524.96"/>
    <n v="3061338.21"/>
    <n v="2467836.96"/>
    <n v="593501.25"/>
  </r>
  <r>
    <x v="0"/>
    <s v="Guatemala"/>
    <s v="Office Supplies"/>
    <s v="Online"/>
    <s v="H"/>
    <d v="2010-07-05T00:00:00"/>
    <n v="646572291"/>
    <s v="5/23/2010"/>
    <n v="3964"/>
    <n v="651.21"/>
    <n v="524.96"/>
    <n v="2581396.44"/>
    <n v="2080941.44"/>
    <n v="500455"/>
  </r>
  <r>
    <x v="3"/>
    <s v="Jordan"/>
    <s v="Clothes"/>
    <s v="Offline"/>
    <s v="L"/>
    <d v="2012-01-03T00:00:00"/>
    <n v="991454160"/>
    <s v="3/19/2012"/>
    <n v="2173"/>
    <n v="109.28"/>
    <n v="35.840000000000003"/>
    <n v="237465.44"/>
    <n v="77880.320000000007"/>
    <n v="159585.12"/>
  </r>
  <r>
    <x v="1"/>
    <s v="Malta"/>
    <s v="Baby Food"/>
    <s v="Offline"/>
    <s v="L"/>
    <s v="3/16/2010"/>
    <n v="222720611"/>
    <d v="2010-01-04T00:00:00"/>
    <n v="6833"/>
    <n v="255.28"/>
    <n v="159.41999999999999"/>
    <n v="1744328.24"/>
    <n v="1089316.8600000001"/>
    <n v="655011.38"/>
  </r>
  <r>
    <x v="6"/>
    <s v="Mexico"/>
    <s v="Office Supplies"/>
    <s v="Offline"/>
    <s v="H"/>
    <s v="1/13/2013"/>
    <n v="235732972"/>
    <s v="1/31/2013"/>
    <n v="7480"/>
    <n v="651.21"/>
    <n v="524.96"/>
    <n v="4871050.8"/>
    <n v="3926700.8"/>
    <n v="944350"/>
  </r>
  <r>
    <x v="3"/>
    <s v="Kuwait"/>
    <s v="Office Supplies"/>
    <s v="Online"/>
    <s v="L"/>
    <d v="2011-10-05T00:00:00"/>
    <n v="296165072"/>
    <d v="2011-02-06T00:00:00"/>
    <n v="681"/>
    <n v="651.21"/>
    <n v="524.96"/>
    <n v="443474.01"/>
    <n v="357497.76"/>
    <n v="85976.25"/>
  </r>
  <r>
    <x v="5"/>
    <s v="Zimbabwe"/>
    <s v="Cereal"/>
    <s v="Online"/>
    <s v="L"/>
    <s v="1/27/2012"/>
    <n v="190003240"/>
    <d v="2012-08-03T00:00:00"/>
    <n v="5036"/>
    <n v="205.7"/>
    <n v="117.11"/>
    <n v="1035905.2"/>
    <n v="589765.96"/>
    <n v="446139.24"/>
  </r>
  <r>
    <x v="0"/>
    <s v="Haiti"/>
    <s v="Clothes"/>
    <s v="Online"/>
    <s v="M"/>
    <s v="10/22/2011"/>
    <n v="673546302"/>
    <d v="2011-11-11T00:00:00"/>
    <n v="6173"/>
    <n v="109.28"/>
    <n v="35.840000000000003"/>
    <n v="674585.44"/>
    <n v="221240.32000000001"/>
    <n v="453345.12"/>
  </r>
  <r>
    <x v="2"/>
    <s v="Singapore"/>
    <s v="Cosmetics"/>
    <s v="Online"/>
    <s v="L"/>
    <s v="10/24/2015"/>
    <n v="323405587"/>
    <s v="11/17/2015"/>
    <n v="1755"/>
    <n v="437.2"/>
    <n v="263.33"/>
    <n v="767286"/>
    <n v="462144.15"/>
    <n v="305141.84999999998"/>
  </r>
  <r>
    <x v="0"/>
    <s v="Dominican Republic"/>
    <s v="Household"/>
    <s v="Offline"/>
    <s v="L"/>
    <s v="6/23/2011"/>
    <n v="486504924"/>
    <s v="6/25/2011"/>
    <n v="6473"/>
    <n v="668.27"/>
    <n v="502.54"/>
    <n v="4325711.71"/>
    <n v="3252941.42"/>
    <n v="1072770.29"/>
  </r>
  <r>
    <x v="3"/>
    <s v="Bahrain"/>
    <s v="Snacks"/>
    <s v="Online"/>
    <s v="H"/>
    <s v="7/16/2017"/>
    <n v="330080640"/>
    <d v="2017-04-08T00:00:00"/>
    <n v="7051"/>
    <n v="152.58000000000001"/>
    <n v="97.44"/>
    <n v="1075841.58"/>
    <n v="687049.44"/>
    <n v="388792.14"/>
  </r>
  <r>
    <x v="1"/>
    <s v="Bosnia and Herzegovina"/>
    <s v="Household"/>
    <s v="Offline"/>
    <s v="M"/>
    <d v="2012-01-03T00:00:00"/>
    <n v="891681563"/>
    <s v="3/27/2012"/>
    <n v="7245"/>
    <n v="668.27"/>
    <n v="502.54"/>
    <n v="4841616.1500000004"/>
    <n v="3640902.3"/>
    <n v="1200713.8500000001"/>
  </r>
  <r>
    <x v="1"/>
    <s v="Kosovo"/>
    <s v="Beverages"/>
    <s v="Offline"/>
    <s v="M"/>
    <d v="2012-08-06T00:00:00"/>
    <n v="129169023"/>
    <s v="7/18/2012"/>
    <n v="2839"/>
    <n v="47.45"/>
    <n v="31.79"/>
    <n v="134710.54999999999"/>
    <n v="90251.81"/>
    <n v="44458.74"/>
  </r>
  <r>
    <x v="3"/>
    <s v="Israel"/>
    <s v="Cosmetics"/>
    <s v="Offline"/>
    <s v="L"/>
    <d v="2010-01-01T00:00:00"/>
    <n v="570716845"/>
    <s v="1/13/2010"/>
    <n v="6652"/>
    <n v="437.2"/>
    <n v="263.33"/>
    <n v="2908254.4"/>
    <n v="1751671.16"/>
    <n v="1156583.24"/>
  </r>
  <r>
    <x v="1"/>
    <s v="France"/>
    <s v="Cereal"/>
    <s v="Online"/>
    <s v="C"/>
    <s v="9/19/2012"/>
    <n v="764811360"/>
    <s v="9/30/2012"/>
    <n v="3532"/>
    <n v="205.7"/>
    <n v="117.11"/>
    <n v="726532.4"/>
    <n v="413632.52"/>
    <n v="312899.88"/>
  </r>
  <r>
    <x v="5"/>
    <s v="Zambia"/>
    <s v="Cosmetics"/>
    <s v="Online"/>
    <s v="L"/>
    <s v="7/29/2010"/>
    <n v="230251395"/>
    <d v="2010-09-09T00:00:00"/>
    <n v="5359"/>
    <n v="437.2"/>
    <n v="263.33"/>
    <n v="2342954.7999999998"/>
    <n v="1411185.47"/>
    <n v="931769.33"/>
  </r>
  <r>
    <x v="5"/>
    <s v="Mauritius "/>
    <s v="Clothes"/>
    <s v="Online"/>
    <s v="H"/>
    <d v="2017-07-05T00:00:00"/>
    <n v="806148278"/>
    <s v="5/29/2017"/>
    <n v="6045"/>
    <n v="109.28"/>
    <n v="35.840000000000003"/>
    <n v="660597.6"/>
    <n v="216652.79999999999"/>
    <n v="443944.8"/>
  </r>
  <r>
    <x v="1"/>
    <s v="Liechtenstein"/>
    <s v="Vegetables"/>
    <s v="Offline"/>
    <s v="C"/>
    <s v="10/17/2013"/>
    <n v="801925837"/>
    <s v="10/26/2013"/>
    <n v="6531"/>
    <n v="154.06"/>
    <n v="90.93"/>
    <n v="1006165.86"/>
    <n v="593863.82999999996"/>
    <n v="412302.03"/>
  </r>
  <r>
    <x v="5"/>
    <s v="Sierra Leone"/>
    <s v="Cereal"/>
    <s v="Offline"/>
    <s v="M"/>
    <s v="1/14/2012"/>
    <n v="847320401"/>
    <d v="2012-07-02T00:00:00"/>
    <n v="9791"/>
    <n v="205.7"/>
    <n v="117.11"/>
    <n v="2014008.7"/>
    <n v="1146624.01"/>
    <n v="867384.69"/>
  </r>
  <r>
    <x v="5"/>
    <s v="Niger"/>
    <s v="Vegetables"/>
    <s v="Offline"/>
    <s v="H"/>
    <s v="11/23/2013"/>
    <n v="742380797"/>
    <s v="12/16/2013"/>
    <n v="5830"/>
    <n v="154.06"/>
    <n v="90.93"/>
    <n v="898169.8"/>
    <n v="530121.9"/>
    <n v="368047.9"/>
  </r>
  <r>
    <x v="5"/>
    <s v="Liberia"/>
    <s v="Baby Food"/>
    <s v="Offline"/>
    <s v="C"/>
    <d v="2014-08-09T00:00:00"/>
    <n v="807468354"/>
    <d v="2014-08-10T00:00:00"/>
    <n v="6685"/>
    <n v="255.28"/>
    <n v="159.41999999999999"/>
    <n v="1706546.8"/>
    <n v="1065722.7"/>
    <n v="640824.1"/>
  </r>
  <r>
    <x v="0"/>
    <s v="Panama"/>
    <s v="Vegetables"/>
    <s v="Offline"/>
    <s v="H"/>
    <s v="7/29/2014"/>
    <n v="533256900"/>
    <s v="7/31/2014"/>
    <n v="1422"/>
    <n v="154.06"/>
    <n v="90.93"/>
    <n v="219073.32"/>
    <n v="129302.46"/>
    <n v="89770.86"/>
  </r>
  <r>
    <x v="2"/>
    <s v="Uzbekistan"/>
    <s v="Cereal"/>
    <s v="Online"/>
    <s v="L"/>
    <s v="10/16/2014"/>
    <n v="830732762"/>
    <d v="2014-01-11T00:00:00"/>
    <n v="1140"/>
    <n v="205.7"/>
    <n v="117.11"/>
    <n v="234498"/>
    <n v="133505.4"/>
    <n v="100992.6"/>
  </r>
  <r>
    <x v="1"/>
    <s v="San Marino"/>
    <s v="Office Supplies"/>
    <s v="Offline"/>
    <s v="C"/>
    <d v="2013-05-11T00:00:00"/>
    <n v="881194770"/>
    <d v="2013-05-12T00:00:00"/>
    <n v="3969"/>
    <n v="651.21"/>
    <n v="524.96"/>
    <n v="2584652.4900000002"/>
    <n v="2083566.24"/>
    <n v="501086.25"/>
  </r>
  <r>
    <x v="5"/>
    <s v="Comoros"/>
    <s v="Snacks"/>
    <s v="Offline"/>
    <s v="C"/>
    <s v="4/26/2011"/>
    <n v="386254251"/>
    <s v="5/16/2011"/>
    <n v="71"/>
    <n v="152.58000000000001"/>
    <n v="97.44"/>
    <n v="10833.18"/>
    <n v="6918.24"/>
    <n v="3914.94"/>
  </r>
  <r>
    <x v="1"/>
    <s v="Austria"/>
    <s v="Vegetables"/>
    <s v="Offline"/>
    <s v="C"/>
    <s v="8/17/2011"/>
    <n v="917835032"/>
    <d v="2011-06-10T00:00:00"/>
    <n v="6637"/>
    <n v="154.06"/>
    <n v="90.93"/>
    <n v="1022496.22"/>
    <n v="603502.41"/>
    <n v="418993.81"/>
  </r>
  <r>
    <x v="0"/>
    <s v="The Bahamas"/>
    <s v="Vegetables"/>
    <s v="Offline"/>
    <s v="M"/>
    <d v="2012-10-09T00:00:00"/>
    <n v="968173444"/>
    <s v="10/25/2012"/>
    <n v="2892"/>
    <n v="154.06"/>
    <n v="90.93"/>
    <n v="445541.52"/>
    <n v="262969.56"/>
    <n v="182571.96"/>
  </r>
  <r>
    <x v="3"/>
    <s v="Tunisia "/>
    <s v="Personal Care"/>
    <s v="Offline"/>
    <s v="L"/>
    <s v="4/16/2017"/>
    <n v="899818313"/>
    <d v="2017-05-05T00:00:00"/>
    <n v="5090"/>
    <n v="81.73"/>
    <n v="56.67"/>
    <n v="416005.7"/>
    <n v="288450.3"/>
    <n v="127555.4"/>
  </r>
  <r>
    <x v="4"/>
    <s v="Tonga"/>
    <s v="Meat"/>
    <s v="Online"/>
    <s v="C"/>
    <d v="2014-07-02T00:00:00"/>
    <n v="695630967"/>
    <d v="2014-08-02T00:00:00"/>
    <n v="1516"/>
    <n v="421.89"/>
    <n v="364.69"/>
    <n v="639585.24"/>
    <n v="552870.04"/>
    <n v="86715.199999999997"/>
  </r>
  <r>
    <x v="5"/>
    <s v="Kenya"/>
    <s v="Personal Care"/>
    <s v="Offline"/>
    <s v="C"/>
    <s v="10/26/2011"/>
    <n v="408785235"/>
    <d v="2011-03-11T00:00:00"/>
    <n v="7490"/>
    <n v="81.73"/>
    <n v="56.67"/>
    <n v="612157.69999999995"/>
    <n v="424458.3"/>
    <n v="187699.4"/>
  </r>
  <r>
    <x v="6"/>
    <s v="Greenland"/>
    <s v="Baby Food"/>
    <s v="Online"/>
    <s v="L"/>
    <d v="2012-11-08T00:00:00"/>
    <n v="612767446"/>
    <s v="8/29/2012"/>
    <n v="359"/>
    <n v="255.28"/>
    <n v="159.41999999999999"/>
    <n v="91645.52"/>
    <n v="57231.78"/>
    <n v="34413.74"/>
  </r>
  <r>
    <x v="0"/>
    <s v="The Bahamas"/>
    <s v="Cosmetics"/>
    <s v="Offline"/>
    <s v="C"/>
    <d v="2015-11-12T00:00:00"/>
    <n v="151376426"/>
    <s v="1/29/2016"/>
    <n v="4503"/>
    <n v="437.2"/>
    <n v="263.33"/>
    <n v="1968711.6"/>
    <n v="1185774.99"/>
    <n v="782936.61"/>
  </r>
  <r>
    <x v="2"/>
    <s v="China"/>
    <s v="Cosmetics"/>
    <s v="Offline"/>
    <s v="H"/>
    <d v="2014-05-10T00:00:00"/>
    <n v="188723504"/>
    <d v="2014-06-11T00:00:00"/>
    <n v="6334"/>
    <n v="437.2"/>
    <n v="263.33"/>
    <n v="2769224.8"/>
    <n v="1667932.22"/>
    <n v="1101292.58"/>
  </r>
  <r>
    <x v="1"/>
    <s v="Switzerland"/>
    <s v="Fruits"/>
    <s v="Online"/>
    <s v="H"/>
    <d v="2014-08-06T00:00:00"/>
    <n v="159232509"/>
    <s v="7/14/2014"/>
    <n v="9293"/>
    <n v="9.33"/>
    <n v="6.92"/>
    <n v="86703.69"/>
    <n v="64307.56"/>
    <n v="22396.13"/>
  </r>
  <r>
    <x v="1"/>
    <s v="Serbia"/>
    <s v="Vegetables"/>
    <s v="Online"/>
    <s v="L"/>
    <s v="10/31/2013"/>
    <n v="917639768"/>
    <s v="12/14/2013"/>
    <n v="8854"/>
    <n v="154.06"/>
    <n v="90.93"/>
    <n v="1364047.24"/>
    <n v="805094.22"/>
    <n v="558953.02"/>
  </r>
  <r>
    <x v="5"/>
    <s v="Mali"/>
    <s v="Vegetables"/>
    <s v="Online"/>
    <s v="M"/>
    <d v="2016-01-09T00:00:00"/>
    <n v="688994109"/>
    <s v="9/27/2016"/>
    <n v="7523"/>
    <n v="154.06"/>
    <n v="90.93"/>
    <n v="1158993.3799999999"/>
    <n v="684066.39"/>
    <n v="474926.99"/>
  </r>
  <r>
    <x v="3"/>
    <s v="Qatar"/>
    <s v="Cosmetics"/>
    <s v="Offline"/>
    <s v="M"/>
    <s v="7/30/2012"/>
    <n v="918656861"/>
    <s v="8/17/2012"/>
    <n v="9835"/>
    <n v="437.2"/>
    <n v="263.33"/>
    <n v="4299862"/>
    <n v="2589850.5499999998"/>
    <n v="1710011.45"/>
  </r>
  <r>
    <x v="5"/>
    <s v="Sudan"/>
    <s v="Household"/>
    <s v="Online"/>
    <s v="L"/>
    <s v="3/13/2011"/>
    <n v="422301852"/>
    <s v="4/23/2011"/>
    <n v="7357"/>
    <n v="668.27"/>
    <n v="502.54"/>
    <n v="4916462.3899999997"/>
    <n v="3697186.78"/>
    <n v="1219275.6100000001"/>
  </r>
  <r>
    <x v="5"/>
    <s v="Malawi"/>
    <s v="Office Supplies"/>
    <s v="Online"/>
    <s v="L"/>
    <s v="8/24/2015"/>
    <n v="335915410"/>
    <s v="9/23/2015"/>
    <n v="3689"/>
    <n v="651.21"/>
    <n v="524.96"/>
    <n v="2402313.69"/>
    <n v="1936577.44"/>
    <n v="465736.25"/>
  </r>
  <r>
    <x v="1"/>
    <s v="Lithuania"/>
    <s v="Fruits"/>
    <s v="Online"/>
    <s v="M"/>
    <d v="2011-09-03T00:00:00"/>
    <n v="965796363"/>
    <s v="3/19/2011"/>
    <n v="9461"/>
    <n v="9.33"/>
    <n v="6.92"/>
    <n v="88271.13"/>
    <n v="65470.12"/>
    <n v="22801.01"/>
  </r>
  <r>
    <x v="2"/>
    <s v="Bhutan"/>
    <s v="Personal Care"/>
    <s v="Online"/>
    <s v="H"/>
    <d v="2014-04-06T00:00:00"/>
    <n v="438556039"/>
    <s v="6/22/2014"/>
    <n v="7332"/>
    <n v="81.73"/>
    <n v="56.67"/>
    <n v="599244.36"/>
    <n v="415504.44"/>
    <n v="183739.92"/>
  </r>
  <r>
    <x v="1"/>
    <s v="Bosnia and Herzegovina"/>
    <s v="Baby Food"/>
    <s v="Online"/>
    <s v="L"/>
    <s v="7/16/2016"/>
    <n v="551118266"/>
    <s v="8/15/2016"/>
    <n v="6997"/>
    <n v="255.28"/>
    <n v="159.41999999999999"/>
    <n v="1786194.16"/>
    <n v="1115461.74"/>
    <n v="670732.42000000004"/>
  </r>
  <r>
    <x v="5"/>
    <s v="Tanzania"/>
    <s v="Household"/>
    <s v="Offline"/>
    <s v="H"/>
    <d v="2017-05-05T00:00:00"/>
    <n v="920719373"/>
    <d v="2017-08-06T00:00:00"/>
    <n v="178"/>
    <n v="668.27"/>
    <n v="502.54"/>
    <n v="118952.06"/>
    <n v="89452.12"/>
    <n v="29499.94"/>
  </r>
  <r>
    <x v="5"/>
    <s v="The Gambia"/>
    <s v="Fruits"/>
    <s v="Offline"/>
    <s v="L"/>
    <d v="2013-04-12T00:00:00"/>
    <n v="334908187"/>
    <d v="2013-11-12T00:00:00"/>
    <n v="5630"/>
    <n v="9.33"/>
    <n v="6.92"/>
    <n v="52527.9"/>
    <n v="38959.599999999999"/>
    <n v="13568.3"/>
  </r>
  <r>
    <x v="5"/>
    <s v="Guinea"/>
    <s v="Household"/>
    <s v="Online"/>
    <s v="H"/>
    <d v="2012-05-01T00:00:00"/>
    <n v="801546037"/>
    <s v="2/15/2012"/>
    <n v="4139"/>
    <n v="668.27"/>
    <n v="502.54"/>
    <n v="2765969.53"/>
    <n v="2080013.06"/>
    <n v="685956.47"/>
  </r>
  <r>
    <x v="3"/>
    <s v="Jordan"/>
    <s v="Office Supplies"/>
    <s v="Offline"/>
    <s v="C"/>
    <d v="2014-10-08T00:00:00"/>
    <n v="798806750"/>
    <s v="8/22/2014"/>
    <n v="3524"/>
    <n v="651.21"/>
    <n v="524.96"/>
    <n v="2294864.04"/>
    <n v="1849959.04"/>
    <n v="444905"/>
  </r>
  <r>
    <x v="3"/>
    <s v="Iran"/>
    <s v="Fruits"/>
    <s v="Offline"/>
    <s v="M"/>
    <s v="8/23/2010"/>
    <n v="225176656"/>
    <d v="2010-06-09T00:00:00"/>
    <n v="3631"/>
    <n v="9.33"/>
    <n v="6.92"/>
    <n v="33877.230000000003"/>
    <n v="25126.52"/>
    <n v="8750.7099999999991"/>
  </r>
  <r>
    <x v="1"/>
    <s v="Albania"/>
    <s v="Office Supplies"/>
    <s v="Online"/>
    <s v="M"/>
    <d v="2016-10-08T00:00:00"/>
    <n v="849454581"/>
    <d v="2016-06-09T00:00:00"/>
    <n v="1342"/>
    <n v="651.21"/>
    <n v="524.96"/>
    <n v="873923.82"/>
    <n v="704496.32"/>
    <n v="169427.5"/>
  </r>
  <r>
    <x v="5"/>
    <s v="Zimbabwe"/>
    <s v="Clothes"/>
    <s v="Offline"/>
    <s v="M"/>
    <s v="3/15/2012"/>
    <n v="460751855"/>
    <s v="4/27/2012"/>
    <n v="5568"/>
    <n v="109.28"/>
    <n v="35.840000000000003"/>
    <n v="608471.04000000004"/>
    <n v="199557.12"/>
    <n v="408913.91999999998"/>
  </r>
  <r>
    <x v="4"/>
    <s v="Fiji"/>
    <s v="Cosmetics"/>
    <s v="Offline"/>
    <s v="L"/>
    <d v="2012-06-04T00:00:00"/>
    <n v="518492305"/>
    <s v="5/21/2012"/>
    <n v="2250"/>
    <n v="437.2"/>
    <n v="263.33"/>
    <n v="983700"/>
    <n v="592492.5"/>
    <n v="391207.5"/>
  </r>
  <r>
    <x v="2"/>
    <s v="Kazakhstan"/>
    <s v="Vegetables"/>
    <s v="Online"/>
    <s v="L"/>
    <s v="7/20/2017"/>
    <n v="302412259"/>
    <s v="8/17/2017"/>
    <n v="9363"/>
    <n v="154.06"/>
    <n v="90.93"/>
    <n v="1442463.78"/>
    <n v="851377.59"/>
    <n v="591086.18999999994"/>
  </r>
  <r>
    <x v="1"/>
    <s v="Georgia"/>
    <s v="Cereal"/>
    <s v="Offline"/>
    <s v="M"/>
    <s v="12/14/2010"/>
    <n v="962560546"/>
    <d v="2011-08-01T00:00:00"/>
    <n v="1911"/>
    <n v="205.7"/>
    <n v="117.11"/>
    <n v="393092.7"/>
    <n v="223797.21"/>
    <n v="169295.49"/>
  </r>
  <r>
    <x v="5"/>
    <s v="Senegal"/>
    <s v="Beverages"/>
    <s v="Online"/>
    <s v="C"/>
    <s v="4/16/2014"/>
    <n v="569298493"/>
    <s v="5/19/2014"/>
    <n v="6930"/>
    <n v="47.45"/>
    <n v="31.79"/>
    <n v="328828.5"/>
    <n v="220304.7"/>
    <n v="108523.8"/>
  </r>
  <r>
    <x v="4"/>
    <s v="Federated States of Micronesia"/>
    <s v="Office Supplies"/>
    <s v="Offline"/>
    <s v="H"/>
    <s v="5/15/2016"/>
    <n v="863299930"/>
    <s v="6/20/2016"/>
    <n v="8488"/>
    <n v="651.21"/>
    <n v="524.96"/>
    <n v="5527470.4800000004"/>
    <n v="4455860.4800000004"/>
    <n v="1071610"/>
  </r>
  <r>
    <x v="5"/>
    <s v="Zambia"/>
    <s v="Cereal"/>
    <s v="Online"/>
    <s v="L"/>
    <s v="8/21/2014"/>
    <n v="505551183"/>
    <s v="9/23/2014"/>
    <n v="2684"/>
    <n v="205.7"/>
    <n v="117.11"/>
    <n v="552098.80000000005"/>
    <n v="314323.24"/>
    <n v="237775.56"/>
  </r>
  <r>
    <x v="1"/>
    <s v="Liechtenstein"/>
    <s v="Vegetables"/>
    <s v="Offline"/>
    <s v="H"/>
    <s v="5/23/2011"/>
    <n v="927351081"/>
    <d v="2011-02-06T00:00:00"/>
    <n v="2647"/>
    <n v="154.06"/>
    <n v="90.93"/>
    <n v="407796.82"/>
    <n v="240691.71"/>
    <n v="167105.10999999999"/>
  </r>
  <r>
    <x v="4"/>
    <s v="Vanuatu"/>
    <s v="Office Supplies"/>
    <s v="Online"/>
    <s v="C"/>
    <s v="7/24/2017"/>
    <n v="480310952"/>
    <d v="2017-11-08T00:00:00"/>
    <n v="3539"/>
    <n v="651.21"/>
    <n v="524.96"/>
    <n v="2304632.19"/>
    <n v="1857833.44"/>
    <n v="446798.75"/>
  </r>
  <r>
    <x v="0"/>
    <s v="Saint Kitts and Nevis "/>
    <s v="Personal Care"/>
    <s v="Offline"/>
    <s v="C"/>
    <s v="1/26/2011"/>
    <n v="286354625"/>
    <d v="2011-11-03T00:00:00"/>
    <n v="7552"/>
    <n v="81.73"/>
    <n v="56.67"/>
    <n v="617224.95999999996"/>
    <n v="427971.84000000003"/>
    <n v="189253.12"/>
  </r>
  <r>
    <x v="3"/>
    <s v="Iran"/>
    <s v="Snacks"/>
    <s v="Offline"/>
    <s v="M"/>
    <d v="2016-05-05T00:00:00"/>
    <n v="187718427"/>
    <d v="2016-12-06T00:00:00"/>
    <n v="8909"/>
    <n v="152.58000000000001"/>
    <n v="97.44"/>
    <n v="1359335.22"/>
    <n v="868092.96"/>
    <n v="491242.26"/>
  </r>
  <r>
    <x v="5"/>
    <s v="Niger"/>
    <s v="Personal Care"/>
    <s v="Online"/>
    <s v="H"/>
    <s v="3/19/2017"/>
    <n v="996951186"/>
    <s v="4/30/2017"/>
    <n v="8865"/>
    <n v="81.73"/>
    <n v="56.67"/>
    <n v="724536.45"/>
    <n v="502379.55"/>
    <n v="222156.9"/>
  </r>
  <r>
    <x v="5"/>
    <s v="Eritrea"/>
    <s v="Office Supplies"/>
    <s v="Offline"/>
    <s v="H"/>
    <s v="9/25/2013"/>
    <n v="446914231"/>
    <d v="2013-01-10T00:00:00"/>
    <n v="707"/>
    <n v="651.21"/>
    <n v="524.96"/>
    <n v="460405.47"/>
    <n v="371146.72"/>
    <n v="89258.75"/>
  </r>
  <r>
    <x v="1"/>
    <s v="Luxembourg"/>
    <s v="Household"/>
    <s v="Online"/>
    <s v="H"/>
    <s v="10/20/2010"/>
    <n v="840781390"/>
    <s v="11/13/2010"/>
    <n v="4752"/>
    <n v="668.27"/>
    <n v="502.54"/>
    <n v="3175619.04"/>
    <n v="2388070.08"/>
    <n v="787548.96"/>
  </r>
  <r>
    <x v="3"/>
    <s v="Tunisia "/>
    <s v="Snacks"/>
    <s v="Online"/>
    <s v="M"/>
    <s v="5/19/2014"/>
    <n v="502038991"/>
    <d v="2014-08-07T00:00:00"/>
    <n v="3349"/>
    <n v="152.58000000000001"/>
    <n v="97.44"/>
    <n v="510990.42"/>
    <n v="326326.56"/>
    <n v="184663.86"/>
  </r>
  <r>
    <x v="2"/>
    <s v="North Korea"/>
    <s v="Snacks"/>
    <s v="Offline"/>
    <s v="C"/>
    <s v="7/27/2012"/>
    <n v="524485862"/>
    <s v="8/21/2012"/>
    <n v="5877"/>
    <n v="152.58000000000001"/>
    <n v="97.44"/>
    <n v="896712.66"/>
    <n v="572654.88"/>
    <n v="324057.78000000003"/>
  </r>
  <r>
    <x v="1"/>
    <s v="Spain"/>
    <s v="Vegetables"/>
    <s v="Online"/>
    <s v="H"/>
    <s v="3/31/2017"/>
    <n v="722233331"/>
    <d v="2017-06-04T00:00:00"/>
    <n v="3747"/>
    <n v="154.06"/>
    <n v="90.93"/>
    <n v="577262.81999999995"/>
    <n v="340714.71"/>
    <n v="236548.11"/>
  </r>
  <r>
    <x v="5"/>
    <s v="Burkina Faso"/>
    <s v="Beverages"/>
    <s v="Offline"/>
    <s v="C"/>
    <d v="2014-08-11T00:00:00"/>
    <n v="979705226"/>
    <s v="12/16/2014"/>
    <n v="5402"/>
    <n v="47.45"/>
    <n v="31.79"/>
    <n v="256324.9"/>
    <n v="171729.58"/>
    <n v="84595.32"/>
  </r>
  <r>
    <x v="6"/>
    <s v="Mexico"/>
    <s v="Cosmetics"/>
    <s v="Offline"/>
    <s v="H"/>
    <s v="8/14/2015"/>
    <n v="801637876"/>
    <d v="2015-09-09T00:00:00"/>
    <n v="1316"/>
    <n v="437.2"/>
    <n v="263.33"/>
    <n v="575355.19999999995"/>
    <n v="346542.28"/>
    <n v="228812.92"/>
  </r>
  <r>
    <x v="1"/>
    <s v="Portugal"/>
    <s v="Meat"/>
    <s v="Online"/>
    <s v="H"/>
    <s v="11/21/2011"/>
    <n v="663080108"/>
    <d v="2011-10-12T00:00:00"/>
    <n v="8994"/>
    <n v="421.89"/>
    <n v="364.69"/>
    <n v="3794478.66"/>
    <n v="3280021.86"/>
    <n v="514456.8"/>
  </r>
  <r>
    <x v="5"/>
    <s v="Burkina Faso"/>
    <s v="Cosmetics"/>
    <s v="Offline"/>
    <s v="H"/>
    <s v="3/29/2012"/>
    <n v="659393250"/>
    <s v="4/22/2012"/>
    <n v="7971"/>
    <n v="437.2"/>
    <n v="263.33"/>
    <n v="3484921.2"/>
    <n v="2099003.4300000002"/>
    <n v="1385917.77"/>
  </r>
  <r>
    <x v="5"/>
    <s v="Niger"/>
    <s v="Household"/>
    <s v="Online"/>
    <s v="M"/>
    <d v="2014-11-12T00:00:00"/>
    <n v="956251132"/>
    <s v="1/20/2015"/>
    <n v="4815"/>
    <n v="668.27"/>
    <n v="502.54"/>
    <n v="3217720.05"/>
    <n v="2419730.1"/>
    <n v="797989.95"/>
  </r>
  <r>
    <x v="1"/>
    <s v="Poland"/>
    <s v="Cereal"/>
    <s v="Online"/>
    <s v="L"/>
    <d v="2011-07-10T00:00:00"/>
    <n v="439640080"/>
    <d v="2011-02-11T00:00:00"/>
    <n v="8124"/>
    <n v="205.7"/>
    <n v="117.11"/>
    <n v="1671106.8"/>
    <n v="951401.64"/>
    <n v="719705.16"/>
  </r>
  <r>
    <x v="1"/>
    <s v="Romania"/>
    <s v="Household"/>
    <s v="Offline"/>
    <s v="H"/>
    <s v="6/19/2014"/>
    <n v="765858924"/>
    <s v="7/21/2014"/>
    <n v="3530"/>
    <n v="668.27"/>
    <n v="502.54"/>
    <n v="2358993.1"/>
    <n v="1773966.2"/>
    <n v="585026.9"/>
  </r>
  <r>
    <x v="5"/>
    <s v="Burkina Faso"/>
    <s v="Fruits"/>
    <s v="Online"/>
    <s v="C"/>
    <s v="2/25/2013"/>
    <n v="511518990"/>
    <s v="3/16/2013"/>
    <n v="8691"/>
    <n v="9.33"/>
    <n v="6.92"/>
    <n v="81087.03"/>
    <n v="60141.72"/>
    <n v="20945.310000000001"/>
  </r>
  <r>
    <x v="1"/>
    <s v="Austria"/>
    <s v="Cereal"/>
    <s v="Online"/>
    <s v="M"/>
    <s v="5/13/2010"/>
    <n v="123544108"/>
    <s v="6/22/2010"/>
    <n v="8302"/>
    <n v="205.7"/>
    <n v="117.11"/>
    <n v="1707721.4"/>
    <n v="972247.22"/>
    <n v="735474.18"/>
  </r>
  <r>
    <x v="1"/>
    <s v="Latvia"/>
    <s v="Snacks"/>
    <s v="Offline"/>
    <s v="M"/>
    <d v="2017-07-04T00:00:00"/>
    <n v="569170606"/>
    <s v="4/13/2017"/>
    <n v="9085"/>
    <n v="152.58000000000001"/>
    <n v="97.44"/>
    <n v="1386189.3"/>
    <n v="885242.4"/>
    <n v="500946.9"/>
  </r>
  <r>
    <x v="1"/>
    <s v="San Marino"/>
    <s v="Personal Care"/>
    <s v="Online"/>
    <s v="L"/>
    <d v="2012-06-01T00:00:00"/>
    <n v="185947310"/>
    <s v="1/27/2012"/>
    <n v="4796"/>
    <n v="81.73"/>
    <n v="56.67"/>
    <n v="391977.08"/>
    <n v="271789.32"/>
    <n v="120187.76"/>
  </r>
  <r>
    <x v="5"/>
    <s v="Zambia"/>
    <s v="Clothes"/>
    <s v="Online"/>
    <s v="H"/>
    <s v="9/14/2011"/>
    <n v="531735551"/>
    <d v="2011-02-11T00:00:00"/>
    <n v="1221"/>
    <n v="109.28"/>
    <n v="35.840000000000003"/>
    <n v="133430.88"/>
    <n v="43760.639999999999"/>
    <n v="89670.24"/>
  </r>
  <r>
    <x v="1"/>
    <s v="Poland"/>
    <s v="Vegetables"/>
    <s v="Online"/>
    <s v="H"/>
    <s v="7/19/2015"/>
    <n v="534709155"/>
    <d v="2015-02-09T00:00:00"/>
    <n v="1176"/>
    <n v="154.06"/>
    <n v="90.93"/>
    <n v="181174.56"/>
    <n v="106933.68"/>
    <n v="74240.88"/>
  </r>
  <r>
    <x v="5"/>
    <s v="Guinea"/>
    <s v="Household"/>
    <s v="Online"/>
    <s v="H"/>
    <d v="2016-04-04T00:00:00"/>
    <n v="543354451"/>
    <s v="4/28/2016"/>
    <n v="9511"/>
    <n v="668.27"/>
    <n v="502.54"/>
    <n v="6355915.9699999997"/>
    <n v="4779657.9400000004"/>
    <n v="1576258.03"/>
  </r>
  <r>
    <x v="5"/>
    <s v="Togo"/>
    <s v="Meat"/>
    <s v="Online"/>
    <s v="C"/>
    <s v="5/27/2011"/>
    <n v="976470267"/>
    <d v="2011-10-07T00:00:00"/>
    <n v="8106"/>
    <n v="421.89"/>
    <n v="364.69"/>
    <n v="3419840.34"/>
    <n v="2956177.14"/>
    <n v="463663.2"/>
  </r>
  <r>
    <x v="5"/>
    <s v="Guinea-Bissau"/>
    <s v="Baby Food"/>
    <s v="Offline"/>
    <s v="C"/>
    <d v="2014-01-10T00:00:00"/>
    <n v="973167932"/>
    <s v="10/22/2014"/>
    <n v="872"/>
    <n v="255.28"/>
    <n v="159.41999999999999"/>
    <n v="222604.16"/>
    <n v="139014.24"/>
    <n v="83589.919999999998"/>
  </r>
  <r>
    <x v="5"/>
    <s v="Djibouti"/>
    <s v="Household"/>
    <s v="Online"/>
    <s v="L"/>
    <s v="8/20/2014"/>
    <n v="642871272"/>
    <d v="2014-01-09T00:00:00"/>
    <n v="8750"/>
    <n v="668.27"/>
    <n v="502.54"/>
    <n v="5847362.5"/>
    <n v="4397225"/>
    <n v="1450137.5"/>
  </r>
  <r>
    <x v="4"/>
    <s v="Tonga"/>
    <s v="Snacks"/>
    <s v="Offline"/>
    <s v="H"/>
    <d v="2015-10-08T00:00:00"/>
    <n v="615316617"/>
    <s v="9/18/2015"/>
    <n v="4716"/>
    <n v="152.58000000000001"/>
    <n v="97.44"/>
    <n v="719567.28"/>
    <n v="459527.04"/>
    <n v="260040.24"/>
  </r>
  <r>
    <x v="2"/>
    <s v="Uzbekistan"/>
    <s v="Personal Care"/>
    <s v="Offline"/>
    <s v="L"/>
    <s v="11/29/2011"/>
    <n v="690552794"/>
    <d v="2011-07-12T00:00:00"/>
    <n v="8772"/>
    <n v="81.73"/>
    <n v="56.67"/>
    <n v="716935.56"/>
    <n v="497109.24"/>
    <n v="219826.32"/>
  </r>
  <r>
    <x v="5"/>
    <s v="Cameroon"/>
    <s v="Cereal"/>
    <s v="Offline"/>
    <s v="M"/>
    <d v="2014-04-01T00:00:00"/>
    <n v="288941133"/>
    <s v="2/16/2014"/>
    <n v="2957"/>
    <n v="205.7"/>
    <n v="117.11"/>
    <n v="608254.9"/>
    <n v="346294.27"/>
    <n v="261960.63"/>
  </r>
  <r>
    <x v="6"/>
    <s v="Canada"/>
    <s v="Vegetables"/>
    <s v="Offline"/>
    <s v="L"/>
    <d v="2014-01-07T00:00:00"/>
    <n v="701155459"/>
    <d v="2014-02-07T00:00:00"/>
    <n v="6337"/>
    <n v="154.06"/>
    <n v="90.93"/>
    <n v="976278.22"/>
    <n v="576223.41"/>
    <n v="400054.81"/>
  </r>
  <r>
    <x v="1"/>
    <s v="Netherlands"/>
    <s v="Office Supplies"/>
    <s v="Online"/>
    <s v="C"/>
    <d v="2014-09-08T00:00:00"/>
    <n v="138182103"/>
    <s v="8/16/2014"/>
    <n v="10"/>
    <n v="651.21"/>
    <n v="524.96"/>
    <n v="6512.1"/>
    <n v="5249.6"/>
    <n v="1262.5"/>
  </r>
  <r>
    <x v="0"/>
    <s v="El Salvador"/>
    <s v="Cereal"/>
    <s v="Offline"/>
    <s v="M"/>
    <d v="2012-02-11T00:00:00"/>
    <n v="481319892"/>
    <s v="11/25/2012"/>
    <n v="2107"/>
    <n v="205.7"/>
    <n v="117.11"/>
    <n v="433409.9"/>
    <n v="246750.77"/>
    <n v="186659.13"/>
  </r>
  <r>
    <x v="2"/>
    <s v="North Korea"/>
    <s v="Fruits"/>
    <s v="Offline"/>
    <s v="M"/>
    <d v="2016-08-05T00:00:00"/>
    <n v="532180154"/>
    <s v="5/31/2016"/>
    <n v="2789"/>
    <n v="9.33"/>
    <n v="6.92"/>
    <n v="26021.37"/>
    <n v="19299.88"/>
    <n v="6721.49"/>
  </r>
  <r>
    <x v="3"/>
    <s v="Turkey"/>
    <s v="Personal Care"/>
    <s v="Online"/>
    <s v="M"/>
    <d v="2014-02-06T00:00:00"/>
    <n v="962686717"/>
    <s v="6/21/2014"/>
    <n v="9247"/>
    <n v="81.73"/>
    <n v="56.67"/>
    <n v="755757.31"/>
    <n v="524027.49"/>
    <n v="231729.82"/>
  </r>
  <r>
    <x v="0"/>
    <s v="The Bahamas"/>
    <s v="Household"/>
    <s v="Offline"/>
    <s v="H"/>
    <s v="7/15/2012"/>
    <n v="265075910"/>
    <s v="8/23/2012"/>
    <n v="707"/>
    <n v="668.27"/>
    <n v="502.54"/>
    <n v="472466.89"/>
    <n v="355295.78"/>
    <n v="117171.11"/>
  </r>
  <r>
    <x v="5"/>
    <s v="Cameroon"/>
    <s v="Fruits"/>
    <s v="Offline"/>
    <s v="L"/>
    <s v="6/21/2013"/>
    <n v="601896560"/>
    <d v="2013-06-08T00:00:00"/>
    <n v="3422"/>
    <n v="9.33"/>
    <n v="6.92"/>
    <n v="31927.26"/>
    <n v="23680.240000000002"/>
    <n v="8247.02"/>
  </r>
  <r>
    <x v="3"/>
    <s v="Yemen"/>
    <s v="Household"/>
    <s v="Offline"/>
    <s v="C"/>
    <s v="6/26/2013"/>
    <n v="156009995"/>
    <s v="7/14/2013"/>
    <n v="5679"/>
    <n v="668.27"/>
    <n v="502.54"/>
    <n v="3795105.33"/>
    <n v="2853924.66"/>
    <n v="941180.67"/>
  </r>
  <r>
    <x v="1"/>
    <s v="Bulgaria"/>
    <s v="Meat"/>
    <s v="Offline"/>
    <s v="H"/>
    <d v="2013-10-09T00:00:00"/>
    <n v="780590045"/>
    <d v="2013-03-10T00:00:00"/>
    <n v="2796"/>
    <n v="421.89"/>
    <n v="364.69"/>
    <n v="1179604.44"/>
    <n v="1019673.24"/>
    <n v="159931.20000000001"/>
  </r>
  <r>
    <x v="5"/>
    <s v="Djibouti"/>
    <s v="Beverages"/>
    <s v="Offline"/>
    <s v="H"/>
    <d v="2016-08-04T00:00:00"/>
    <n v="349123036"/>
    <s v="5/17/2016"/>
    <n v="2120"/>
    <n v="47.45"/>
    <n v="31.79"/>
    <n v="100594"/>
    <n v="67394.8"/>
    <n v="33199.199999999997"/>
  </r>
  <r>
    <x v="5"/>
    <s v="Mauritania"/>
    <s v="Vegetables"/>
    <s v="Offline"/>
    <s v="C"/>
    <d v="2013-06-02T00:00:00"/>
    <n v="405407798"/>
    <d v="2013-11-03T00:00:00"/>
    <n v="8031"/>
    <n v="154.06"/>
    <n v="90.93"/>
    <n v="1237255.8600000001"/>
    <n v="730258.83"/>
    <n v="506997.03"/>
  </r>
  <r>
    <x v="5"/>
    <s v="Ethiopia"/>
    <s v="Clothes"/>
    <s v="Online"/>
    <s v="M"/>
    <d v="2012-12-04T00:00:00"/>
    <n v="313555657"/>
    <s v="5/20/2012"/>
    <n v="6942"/>
    <n v="109.28"/>
    <n v="35.840000000000003"/>
    <n v="758621.76"/>
    <n v="248801.28"/>
    <n v="509820.48"/>
  </r>
  <r>
    <x v="2"/>
    <s v="Sri Lanka"/>
    <s v="Office Supplies"/>
    <s v="Offline"/>
    <s v="L"/>
    <d v="2011-10-08T00:00:00"/>
    <n v="407990443"/>
    <s v="8/31/2011"/>
    <n v="2293"/>
    <n v="651.21"/>
    <n v="524.96"/>
    <n v="1493224.53"/>
    <n v="1203733.28"/>
    <n v="289491.25"/>
  </r>
  <r>
    <x v="1"/>
    <s v="Greece"/>
    <s v="Fruits"/>
    <s v="Online"/>
    <s v="L"/>
    <d v="2017-09-07T00:00:00"/>
    <n v="643448483"/>
    <s v="7/25/2017"/>
    <n v="9560"/>
    <n v="9.33"/>
    <n v="6.92"/>
    <n v="89194.8"/>
    <n v="66155.199999999997"/>
    <n v="23039.599999999999"/>
  </r>
  <r>
    <x v="1"/>
    <s v="Ireland"/>
    <s v="Office Supplies"/>
    <s v="Online"/>
    <s v="C"/>
    <d v="2011-06-01T00:00:00"/>
    <n v="144978606"/>
    <s v="2/19/2011"/>
    <n v="1246"/>
    <n v="651.21"/>
    <n v="524.96"/>
    <n v="811407.66"/>
    <n v="654100.16"/>
    <n v="157307.5"/>
  </r>
  <r>
    <x v="5"/>
    <s v="Tanzania"/>
    <s v="Meat"/>
    <s v="Offline"/>
    <s v="M"/>
    <d v="2012-09-01T00:00:00"/>
    <n v="357942140"/>
    <s v="2/16/2012"/>
    <n v="1888"/>
    <n v="421.89"/>
    <n v="364.69"/>
    <n v="796528.32"/>
    <n v="688534.72"/>
    <n v="107993.60000000001"/>
  </r>
  <r>
    <x v="2"/>
    <s v="Kazakhstan"/>
    <s v="Meat"/>
    <s v="Offline"/>
    <s v="C"/>
    <d v="2015-10-01T00:00:00"/>
    <n v="998012912"/>
    <s v="1/31/2015"/>
    <n v="3054"/>
    <n v="421.89"/>
    <n v="364.69"/>
    <n v="1288452.06"/>
    <n v="1113763.26"/>
    <n v="174688.8"/>
  </r>
  <r>
    <x v="5"/>
    <s v="South Africa"/>
    <s v="Baby Food"/>
    <s v="Online"/>
    <s v="M"/>
    <s v="7/30/2015"/>
    <n v="501177251"/>
    <s v="8/28/2015"/>
    <n v="8341"/>
    <n v="255.28"/>
    <n v="159.41999999999999"/>
    <n v="2129290.48"/>
    <n v="1329722.22"/>
    <n v="799568.26"/>
  </r>
  <r>
    <x v="5"/>
    <s v="Liberia"/>
    <s v="Clothes"/>
    <s v="Offline"/>
    <s v="L"/>
    <s v="1/29/2014"/>
    <n v="973733985"/>
    <d v="2014-06-03T00:00:00"/>
    <n v="8380"/>
    <n v="109.28"/>
    <n v="35.840000000000003"/>
    <n v="915766.4"/>
    <n v="300339.20000000001"/>
    <n v="615427.19999999995"/>
  </r>
  <r>
    <x v="2"/>
    <s v="Taiwan"/>
    <s v="Fruits"/>
    <s v="Online"/>
    <s v="H"/>
    <d v="2012-02-01T00:00:00"/>
    <n v="542294442"/>
    <s v="1/30/2012"/>
    <n v="5831"/>
    <n v="9.33"/>
    <n v="6.92"/>
    <n v="54403.23"/>
    <n v="40350.519999999997"/>
    <n v="14052.71"/>
  </r>
  <r>
    <x v="6"/>
    <s v="Greenland"/>
    <s v="Baby Food"/>
    <s v="Offline"/>
    <s v="H"/>
    <s v="8/31/2015"/>
    <n v="103782451"/>
    <d v="2015-01-10T00:00:00"/>
    <n v="388"/>
    <n v="255.28"/>
    <n v="159.41999999999999"/>
    <n v="99048.639999999999"/>
    <n v="61854.96"/>
    <n v="37193.68"/>
  </r>
  <r>
    <x v="5"/>
    <s v="Angola"/>
    <s v="Vegetables"/>
    <s v="Offline"/>
    <s v="H"/>
    <s v="4/21/2017"/>
    <n v="175434339"/>
    <s v="5/26/2017"/>
    <n v="3774"/>
    <n v="154.06"/>
    <n v="90.93"/>
    <n v="581422.43999999994"/>
    <n v="343169.82"/>
    <n v="238252.62"/>
  </r>
  <r>
    <x v="1"/>
    <s v="Portugal"/>
    <s v="Household"/>
    <s v="Online"/>
    <s v="M"/>
    <d v="2014-04-01T00:00:00"/>
    <n v="444798934"/>
    <s v="1/20/2014"/>
    <n v="4744"/>
    <n v="668.27"/>
    <n v="502.54"/>
    <n v="3170272.88"/>
    <n v="2384049.7599999998"/>
    <n v="786223.12"/>
  </r>
  <r>
    <x v="5"/>
    <s v="Mauritius "/>
    <s v="Cosmetics"/>
    <s v="Offline"/>
    <s v="L"/>
    <d v="2011-07-07T00:00:00"/>
    <n v="219737565"/>
    <s v="7/21/2011"/>
    <n v="4083"/>
    <n v="437.2"/>
    <n v="263.33"/>
    <n v="1785087.6"/>
    <n v="1075176.3899999999"/>
    <n v="709911.21"/>
  </r>
  <r>
    <x v="4"/>
    <s v="Tonga"/>
    <s v="Cereal"/>
    <s v="Online"/>
    <s v="H"/>
    <s v="10/25/2012"/>
    <n v="678424060"/>
    <d v="2012-03-11T00:00:00"/>
    <n v="9610"/>
    <n v="205.7"/>
    <n v="117.11"/>
    <n v="1976777"/>
    <n v="1125427.1000000001"/>
    <n v="851349.9"/>
  </r>
  <r>
    <x v="2"/>
    <s v="Turkmenistan"/>
    <s v="Office Supplies"/>
    <s v="Online"/>
    <s v="M"/>
    <d v="2014-02-06T00:00:00"/>
    <n v="819344747"/>
    <s v="7/14/2014"/>
    <n v="1173"/>
    <n v="651.21"/>
    <n v="524.96"/>
    <n v="763869.33"/>
    <n v="615778.07999999996"/>
    <n v="148091.25"/>
  </r>
  <r>
    <x v="5"/>
    <s v="Liberia"/>
    <s v="Vegetables"/>
    <s v="Online"/>
    <s v="H"/>
    <d v="2010-05-02T00:00:00"/>
    <n v="611298453"/>
    <s v="3/20/2010"/>
    <n v="5652"/>
    <n v="154.06"/>
    <n v="90.93"/>
    <n v="870747.12"/>
    <n v="513936.36"/>
    <n v="356810.76"/>
  </r>
  <r>
    <x v="1"/>
    <s v="Liechtenstein"/>
    <s v="Meat"/>
    <s v="Online"/>
    <s v="C"/>
    <s v="5/31/2017"/>
    <n v="543396508"/>
    <d v="2017-05-06T00:00:00"/>
    <n v="1957"/>
    <n v="421.89"/>
    <n v="364.69"/>
    <n v="825638.73"/>
    <n v="713698.33"/>
    <n v="111940.4"/>
  </r>
  <r>
    <x v="5"/>
    <s v="Madagascar"/>
    <s v="Cereal"/>
    <s v="Offline"/>
    <s v="H"/>
    <d v="2013-04-05T00:00:00"/>
    <n v="275062739"/>
    <s v="5/16/2013"/>
    <n v="6032"/>
    <n v="205.7"/>
    <n v="117.11"/>
    <n v="1240782.3999999999"/>
    <n v="706407.52"/>
    <n v="534374.88"/>
  </r>
  <r>
    <x v="5"/>
    <s v="Cameroon"/>
    <s v="Personal Care"/>
    <s v="Online"/>
    <s v="C"/>
    <s v="10/13/2013"/>
    <n v="886033475"/>
    <s v="10/20/2013"/>
    <n v="5850"/>
    <n v="81.73"/>
    <n v="56.67"/>
    <n v="478120.5"/>
    <n v="331519.5"/>
    <n v="146601"/>
  </r>
  <r>
    <x v="3"/>
    <s v="Israel"/>
    <s v="Beverages"/>
    <s v="Online"/>
    <s v="L"/>
    <d v="2016-10-10T00:00:00"/>
    <n v="826357543"/>
    <d v="2016-03-11T00:00:00"/>
    <n v="6415"/>
    <n v="47.45"/>
    <n v="31.79"/>
    <n v="304391.75"/>
    <n v="203932.85"/>
    <n v="100458.9"/>
  </r>
  <r>
    <x v="1"/>
    <s v="Austria"/>
    <s v="Meat"/>
    <s v="Online"/>
    <s v="H"/>
    <d v="2013-06-11T00:00:00"/>
    <n v="866396272"/>
    <s v="11/16/2013"/>
    <n v="4765"/>
    <n v="421.89"/>
    <n v="364.69"/>
    <n v="2010305.85"/>
    <n v="1737747.85"/>
    <n v="272558"/>
  </r>
  <r>
    <x v="1"/>
    <s v="Ireland"/>
    <s v="Cereal"/>
    <s v="Online"/>
    <s v="H"/>
    <d v="2016-12-07T00:00:00"/>
    <n v="946823489"/>
    <s v="8/30/2016"/>
    <n v="4966"/>
    <n v="205.7"/>
    <n v="117.11"/>
    <n v="1021506.2"/>
    <n v="581568.26"/>
    <n v="439937.94"/>
  </r>
  <r>
    <x v="5"/>
    <s v="Ethiopia"/>
    <s v="Baby Food"/>
    <s v="Offline"/>
    <s v="L"/>
    <d v="2014-08-09T00:00:00"/>
    <n v="628625524"/>
    <s v="10/18/2014"/>
    <n v="3117"/>
    <n v="255.28"/>
    <n v="159.41999999999999"/>
    <n v="795707.76"/>
    <n v="496912.14"/>
    <n v="298795.62"/>
  </r>
  <r>
    <x v="2"/>
    <s v="South Korea"/>
    <s v="Household"/>
    <s v="Offline"/>
    <s v="H"/>
    <s v="8/14/2010"/>
    <n v="443101203"/>
    <d v="2010-01-09T00:00:00"/>
    <n v="2347"/>
    <n v="668.27"/>
    <n v="502.54"/>
    <n v="1568429.69"/>
    <n v="1179461.3799999999"/>
    <n v="388968.31"/>
  </r>
  <r>
    <x v="5"/>
    <s v="Sierra Leone"/>
    <s v="Vegetables"/>
    <s v="Online"/>
    <s v="H"/>
    <d v="2015-05-04T00:00:00"/>
    <n v="541861855"/>
    <d v="2015-09-05T00:00:00"/>
    <n v="7819"/>
    <n v="154.06"/>
    <n v="90.93"/>
    <n v="1204595.1399999999"/>
    <n v="710981.67"/>
    <n v="493613.47"/>
  </r>
  <r>
    <x v="2"/>
    <s v="Uzbekistan"/>
    <s v="Office Supplies"/>
    <s v="Online"/>
    <s v="H"/>
    <d v="2014-06-02T00:00:00"/>
    <n v="246831309"/>
    <d v="2014-05-03T00:00:00"/>
    <n v="1724"/>
    <n v="651.21"/>
    <n v="524.96"/>
    <n v="1122686.04"/>
    <n v="905031.04"/>
    <n v="217655"/>
  </r>
  <r>
    <x v="5"/>
    <s v="Chad"/>
    <s v="Snacks"/>
    <s v="Online"/>
    <s v="C"/>
    <d v="2016-03-06T00:00:00"/>
    <n v="300245893"/>
    <s v="7/19/2016"/>
    <n v="8287"/>
    <n v="152.58000000000001"/>
    <n v="97.44"/>
    <n v="1264430.46"/>
    <n v="807485.28"/>
    <n v="456945.18"/>
  </r>
  <r>
    <x v="5"/>
    <s v="Malawi"/>
    <s v="Snacks"/>
    <s v="Offline"/>
    <s v="C"/>
    <s v="8/19/2013"/>
    <n v="614654433"/>
    <s v="9/20/2013"/>
    <n v="8761"/>
    <n v="152.58000000000001"/>
    <n v="97.44"/>
    <n v="1336753.3799999999"/>
    <n v="853671.84"/>
    <n v="483081.54"/>
  </r>
  <r>
    <x v="0"/>
    <s v="Antigua and Barbuda "/>
    <s v="Fruits"/>
    <s v="Online"/>
    <s v="H"/>
    <d v="2013-10-05T00:00:00"/>
    <n v="722918260"/>
    <s v="6/16/2013"/>
    <n v="6433"/>
    <n v="9.33"/>
    <n v="6.92"/>
    <n v="60019.89"/>
    <n v="44516.36"/>
    <n v="15503.53"/>
  </r>
  <r>
    <x v="1"/>
    <s v="San Marino"/>
    <s v="Cosmetics"/>
    <s v="Online"/>
    <s v="H"/>
    <s v="11/30/2012"/>
    <n v="228211200"/>
    <d v="2012-03-12T00:00:00"/>
    <n v="1620"/>
    <n v="437.2"/>
    <n v="263.33"/>
    <n v="708264"/>
    <n v="426594.6"/>
    <n v="281669.40000000002"/>
  </r>
  <r>
    <x v="4"/>
    <s v="Samoa "/>
    <s v="Vegetables"/>
    <s v="Offline"/>
    <s v="L"/>
    <s v="9/14/2010"/>
    <n v="154019582"/>
    <s v="10/18/2010"/>
    <n v="6672"/>
    <n v="154.06"/>
    <n v="90.93"/>
    <n v="1027888.32"/>
    <n v="606684.96"/>
    <n v="421203.36"/>
  </r>
  <r>
    <x v="5"/>
    <s v="Niger"/>
    <s v="Personal Care"/>
    <s v="Online"/>
    <s v="M"/>
    <s v="7/15/2017"/>
    <n v="694142234"/>
    <d v="2017-07-08T00:00:00"/>
    <n v="967"/>
    <n v="81.73"/>
    <n v="56.67"/>
    <n v="79032.91"/>
    <n v="54799.89"/>
    <n v="24233.02"/>
  </r>
  <r>
    <x v="5"/>
    <s v="Gabon"/>
    <s v="Office Supplies"/>
    <s v="Offline"/>
    <s v="C"/>
    <d v="2015-02-01T00:00:00"/>
    <n v="762690484"/>
    <s v="1/28/2015"/>
    <n v="5918"/>
    <n v="651.21"/>
    <n v="524.96"/>
    <n v="3853860.78"/>
    <n v="3106713.28"/>
    <n v="747147.5"/>
  </r>
  <r>
    <x v="5"/>
    <s v="Mali"/>
    <s v="Household"/>
    <s v="Online"/>
    <s v="H"/>
    <d v="2012-06-04T00:00:00"/>
    <n v="244088160"/>
    <s v="5/13/2012"/>
    <n v="9966"/>
    <n v="668.27"/>
    <n v="502.54"/>
    <n v="6659978.8200000003"/>
    <n v="5008313.6399999997"/>
    <n v="1651665.18"/>
  </r>
  <r>
    <x v="4"/>
    <s v="Nauru"/>
    <s v="Clothes"/>
    <s v="Offline"/>
    <s v="L"/>
    <s v="12/20/2011"/>
    <n v="443071591"/>
    <d v="2012-01-01T00:00:00"/>
    <n v="3585"/>
    <n v="109.28"/>
    <n v="35.840000000000003"/>
    <n v="391768.8"/>
    <n v="128486.39999999999"/>
    <n v="263282.40000000002"/>
  </r>
  <r>
    <x v="0"/>
    <s v="The Bahamas"/>
    <s v="Cereal"/>
    <s v="Online"/>
    <s v="H"/>
    <s v="1/17/2014"/>
    <n v="934689605"/>
    <s v="1/17/2014"/>
    <n v="4280"/>
    <n v="205.7"/>
    <n v="117.11"/>
    <n v="880396"/>
    <n v="501230.8"/>
    <n v="379165.2"/>
  </r>
  <r>
    <x v="5"/>
    <s v="South Africa"/>
    <s v="Cereal"/>
    <s v="Offline"/>
    <s v="L"/>
    <d v="2011-03-12T00:00:00"/>
    <n v="914303529"/>
    <d v="2011-11-12T00:00:00"/>
    <n v="1587"/>
    <n v="205.7"/>
    <n v="117.11"/>
    <n v="326445.90000000002"/>
    <n v="185853.57"/>
    <n v="140592.32999999999"/>
  </r>
  <r>
    <x v="1"/>
    <s v="Vatican City"/>
    <s v="Cereal"/>
    <s v="Online"/>
    <s v="M"/>
    <d v="2011-09-06T00:00:00"/>
    <n v="547587192"/>
    <s v="7/14/2011"/>
    <n v="2073"/>
    <n v="205.7"/>
    <n v="117.11"/>
    <n v="426416.1"/>
    <n v="242769.03"/>
    <n v="183647.07"/>
  </r>
  <r>
    <x v="2"/>
    <s v="Kyrgyzstan"/>
    <s v="Fruits"/>
    <s v="Offline"/>
    <s v="H"/>
    <d v="2011-07-12T00:00:00"/>
    <n v="520526921"/>
    <s v="1/15/2012"/>
    <n v="4338"/>
    <n v="9.33"/>
    <n v="6.92"/>
    <n v="40473.54"/>
    <n v="30018.959999999999"/>
    <n v="10454.58"/>
  </r>
  <r>
    <x v="1"/>
    <s v="Italy"/>
    <s v="Clothes"/>
    <s v="Online"/>
    <s v="H"/>
    <d v="2010-10-01T00:00:00"/>
    <n v="689421546"/>
    <s v="1/31/2010"/>
    <n v="4011"/>
    <n v="109.28"/>
    <n v="35.840000000000003"/>
    <n v="438322.08"/>
    <n v="143754.23999999999"/>
    <n v="294567.84000000003"/>
  </r>
  <r>
    <x v="1"/>
    <s v="Croatia"/>
    <s v="Meat"/>
    <s v="Online"/>
    <s v="M"/>
    <s v="12/21/2010"/>
    <n v="530882394"/>
    <d v="2011-02-02T00:00:00"/>
    <n v="8753"/>
    <n v="421.89"/>
    <n v="364.69"/>
    <n v="3692803.17"/>
    <n v="3192131.57"/>
    <n v="500671.6"/>
  </r>
  <r>
    <x v="2"/>
    <s v="North Korea"/>
    <s v="Clothes"/>
    <s v="Online"/>
    <s v="L"/>
    <s v="4/19/2017"/>
    <n v="491833293"/>
    <s v="4/23/2017"/>
    <n v="3256"/>
    <n v="109.28"/>
    <n v="35.840000000000003"/>
    <n v="355815.67999999999"/>
    <n v="116695.03999999999"/>
    <n v="239120.64000000001"/>
  </r>
  <r>
    <x v="5"/>
    <s v="Cameroon"/>
    <s v="Cereal"/>
    <s v="Online"/>
    <s v="H"/>
    <s v="6/18/2017"/>
    <n v="639510571"/>
    <d v="2017-09-07T00:00:00"/>
    <n v="4244"/>
    <n v="205.7"/>
    <n v="117.11"/>
    <n v="872990.8"/>
    <n v="497014.84"/>
    <n v="375975.96"/>
  </r>
  <r>
    <x v="5"/>
    <s v="Comoros"/>
    <s v="Personal Care"/>
    <s v="Offline"/>
    <s v="C"/>
    <d v="2012-03-05T00:00:00"/>
    <n v="211463057"/>
    <s v="6/15/2012"/>
    <n v="5473"/>
    <n v="81.73"/>
    <n v="56.67"/>
    <n v="447308.29"/>
    <n v="310154.90999999997"/>
    <n v="137153.38"/>
  </r>
  <r>
    <x v="1"/>
    <s v="Slovakia"/>
    <s v="Snacks"/>
    <s v="Offline"/>
    <s v="M"/>
    <d v="2011-10-06T00:00:00"/>
    <n v="765552079"/>
    <s v="7/17/2011"/>
    <n v="2727"/>
    <n v="152.58000000000001"/>
    <n v="97.44"/>
    <n v="416085.66"/>
    <n v="265718.88"/>
    <n v="150366.78"/>
  </r>
  <r>
    <x v="5"/>
    <s v="Lesotho"/>
    <s v="Household"/>
    <s v="Online"/>
    <s v="C"/>
    <s v="12/28/2013"/>
    <n v="329951465"/>
    <d v="2014-02-01T00:00:00"/>
    <n v="8825"/>
    <n v="668.27"/>
    <n v="502.54"/>
    <n v="5897482.75"/>
    <n v="4434915.5"/>
    <n v="1462567.25"/>
  </r>
  <r>
    <x v="3"/>
    <s v="Turkey"/>
    <s v="Meat"/>
    <s v="Offline"/>
    <s v="C"/>
    <d v="2012-11-09T00:00:00"/>
    <n v="153147542"/>
    <s v="9/27/2012"/>
    <n v="8616"/>
    <n v="421.89"/>
    <n v="364.69"/>
    <n v="3635004.24"/>
    <n v="3142169.04"/>
    <n v="492835.2"/>
  </r>
  <r>
    <x v="4"/>
    <s v="Federated States of Micronesia"/>
    <s v="Baby Food"/>
    <s v="Offline"/>
    <s v="H"/>
    <d v="2012-12-09T00:00:00"/>
    <n v="653939139"/>
    <d v="2012-06-10T00:00:00"/>
    <n v="3978"/>
    <n v="255.28"/>
    <n v="159.41999999999999"/>
    <n v="1015503.84"/>
    <n v="634172.76"/>
    <n v="381331.08"/>
  </r>
  <r>
    <x v="5"/>
    <s v="Madagascar"/>
    <s v="Office Supplies"/>
    <s v="Offline"/>
    <s v="H"/>
    <s v="8/15/2012"/>
    <n v="971437585"/>
    <d v="2012-02-10T00:00:00"/>
    <n v="8824"/>
    <n v="651.21"/>
    <n v="524.96"/>
    <n v="5746277.04"/>
    <n v="4632247.04"/>
    <n v="1114030"/>
  </r>
  <r>
    <x v="2"/>
    <s v="Turkmenistan"/>
    <s v="Fruits"/>
    <s v="Offline"/>
    <s v="L"/>
    <s v="12/13/2015"/>
    <n v="315066707"/>
    <s v="1/26/2016"/>
    <n v="4095"/>
    <n v="9.33"/>
    <n v="6.92"/>
    <n v="38206.35"/>
    <n v="28337.4"/>
    <n v="9868.9500000000007"/>
  </r>
  <r>
    <x v="3"/>
    <s v="Bahrain"/>
    <s v="Household"/>
    <s v="Online"/>
    <s v="C"/>
    <s v="1/29/2012"/>
    <n v="214562833"/>
    <d v="2012-02-03T00:00:00"/>
    <n v="2765"/>
    <n v="668.27"/>
    <n v="502.54"/>
    <n v="1847766.55"/>
    <n v="1389523.1"/>
    <n v="458243.45"/>
  </r>
  <r>
    <x v="1"/>
    <s v="Sweden"/>
    <s v="Baby Food"/>
    <s v="Offline"/>
    <s v="M"/>
    <s v="5/26/2010"/>
    <n v="469974792"/>
    <s v="6/17/2010"/>
    <n v="4840"/>
    <n v="255.28"/>
    <n v="159.41999999999999"/>
    <n v="1235555.2"/>
    <n v="771592.8"/>
    <n v="463962.4"/>
  </r>
  <r>
    <x v="0"/>
    <s v="Saint Vincent and the Grenadines"/>
    <s v="Fruits"/>
    <s v="Offline"/>
    <s v="H"/>
    <s v="10/22/2013"/>
    <n v="501663911"/>
    <s v="11/25/2013"/>
    <n v="2354"/>
    <n v="9.33"/>
    <n v="6.92"/>
    <n v="21962.82"/>
    <n v="16289.68"/>
    <n v="5673.14"/>
  </r>
  <r>
    <x v="1"/>
    <s v="Slovenia"/>
    <s v="Personal Care"/>
    <s v="Offline"/>
    <s v="M"/>
    <s v="11/23/2014"/>
    <n v="700304019"/>
    <s v="12/21/2014"/>
    <n v="4376"/>
    <n v="81.73"/>
    <n v="56.67"/>
    <n v="357650.48"/>
    <n v="247987.92"/>
    <n v="109662.56"/>
  </r>
  <r>
    <x v="5"/>
    <s v="Mauritania"/>
    <s v="Snacks"/>
    <s v="Offline"/>
    <s v="L"/>
    <s v="11/21/2014"/>
    <n v="176881444"/>
    <s v="12/19/2014"/>
    <n v="2005"/>
    <n v="152.58000000000001"/>
    <n v="97.44"/>
    <n v="305922.90000000002"/>
    <n v="195367.2"/>
    <n v="110555.7"/>
  </r>
  <r>
    <x v="5"/>
    <s v="Kenya"/>
    <s v="Baby Food"/>
    <s v="Online"/>
    <s v="H"/>
    <s v="4/20/2012"/>
    <n v="812695014"/>
    <d v="2012-04-06T00:00:00"/>
    <n v="3369"/>
    <n v="255.28"/>
    <n v="159.41999999999999"/>
    <n v="860038.32"/>
    <n v="537085.98"/>
    <n v="322952.34000000003"/>
  </r>
  <r>
    <x v="1"/>
    <s v="Norway"/>
    <s v="Clothes"/>
    <s v="Online"/>
    <s v="H"/>
    <s v="4/14/2014"/>
    <n v="509356057"/>
    <s v="4/17/2014"/>
    <n v="8631"/>
    <n v="109.28"/>
    <n v="35.840000000000003"/>
    <n v="943195.68"/>
    <n v="309335.03999999998"/>
    <n v="633860.64"/>
  </r>
  <r>
    <x v="1"/>
    <s v="Armenia"/>
    <s v="Baby Food"/>
    <s v="Offline"/>
    <s v="M"/>
    <d v="2010-10-02T00:00:00"/>
    <n v="838788402"/>
    <s v="2/26/2010"/>
    <n v="4983"/>
    <n v="255.28"/>
    <n v="159.41999999999999"/>
    <n v="1272060.24"/>
    <n v="794389.86"/>
    <n v="477670.38"/>
  </r>
  <r>
    <x v="0"/>
    <s v="Honduras"/>
    <s v="Fruits"/>
    <s v="Offline"/>
    <s v="H"/>
    <d v="2012-07-11T00:00:00"/>
    <n v="293228375"/>
    <s v="11/17/2012"/>
    <n v="1647"/>
    <n v="9.33"/>
    <n v="6.92"/>
    <n v="15366.51"/>
    <n v="11397.24"/>
    <n v="3969.27"/>
  </r>
  <r>
    <x v="3"/>
    <s v="Israel"/>
    <s v="Cereal"/>
    <s v="Online"/>
    <s v="C"/>
    <s v="2/15/2010"/>
    <n v="135224807"/>
    <d v="2010-06-04T00:00:00"/>
    <n v="4880"/>
    <n v="205.7"/>
    <n v="117.11"/>
    <n v="1003816"/>
    <n v="571496.80000000005"/>
    <n v="432319.2"/>
  </r>
  <r>
    <x v="0"/>
    <s v="Haiti"/>
    <s v="Cereal"/>
    <s v="Offline"/>
    <s v="M"/>
    <d v="2013-05-05T00:00:00"/>
    <n v="347639024"/>
    <s v="5/18/2013"/>
    <n v="2967"/>
    <n v="205.7"/>
    <n v="117.11"/>
    <n v="610311.9"/>
    <n v="347465.37"/>
    <n v="262846.53000000003"/>
  </r>
  <r>
    <x v="5"/>
    <s v="Zambia"/>
    <s v="Household"/>
    <s v="Online"/>
    <s v="C"/>
    <s v="1/16/2016"/>
    <n v="983644855"/>
    <s v="1/31/2016"/>
    <n v="1226"/>
    <n v="668.27"/>
    <n v="502.54"/>
    <n v="819299.02"/>
    <n v="616114.04"/>
    <n v="203184.98"/>
  </r>
  <r>
    <x v="4"/>
    <s v="Solomon Islands"/>
    <s v="Baby Food"/>
    <s v="Online"/>
    <s v="H"/>
    <s v="10/29/2012"/>
    <n v="816728627"/>
    <d v="2012-05-12T00:00:00"/>
    <n v="7005"/>
    <n v="255.28"/>
    <n v="159.41999999999999"/>
    <n v="1788236.4"/>
    <n v="1116737.1000000001"/>
    <n v="671499.3"/>
  </r>
  <r>
    <x v="2"/>
    <s v="Thailand"/>
    <s v="Personal Care"/>
    <s v="Offline"/>
    <s v="C"/>
    <s v="9/24/2010"/>
    <n v="490689170"/>
    <d v="2010-09-11T00:00:00"/>
    <n v="4684"/>
    <n v="81.73"/>
    <n v="56.67"/>
    <n v="382823.32"/>
    <n v="265442.28000000003"/>
    <n v="117381.04"/>
  </r>
  <r>
    <x v="6"/>
    <s v="Canada"/>
    <s v="Office Supplies"/>
    <s v="Offline"/>
    <s v="C"/>
    <d v="2010-10-04T00:00:00"/>
    <n v="269637811"/>
    <d v="2010-01-05T00:00:00"/>
    <n v="675"/>
    <n v="651.21"/>
    <n v="524.96"/>
    <n v="439566.75"/>
    <n v="354348"/>
    <n v="85218.75"/>
  </r>
  <r>
    <x v="5"/>
    <s v="Guinea"/>
    <s v="Clothes"/>
    <s v="Offline"/>
    <s v="M"/>
    <s v="10/28/2016"/>
    <n v="487998378"/>
    <d v="2016-01-12T00:00:00"/>
    <n v="8419"/>
    <n v="109.28"/>
    <n v="35.840000000000003"/>
    <n v="920028.32"/>
    <n v="301736.96000000002"/>
    <n v="618291.36"/>
  </r>
  <r>
    <x v="1"/>
    <s v="Bulgaria"/>
    <s v="Office Supplies"/>
    <s v="Offline"/>
    <s v="C"/>
    <d v="2014-09-02T00:00:00"/>
    <n v="200507199"/>
    <s v="2/25/2014"/>
    <n v="3391"/>
    <n v="651.21"/>
    <n v="524.96"/>
    <n v="2208253.11"/>
    <n v="1780139.36"/>
    <n v="428113.75"/>
  </r>
  <r>
    <x v="2"/>
    <s v="Bhutan"/>
    <s v="Household"/>
    <s v="Online"/>
    <s v="M"/>
    <s v="5/29/2013"/>
    <n v="332213103"/>
    <d v="2013-07-07T00:00:00"/>
    <n v="8095"/>
    <n v="668.27"/>
    <n v="502.54"/>
    <n v="5409645.6500000004"/>
    <n v="4068061.3"/>
    <n v="1341584.3500000001"/>
  </r>
  <r>
    <x v="0"/>
    <s v="Honduras"/>
    <s v="Baby Food"/>
    <s v="Online"/>
    <s v="M"/>
    <d v="2011-09-12T00:00:00"/>
    <n v="528477418"/>
    <s v="1/14/2012"/>
    <n v="7067"/>
    <n v="255.28"/>
    <n v="159.41999999999999"/>
    <n v="1804063.76"/>
    <n v="1126621.1399999999"/>
    <n v="677442.62"/>
  </r>
  <r>
    <x v="1"/>
    <s v="Andorra"/>
    <s v="Meat"/>
    <s v="Online"/>
    <s v="M"/>
    <d v="2011-03-10T00:00:00"/>
    <n v="504973971"/>
    <d v="2011-02-11T00:00:00"/>
    <n v="1875"/>
    <n v="421.89"/>
    <n v="364.69"/>
    <n v="791043.75"/>
    <n v="683793.75"/>
    <n v="107250"/>
  </r>
  <r>
    <x v="2"/>
    <s v="Bhutan"/>
    <s v="Clothes"/>
    <s v="Online"/>
    <s v="M"/>
    <s v="12/25/2015"/>
    <n v="497689092"/>
    <s v="12/31/2015"/>
    <n v="6117"/>
    <n v="109.28"/>
    <n v="35.840000000000003"/>
    <n v="668465.76"/>
    <n v="219233.28"/>
    <n v="449232.48"/>
  </r>
  <r>
    <x v="3"/>
    <s v="Somalia"/>
    <s v="Meat"/>
    <s v="Online"/>
    <s v="H"/>
    <s v="6/13/2017"/>
    <n v="812921607"/>
    <s v="7/22/2017"/>
    <n v="423"/>
    <n v="421.89"/>
    <n v="364.69"/>
    <n v="178459.47"/>
    <n v="154263.87"/>
    <n v="24195.599999999999"/>
  </r>
  <r>
    <x v="1"/>
    <s v="Armenia"/>
    <s v="Cereal"/>
    <s v="Offline"/>
    <s v="H"/>
    <s v="1/20/2010"/>
    <n v="477282845"/>
    <d v="2010-04-02T00:00:00"/>
    <n v="7455"/>
    <n v="205.7"/>
    <n v="117.11"/>
    <n v="1533493.5"/>
    <n v="873055.05"/>
    <n v="660438.44999999995"/>
  </r>
  <r>
    <x v="5"/>
    <s v="Niger"/>
    <s v="Fruits"/>
    <s v="Online"/>
    <s v="C"/>
    <d v="2015-06-04T00:00:00"/>
    <n v="387696635"/>
    <s v="4/16/2015"/>
    <n v="6905"/>
    <n v="9.33"/>
    <n v="6.92"/>
    <n v="64423.65"/>
    <n v="47782.6"/>
    <n v="16641.05"/>
  </r>
  <r>
    <x v="1"/>
    <s v="Slovakia"/>
    <s v="Cosmetics"/>
    <s v="Online"/>
    <s v="L"/>
    <d v="2010-01-03T00:00:00"/>
    <n v="161399304"/>
    <s v="3/15/2010"/>
    <n v="496"/>
    <n v="437.2"/>
    <n v="263.33"/>
    <n v="216851.20000000001"/>
    <n v="130611.68"/>
    <n v="86239.52"/>
  </r>
  <r>
    <x v="3"/>
    <s v="Pakistan"/>
    <s v="Vegetables"/>
    <s v="Online"/>
    <s v="M"/>
    <s v="7/27/2014"/>
    <n v="385939681"/>
    <s v="7/29/2014"/>
    <n v="6983"/>
    <n v="154.06"/>
    <n v="90.93"/>
    <n v="1075800.98"/>
    <n v="634964.18999999994"/>
    <n v="440836.79"/>
  </r>
  <r>
    <x v="4"/>
    <s v="East Timor"/>
    <s v="Snacks"/>
    <s v="Offline"/>
    <s v="M"/>
    <s v="6/28/2011"/>
    <n v="369179093"/>
    <s v="7/14/2011"/>
    <n v="7153"/>
    <n v="152.58000000000001"/>
    <n v="97.44"/>
    <n v="1091404.74"/>
    <n v="696988.32"/>
    <n v="394416.42"/>
  </r>
  <r>
    <x v="5"/>
    <s v="Rwanda"/>
    <s v="Baby Food"/>
    <s v="Offline"/>
    <s v="L"/>
    <d v="2011-01-07T00:00:00"/>
    <n v="389291369"/>
    <d v="2011-04-08T00:00:00"/>
    <n v="8822"/>
    <n v="255.28"/>
    <n v="159.41999999999999"/>
    <n v="2252080.16"/>
    <n v="1406403.24"/>
    <n v="845676.92"/>
  </r>
  <r>
    <x v="3"/>
    <s v="Afghanistan"/>
    <s v="Snacks"/>
    <s v="Offline"/>
    <s v="L"/>
    <d v="2011-04-02T00:00:00"/>
    <n v="344762837"/>
    <s v="3/24/2011"/>
    <n v="1840"/>
    <n v="152.58000000000001"/>
    <n v="97.44"/>
    <n v="280747.2"/>
    <n v="179289.60000000001"/>
    <n v="101457.60000000001"/>
  </r>
  <r>
    <x v="1"/>
    <s v="Hungary"/>
    <s v="Office Supplies"/>
    <s v="Online"/>
    <s v="H"/>
    <s v="8/20/2011"/>
    <n v="204392325"/>
    <s v="9/26/2011"/>
    <n v="3086"/>
    <n v="651.21"/>
    <n v="524.96"/>
    <n v="2009634.06"/>
    <n v="1620026.56"/>
    <n v="389607.5"/>
  </r>
  <r>
    <x v="4"/>
    <s v="Nauru"/>
    <s v="Meat"/>
    <s v="Online"/>
    <s v="L"/>
    <d v="2015-11-07T00:00:00"/>
    <n v="457291162"/>
    <s v="8/27/2015"/>
    <n v="1472"/>
    <n v="421.89"/>
    <n v="364.69"/>
    <n v="621022.07999999996"/>
    <n v="536823.68000000005"/>
    <n v="84198.399999999994"/>
  </r>
  <r>
    <x v="5"/>
    <s v="Cote d'Ivoire"/>
    <s v="Cosmetics"/>
    <s v="Online"/>
    <s v="C"/>
    <s v="11/22/2014"/>
    <n v="762883174"/>
    <s v="11/29/2014"/>
    <n v="2939"/>
    <n v="437.2"/>
    <n v="263.33"/>
    <n v="1284930.8"/>
    <n v="773926.87"/>
    <n v="511003.93"/>
  </r>
  <r>
    <x v="1"/>
    <s v="Latvia"/>
    <s v="Cereal"/>
    <s v="Offline"/>
    <s v="M"/>
    <s v="6/28/2010"/>
    <n v="400904691"/>
    <d v="2010-12-07T00:00:00"/>
    <n v="5462"/>
    <n v="205.7"/>
    <n v="117.11"/>
    <n v="1123533.3999999999"/>
    <n v="639654.81999999995"/>
    <n v="483878.58"/>
  </r>
  <r>
    <x v="2"/>
    <s v="Mongolia"/>
    <s v="Beverages"/>
    <s v="Online"/>
    <s v="H"/>
    <d v="2015-03-07T00:00:00"/>
    <n v="521404540"/>
    <d v="2015-04-07T00:00:00"/>
    <n v="4045"/>
    <n v="47.45"/>
    <n v="31.79"/>
    <n v="191935.25"/>
    <n v="128590.55"/>
    <n v="63344.7"/>
  </r>
  <r>
    <x v="5"/>
    <s v="Kenya"/>
    <s v="Vegetables"/>
    <s v="Offline"/>
    <s v="M"/>
    <s v="11/19/2013"/>
    <n v="994744050"/>
    <d v="2013-04-12T00:00:00"/>
    <n v="5725"/>
    <n v="154.06"/>
    <n v="90.93"/>
    <n v="881993.5"/>
    <n v="520574.25"/>
    <n v="361419.25"/>
  </r>
  <r>
    <x v="5"/>
    <s v="South Africa"/>
    <s v="Beverages"/>
    <s v="Offline"/>
    <s v="M"/>
    <s v="2/28/2017"/>
    <n v="861597049"/>
    <d v="2017-09-04T00:00:00"/>
    <n v="4568"/>
    <n v="47.45"/>
    <n v="31.79"/>
    <n v="216751.6"/>
    <n v="145216.72"/>
    <n v="71534.880000000005"/>
  </r>
  <r>
    <x v="0"/>
    <s v="Saint Lucia"/>
    <s v="Baby Food"/>
    <s v="Online"/>
    <s v="H"/>
    <s v="3/18/2015"/>
    <n v="582949864"/>
    <d v="2015-10-04T00:00:00"/>
    <n v="6674"/>
    <n v="255.28"/>
    <n v="159.41999999999999"/>
    <n v="1703738.72"/>
    <n v="1063969.08"/>
    <n v="639769.64"/>
  </r>
  <r>
    <x v="5"/>
    <s v="Guinea"/>
    <s v="Cosmetics"/>
    <s v="Online"/>
    <s v="L"/>
    <s v="4/27/2010"/>
    <n v="690101325"/>
    <s v="4/30/2010"/>
    <n v="5173"/>
    <n v="437.2"/>
    <n v="263.33"/>
    <n v="2261635.6"/>
    <n v="1362206.09"/>
    <n v="899429.51"/>
  </r>
  <r>
    <x v="5"/>
    <s v="Malawi"/>
    <s v="Meat"/>
    <s v="Offline"/>
    <s v="L"/>
    <d v="2013-06-06T00:00:00"/>
    <n v="434662759"/>
    <d v="2013-05-07T00:00:00"/>
    <n v="5224"/>
    <n v="421.89"/>
    <n v="364.69"/>
    <n v="2203953.36"/>
    <n v="1905140.56"/>
    <n v="298812.79999999999"/>
  </r>
  <r>
    <x v="5"/>
    <s v="Central African Republic"/>
    <s v="Office Supplies"/>
    <s v="Offline"/>
    <s v="L"/>
    <d v="2010-11-01T00:00:00"/>
    <n v="938557994"/>
    <s v="2/18/2010"/>
    <n v="9022"/>
    <n v="651.21"/>
    <n v="524.96"/>
    <n v="5875216.6200000001"/>
    <n v="4736189.12"/>
    <n v="1139027.5"/>
  </r>
  <r>
    <x v="1"/>
    <s v="Belgium"/>
    <s v="Beverages"/>
    <s v="Offline"/>
    <s v="L"/>
    <s v="12/21/2016"/>
    <n v="244023358"/>
    <s v="1/22/2017"/>
    <n v="789"/>
    <n v="47.45"/>
    <n v="31.79"/>
    <n v="37438.050000000003"/>
    <n v="25082.31"/>
    <n v="12355.74"/>
  </r>
  <r>
    <x v="5"/>
    <s v="Niger"/>
    <s v="Fruits"/>
    <s v="Online"/>
    <s v="L"/>
    <d v="2010-11-07T00:00:00"/>
    <n v="963607680"/>
    <d v="2010-11-07T00:00:00"/>
    <n v="1781"/>
    <n v="9.33"/>
    <n v="6.92"/>
    <n v="16616.73"/>
    <n v="12324.52"/>
    <n v="4292.21"/>
  </r>
  <r>
    <x v="1"/>
    <s v="Moldova "/>
    <s v="Cosmetics"/>
    <s v="Online"/>
    <s v="H"/>
    <s v="6/13/2013"/>
    <n v="830172288"/>
    <s v="7/29/2013"/>
    <n v="5283"/>
    <n v="437.2"/>
    <n v="263.33"/>
    <n v="2309727.6"/>
    <n v="1391172.39"/>
    <n v="918555.21"/>
  </r>
  <r>
    <x v="0"/>
    <s v="Grenada"/>
    <s v="Beverages"/>
    <s v="Online"/>
    <s v="M"/>
    <d v="2015-02-07T00:00:00"/>
    <n v="346891009"/>
    <d v="2015-12-07T00:00:00"/>
    <n v="1613"/>
    <n v="47.45"/>
    <n v="31.79"/>
    <n v="76536.850000000006"/>
    <n v="51277.27"/>
    <n v="25259.58"/>
  </r>
  <r>
    <x v="5"/>
    <s v="Gabon"/>
    <s v="Baby Food"/>
    <s v="Online"/>
    <s v="H"/>
    <s v="1/27/2015"/>
    <n v="537250173"/>
    <s v="3/15/2015"/>
    <n v="3120"/>
    <n v="255.28"/>
    <n v="159.41999999999999"/>
    <n v="796473.6"/>
    <n v="497390.4"/>
    <n v="299083.2"/>
  </r>
  <r>
    <x v="5"/>
    <s v="Burundi"/>
    <s v="Office Supplies"/>
    <s v="Offline"/>
    <s v="M"/>
    <s v="5/28/2015"/>
    <n v="695048606"/>
    <s v="7/17/2015"/>
    <n v="9183"/>
    <n v="651.21"/>
    <n v="524.96"/>
    <n v="5980061.4299999997"/>
    <n v="4820707.68"/>
    <n v="1159353.75"/>
  </r>
  <r>
    <x v="2"/>
    <s v="Malaysia"/>
    <s v="Clothes"/>
    <s v="Offline"/>
    <s v="H"/>
    <s v="3/26/2013"/>
    <n v="634397637"/>
    <s v="4/19/2013"/>
    <n v="1213"/>
    <n v="109.28"/>
    <n v="35.840000000000003"/>
    <n v="132556.64000000001"/>
    <n v="43473.919999999998"/>
    <n v="89082.72"/>
  </r>
  <r>
    <x v="4"/>
    <s v="Vanuatu"/>
    <s v="Personal Care"/>
    <s v="Offline"/>
    <s v="L"/>
    <s v="2/23/2010"/>
    <n v="239721095"/>
    <d v="2010-09-03T00:00:00"/>
    <n v="7654"/>
    <n v="81.73"/>
    <n v="56.67"/>
    <n v="625561.42000000004"/>
    <n v="433752.18"/>
    <n v="191809.24"/>
  </r>
  <r>
    <x v="1"/>
    <s v="Moldova "/>
    <s v="Meat"/>
    <s v="Offline"/>
    <s v="L"/>
    <s v="5/13/2016"/>
    <n v="815755307"/>
    <d v="2016-09-06T00:00:00"/>
    <n v="8978"/>
    <n v="421.89"/>
    <n v="364.69"/>
    <n v="3787728.42"/>
    <n v="3274186.82"/>
    <n v="513541.6"/>
  </r>
  <r>
    <x v="5"/>
    <s v="Cote d'Ivoire"/>
    <s v="Beverages"/>
    <s v="Offline"/>
    <s v="L"/>
    <d v="2016-04-09T00:00:00"/>
    <n v="137549102"/>
    <s v="9/13/2016"/>
    <n v="2691"/>
    <n v="47.45"/>
    <n v="31.79"/>
    <n v="127687.95"/>
    <n v="85546.89"/>
    <n v="42141.06"/>
  </r>
  <r>
    <x v="2"/>
    <s v="Turkmenistan"/>
    <s v="Fruits"/>
    <s v="Online"/>
    <s v="M"/>
    <s v="1/28/2012"/>
    <n v="100463807"/>
    <s v="2/18/2012"/>
    <n v="8328"/>
    <n v="9.33"/>
    <n v="6.92"/>
    <n v="77700.240000000005"/>
    <n v="57629.760000000002"/>
    <n v="20070.48"/>
  </r>
  <r>
    <x v="1"/>
    <s v="Austria"/>
    <s v="Clothes"/>
    <s v="Online"/>
    <s v="M"/>
    <s v="12/23/2015"/>
    <n v="870173251"/>
    <s v="12/30/2015"/>
    <n v="2457"/>
    <n v="109.28"/>
    <n v="35.840000000000003"/>
    <n v="268500.96000000002"/>
    <n v="88058.880000000005"/>
    <n v="180442.08"/>
  </r>
  <r>
    <x v="5"/>
    <s v="Cote d'Ivoire"/>
    <s v="Personal Care"/>
    <s v="Offline"/>
    <s v="C"/>
    <s v="7/28/2012"/>
    <n v="432663762"/>
    <s v="8/27/2012"/>
    <n v="3677"/>
    <n v="81.73"/>
    <n v="56.67"/>
    <n v="300521.21000000002"/>
    <n v="208375.59"/>
    <n v="92145.62"/>
  </r>
  <r>
    <x v="1"/>
    <s v="Greece"/>
    <s v="Baby Food"/>
    <s v="Online"/>
    <s v="M"/>
    <s v="8/19/2013"/>
    <n v="444234168"/>
    <s v="9/27/2013"/>
    <n v="7617"/>
    <n v="255.28"/>
    <n v="159.41999999999999"/>
    <n v="1944467.76"/>
    <n v="1214302.1399999999"/>
    <n v="730165.62"/>
  </r>
  <r>
    <x v="2"/>
    <s v="Brunei"/>
    <s v="Baby Food"/>
    <s v="Offline"/>
    <s v="M"/>
    <s v="10/31/2016"/>
    <n v="381495797"/>
    <s v="12/15/2016"/>
    <n v="1939"/>
    <n v="255.28"/>
    <n v="159.41999999999999"/>
    <n v="494987.92"/>
    <n v="309115.38"/>
    <n v="185872.54"/>
  </r>
  <r>
    <x v="5"/>
    <s v="South Sudan"/>
    <s v="Meat"/>
    <s v="Offline"/>
    <s v="C"/>
    <s v="2/17/2017"/>
    <n v="691372478"/>
    <d v="2017-07-04T00:00:00"/>
    <n v="1335"/>
    <n v="421.89"/>
    <n v="364.69"/>
    <n v="563223.15"/>
    <n v="486861.15"/>
    <n v="76362"/>
  </r>
  <r>
    <x v="2"/>
    <s v="North Korea"/>
    <s v="Meat"/>
    <s v="Offline"/>
    <s v="M"/>
    <s v="7/23/2010"/>
    <n v="541100537"/>
    <d v="2010-06-08T00:00:00"/>
    <n v="2528"/>
    <n v="421.89"/>
    <n v="364.69"/>
    <n v="1066537.92"/>
    <n v="921936.32"/>
    <n v="144601.60000000001"/>
  </r>
  <r>
    <x v="2"/>
    <s v="Bhutan"/>
    <s v="Snacks"/>
    <s v="Online"/>
    <s v="L"/>
    <s v="2/18/2013"/>
    <n v="968228805"/>
    <d v="2013-03-04T00:00:00"/>
    <n v="9274"/>
    <n v="152.58000000000001"/>
    <n v="97.44"/>
    <n v="1415026.92"/>
    <n v="903658.56"/>
    <n v="511368.36"/>
  </r>
  <r>
    <x v="2"/>
    <s v="Thailand"/>
    <s v="Cosmetics"/>
    <s v="Offline"/>
    <s v="L"/>
    <s v="8/27/2011"/>
    <n v="830618607"/>
    <s v="8/29/2011"/>
    <n v="7359"/>
    <n v="437.2"/>
    <n v="263.33"/>
    <n v="3217354.8"/>
    <n v="1937845.47"/>
    <n v="1279509.33"/>
  </r>
  <r>
    <x v="3"/>
    <s v="Iran"/>
    <s v="Cosmetics"/>
    <s v="Offline"/>
    <s v="H"/>
    <s v="11/27/2012"/>
    <n v="856443774"/>
    <d v="2013-10-01T00:00:00"/>
    <n v="9600"/>
    <n v="437.2"/>
    <n v="263.33"/>
    <n v="4197120"/>
    <n v="2527968"/>
    <n v="1669152"/>
  </r>
  <r>
    <x v="5"/>
    <s v="Mali"/>
    <s v="Meat"/>
    <s v="Offline"/>
    <s v="L"/>
    <d v="2017-08-03T00:00:00"/>
    <n v="494190633"/>
    <s v="4/13/2017"/>
    <n v="845"/>
    <n v="421.89"/>
    <n v="364.69"/>
    <n v="356497.05"/>
    <n v="308163.05"/>
    <n v="48334"/>
  </r>
  <r>
    <x v="2"/>
    <s v="Kyrgyzstan"/>
    <s v="Household"/>
    <s v="Offline"/>
    <s v="C"/>
    <s v="6/21/2014"/>
    <n v="162658011"/>
    <s v="7/24/2014"/>
    <n v="2975"/>
    <n v="668.27"/>
    <n v="502.54"/>
    <n v="1988103.25"/>
    <n v="1495056.5"/>
    <n v="493046.75"/>
  </r>
  <r>
    <x v="5"/>
    <s v="South Sudan"/>
    <s v="Baby Food"/>
    <s v="Offline"/>
    <s v="L"/>
    <s v="12/21/2010"/>
    <n v="800957238"/>
    <s v="12/23/2010"/>
    <n v="9901"/>
    <n v="255.28"/>
    <n v="159.41999999999999"/>
    <n v="2527527.2799999998"/>
    <n v="1578417.42"/>
    <n v="949109.86"/>
  </r>
  <r>
    <x v="0"/>
    <s v="Dominica"/>
    <s v="Beverages"/>
    <s v="Offline"/>
    <s v="C"/>
    <d v="2010-01-03T00:00:00"/>
    <n v="718512141"/>
    <d v="2010-04-03T00:00:00"/>
    <n v="2564"/>
    <n v="47.45"/>
    <n v="31.79"/>
    <n v="121661.8"/>
    <n v="81509.56"/>
    <n v="40152.239999999998"/>
  </r>
  <r>
    <x v="1"/>
    <s v="Liechtenstein"/>
    <s v="Clothes"/>
    <s v="Offline"/>
    <s v="H"/>
    <d v="2016-04-08T00:00:00"/>
    <n v="545059049"/>
    <d v="2016-08-08T00:00:00"/>
    <n v="3940"/>
    <n v="109.28"/>
    <n v="35.840000000000003"/>
    <n v="430563.2"/>
    <n v="141209.60000000001"/>
    <n v="289353.59999999998"/>
  </r>
  <r>
    <x v="4"/>
    <s v="Fiji"/>
    <s v="Household"/>
    <s v="Offline"/>
    <s v="L"/>
    <d v="2016-07-12T00:00:00"/>
    <n v="980646789"/>
    <s v="12/20/2016"/>
    <n v="4032"/>
    <n v="668.27"/>
    <n v="502.54"/>
    <n v="2694464.64"/>
    <n v="2026241.28"/>
    <n v="668223.36"/>
  </r>
  <r>
    <x v="5"/>
    <s v="Botswana"/>
    <s v="Household"/>
    <s v="Offline"/>
    <s v="H"/>
    <s v="1/29/2014"/>
    <n v="545636689"/>
    <d v="2014-01-02T00:00:00"/>
    <n v="4876"/>
    <n v="668.27"/>
    <n v="502.54"/>
    <n v="3258484.52"/>
    <n v="2450385.04"/>
    <n v="808099.48"/>
  </r>
  <r>
    <x v="1"/>
    <s v="United Kingdom"/>
    <s v="Baby Food"/>
    <s v="Offline"/>
    <s v="M"/>
    <d v="2015-07-10T00:00:00"/>
    <n v="530702579"/>
    <d v="2015-09-11T00:00:00"/>
    <n v="5541"/>
    <n v="255.28"/>
    <n v="159.41999999999999"/>
    <n v="1414506.48"/>
    <n v="883346.22"/>
    <n v="531160.26"/>
  </r>
  <r>
    <x v="3"/>
    <s v="Syria"/>
    <s v="Meat"/>
    <s v="Offline"/>
    <s v="C"/>
    <s v="8/25/2015"/>
    <n v="946830785"/>
    <s v="9/20/2015"/>
    <n v="7125"/>
    <n v="421.89"/>
    <n v="364.69"/>
    <n v="3005966.25"/>
    <n v="2598416.25"/>
    <n v="407550"/>
  </r>
  <r>
    <x v="2"/>
    <s v="China"/>
    <s v="Cereal"/>
    <s v="Offline"/>
    <s v="H"/>
    <s v="3/29/2012"/>
    <n v="975320136"/>
    <d v="2012-12-05T00:00:00"/>
    <n v="7757"/>
    <n v="205.7"/>
    <n v="117.11"/>
    <n v="1595614.9"/>
    <n v="908422.27"/>
    <n v="687192.63"/>
  </r>
  <r>
    <x v="5"/>
    <s v="Zimbabwe"/>
    <s v="Meat"/>
    <s v="Offline"/>
    <s v="M"/>
    <d v="2012-09-09T00:00:00"/>
    <n v="317781960"/>
    <s v="9/20/2012"/>
    <n v="7599"/>
    <n v="421.89"/>
    <n v="364.69"/>
    <n v="3205942.11"/>
    <n v="2771279.31"/>
    <n v="434662.8"/>
  </r>
  <r>
    <x v="1"/>
    <s v="Iceland"/>
    <s v="Personal Care"/>
    <s v="Offline"/>
    <s v="L"/>
    <d v="2013-07-11T00:00:00"/>
    <n v="546140086"/>
    <s v="12/19/2013"/>
    <n v="3843"/>
    <n v="81.73"/>
    <n v="56.67"/>
    <n v="314088.39"/>
    <n v="217782.81"/>
    <n v="96305.58"/>
  </r>
  <r>
    <x v="5"/>
    <s v="Eritrea"/>
    <s v="Beverages"/>
    <s v="Offline"/>
    <s v="L"/>
    <s v="8/22/2013"/>
    <n v="152630841"/>
    <d v="2013-01-09T00:00:00"/>
    <n v="5713"/>
    <n v="47.45"/>
    <n v="31.79"/>
    <n v="271081.84999999998"/>
    <n v="181616.27"/>
    <n v="89465.58"/>
  </r>
  <r>
    <x v="5"/>
    <s v="Ethiopia"/>
    <s v="Cosmetics"/>
    <s v="Offline"/>
    <s v="M"/>
    <s v="10/29/2014"/>
    <n v="399803054"/>
    <s v="11/30/2014"/>
    <n v="9463"/>
    <n v="437.2"/>
    <n v="263.33"/>
    <n v="4137223.6"/>
    <n v="2491891.79"/>
    <n v="1645331.81"/>
  </r>
  <r>
    <x v="2"/>
    <s v="Cambodia"/>
    <s v="Household"/>
    <s v="Offline"/>
    <s v="H"/>
    <d v="2013-03-09T00:00:00"/>
    <n v="370518052"/>
    <d v="2013-09-10T00:00:00"/>
    <n v="3380"/>
    <n v="668.27"/>
    <n v="502.54"/>
    <n v="2258752.6"/>
    <n v="1698585.2"/>
    <n v="560167.4"/>
  </r>
  <r>
    <x v="0"/>
    <s v="Barbados"/>
    <s v="Beverages"/>
    <s v="Offline"/>
    <s v="C"/>
    <s v="4/17/2011"/>
    <n v="117949664"/>
    <s v="5/24/2011"/>
    <n v="2782"/>
    <n v="47.45"/>
    <n v="31.79"/>
    <n v="132005.9"/>
    <n v="88439.78"/>
    <n v="43566.12"/>
  </r>
  <r>
    <x v="1"/>
    <s v="Belarus"/>
    <s v="Vegetables"/>
    <s v="Offline"/>
    <s v="M"/>
    <d v="2017-07-06T00:00:00"/>
    <n v="215584218"/>
    <s v="6/21/2017"/>
    <n v="5016"/>
    <n v="154.06"/>
    <n v="90.93"/>
    <n v="772764.96"/>
    <n v="456104.88"/>
    <n v="316660.08"/>
  </r>
  <r>
    <x v="1"/>
    <s v="Sweden"/>
    <s v="Cereal"/>
    <s v="Online"/>
    <s v="L"/>
    <s v="5/29/2016"/>
    <n v="407220542"/>
    <d v="2016-04-07T00:00:00"/>
    <n v="4463"/>
    <n v="205.7"/>
    <n v="117.11"/>
    <n v="918039.1"/>
    <n v="522661.93"/>
    <n v="395377.17"/>
  </r>
  <r>
    <x v="1"/>
    <s v="Ireland"/>
    <s v="Vegetables"/>
    <s v="Online"/>
    <s v="L"/>
    <s v="4/24/2016"/>
    <n v="956969964"/>
    <s v="5/27/2016"/>
    <n v="7533"/>
    <n v="154.06"/>
    <n v="90.93"/>
    <n v="1160533.98"/>
    <n v="684975.69"/>
    <n v="475558.29"/>
  </r>
  <r>
    <x v="1"/>
    <s v="Slovenia"/>
    <s v="Fruits"/>
    <s v="Online"/>
    <s v="L"/>
    <d v="2014-11-12T00:00:00"/>
    <n v="399256312"/>
    <d v="2015-05-01T00:00:00"/>
    <n v="7670"/>
    <n v="9.33"/>
    <n v="6.92"/>
    <n v="71561.100000000006"/>
    <n v="53076.4"/>
    <n v="18484.7"/>
  </r>
  <r>
    <x v="1"/>
    <s v="Croatia"/>
    <s v="Snacks"/>
    <s v="Offline"/>
    <s v="M"/>
    <d v="2011-03-03T00:00:00"/>
    <n v="488815915"/>
    <s v="4/17/2011"/>
    <n v="347"/>
    <n v="152.58000000000001"/>
    <n v="97.44"/>
    <n v="52945.26"/>
    <n v="33811.68"/>
    <n v="19133.580000000002"/>
  </r>
  <r>
    <x v="5"/>
    <s v="Chad"/>
    <s v="Cereal"/>
    <s v="Online"/>
    <s v="M"/>
    <d v="2016-11-04T00:00:00"/>
    <n v="350697600"/>
    <s v="4/23/2016"/>
    <n v="8068"/>
    <n v="205.7"/>
    <n v="117.11"/>
    <n v="1659587.6"/>
    <n v="944843.48"/>
    <n v="714744.12"/>
  </r>
  <r>
    <x v="1"/>
    <s v="Lithuania"/>
    <s v="Clothes"/>
    <s v="Offline"/>
    <s v="C"/>
    <s v="4/29/2012"/>
    <n v="530262696"/>
    <d v="2012-11-05T00:00:00"/>
    <n v="5370"/>
    <n v="109.28"/>
    <n v="35.840000000000003"/>
    <n v="586833.6"/>
    <n v="192460.79999999999"/>
    <n v="394372.8"/>
  </r>
  <r>
    <x v="0"/>
    <s v="Barbados"/>
    <s v="Clothes"/>
    <s v="Offline"/>
    <s v="M"/>
    <d v="2016-12-07T00:00:00"/>
    <n v="743185031"/>
    <s v="7/29/2016"/>
    <n v="3821"/>
    <n v="109.28"/>
    <n v="35.840000000000003"/>
    <n v="417558.88"/>
    <n v="136944.64000000001"/>
    <n v="280614.24"/>
  </r>
  <r>
    <x v="3"/>
    <s v="Libya"/>
    <s v="Household"/>
    <s v="Online"/>
    <s v="C"/>
    <d v="2016-09-11T00:00:00"/>
    <n v="325450932"/>
    <s v="11/20/2016"/>
    <n v="7018"/>
    <n v="668.27"/>
    <n v="502.54"/>
    <n v="4689918.8600000003"/>
    <n v="3526825.72"/>
    <n v="1163093.1399999999"/>
  </r>
  <r>
    <x v="5"/>
    <s v="Gabon"/>
    <s v="Vegetables"/>
    <s v="Offline"/>
    <s v="H"/>
    <s v="9/20/2013"/>
    <n v="483359229"/>
    <d v="2013-10-10T00:00:00"/>
    <n v="5592"/>
    <n v="154.06"/>
    <n v="90.93"/>
    <n v="861503.52"/>
    <n v="508480.56"/>
    <n v="353022.96"/>
  </r>
  <r>
    <x v="1"/>
    <s v="Switzerland"/>
    <s v="Cosmetics"/>
    <s v="Online"/>
    <s v="L"/>
    <s v="2/26/2016"/>
    <n v="243521249"/>
    <s v="3/28/2016"/>
    <n v="2204"/>
    <n v="437.2"/>
    <n v="263.33"/>
    <n v="963588.8"/>
    <n v="580379.31999999995"/>
    <n v="383209.48"/>
  </r>
  <r>
    <x v="3"/>
    <s v="Jordan"/>
    <s v="Household"/>
    <s v="Offline"/>
    <s v="C"/>
    <d v="2015-03-05T00:00:00"/>
    <n v="502860820"/>
    <s v="5/21/2015"/>
    <n v="6546"/>
    <n v="668.27"/>
    <n v="502.54"/>
    <n v="4374495.42"/>
    <n v="3289626.84"/>
    <n v="1084868.58"/>
  </r>
  <r>
    <x v="1"/>
    <s v="Iceland"/>
    <s v="Cosmetics"/>
    <s v="Online"/>
    <s v="M"/>
    <s v="1/27/2011"/>
    <n v="878614270"/>
    <s v="2/17/2011"/>
    <n v="342"/>
    <n v="437.2"/>
    <n v="263.33"/>
    <n v="149522.4"/>
    <n v="90058.86"/>
    <n v="59463.54"/>
  </r>
  <r>
    <x v="2"/>
    <s v="South Korea"/>
    <s v="Cosmetics"/>
    <s v="Offline"/>
    <s v="C"/>
    <d v="2015-09-08T00:00:00"/>
    <n v="158330428"/>
    <s v="8/25/2015"/>
    <n v="2347"/>
    <n v="437.2"/>
    <n v="263.33"/>
    <n v="1026108.4"/>
    <n v="618035.51"/>
    <n v="408072.89"/>
  </r>
  <r>
    <x v="2"/>
    <s v="Philippines"/>
    <s v="Clothes"/>
    <s v="Online"/>
    <s v="M"/>
    <d v="2011-08-12T00:00:00"/>
    <n v="349870622"/>
    <s v="1/23/2012"/>
    <n v="3347"/>
    <n v="109.28"/>
    <n v="35.840000000000003"/>
    <n v="365760.16"/>
    <n v="119956.48"/>
    <n v="245803.68"/>
  </r>
  <r>
    <x v="5"/>
    <s v="Guinea"/>
    <s v="Cosmetics"/>
    <s v="Online"/>
    <s v="M"/>
    <s v="8/26/2010"/>
    <n v="831408679"/>
    <d v="2010-02-10T00:00:00"/>
    <n v="1159"/>
    <n v="437.2"/>
    <n v="263.33"/>
    <n v="506714.8"/>
    <n v="305199.46999999997"/>
    <n v="201515.33"/>
  </r>
  <r>
    <x v="3"/>
    <s v="Qatar"/>
    <s v="Office Supplies"/>
    <s v="Online"/>
    <s v="H"/>
    <s v="10/26/2015"/>
    <n v="601430928"/>
    <s v="11/26/2015"/>
    <n v="5632"/>
    <n v="651.21"/>
    <n v="524.96"/>
    <n v="3667614.72"/>
    <n v="2956574.7200000002"/>
    <n v="711040"/>
  </r>
  <r>
    <x v="2"/>
    <s v="Brunei"/>
    <s v="Household"/>
    <s v="Online"/>
    <s v="M"/>
    <s v="8/22/2013"/>
    <n v="528736197"/>
    <s v="8/31/2013"/>
    <n v="3645"/>
    <n v="668.27"/>
    <n v="502.54"/>
    <n v="2435844.15"/>
    <n v="1831758.3"/>
    <n v="604085.85"/>
  </r>
  <r>
    <x v="0"/>
    <s v="Belize"/>
    <s v="Clothes"/>
    <s v="Online"/>
    <s v="C"/>
    <d v="2014-09-02T00:00:00"/>
    <n v="202435815"/>
    <s v="2/24/2014"/>
    <n v="4111"/>
    <n v="109.28"/>
    <n v="35.840000000000003"/>
    <n v="449250.08"/>
    <n v="147338.23999999999"/>
    <n v="301911.84000000003"/>
  </r>
  <r>
    <x v="5"/>
    <s v="Republic of the Congo"/>
    <s v="Meat"/>
    <s v="Offline"/>
    <s v="C"/>
    <s v="11/30/2016"/>
    <n v="181953608"/>
    <s v="12/31/2016"/>
    <n v="2971"/>
    <n v="421.89"/>
    <n v="364.69"/>
    <n v="1253435.19"/>
    <n v="1083493.99"/>
    <n v="169941.2"/>
  </r>
  <r>
    <x v="3"/>
    <s v="Egypt"/>
    <s v="Clothes"/>
    <s v="Offline"/>
    <s v="M"/>
    <s v="3/30/2015"/>
    <n v="647025907"/>
    <s v="3/30/2015"/>
    <n v="8199"/>
    <n v="109.28"/>
    <n v="35.840000000000003"/>
    <n v="895986.72"/>
    <n v="293852.15999999997"/>
    <n v="602134.56000000006"/>
  </r>
  <r>
    <x v="2"/>
    <s v="Kazakhstan"/>
    <s v="Cosmetics"/>
    <s v="Offline"/>
    <s v="C"/>
    <s v="9/13/2014"/>
    <n v="947701537"/>
    <s v="9/20/2014"/>
    <n v="4800"/>
    <n v="437.2"/>
    <n v="263.33"/>
    <n v="2098560"/>
    <n v="1263984"/>
    <n v="834576"/>
  </r>
  <r>
    <x v="1"/>
    <s v="Denmark"/>
    <s v="Vegetables"/>
    <s v="Offline"/>
    <s v="H"/>
    <s v="5/23/2014"/>
    <n v="954341828"/>
    <d v="2014-11-07T00:00:00"/>
    <n v="9809"/>
    <n v="154.06"/>
    <n v="90.93"/>
    <n v="1511174.54"/>
    <n v="891932.37"/>
    <n v="619242.17000000004"/>
  </r>
  <r>
    <x v="1"/>
    <s v="Moldova "/>
    <s v="Beverages"/>
    <s v="Online"/>
    <s v="H"/>
    <d v="2010-12-09T00:00:00"/>
    <n v="607620608"/>
    <s v="9/20/2010"/>
    <n v="7296"/>
    <n v="47.45"/>
    <n v="31.79"/>
    <n v="346195.20000000001"/>
    <n v="231939.84"/>
    <n v="114255.36"/>
  </r>
  <r>
    <x v="0"/>
    <s v="Guatemala"/>
    <s v="Fruits"/>
    <s v="Offline"/>
    <s v="C"/>
    <s v="3/16/2016"/>
    <n v="368524205"/>
    <s v="4/21/2016"/>
    <n v="3357"/>
    <n v="9.33"/>
    <n v="6.92"/>
    <n v="31320.81"/>
    <n v="23230.44"/>
    <n v="8090.37"/>
  </r>
  <r>
    <x v="6"/>
    <s v="United States of America"/>
    <s v="Snacks"/>
    <s v="Online"/>
    <s v="M"/>
    <s v="6/30/2010"/>
    <n v="768351447"/>
    <s v="7/17/2010"/>
    <n v="1123"/>
    <n v="152.58000000000001"/>
    <n v="97.44"/>
    <n v="171347.34"/>
    <n v="109425.12"/>
    <n v="61922.22"/>
  </r>
  <r>
    <x v="5"/>
    <s v="Madagascar"/>
    <s v="Snacks"/>
    <s v="Offline"/>
    <s v="M"/>
    <s v="1/27/2012"/>
    <n v="158713662"/>
    <s v="1/28/2012"/>
    <n v="5754"/>
    <n v="152.58000000000001"/>
    <n v="97.44"/>
    <n v="877945.32"/>
    <n v="560669.76"/>
    <n v="317275.56"/>
  </r>
  <r>
    <x v="1"/>
    <s v="Cyprus"/>
    <s v="Personal Care"/>
    <s v="Online"/>
    <s v="L"/>
    <d v="2014-02-01T00:00:00"/>
    <n v="561534678"/>
    <s v="1/29/2014"/>
    <n v="9445"/>
    <n v="81.73"/>
    <n v="56.67"/>
    <n v="771939.85"/>
    <n v="535248.15"/>
    <n v="236691.7"/>
  </r>
  <r>
    <x v="4"/>
    <s v="Nauru"/>
    <s v="Fruits"/>
    <s v="Offline"/>
    <s v="L"/>
    <d v="2010-05-06T00:00:00"/>
    <n v="919050824"/>
    <s v="7/21/2010"/>
    <n v="6417"/>
    <n v="9.33"/>
    <n v="6.92"/>
    <n v="59870.61"/>
    <n v="44405.64"/>
    <n v="15464.97"/>
  </r>
  <r>
    <x v="4"/>
    <s v="East Timor"/>
    <s v="Snacks"/>
    <s v="Online"/>
    <s v="C"/>
    <s v="6/18/2015"/>
    <n v="243810927"/>
    <d v="2015-04-08T00:00:00"/>
    <n v="7926"/>
    <n v="152.58000000000001"/>
    <n v="97.44"/>
    <n v="1209349.08"/>
    <n v="772309.44"/>
    <n v="437039.64"/>
  </r>
  <r>
    <x v="1"/>
    <s v="Hungary"/>
    <s v="Vegetables"/>
    <s v="Offline"/>
    <s v="L"/>
    <d v="2014-06-01T00:00:00"/>
    <n v="768676316"/>
    <d v="2014-08-02T00:00:00"/>
    <n v="7259"/>
    <n v="154.06"/>
    <n v="90.93"/>
    <n v="1118321.54"/>
    <n v="660060.87"/>
    <n v="458260.67"/>
  </r>
  <r>
    <x v="5"/>
    <s v="Liberia"/>
    <s v="Snacks"/>
    <s v="Online"/>
    <s v="C"/>
    <s v="12/27/2010"/>
    <n v="296820819"/>
    <d v="2011-10-02T00:00:00"/>
    <n v="4731"/>
    <n v="152.58000000000001"/>
    <n v="97.44"/>
    <n v="721855.98"/>
    <n v="460988.64"/>
    <n v="260867.34"/>
  </r>
  <r>
    <x v="0"/>
    <s v="Grenada"/>
    <s v="Beverages"/>
    <s v="Offline"/>
    <s v="C"/>
    <d v="2012-04-05T00:00:00"/>
    <n v="751730763"/>
    <d v="2012-11-06T00:00:00"/>
    <n v="2693"/>
    <n v="47.45"/>
    <n v="31.79"/>
    <n v="127782.85"/>
    <n v="85610.47"/>
    <n v="42172.38"/>
  </r>
  <r>
    <x v="0"/>
    <s v="Dominican Republic"/>
    <s v="Meat"/>
    <s v="Online"/>
    <s v="L"/>
    <s v="9/29/2013"/>
    <n v="527204978"/>
    <d v="2013-03-10T00:00:00"/>
    <n v="523"/>
    <n v="421.89"/>
    <n v="364.69"/>
    <n v="220648.47"/>
    <n v="190732.87"/>
    <n v="29915.599999999999"/>
  </r>
  <r>
    <x v="1"/>
    <s v="Norway"/>
    <s v="Cosmetics"/>
    <s v="Offline"/>
    <s v="L"/>
    <d v="2011-09-12T00:00:00"/>
    <n v="337354791"/>
    <s v="1/28/2012"/>
    <n v="9634"/>
    <n v="437.2"/>
    <n v="263.33"/>
    <n v="4211984.8"/>
    <n v="2536921.2200000002"/>
    <n v="1675063.58"/>
  </r>
  <r>
    <x v="3"/>
    <s v="Tunisia "/>
    <s v="Clothes"/>
    <s v="Online"/>
    <s v="M"/>
    <s v="1/28/2016"/>
    <n v="966604030"/>
    <s v="2/16/2016"/>
    <n v="8467"/>
    <n v="109.28"/>
    <n v="35.840000000000003"/>
    <n v="925273.76"/>
    <n v="303457.28000000003"/>
    <n v="621816.48"/>
  </r>
  <r>
    <x v="4"/>
    <s v="Papua New Guinea"/>
    <s v="Office Supplies"/>
    <s v="Offline"/>
    <s v="L"/>
    <s v="8/30/2013"/>
    <n v="119689023"/>
    <s v="9/19/2013"/>
    <n v="7497"/>
    <n v="651.21"/>
    <n v="524.96"/>
    <n v="4882121.37"/>
    <n v="3935625.12"/>
    <n v="946496.25"/>
  </r>
  <r>
    <x v="4"/>
    <s v="Federated States of Micronesia"/>
    <s v="Baby Food"/>
    <s v="Offline"/>
    <s v="H"/>
    <s v="3/16/2012"/>
    <n v="971658599"/>
    <d v="2012-03-05T00:00:00"/>
    <n v="4227"/>
    <n v="255.28"/>
    <n v="159.41999999999999"/>
    <n v="1079068.56"/>
    <n v="673868.34"/>
    <n v="405200.22"/>
  </r>
  <r>
    <x v="1"/>
    <s v="Norway"/>
    <s v="Meat"/>
    <s v="Offline"/>
    <s v="M"/>
    <d v="2012-12-09T00:00:00"/>
    <n v="917874085"/>
    <s v="9/23/2012"/>
    <n v="8194"/>
    <n v="421.89"/>
    <n v="364.69"/>
    <n v="3456966.66"/>
    <n v="2988269.86"/>
    <n v="468696.8"/>
  </r>
  <r>
    <x v="2"/>
    <s v="Sri Lanka"/>
    <s v="Personal Care"/>
    <s v="Offline"/>
    <s v="H"/>
    <s v="5/31/2013"/>
    <n v="124009311"/>
    <d v="2013-08-06T00:00:00"/>
    <n v="5966"/>
    <n v="81.73"/>
    <n v="56.67"/>
    <n v="487601.18"/>
    <n v="338093.22"/>
    <n v="149507.96"/>
  </r>
  <r>
    <x v="1"/>
    <s v="Poland"/>
    <s v="Cereal"/>
    <s v="Online"/>
    <s v="C"/>
    <d v="2013-08-09T00:00:00"/>
    <n v="176050603"/>
    <s v="10/28/2013"/>
    <n v="6140"/>
    <n v="205.7"/>
    <n v="117.11"/>
    <n v="1262998"/>
    <n v="719055.4"/>
    <n v="543942.6"/>
  </r>
  <r>
    <x v="1"/>
    <s v="Lithuania"/>
    <s v="Meat"/>
    <s v="Offline"/>
    <s v="C"/>
    <s v="2/20/2010"/>
    <n v="930296790"/>
    <s v="3/26/2010"/>
    <n v="4348"/>
    <n v="421.89"/>
    <n v="364.69"/>
    <n v="1834377.72"/>
    <n v="1585672.12"/>
    <n v="248705.6"/>
  </r>
  <r>
    <x v="5"/>
    <s v="Guinea-Bissau"/>
    <s v="Personal Care"/>
    <s v="Online"/>
    <s v="M"/>
    <d v="2015-06-08T00:00:00"/>
    <n v="963359200"/>
    <s v="8/30/2015"/>
    <n v="8250"/>
    <n v="81.73"/>
    <n v="56.67"/>
    <n v="674272.5"/>
    <n v="467527.5"/>
    <n v="206745"/>
  </r>
  <r>
    <x v="5"/>
    <s v="Ghana"/>
    <s v="Meat"/>
    <s v="Offline"/>
    <s v="L"/>
    <d v="2017-10-06T00:00:00"/>
    <n v="722161662"/>
    <s v="6/29/2017"/>
    <n v="2539"/>
    <n v="421.89"/>
    <n v="364.69"/>
    <n v="1071178.71"/>
    <n v="925947.91"/>
    <n v="145230.79999999999"/>
  </r>
  <r>
    <x v="1"/>
    <s v="Romania"/>
    <s v="Cereal"/>
    <s v="Online"/>
    <s v="L"/>
    <s v="9/14/2011"/>
    <n v="273940503"/>
    <s v="10/19/2011"/>
    <n v="3937"/>
    <n v="205.7"/>
    <n v="117.11"/>
    <n v="809840.9"/>
    <n v="461062.07"/>
    <n v="348778.83"/>
  </r>
  <r>
    <x v="1"/>
    <s v="Greece"/>
    <s v="Fruits"/>
    <s v="Offline"/>
    <s v="C"/>
    <s v="5/28/2014"/>
    <n v="656244552"/>
    <s v="6/19/2014"/>
    <n v="6201"/>
    <n v="9.33"/>
    <n v="6.92"/>
    <n v="57855.33"/>
    <n v="42910.92"/>
    <n v="14944.41"/>
  </r>
  <r>
    <x v="5"/>
    <s v="Namibia"/>
    <s v="Personal Care"/>
    <s v="Offline"/>
    <s v="M"/>
    <d v="2012-03-05T00:00:00"/>
    <n v="726935136"/>
    <s v="6/19/2012"/>
    <n v="5116"/>
    <n v="81.73"/>
    <n v="56.67"/>
    <n v="418130.68"/>
    <n v="289923.71999999997"/>
    <n v="128206.96"/>
  </r>
  <r>
    <x v="0"/>
    <s v="Nicaragua"/>
    <s v="Beverages"/>
    <s v="Online"/>
    <s v="L"/>
    <s v="4/19/2012"/>
    <n v="314186084"/>
    <s v="4/30/2012"/>
    <n v="3499"/>
    <n v="47.45"/>
    <n v="31.79"/>
    <n v="166027.54999999999"/>
    <n v="111233.21"/>
    <n v="54794.34"/>
  </r>
  <r>
    <x v="1"/>
    <s v="Macedonia"/>
    <s v="Household"/>
    <s v="Online"/>
    <s v="C"/>
    <s v="7/28/2014"/>
    <n v="666483724"/>
    <s v="8/31/2014"/>
    <n v="6199"/>
    <n v="668.27"/>
    <n v="502.54"/>
    <n v="4142605.73"/>
    <n v="3115245.46"/>
    <n v="1027360.27"/>
  </r>
  <r>
    <x v="3"/>
    <s v="Saudi Arabia"/>
    <s v="Meat"/>
    <s v="Online"/>
    <s v="C"/>
    <s v="9/19/2016"/>
    <n v="402626883"/>
    <d v="2016-08-10T00:00:00"/>
    <n v="5097"/>
    <n v="421.89"/>
    <n v="364.69"/>
    <n v="2150373.33"/>
    <n v="1858824.93"/>
    <n v="291548.40000000002"/>
  </r>
  <r>
    <x v="2"/>
    <s v="China"/>
    <s v="Clothes"/>
    <s v="Online"/>
    <s v="M"/>
    <s v="5/14/2017"/>
    <n v="461726891"/>
    <s v="6/19/2017"/>
    <n v="4103"/>
    <n v="109.28"/>
    <n v="35.840000000000003"/>
    <n v="448375.84"/>
    <n v="147051.51999999999"/>
    <n v="301324.32"/>
  </r>
  <r>
    <x v="2"/>
    <s v="Sri Lanka"/>
    <s v="Snacks"/>
    <s v="Offline"/>
    <s v="L"/>
    <d v="2012-04-06T00:00:00"/>
    <n v="953207576"/>
    <s v="7/15/2012"/>
    <n v="4159"/>
    <n v="152.58000000000001"/>
    <n v="97.44"/>
    <n v="634580.22"/>
    <n v="405252.96"/>
    <n v="229327.26"/>
  </r>
  <r>
    <x v="5"/>
    <s v="Chad"/>
    <s v="Baby Food"/>
    <s v="Online"/>
    <s v="L"/>
    <d v="2014-04-01T00:00:00"/>
    <n v="706805264"/>
    <d v="2014-07-01T00:00:00"/>
    <n v="8239"/>
    <n v="255.28"/>
    <n v="159.41999999999999"/>
    <n v="2103251.92"/>
    <n v="1313461.3799999999"/>
    <n v="789790.54"/>
  </r>
  <r>
    <x v="1"/>
    <s v="Malta"/>
    <s v="Meat"/>
    <s v="Online"/>
    <s v="H"/>
    <s v="5/15/2016"/>
    <n v="422568786"/>
    <s v="6/17/2016"/>
    <n v="6349"/>
    <n v="421.89"/>
    <n v="364.69"/>
    <n v="2678579.61"/>
    <n v="2315416.81"/>
    <n v="363162.8"/>
  </r>
  <r>
    <x v="5"/>
    <s v="The Gambia"/>
    <s v="Vegetables"/>
    <s v="Offline"/>
    <s v="L"/>
    <s v="10/28/2014"/>
    <n v="420859467"/>
    <s v="10/28/2014"/>
    <n v="524"/>
    <n v="154.06"/>
    <n v="90.93"/>
    <n v="80727.44"/>
    <n v="47647.32"/>
    <n v="33080.120000000003"/>
  </r>
  <r>
    <x v="0"/>
    <s v="Guatemala"/>
    <s v="Personal Care"/>
    <s v="Offline"/>
    <s v="C"/>
    <d v="2017-08-02T00:00:00"/>
    <n v="192351138"/>
    <s v="2/24/2017"/>
    <n v="9831"/>
    <n v="81.73"/>
    <n v="56.67"/>
    <n v="803487.63"/>
    <n v="557122.77"/>
    <n v="246364.86"/>
  </r>
  <r>
    <x v="5"/>
    <s v="Equatorial Guinea"/>
    <s v="Vegetables"/>
    <s v="Online"/>
    <s v="H"/>
    <s v="11/17/2016"/>
    <n v="648030126"/>
    <s v="11/19/2016"/>
    <n v="5370"/>
    <n v="154.06"/>
    <n v="90.93"/>
    <n v="827302.2"/>
    <n v="488294.1"/>
    <n v="339008.1"/>
  </r>
  <r>
    <x v="1"/>
    <s v="Denmark"/>
    <s v="Vegetables"/>
    <s v="Online"/>
    <s v="L"/>
    <s v="8/26/2012"/>
    <n v="969195258"/>
    <s v="9/17/2012"/>
    <n v="5269"/>
    <n v="154.06"/>
    <n v="90.93"/>
    <n v="811742.14"/>
    <n v="479110.17"/>
    <n v="332631.96999999997"/>
  </r>
  <r>
    <x v="1"/>
    <s v="Netherlands"/>
    <s v="Office Supplies"/>
    <s v="Online"/>
    <s v="C"/>
    <s v="7/29/2011"/>
    <n v="857457864"/>
    <s v="9/16/2011"/>
    <n v="9691"/>
    <n v="651.21"/>
    <n v="524.96"/>
    <n v="6310876.1100000003"/>
    <n v="5087387.3600000003"/>
    <n v="1223488.75"/>
  </r>
  <r>
    <x v="6"/>
    <s v="Canada"/>
    <s v="Office Supplies"/>
    <s v="Online"/>
    <s v="M"/>
    <s v="6/29/2010"/>
    <n v="984741771"/>
    <s v="8/13/2010"/>
    <n v="5828"/>
    <n v="651.21"/>
    <n v="524.96"/>
    <n v="3795251.88"/>
    <n v="3059466.88"/>
    <n v="735785"/>
  </r>
  <r>
    <x v="4"/>
    <s v="East Timor"/>
    <s v="Snacks"/>
    <s v="Online"/>
    <s v="H"/>
    <s v="11/26/2014"/>
    <n v="743283307"/>
    <d v="2015-04-01T00:00:00"/>
    <n v="2903"/>
    <n v="152.58000000000001"/>
    <n v="97.44"/>
    <n v="442939.74"/>
    <n v="282868.32"/>
    <n v="160071.42000000001"/>
  </r>
  <r>
    <x v="1"/>
    <s v="Hungary"/>
    <s v="Vegetables"/>
    <s v="Online"/>
    <s v="M"/>
    <d v="2012-05-06T00:00:00"/>
    <n v="495631301"/>
    <s v="7/18/2012"/>
    <n v="7171"/>
    <n v="154.06"/>
    <n v="90.93"/>
    <n v="1104764.26"/>
    <n v="652059.03"/>
    <n v="452705.23"/>
  </r>
  <r>
    <x v="1"/>
    <s v="Slovakia"/>
    <s v="Office Supplies"/>
    <s v="Offline"/>
    <s v="H"/>
    <s v="6/23/2014"/>
    <n v="224647080"/>
    <s v="7/30/2014"/>
    <n v="6918"/>
    <n v="651.21"/>
    <n v="524.96"/>
    <n v="4505070.78"/>
    <n v="3631673.28"/>
    <n v="873397.5"/>
  </r>
  <r>
    <x v="1"/>
    <s v="Armenia"/>
    <s v="Office Supplies"/>
    <s v="Offline"/>
    <s v="H"/>
    <d v="2014-03-08T00:00:00"/>
    <n v="883504474"/>
    <d v="2014-08-09T00:00:00"/>
    <n v="7462"/>
    <n v="651.21"/>
    <n v="524.96"/>
    <n v="4859329.0199999996"/>
    <n v="3917251.52"/>
    <n v="942077.5"/>
  </r>
  <r>
    <x v="5"/>
    <s v="Botswana"/>
    <s v="Clothes"/>
    <s v="Online"/>
    <s v="C"/>
    <d v="2014-09-12T00:00:00"/>
    <n v="345689809"/>
    <s v="12/28/2014"/>
    <n v="6151"/>
    <n v="109.28"/>
    <n v="35.840000000000003"/>
    <n v="672181.28"/>
    <n v="220451.84"/>
    <n v="451729.44"/>
  </r>
  <r>
    <x v="4"/>
    <s v="Federated States of Micronesia"/>
    <s v="Clothes"/>
    <s v="Online"/>
    <s v="M"/>
    <s v="12/26/2014"/>
    <n v="155001914"/>
    <s v="12/30/2014"/>
    <n v="7366"/>
    <n v="109.28"/>
    <n v="35.840000000000003"/>
    <n v="804956.48"/>
    <n v="263997.44"/>
    <n v="540959.04"/>
  </r>
  <r>
    <x v="1"/>
    <s v="Austria"/>
    <s v="Office Supplies"/>
    <s v="Offline"/>
    <s v="C"/>
    <d v="2015-03-04T00:00:00"/>
    <n v="575552117"/>
    <s v="4/26/2015"/>
    <n v="7516"/>
    <n v="651.21"/>
    <n v="524.96"/>
    <n v="4894494.3600000003"/>
    <n v="3945599.36"/>
    <n v="948895"/>
  </r>
  <r>
    <x v="1"/>
    <s v="Andorra"/>
    <s v="Baby Food"/>
    <s v="Offline"/>
    <s v="H"/>
    <s v="7/15/2013"/>
    <n v="141764247"/>
    <s v="8/29/2013"/>
    <n v="46"/>
    <n v="255.28"/>
    <n v="159.41999999999999"/>
    <n v="11742.88"/>
    <n v="7333.32"/>
    <n v="4409.5600000000004"/>
  </r>
  <r>
    <x v="1"/>
    <s v="Italy"/>
    <s v="Vegetables"/>
    <s v="Offline"/>
    <s v="M"/>
    <d v="2016-11-04T00:00:00"/>
    <n v="608374631"/>
    <d v="2016-12-04T00:00:00"/>
    <n v="428"/>
    <n v="154.06"/>
    <n v="90.93"/>
    <n v="65937.679999999993"/>
    <n v="38918.04"/>
    <n v="27019.64"/>
  </r>
  <r>
    <x v="1"/>
    <s v="Portugal"/>
    <s v="Household"/>
    <s v="Online"/>
    <s v="L"/>
    <s v="1/17/2012"/>
    <n v="200432097"/>
    <s v="1/31/2012"/>
    <n v="1167"/>
    <n v="668.27"/>
    <n v="502.54"/>
    <n v="779871.09"/>
    <n v="586464.18000000005"/>
    <n v="193406.91"/>
  </r>
  <r>
    <x v="3"/>
    <s v="United Arab Emirates"/>
    <s v="Household"/>
    <s v="Online"/>
    <s v="L"/>
    <d v="2013-10-03T00:00:00"/>
    <n v="363297975"/>
    <s v="3/27/2013"/>
    <n v="6799"/>
    <n v="668.27"/>
    <n v="502.54"/>
    <n v="4543567.7300000004"/>
    <n v="3416769.46"/>
    <n v="1126798.27"/>
  </r>
  <r>
    <x v="4"/>
    <s v="Australia"/>
    <s v="Cosmetics"/>
    <s v="Offline"/>
    <s v="L"/>
    <s v="3/16/2014"/>
    <n v="812646090"/>
    <s v="4/17/2014"/>
    <n v="8892"/>
    <n v="437.2"/>
    <n v="263.33"/>
    <n v="3887582.4"/>
    <n v="2341530.36"/>
    <n v="1546052.04"/>
  </r>
  <r>
    <x v="1"/>
    <s v="Romania"/>
    <s v="Snacks"/>
    <s v="Offline"/>
    <s v="M"/>
    <s v="8/21/2010"/>
    <n v="884462773"/>
    <d v="2010-05-10T00:00:00"/>
    <n v="1044"/>
    <n v="152.58000000000001"/>
    <n v="97.44"/>
    <n v="159293.51999999999"/>
    <n v="101727.36"/>
    <n v="57566.16"/>
  </r>
  <r>
    <x v="1"/>
    <s v="Czech Republic"/>
    <s v="Office Supplies"/>
    <s v="Offline"/>
    <s v="M"/>
    <s v="6/19/2010"/>
    <n v="885046851"/>
    <s v="7/19/2010"/>
    <n v="3886"/>
    <n v="651.21"/>
    <n v="524.96"/>
    <n v="2530602.06"/>
    <n v="2039994.56"/>
    <n v="490607.5"/>
  </r>
  <r>
    <x v="5"/>
    <s v="Mali"/>
    <s v="Vegetables"/>
    <s v="Offline"/>
    <s v="L"/>
    <s v="2/25/2015"/>
    <n v="741009652"/>
    <s v="3/21/2015"/>
    <n v="78"/>
    <n v="154.06"/>
    <n v="90.93"/>
    <n v="12016.68"/>
    <n v="7092.54"/>
    <n v="4924.1400000000003"/>
  </r>
  <r>
    <x v="0"/>
    <s v="Guatemala"/>
    <s v="Fruits"/>
    <s v="Online"/>
    <s v="M"/>
    <s v="11/18/2015"/>
    <n v="449275004"/>
    <s v="11/21/2015"/>
    <n v="9313"/>
    <n v="9.33"/>
    <n v="6.92"/>
    <n v="86890.29"/>
    <n v="64445.96"/>
    <n v="22444.33"/>
  </r>
  <r>
    <x v="1"/>
    <s v="Czech Republic"/>
    <s v="Vegetables"/>
    <s v="Online"/>
    <s v="M"/>
    <s v="6/14/2012"/>
    <n v="527079236"/>
    <s v="6/20/2012"/>
    <n v="3314"/>
    <n v="154.06"/>
    <n v="90.93"/>
    <n v="510554.84"/>
    <n v="301342.02"/>
    <n v="209212.82"/>
  </r>
  <r>
    <x v="4"/>
    <s v="Marshall Islands"/>
    <s v="Cosmetics"/>
    <s v="Offline"/>
    <s v="L"/>
    <d v="2017-09-02T00:00:00"/>
    <n v="661971175"/>
    <s v="2/18/2017"/>
    <n v="836"/>
    <n v="437.2"/>
    <n v="263.33"/>
    <n v="365499.2"/>
    <n v="220143.88"/>
    <n v="145355.32"/>
  </r>
  <r>
    <x v="1"/>
    <s v="Denmark"/>
    <s v="Clothes"/>
    <s v="Online"/>
    <s v="C"/>
    <d v="2012-09-11T00:00:00"/>
    <n v="161812150"/>
    <d v="2012-12-11T00:00:00"/>
    <n v="2666"/>
    <n v="109.28"/>
    <n v="35.840000000000003"/>
    <n v="291340.48"/>
    <n v="95549.440000000002"/>
    <n v="195791.04"/>
  </r>
  <r>
    <x v="5"/>
    <s v="Gabon"/>
    <s v="Office Supplies"/>
    <s v="Online"/>
    <s v="L"/>
    <d v="2010-12-04T00:00:00"/>
    <n v="204775989"/>
    <s v="4/29/2010"/>
    <n v="6620"/>
    <n v="651.21"/>
    <n v="524.96"/>
    <n v="4311010.2"/>
    <n v="3475235.2"/>
    <n v="835775"/>
  </r>
  <r>
    <x v="1"/>
    <s v="Hungary"/>
    <s v="Cosmetics"/>
    <s v="Offline"/>
    <s v="H"/>
    <d v="2013-10-06T00:00:00"/>
    <n v="689349019"/>
    <s v="7/23/2013"/>
    <n v="2548"/>
    <n v="437.2"/>
    <n v="263.33"/>
    <n v="1113985.6000000001"/>
    <n v="670964.84"/>
    <n v="443020.76"/>
  </r>
  <r>
    <x v="5"/>
    <s v="Democratic Republic of the Congo"/>
    <s v="Cosmetics"/>
    <s v="Offline"/>
    <s v="H"/>
    <s v="2/15/2016"/>
    <n v="684330070"/>
    <s v="2/25/2016"/>
    <n v="7330"/>
    <n v="437.2"/>
    <n v="263.33"/>
    <n v="3204676"/>
    <n v="1930208.9"/>
    <n v="1274467.1000000001"/>
  </r>
  <r>
    <x v="3"/>
    <s v="Syria"/>
    <s v="Cereal"/>
    <s v="Online"/>
    <s v="M"/>
    <d v="2013-02-03T00:00:00"/>
    <n v="678830468"/>
    <s v="3/15/2013"/>
    <n v="9876"/>
    <n v="205.7"/>
    <n v="117.11"/>
    <n v="2031493.2"/>
    <n v="1156578.3600000001"/>
    <n v="874914.84"/>
  </r>
  <r>
    <x v="5"/>
    <s v="Ghana"/>
    <s v="Baby Food"/>
    <s v="Offline"/>
    <s v="H"/>
    <d v="2011-03-11T00:00:00"/>
    <n v="332274043"/>
    <d v="2011-05-12T00:00:00"/>
    <n v="6128"/>
    <n v="255.28"/>
    <n v="159.41999999999999"/>
    <n v="1564355.84"/>
    <n v="976925.76"/>
    <n v="587430.07999999996"/>
  </r>
  <r>
    <x v="2"/>
    <s v="Bhutan"/>
    <s v="Personal Care"/>
    <s v="Online"/>
    <s v="M"/>
    <s v="11/23/2012"/>
    <n v="724397122"/>
    <d v="2012-07-12T00:00:00"/>
    <n v="4061"/>
    <n v="81.73"/>
    <n v="56.67"/>
    <n v="331905.53000000003"/>
    <n v="230136.87"/>
    <n v="101768.66"/>
  </r>
  <r>
    <x v="2"/>
    <s v="Laos"/>
    <s v="Personal Care"/>
    <s v="Online"/>
    <s v="H"/>
    <s v="5/16/2014"/>
    <n v="305248534"/>
    <s v="6/26/2014"/>
    <n v="8679"/>
    <n v="81.73"/>
    <n v="56.67"/>
    <n v="709334.67"/>
    <n v="491838.93"/>
    <n v="217495.74"/>
  </r>
  <r>
    <x v="4"/>
    <s v="Nauru"/>
    <s v="Meat"/>
    <s v="Offline"/>
    <s v="M"/>
    <s v="5/17/2015"/>
    <n v="745189607"/>
    <s v="5/26/2015"/>
    <n v="7019"/>
    <n v="421.89"/>
    <n v="364.69"/>
    <n v="2961245.91"/>
    <n v="2559759.11"/>
    <n v="401486.8"/>
  </r>
  <r>
    <x v="2"/>
    <s v="Kazakhstan"/>
    <s v="Cereal"/>
    <s v="Offline"/>
    <s v="H"/>
    <d v="2012-11-04T00:00:00"/>
    <n v="184894168"/>
    <s v="4/16/2012"/>
    <n v="3148"/>
    <n v="205.7"/>
    <n v="117.11"/>
    <n v="647543.6"/>
    <n v="368662.28"/>
    <n v="278881.32"/>
  </r>
  <r>
    <x v="0"/>
    <s v="Panama"/>
    <s v="Household"/>
    <s v="Online"/>
    <s v="C"/>
    <d v="2010-06-02T00:00:00"/>
    <n v="885348546"/>
    <d v="2010-04-03T00:00:00"/>
    <n v="3164"/>
    <n v="668.27"/>
    <n v="502.54"/>
    <n v="2114406.2799999998"/>
    <n v="1590036.56"/>
    <n v="524369.72"/>
  </r>
  <r>
    <x v="1"/>
    <s v="Italy"/>
    <s v="Household"/>
    <s v="Offline"/>
    <s v="M"/>
    <s v="2/22/2011"/>
    <n v="677851569"/>
    <d v="2011-02-03T00:00:00"/>
    <n v="198"/>
    <n v="668.27"/>
    <n v="502.54"/>
    <n v="132317.46"/>
    <n v="99502.92"/>
    <n v="32814.54"/>
  </r>
  <r>
    <x v="5"/>
    <s v="Senegal"/>
    <s v="Vegetables"/>
    <s v="Online"/>
    <s v="L"/>
    <d v="2011-11-03T00:00:00"/>
    <n v="614014565"/>
    <s v="3/13/2011"/>
    <n v="9410"/>
    <n v="154.06"/>
    <n v="90.93"/>
    <n v="1449704.6"/>
    <n v="855651.3"/>
    <n v="594053.30000000005"/>
  </r>
  <r>
    <x v="2"/>
    <s v="Bangladesh"/>
    <s v="Baby Food"/>
    <s v="Online"/>
    <s v="C"/>
    <s v="11/19/2010"/>
    <n v="915761363"/>
    <d v="2011-03-01T00:00:00"/>
    <n v="2992"/>
    <n v="255.28"/>
    <n v="159.41999999999999"/>
    <n v="763797.76"/>
    <n v="476984.64"/>
    <n v="286813.12"/>
  </r>
  <r>
    <x v="5"/>
    <s v="Benin"/>
    <s v="Clothes"/>
    <s v="Online"/>
    <s v="H"/>
    <d v="2011-04-12T00:00:00"/>
    <n v="525328290"/>
    <d v="2012-11-01T00:00:00"/>
    <n v="5170"/>
    <n v="109.28"/>
    <n v="35.840000000000003"/>
    <n v="564977.6"/>
    <n v="185292.79999999999"/>
    <n v="379684.8"/>
  </r>
  <r>
    <x v="2"/>
    <s v="Mongolia"/>
    <s v="Household"/>
    <s v="Offline"/>
    <s v="M"/>
    <s v="4/19/2013"/>
    <n v="255264174"/>
    <d v="2013-10-05T00:00:00"/>
    <n v="7197"/>
    <n v="668.27"/>
    <n v="502.54"/>
    <n v="4809539.1900000004"/>
    <n v="3616780.38"/>
    <n v="1192758.81"/>
  </r>
  <r>
    <x v="1"/>
    <s v="Hungary"/>
    <s v="Clothes"/>
    <s v="Offline"/>
    <s v="H"/>
    <s v="1/21/2015"/>
    <n v="538430345"/>
    <d v="2015-10-03T00:00:00"/>
    <n v="2359"/>
    <n v="109.28"/>
    <n v="35.840000000000003"/>
    <n v="257791.52"/>
    <n v="84546.559999999998"/>
    <n v="173244.96"/>
  </r>
  <r>
    <x v="2"/>
    <s v="Kazakhstan"/>
    <s v="Beverages"/>
    <s v="Online"/>
    <s v="C"/>
    <d v="2014-09-07T00:00:00"/>
    <n v="978000628"/>
    <s v="7/16/2014"/>
    <n v="974"/>
    <n v="47.45"/>
    <n v="31.79"/>
    <n v="46216.3"/>
    <n v="30963.46"/>
    <n v="15252.84"/>
  </r>
  <r>
    <x v="1"/>
    <s v="Switzerland"/>
    <s v="Beverages"/>
    <s v="Online"/>
    <s v="H"/>
    <s v="1/30/2010"/>
    <n v="797461354"/>
    <d v="2010-05-02T00:00:00"/>
    <n v="5391"/>
    <n v="47.45"/>
    <n v="31.79"/>
    <n v="255802.95"/>
    <n v="171379.89"/>
    <n v="84423.06"/>
  </r>
  <r>
    <x v="0"/>
    <s v="Barbados"/>
    <s v="Clothes"/>
    <s v="Offline"/>
    <s v="C"/>
    <s v="7/23/2012"/>
    <n v="190611350"/>
    <s v="8/29/2012"/>
    <n v="4989"/>
    <n v="109.28"/>
    <n v="35.840000000000003"/>
    <n v="545197.92000000004"/>
    <n v="178805.76000000001"/>
    <n v="366392.16"/>
  </r>
  <r>
    <x v="5"/>
    <s v="Tanzania"/>
    <s v="Snacks"/>
    <s v="Online"/>
    <s v="M"/>
    <d v="2011-11-02T00:00:00"/>
    <n v="771561944"/>
    <s v="2/15/2011"/>
    <n v="1180"/>
    <n v="152.58000000000001"/>
    <n v="97.44"/>
    <n v="180044.4"/>
    <n v="114979.2"/>
    <n v="65065.2"/>
  </r>
  <r>
    <x v="0"/>
    <s v="Belize"/>
    <s v="Baby Food"/>
    <s v="Online"/>
    <s v="L"/>
    <s v="11/26/2014"/>
    <n v="624736964"/>
    <s v="11/28/2014"/>
    <n v="2406"/>
    <n v="255.28"/>
    <n v="159.41999999999999"/>
    <n v="614203.68000000005"/>
    <n v="383564.52"/>
    <n v="230639.16"/>
  </r>
  <r>
    <x v="0"/>
    <s v="Barbados"/>
    <s v="Personal Care"/>
    <s v="Online"/>
    <s v="H"/>
    <d v="2011-09-06T00:00:00"/>
    <n v="154872739"/>
    <s v="7/20/2011"/>
    <n v="9140"/>
    <n v="81.73"/>
    <n v="56.67"/>
    <n v="747012.2"/>
    <n v="517963.8"/>
    <n v="229048.4"/>
  </r>
  <r>
    <x v="3"/>
    <s v="Somalia"/>
    <s v="Cosmetics"/>
    <s v="Online"/>
    <s v="H"/>
    <s v="10/14/2015"/>
    <n v="737018096"/>
    <s v="10/27/2015"/>
    <n v="8888"/>
    <n v="437.2"/>
    <n v="263.33"/>
    <n v="3885833.6"/>
    <n v="2340477.04"/>
    <n v="1545356.56"/>
  </r>
  <r>
    <x v="5"/>
    <s v="Niger"/>
    <s v="Baby Food"/>
    <s v="Offline"/>
    <s v="C"/>
    <s v="10/19/2013"/>
    <n v="666534364"/>
    <s v="11/18/2013"/>
    <n v="1185"/>
    <n v="255.28"/>
    <n v="159.41999999999999"/>
    <n v="302506.8"/>
    <n v="188912.7"/>
    <n v="113594.1"/>
  </r>
  <r>
    <x v="4"/>
    <s v="Tuvalu"/>
    <s v="Personal Care"/>
    <s v="Offline"/>
    <s v="C"/>
    <s v="4/30/2011"/>
    <n v="109095370"/>
    <d v="2011-06-06T00:00:00"/>
    <n v="2599"/>
    <n v="81.73"/>
    <n v="56.67"/>
    <n v="212416.27"/>
    <n v="147285.32999999999"/>
    <n v="65130.94"/>
  </r>
  <r>
    <x v="3"/>
    <s v="Syria"/>
    <s v="Snacks"/>
    <s v="Offline"/>
    <s v="M"/>
    <d v="2015-11-04T00:00:00"/>
    <n v="650687444"/>
    <s v="5/28/2015"/>
    <n v="1729"/>
    <n v="152.58000000000001"/>
    <n v="97.44"/>
    <n v="263810.82"/>
    <n v="168473.76"/>
    <n v="95337.06"/>
  </r>
  <r>
    <x v="1"/>
    <s v="Switzerland"/>
    <s v="Cosmetics"/>
    <s v="Offline"/>
    <s v="C"/>
    <d v="2014-10-09T00:00:00"/>
    <n v="347609412"/>
    <s v="9/17/2014"/>
    <n v="4205"/>
    <n v="437.2"/>
    <n v="263.33"/>
    <n v="1838426"/>
    <n v="1107302.6499999999"/>
    <n v="731123.35"/>
  </r>
  <r>
    <x v="0"/>
    <s v="Grenada"/>
    <s v="Office Supplies"/>
    <s v="Offline"/>
    <s v="C"/>
    <s v="10/30/2014"/>
    <n v="476472604"/>
    <d v="2014-01-12T00:00:00"/>
    <n v="7687"/>
    <n v="651.21"/>
    <n v="524.96"/>
    <n v="5005851.2699999996"/>
    <n v="4035367.52"/>
    <n v="970483.75"/>
  </r>
  <r>
    <x v="5"/>
    <s v="Republic of the Congo"/>
    <s v="Clothes"/>
    <s v="Online"/>
    <s v="C"/>
    <s v="8/25/2010"/>
    <n v="584200847"/>
    <s v="9/13/2010"/>
    <n v="6868"/>
    <n v="109.28"/>
    <n v="35.840000000000003"/>
    <n v="750535.04"/>
    <n v="246149.12"/>
    <n v="504385.92"/>
  </r>
  <r>
    <x v="4"/>
    <s v="Nauru"/>
    <s v="Beverages"/>
    <s v="Offline"/>
    <s v="M"/>
    <s v="4/27/2013"/>
    <n v="738030469"/>
    <s v="5/31/2013"/>
    <n v="8471"/>
    <n v="47.45"/>
    <n v="31.79"/>
    <n v="401948.95"/>
    <n v="269293.09000000003"/>
    <n v="132655.85999999999"/>
  </r>
  <r>
    <x v="5"/>
    <s v="Lesotho"/>
    <s v="Snacks"/>
    <s v="Online"/>
    <s v="H"/>
    <s v="2/23/2016"/>
    <n v="175510299"/>
    <s v="3/23/2016"/>
    <n v="6252"/>
    <n v="152.58000000000001"/>
    <n v="97.44"/>
    <n v="953930.16"/>
    <n v="609194.88"/>
    <n v="344735.28"/>
  </r>
  <r>
    <x v="0"/>
    <s v="El Salvador"/>
    <s v="Fruits"/>
    <s v="Offline"/>
    <s v="M"/>
    <s v="6/30/2013"/>
    <n v="454501664"/>
    <s v="7/18/2013"/>
    <n v="5997"/>
    <n v="9.33"/>
    <n v="6.92"/>
    <n v="55952.01"/>
    <n v="41499.24"/>
    <n v="14452.77"/>
  </r>
  <r>
    <x v="3"/>
    <s v="Afghanistan"/>
    <s v="Snacks"/>
    <s v="Offline"/>
    <s v="M"/>
    <s v="2/29/2012"/>
    <n v="503178393"/>
    <d v="2012-06-03T00:00:00"/>
    <n v="523"/>
    <n v="152.58000000000001"/>
    <n v="97.44"/>
    <n v="79799.34"/>
    <n v="50961.120000000003"/>
    <n v="28838.22"/>
  </r>
  <r>
    <x v="2"/>
    <s v="Myanmar"/>
    <s v="Baby Food"/>
    <s v="Online"/>
    <s v="M"/>
    <d v="2012-06-06T00:00:00"/>
    <n v="670026814"/>
    <s v="6/15/2012"/>
    <n v="4679"/>
    <n v="255.28"/>
    <n v="159.41999999999999"/>
    <n v="1194455.1200000001"/>
    <n v="745926.18"/>
    <n v="448528.94"/>
  </r>
  <r>
    <x v="1"/>
    <s v="Russia"/>
    <s v="Personal Care"/>
    <s v="Offline"/>
    <s v="H"/>
    <d v="2011-12-11T00:00:00"/>
    <n v="473845756"/>
    <s v="12/16/2011"/>
    <n v="344"/>
    <n v="81.73"/>
    <n v="56.67"/>
    <n v="28115.119999999999"/>
    <n v="19494.48"/>
    <n v="8620.64"/>
  </r>
  <r>
    <x v="3"/>
    <s v="Qatar"/>
    <s v="Clothes"/>
    <s v="Online"/>
    <s v="L"/>
    <s v="8/29/2016"/>
    <n v="853746545"/>
    <s v="10/15/2016"/>
    <n v="1430"/>
    <n v="109.28"/>
    <n v="35.840000000000003"/>
    <n v="156270.39999999999"/>
    <n v="51251.199999999997"/>
    <n v="105019.2"/>
  </r>
  <r>
    <x v="5"/>
    <s v="Cameroon"/>
    <s v="Beverages"/>
    <s v="Offline"/>
    <s v="L"/>
    <s v="2/27/2015"/>
    <n v="119153010"/>
    <d v="2015-05-03T00:00:00"/>
    <n v="8878"/>
    <n v="47.45"/>
    <n v="31.79"/>
    <n v="421261.1"/>
    <n v="282231.62"/>
    <n v="139029.48000000001"/>
  </r>
  <r>
    <x v="2"/>
    <s v="Malaysia"/>
    <s v="Office Supplies"/>
    <s v="Offline"/>
    <s v="L"/>
    <s v="11/25/2011"/>
    <n v="699801480"/>
    <s v="12/26/2011"/>
    <n v="5664"/>
    <n v="651.21"/>
    <n v="524.96"/>
    <n v="3688453.44"/>
    <n v="2973373.44"/>
    <n v="715080"/>
  </r>
  <r>
    <x v="4"/>
    <s v="Samoa "/>
    <s v="Meat"/>
    <s v="Online"/>
    <s v="C"/>
    <d v="2016-12-04T00:00:00"/>
    <n v="595740783"/>
    <s v="5/13/2016"/>
    <n v="1791"/>
    <n v="421.89"/>
    <n v="364.69"/>
    <n v="755604.99"/>
    <n v="653159.79"/>
    <n v="102445.2"/>
  </r>
  <r>
    <x v="5"/>
    <s v="Zambia"/>
    <s v="Cereal"/>
    <s v="Online"/>
    <s v="M"/>
    <s v="1/16/2016"/>
    <n v="127332246"/>
    <d v="2016-11-02T00:00:00"/>
    <n v="9296"/>
    <n v="205.7"/>
    <n v="117.11"/>
    <n v="1912187.2"/>
    <n v="1088654.56"/>
    <n v="823532.64"/>
  </r>
  <r>
    <x v="5"/>
    <s v="Gabon"/>
    <s v="Office Supplies"/>
    <s v="Online"/>
    <s v="M"/>
    <d v="2011-09-05T00:00:00"/>
    <n v="585249698"/>
    <d v="2011-05-06T00:00:00"/>
    <n v="7246"/>
    <n v="651.21"/>
    <n v="524.96"/>
    <n v="4718667.66"/>
    <n v="3803860.16"/>
    <n v="914807.5"/>
  </r>
  <r>
    <x v="1"/>
    <s v="Belarus"/>
    <s v="Vegetables"/>
    <s v="Online"/>
    <s v="C"/>
    <d v="2011-05-01T00:00:00"/>
    <n v="180479466"/>
    <d v="2011-12-01T00:00:00"/>
    <n v="6740"/>
    <n v="154.06"/>
    <n v="90.93"/>
    <n v="1038364.4"/>
    <n v="612868.19999999995"/>
    <n v="425496.2"/>
  </r>
  <r>
    <x v="5"/>
    <s v="Chad"/>
    <s v="Snacks"/>
    <s v="Offline"/>
    <s v="M"/>
    <s v="7/16/2013"/>
    <n v="794320380"/>
    <d v="2013-12-08T00:00:00"/>
    <n v="5907"/>
    <n v="152.58000000000001"/>
    <n v="97.44"/>
    <n v="901290.06"/>
    <n v="575578.07999999996"/>
    <n v="325711.98"/>
  </r>
  <r>
    <x v="2"/>
    <s v="Indonesia"/>
    <s v="Personal Care"/>
    <s v="Offline"/>
    <s v="L"/>
    <d v="2010-05-12T00:00:00"/>
    <n v="328383767"/>
    <s v="12/18/2010"/>
    <n v="4909"/>
    <n v="81.73"/>
    <n v="56.67"/>
    <n v="401212.57"/>
    <n v="278193.03000000003"/>
    <n v="123019.54"/>
  </r>
  <r>
    <x v="5"/>
    <s v="Eritrea"/>
    <s v="Office Supplies"/>
    <s v="Online"/>
    <s v="H"/>
    <d v="2015-07-03T00:00:00"/>
    <n v="354593455"/>
    <d v="2015-03-04T00:00:00"/>
    <n v="938"/>
    <n v="651.21"/>
    <n v="524.96"/>
    <n v="610834.98"/>
    <n v="492412.48"/>
    <n v="118422.5"/>
  </r>
  <r>
    <x v="3"/>
    <s v="Iran"/>
    <s v="Beverages"/>
    <s v="Offline"/>
    <s v="H"/>
    <s v="8/21/2016"/>
    <n v="265185773"/>
    <d v="2016-05-10T00:00:00"/>
    <n v="3218"/>
    <n v="47.45"/>
    <n v="31.79"/>
    <n v="152694.1"/>
    <n v="102300.22"/>
    <n v="50393.88"/>
  </r>
  <r>
    <x v="2"/>
    <s v="South Korea"/>
    <s v="Clothes"/>
    <s v="Online"/>
    <s v="M"/>
    <d v="2010-03-07T00:00:00"/>
    <n v="422709548"/>
    <d v="2010-04-08T00:00:00"/>
    <n v="8004"/>
    <n v="109.28"/>
    <n v="35.840000000000003"/>
    <n v="874677.12"/>
    <n v="286863.35999999999"/>
    <n v="587813.76"/>
  </r>
  <r>
    <x v="2"/>
    <s v="Cambodia"/>
    <s v="Vegetables"/>
    <s v="Offline"/>
    <s v="L"/>
    <d v="2015-03-10T00:00:00"/>
    <n v="810026109"/>
    <s v="10/18/2015"/>
    <n v="3581"/>
    <n v="154.06"/>
    <n v="90.93"/>
    <n v="551688.86"/>
    <n v="325620.33"/>
    <n v="226068.53"/>
  </r>
  <r>
    <x v="2"/>
    <s v="Laos"/>
    <s v="Cosmetics"/>
    <s v="Offline"/>
    <s v="L"/>
    <s v="10/13/2010"/>
    <n v="580309283"/>
    <s v="10/25/2010"/>
    <n v="5268"/>
    <n v="437.2"/>
    <n v="263.33"/>
    <n v="2303169.6"/>
    <n v="1387222.44"/>
    <n v="915947.16"/>
  </r>
  <r>
    <x v="2"/>
    <s v="Sri Lanka"/>
    <s v="Office Supplies"/>
    <s v="Online"/>
    <s v="C"/>
    <d v="2012-01-12T00:00:00"/>
    <n v="307045400"/>
    <d v="2012-02-12T00:00:00"/>
    <n v="412"/>
    <n v="651.21"/>
    <n v="524.96"/>
    <n v="268298.52"/>
    <n v="216283.51999999999"/>
    <n v="52015"/>
  </r>
  <r>
    <x v="1"/>
    <s v="Norway"/>
    <s v="Personal Care"/>
    <s v="Offline"/>
    <s v="M"/>
    <s v="1/14/2014"/>
    <n v="634033286"/>
    <s v="1/15/2014"/>
    <n v="3394"/>
    <n v="81.73"/>
    <n v="56.67"/>
    <n v="277391.62"/>
    <n v="192337.98"/>
    <n v="85053.64"/>
  </r>
  <r>
    <x v="3"/>
    <s v="United Arab Emirates"/>
    <s v="Household"/>
    <s v="Online"/>
    <s v="H"/>
    <s v="8/31/2014"/>
    <n v="925384271"/>
    <d v="2014-12-10T00:00:00"/>
    <n v="625"/>
    <n v="668.27"/>
    <n v="502.54"/>
    <n v="417668.75"/>
    <n v="314087.5"/>
    <n v="103581.25"/>
  </r>
  <r>
    <x v="2"/>
    <s v="Thailand"/>
    <s v="Snacks"/>
    <s v="Online"/>
    <s v="C"/>
    <d v="2012-08-08T00:00:00"/>
    <n v="615522181"/>
    <s v="9/20/2012"/>
    <n v="5547"/>
    <n v="152.58000000000001"/>
    <n v="97.44"/>
    <n v="846361.26"/>
    <n v="540499.68000000005"/>
    <n v="305861.58"/>
  </r>
  <r>
    <x v="1"/>
    <s v="Ukraine"/>
    <s v="Cereal"/>
    <s v="Offline"/>
    <s v="L"/>
    <s v="4/14/2014"/>
    <n v="559183347"/>
    <s v="5/21/2014"/>
    <n v="3633"/>
    <n v="205.7"/>
    <n v="117.11"/>
    <n v="747308.1"/>
    <n v="425460.63"/>
    <n v="321847.46999999997"/>
  </r>
  <r>
    <x v="1"/>
    <s v="Armenia"/>
    <s v="Meat"/>
    <s v="Offline"/>
    <s v="M"/>
    <d v="2015-09-11T00:00:00"/>
    <n v="781416594"/>
    <s v="12/23/2015"/>
    <n v="7390"/>
    <n v="421.89"/>
    <n v="364.69"/>
    <n v="3117767.1"/>
    <n v="2695059.1"/>
    <n v="422708"/>
  </r>
  <r>
    <x v="3"/>
    <s v="Iran"/>
    <s v="Clothes"/>
    <s v="Offline"/>
    <s v="L"/>
    <d v="2014-11-07T00:00:00"/>
    <n v="927583253"/>
    <s v="8/30/2014"/>
    <n v="1352"/>
    <n v="109.28"/>
    <n v="35.840000000000003"/>
    <n v="147746.56"/>
    <n v="48455.68"/>
    <n v="99290.880000000005"/>
  </r>
  <r>
    <x v="1"/>
    <s v="Denmark"/>
    <s v="Clothes"/>
    <s v="Offline"/>
    <s v="H"/>
    <d v="2012-09-05T00:00:00"/>
    <n v="713357150"/>
    <d v="2012-03-06T00:00:00"/>
    <n v="7088"/>
    <n v="109.28"/>
    <n v="35.840000000000003"/>
    <n v="774576.64000000001"/>
    <n v="254033.92000000001"/>
    <n v="520542.71999999997"/>
  </r>
  <r>
    <x v="5"/>
    <s v="Liberia"/>
    <s v="Cosmetics"/>
    <s v="Offline"/>
    <s v="M"/>
    <s v="6/17/2012"/>
    <n v="374724614"/>
    <s v="6/23/2012"/>
    <n v="8195"/>
    <n v="437.2"/>
    <n v="263.33"/>
    <n v="3582854"/>
    <n v="2157989.35"/>
    <n v="1424864.65"/>
  </r>
  <r>
    <x v="4"/>
    <s v="New Zealand"/>
    <s v="Household"/>
    <s v="Offline"/>
    <s v="C"/>
    <d v="2015-03-04T00:00:00"/>
    <n v="217984473"/>
    <s v="4/20/2015"/>
    <n v="5305"/>
    <n v="668.27"/>
    <n v="502.54"/>
    <n v="3545172.35"/>
    <n v="2665974.7000000002"/>
    <n v="879197.65"/>
  </r>
  <r>
    <x v="3"/>
    <s v="Azerbaijan"/>
    <s v="Clothes"/>
    <s v="Offline"/>
    <s v="L"/>
    <s v="8/17/2014"/>
    <n v="169748055"/>
    <d v="2014-02-10T00:00:00"/>
    <n v="1077"/>
    <n v="109.28"/>
    <n v="35.840000000000003"/>
    <n v="117694.56"/>
    <n v="38599.68"/>
    <n v="79094.880000000005"/>
  </r>
  <r>
    <x v="2"/>
    <s v="Myanmar"/>
    <s v="Baby Food"/>
    <s v="Offline"/>
    <s v="H"/>
    <s v="11/23/2016"/>
    <n v="226939189"/>
    <d v="2016-10-12T00:00:00"/>
    <n v="5204"/>
    <n v="255.28"/>
    <n v="159.41999999999999"/>
    <n v="1328477.1200000001"/>
    <n v="829621.68"/>
    <n v="498855.44"/>
  </r>
  <r>
    <x v="1"/>
    <s v="Finland"/>
    <s v="Clothes"/>
    <s v="Online"/>
    <s v="L"/>
    <s v="4/22/2014"/>
    <n v="906794202"/>
    <d v="2014-11-05T00:00:00"/>
    <n v="9410"/>
    <n v="109.28"/>
    <n v="35.840000000000003"/>
    <n v="1028324.8"/>
    <n v="337254.40000000002"/>
    <n v="691070.4"/>
  </r>
  <r>
    <x v="5"/>
    <s v="Tanzania"/>
    <s v="Vegetables"/>
    <s v="Online"/>
    <s v="L"/>
    <d v="2011-08-07T00:00:00"/>
    <n v="996861922"/>
    <d v="2011-07-08T00:00:00"/>
    <n v="2450"/>
    <n v="154.06"/>
    <n v="90.93"/>
    <n v="377447"/>
    <n v="222778.5"/>
    <n v="154668.5"/>
  </r>
  <r>
    <x v="7"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EFDB60-44A5-49D0-9BE4-4A0F1EDFFA97}" name="PivotTable10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O1:O10" firstHeaderRow="1" firstDataRow="1" firstDataCol="1"/>
  <pivotFields count="14">
    <pivotField axis="axisRow" showAll="0">
      <items count="9">
        <item x="2"/>
        <item x="4"/>
        <item x="0"/>
        <item x="1"/>
        <item x="3"/>
        <item x="6"/>
        <item x="5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3B565E-03A7-45BF-8E02-5D148E6BC366}" name="PivotTable3" cacheId="7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7:C32" firstHeaderRow="0" firstDataRow="1" firstDataCol="1"/>
  <pivotFields count="3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Account ID" fld="2" subtotal="count" baseField="0" baseItem="0"/>
    <dataField name="Sum of Doses" fld="1" baseField="0" baseItem="0"/>
  </dataFields>
  <pivotHierarchies count="7"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 Set for Que 5 to 7!$A$1:$C$27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73252D-7CA9-4FD7-A124-A2B08B20A038}" name="PivotTable2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9:C24" firstHeaderRow="0" firstDataRow="1" firstDataCol="1"/>
  <pivotFields count="3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Doses" fld="1" baseField="0" baseItem="0"/>
    <dataField name="Count of Account ID" fld="2" subtotal="count" baseField="0" baseItem="0"/>
  </dataFields>
  <pivotHierarchies count="7"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 Set for Que 5 to 7!$A$1:$C$27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111064-375A-4B73-BFC1-ECFC2A25C536}" name="PivotTable1" cacheId="4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0:B15" firstHeaderRow="1" firstDataRow="1" firstDataCol="1"/>
  <pivotFields count="2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Doses" fld="1" baseField="0" baseItem="0"/>
  </dataFields>
  <pivotHierarchies count="7"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 Set for Que 5 to 7!$A$1:$C$27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Sanofi (Optimized)">
      <a:dk1>
        <a:sysClr val="windowText" lastClr="000000"/>
      </a:dk1>
      <a:lt1>
        <a:sysClr val="window" lastClr="FFFFFF"/>
      </a:lt1>
      <a:dk2>
        <a:srgbClr val="F4F2F6"/>
      </a:dk2>
      <a:lt2>
        <a:srgbClr val="F5F5F5"/>
      </a:lt2>
      <a:accent1>
        <a:srgbClr val="23004C"/>
      </a:accent1>
      <a:accent2>
        <a:srgbClr val="7A00E6"/>
      </a:accent2>
      <a:accent3>
        <a:srgbClr val="268500"/>
      </a:accent3>
      <a:accent4>
        <a:srgbClr val="DA3A16"/>
      </a:accent4>
      <a:accent5>
        <a:srgbClr val="D515B9"/>
      </a:accent5>
      <a:accent6>
        <a:srgbClr val="007FAD"/>
      </a:accent6>
      <a:hlink>
        <a:srgbClr val="7A00E6"/>
      </a:hlink>
      <a:folHlink>
        <a:srgbClr val="23004C"/>
      </a:folHlink>
    </a:clrScheme>
    <a:fontScheme name="Sanofi">
      <a:majorFont>
        <a:latin typeface="Verdana"/>
        <a:ea typeface=""/>
        <a:cs typeface=""/>
      </a:majorFont>
      <a:minorFont>
        <a:latin typeface="Verdana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AD2D9-529A-4005-90A2-114ECA20D55F}">
  <dimension ref="A1:O5001"/>
  <sheetViews>
    <sheetView workbookViewId="0">
      <selection activeCell="O1" sqref="O1"/>
    </sheetView>
  </sheetViews>
  <sheetFormatPr defaultRowHeight="13.5" x14ac:dyDescent="0.25"/>
  <cols>
    <col min="1" max="1" width="30.35546875" customWidth="1"/>
    <col min="2" max="2" width="29.35546875" customWidth="1"/>
    <col min="3" max="3" width="13.2109375" customWidth="1"/>
    <col min="4" max="4" width="12.28515625" customWidth="1"/>
    <col min="5" max="5" width="12.2109375" customWidth="1"/>
    <col min="6" max="6" width="10.42578125" customWidth="1"/>
    <col min="7" max="7" width="9.85546875" customWidth="1"/>
    <col min="8" max="8" width="10.42578125" customWidth="1"/>
    <col min="9" max="9" width="9.0703125" customWidth="1"/>
    <col min="11" max="11" width="8.35546875" customWidth="1"/>
    <col min="12" max="12" width="12.640625" customWidth="1"/>
    <col min="13" max="14" width="10.85546875" customWidth="1"/>
    <col min="15" max="15" width="28.710937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23" t="s">
        <v>1962</v>
      </c>
    </row>
    <row r="2" spans="1:15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>
        <v>957081544</v>
      </c>
      <c r="H2" s="1">
        <v>41944</v>
      </c>
      <c r="I2">
        <v>552</v>
      </c>
      <c r="J2">
        <v>255.28</v>
      </c>
      <c r="K2">
        <v>159.41999999999999</v>
      </c>
      <c r="L2">
        <v>140914.56</v>
      </c>
      <c r="M2">
        <v>87999.84</v>
      </c>
      <c r="N2">
        <v>52914.720000000001</v>
      </c>
      <c r="O2" s="24" t="s">
        <v>29</v>
      </c>
    </row>
    <row r="3" spans="1:15" x14ac:dyDescent="0.25">
      <c r="A3" t="s">
        <v>14</v>
      </c>
      <c r="B3" t="s">
        <v>20</v>
      </c>
      <c r="C3" t="s">
        <v>21</v>
      </c>
      <c r="D3" t="s">
        <v>22</v>
      </c>
      <c r="E3" t="s">
        <v>23</v>
      </c>
      <c r="F3" s="1">
        <v>40305</v>
      </c>
      <c r="G3">
        <v>301644504</v>
      </c>
      <c r="H3" t="s">
        <v>24</v>
      </c>
      <c r="I3">
        <v>2167</v>
      </c>
      <c r="J3">
        <v>152.58000000000001</v>
      </c>
      <c r="K3">
        <v>97.44</v>
      </c>
      <c r="L3">
        <v>330640.86</v>
      </c>
      <c r="M3">
        <v>211152.48</v>
      </c>
      <c r="N3">
        <v>119488.38</v>
      </c>
      <c r="O3" s="24" t="s">
        <v>42</v>
      </c>
    </row>
    <row r="4" spans="1:15" x14ac:dyDescent="0.25">
      <c r="A4" t="s">
        <v>25</v>
      </c>
      <c r="B4" t="s">
        <v>26</v>
      </c>
      <c r="C4" t="s">
        <v>27</v>
      </c>
      <c r="D4" t="s">
        <v>22</v>
      </c>
      <c r="E4" t="s">
        <v>23</v>
      </c>
      <c r="F4" s="1">
        <v>40886</v>
      </c>
      <c r="G4">
        <v>478051030</v>
      </c>
      <c r="H4" t="s">
        <v>28</v>
      </c>
      <c r="I4">
        <v>4778</v>
      </c>
      <c r="J4">
        <v>47.45</v>
      </c>
      <c r="K4">
        <v>31.79</v>
      </c>
      <c r="L4">
        <v>226716.1</v>
      </c>
      <c r="M4">
        <v>151892.62</v>
      </c>
      <c r="N4">
        <v>74823.48</v>
      </c>
      <c r="O4" s="24" t="s">
        <v>14</v>
      </c>
    </row>
    <row r="5" spans="1:15" x14ac:dyDescent="0.25">
      <c r="A5" t="s">
        <v>29</v>
      </c>
      <c r="B5" t="s">
        <v>30</v>
      </c>
      <c r="C5" t="s">
        <v>31</v>
      </c>
      <c r="D5" t="s">
        <v>22</v>
      </c>
      <c r="E5" t="s">
        <v>32</v>
      </c>
      <c r="F5" t="s">
        <v>33</v>
      </c>
      <c r="G5">
        <v>892599952</v>
      </c>
      <c r="H5" t="s">
        <v>34</v>
      </c>
      <c r="I5">
        <v>9016</v>
      </c>
      <c r="J5">
        <v>205.7</v>
      </c>
      <c r="K5">
        <v>117.11</v>
      </c>
      <c r="L5">
        <v>1854591.2</v>
      </c>
      <c r="M5">
        <v>1055863.76</v>
      </c>
      <c r="N5">
        <v>798727.44</v>
      </c>
      <c r="O5" s="24" t="s">
        <v>25</v>
      </c>
    </row>
    <row r="6" spans="1:15" x14ac:dyDescent="0.25">
      <c r="A6" t="s">
        <v>29</v>
      </c>
      <c r="B6" t="s">
        <v>35</v>
      </c>
      <c r="C6" t="s">
        <v>21</v>
      </c>
      <c r="D6" t="s">
        <v>22</v>
      </c>
      <c r="E6" t="s">
        <v>23</v>
      </c>
      <c r="F6" t="s">
        <v>36</v>
      </c>
      <c r="G6">
        <v>571902596</v>
      </c>
      <c r="H6" t="s">
        <v>37</v>
      </c>
      <c r="I6">
        <v>7542</v>
      </c>
      <c r="J6">
        <v>152.58000000000001</v>
      </c>
      <c r="K6">
        <v>97.44</v>
      </c>
      <c r="L6">
        <v>1150758.3600000001</v>
      </c>
      <c r="M6">
        <v>734892.48</v>
      </c>
      <c r="N6">
        <v>415865.88</v>
      </c>
      <c r="O6" s="24" t="s">
        <v>38</v>
      </c>
    </row>
    <row r="7" spans="1:15" x14ac:dyDescent="0.25">
      <c r="A7" t="s">
        <v>38</v>
      </c>
      <c r="B7" t="s">
        <v>39</v>
      </c>
      <c r="C7" t="s">
        <v>40</v>
      </c>
      <c r="D7" t="s">
        <v>22</v>
      </c>
      <c r="E7" t="s">
        <v>32</v>
      </c>
      <c r="F7" s="1">
        <v>40401</v>
      </c>
      <c r="G7">
        <v>412882792</v>
      </c>
      <c r="H7" t="s">
        <v>41</v>
      </c>
      <c r="I7">
        <v>48</v>
      </c>
      <c r="J7">
        <v>81.73</v>
      </c>
      <c r="K7">
        <v>56.67</v>
      </c>
      <c r="L7">
        <v>3923.04</v>
      </c>
      <c r="M7">
        <v>2720.16</v>
      </c>
      <c r="N7">
        <v>1202.8800000000001</v>
      </c>
      <c r="O7" s="24" t="s">
        <v>77</v>
      </c>
    </row>
    <row r="8" spans="1:15" x14ac:dyDescent="0.25">
      <c r="A8" t="s">
        <v>42</v>
      </c>
      <c r="B8" t="s">
        <v>43</v>
      </c>
      <c r="C8" t="s">
        <v>44</v>
      </c>
      <c r="D8" t="s">
        <v>22</v>
      </c>
      <c r="E8" t="s">
        <v>45</v>
      </c>
      <c r="F8" t="s">
        <v>46</v>
      </c>
      <c r="G8">
        <v>932776868</v>
      </c>
      <c r="H8" s="1">
        <v>40821</v>
      </c>
      <c r="I8">
        <v>8258</v>
      </c>
      <c r="J8">
        <v>109.28</v>
      </c>
      <c r="K8">
        <v>35.840000000000003</v>
      </c>
      <c r="L8">
        <v>902434.24</v>
      </c>
      <c r="M8">
        <v>295966.71999999997</v>
      </c>
      <c r="N8">
        <v>606467.52</v>
      </c>
      <c r="O8" s="24" t="s">
        <v>51</v>
      </c>
    </row>
    <row r="9" spans="1:15" x14ac:dyDescent="0.25">
      <c r="A9" t="s">
        <v>25</v>
      </c>
      <c r="B9" t="s">
        <v>47</v>
      </c>
      <c r="C9" t="s">
        <v>44</v>
      </c>
      <c r="D9" t="s">
        <v>17</v>
      </c>
      <c r="E9" t="s">
        <v>18</v>
      </c>
      <c r="F9" t="s">
        <v>48</v>
      </c>
      <c r="G9">
        <v>919133651</v>
      </c>
      <c r="H9" s="1">
        <v>41375</v>
      </c>
      <c r="I9">
        <v>927</v>
      </c>
      <c r="J9">
        <v>109.28</v>
      </c>
      <c r="K9">
        <v>35.840000000000003</v>
      </c>
      <c r="L9">
        <v>101302.56</v>
      </c>
      <c r="M9">
        <v>33223.68</v>
      </c>
      <c r="N9">
        <v>68078.880000000005</v>
      </c>
      <c r="O9" s="24" t="s">
        <v>1963</v>
      </c>
    </row>
    <row r="10" spans="1:15" x14ac:dyDescent="0.25">
      <c r="A10" t="s">
        <v>38</v>
      </c>
      <c r="B10" t="s">
        <v>49</v>
      </c>
      <c r="C10" t="s">
        <v>44</v>
      </c>
      <c r="D10" t="s">
        <v>22</v>
      </c>
      <c r="E10" t="s">
        <v>18</v>
      </c>
      <c r="F10" t="s">
        <v>50</v>
      </c>
      <c r="G10">
        <v>579814469</v>
      </c>
      <c r="H10" s="1">
        <v>42500</v>
      </c>
      <c r="I10">
        <v>8841</v>
      </c>
      <c r="J10">
        <v>109.28</v>
      </c>
      <c r="K10">
        <v>35.840000000000003</v>
      </c>
      <c r="L10">
        <v>966144.48</v>
      </c>
      <c r="M10">
        <v>316861.44</v>
      </c>
      <c r="N10">
        <v>649283.04</v>
      </c>
      <c r="O10" s="24" t="s">
        <v>1964</v>
      </c>
    </row>
    <row r="11" spans="1:15" x14ac:dyDescent="0.25">
      <c r="A11" t="s">
        <v>51</v>
      </c>
      <c r="B11" t="s">
        <v>52</v>
      </c>
      <c r="C11" t="s">
        <v>16</v>
      </c>
      <c r="D11" t="s">
        <v>17</v>
      </c>
      <c r="E11" t="s">
        <v>18</v>
      </c>
      <c r="F11" t="s">
        <v>53</v>
      </c>
      <c r="G11">
        <v>192993152</v>
      </c>
      <c r="H11" s="1">
        <v>42190</v>
      </c>
      <c r="I11">
        <v>9817</v>
      </c>
      <c r="J11">
        <v>255.28</v>
      </c>
      <c r="K11">
        <v>159.41999999999999</v>
      </c>
      <c r="L11">
        <v>2506083.7599999998</v>
      </c>
      <c r="M11">
        <v>1565026.14</v>
      </c>
      <c r="N11">
        <v>941057.62</v>
      </c>
    </row>
    <row r="12" spans="1:15" x14ac:dyDescent="0.25">
      <c r="A12" t="s">
        <v>38</v>
      </c>
      <c r="B12" t="s">
        <v>54</v>
      </c>
      <c r="C12" t="s">
        <v>55</v>
      </c>
      <c r="D12" t="s">
        <v>22</v>
      </c>
      <c r="E12" t="s">
        <v>23</v>
      </c>
      <c r="F12" t="s">
        <v>56</v>
      </c>
      <c r="G12">
        <v>557156026</v>
      </c>
      <c r="H12" t="s">
        <v>57</v>
      </c>
      <c r="I12">
        <v>3704</v>
      </c>
      <c r="J12">
        <v>651.21</v>
      </c>
      <c r="K12">
        <v>524.96</v>
      </c>
      <c r="L12">
        <v>2412081.84</v>
      </c>
      <c r="M12">
        <v>1944451.84</v>
      </c>
      <c r="N12">
        <v>467630</v>
      </c>
    </row>
    <row r="13" spans="1:15" x14ac:dyDescent="0.25">
      <c r="A13" t="s">
        <v>38</v>
      </c>
      <c r="B13" t="s">
        <v>58</v>
      </c>
      <c r="C13" t="s">
        <v>59</v>
      </c>
      <c r="D13" t="s">
        <v>17</v>
      </c>
      <c r="E13" t="s">
        <v>18</v>
      </c>
      <c r="F13" s="1">
        <v>41613</v>
      </c>
      <c r="G13">
        <v>741101920</v>
      </c>
      <c r="H13" t="s">
        <v>60</v>
      </c>
      <c r="I13">
        <v>7382</v>
      </c>
      <c r="J13">
        <v>437.2</v>
      </c>
      <c r="K13">
        <v>263.33</v>
      </c>
      <c r="L13">
        <v>3227410.4</v>
      </c>
      <c r="M13">
        <v>1943902.06</v>
      </c>
      <c r="N13">
        <v>1283508.3400000001</v>
      </c>
    </row>
    <row r="14" spans="1:15" x14ac:dyDescent="0.25">
      <c r="A14" t="s">
        <v>29</v>
      </c>
      <c r="B14" t="s">
        <v>61</v>
      </c>
      <c r="C14" t="s">
        <v>31</v>
      </c>
      <c r="D14" t="s">
        <v>22</v>
      </c>
      <c r="E14" t="s">
        <v>32</v>
      </c>
      <c r="F14" t="s">
        <v>62</v>
      </c>
      <c r="G14">
        <v>333942162</v>
      </c>
      <c r="H14" t="s">
        <v>63</v>
      </c>
      <c r="I14">
        <v>9762</v>
      </c>
      <c r="J14">
        <v>205.7</v>
      </c>
      <c r="K14">
        <v>117.11</v>
      </c>
      <c r="L14">
        <v>2008043.4</v>
      </c>
      <c r="M14">
        <v>1143227.82</v>
      </c>
      <c r="N14">
        <v>864815.58</v>
      </c>
    </row>
    <row r="15" spans="1:15" x14ac:dyDescent="0.25">
      <c r="A15" t="s">
        <v>14</v>
      </c>
      <c r="B15" t="s">
        <v>64</v>
      </c>
      <c r="C15" t="s">
        <v>59</v>
      </c>
      <c r="D15" t="s">
        <v>22</v>
      </c>
      <c r="E15" t="s">
        <v>45</v>
      </c>
      <c r="F15" s="1">
        <v>42162</v>
      </c>
      <c r="G15">
        <v>795100581</v>
      </c>
      <c r="H15" t="s">
        <v>65</v>
      </c>
      <c r="I15">
        <v>6786</v>
      </c>
      <c r="J15">
        <v>437.2</v>
      </c>
      <c r="K15">
        <v>263.33</v>
      </c>
      <c r="L15">
        <v>2966839.2</v>
      </c>
      <c r="M15">
        <v>1786957.38</v>
      </c>
      <c r="N15">
        <v>1179881.82</v>
      </c>
    </row>
    <row r="16" spans="1:15" x14ac:dyDescent="0.25">
      <c r="A16" t="s">
        <v>14</v>
      </c>
      <c r="B16" t="s">
        <v>66</v>
      </c>
      <c r="C16" t="s">
        <v>16</v>
      </c>
      <c r="D16" t="s">
        <v>17</v>
      </c>
      <c r="E16" t="s">
        <v>32</v>
      </c>
      <c r="F16" t="s">
        <v>67</v>
      </c>
      <c r="G16">
        <v>504313504</v>
      </c>
      <c r="H16" s="1">
        <v>40249</v>
      </c>
      <c r="I16">
        <v>6428</v>
      </c>
      <c r="J16">
        <v>255.28</v>
      </c>
      <c r="K16">
        <v>159.41999999999999</v>
      </c>
      <c r="L16">
        <v>1640939.84</v>
      </c>
      <c r="M16">
        <v>1024751.76</v>
      </c>
      <c r="N16">
        <v>616188.07999999996</v>
      </c>
    </row>
    <row r="17" spans="1:14" x14ac:dyDescent="0.25">
      <c r="A17" t="s">
        <v>38</v>
      </c>
      <c r="B17" t="s">
        <v>68</v>
      </c>
      <c r="C17" t="s">
        <v>69</v>
      </c>
      <c r="D17" t="s">
        <v>22</v>
      </c>
      <c r="E17" t="s">
        <v>45</v>
      </c>
      <c r="F17" t="s">
        <v>70</v>
      </c>
      <c r="G17">
        <v>611629760</v>
      </c>
      <c r="H17" t="s">
        <v>71</v>
      </c>
      <c r="I17">
        <v>3693</v>
      </c>
      <c r="J17">
        <v>421.89</v>
      </c>
      <c r="K17">
        <v>364.69</v>
      </c>
      <c r="L17">
        <v>1558039.77</v>
      </c>
      <c r="M17">
        <v>1346800.17</v>
      </c>
      <c r="N17">
        <v>211239.6</v>
      </c>
    </row>
    <row r="18" spans="1:14" x14ac:dyDescent="0.25">
      <c r="A18" t="s">
        <v>25</v>
      </c>
      <c r="B18" t="s">
        <v>72</v>
      </c>
      <c r="C18" t="s">
        <v>31</v>
      </c>
      <c r="D18" t="s">
        <v>22</v>
      </c>
      <c r="E18" t="s">
        <v>23</v>
      </c>
      <c r="F18" t="s">
        <v>73</v>
      </c>
      <c r="G18">
        <v>987410676</v>
      </c>
      <c r="H18" s="1">
        <v>41799</v>
      </c>
      <c r="I18">
        <v>5616</v>
      </c>
      <c r="J18">
        <v>205.7</v>
      </c>
      <c r="K18">
        <v>117.11</v>
      </c>
      <c r="L18">
        <v>1155211.2</v>
      </c>
      <c r="M18">
        <v>657689.76</v>
      </c>
      <c r="N18">
        <v>497521.44</v>
      </c>
    </row>
    <row r="19" spans="1:14" x14ac:dyDescent="0.25">
      <c r="A19" t="s">
        <v>25</v>
      </c>
      <c r="B19" t="s">
        <v>74</v>
      </c>
      <c r="C19" t="s">
        <v>55</v>
      </c>
      <c r="D19" t="s">
        <v>17</v>
      </c>
      <c r="E19" t="s">
        <v>32</v>
      </c>
      <c r="F19" t="s">
        <v>75</v>
      </c>
      <c r="G19">
        <v>672330081</v>
      </c>
      <c r="H19" t="s">
        <v>76</v>
      </c>
      <c r="I19">
        <v>6266</v>
      </c>
      <c r="J19">
        <v>651.21</v>
      </c>
      <c r="K19">
        <v>524.96</v>
      </c>
      <c r="L19">
        <v>4080481.86</v>
      </c>
      <c r="M19">
        <v>3289399.36</v>
      </c>
      <c r="N19">
        <v>791082.5</v>
      </c>
    </row>
    <row r="20" spans="1:14" x14ac:dyDescent="0.25">
      <c r="A20" t="s">
        <v>77</v>
      </c>
      <c r="B20" t="s">
        <v>78</v>
      </c>
      <c r="C20" t="s">
        <v>27</v>
      </c>
      <c r="D20" t="s">
        <v>17</v>
      </c>
      <c r="E20" t="s">
        <v>23</v>
      </c>
      <c r="F20" t="s">
        <v>79</v>
      </c>
      <c r="G20">
        <v>127374303</v>
      </c>
      <c r="H20" t="s">
        <v>80</v>
      </c>
      <c r="I20">
        <v>1742</v>
      </c>
      <c r="J20">
        <v>47.45</v>
      </c>
      <c r="K20">
        <v>31.79</v>
      </c>
      <c r="L20">
        <v>82657.899999999994</v>
      </c>
      <c r="M20">
        <v>55378.18</v>
      </c>
      <c r="N20">
        <v>27279.72</v>
      </c>
    </row>
    <row r="21" spans="1:14" x14ac:dyDescent="0.25">
      <c r="A21" t="s">
        <v>14</v>
      </c>
      <c r="B21" t="s">
        <v>81</v>
      </c>
      <c r="C21" t="s">
        <v>16</v>
      </c>
      <c r="D21" t="s">
        <v>22</v>
      </c>
      <c r="E21" t="s">
        <v>23</v>
      </c>
      <c r="F21" t="s">
        <v>82</v>
      </c>
      <c r="G21">
        <v>783842170</v>
      </c>
      <c r="H21" s="1">
        <v>41280</v>
      </c>
      <c r="I21">
        <v>5172</v>
      </c>
      <c r="J21">
        <v>255.28</v>
      </c>
      <c r="K21">
        <v>159.41999999999999</v>
      </c>
      <c r="L21">
        <v>1320308.1599999999</v>
      </c>
      <c r="M21">
        <v>824520.24</v>
      </c>
      <c r="N21">
        <v>495787.92</v>
      </c>
    </row>
    <row r="22" spans="1:14" x14ac:dyDescent="0.25">
      <c r="A22" t="s">
        <v>38</v>
      </c>
      <c r="B22" t="s">
        <v>83</v>
      </c>
      <c r="C22" t="s">
        <v>27</v>
      </c>
      <c r="D22" t="s">
        <v>22</v>
      </c>
      <c r="E22" t="s">
        <v>32</v>
      </c>
      <c r="F22" t="s">
        <v>84</v>
      </c>
      <c r="G22">
        <v>993345010</v>
      </c>
      <c r="H22" s="1">
        <v>40240</v>
      </c>
      <c r="I22">
        <v>1718</v>
      </c>
      <c r="J22">
        <v>47.45</v>
      </c>
      <c r="K22">
        <v>31.79</v>
      </c>
      <c r="L22">
        <v>81519.100000000006</v>
      </c>
      <c r="M22">
        <v>54615.22</v>
      </c>
      <c r="N22">
        <v>26903.88</v>
      </c>
    </row>
    <row r="23" spans="1:14" x14ac:dyDescent="0.25">
      <c r="A23" t="s">
        <v>38</v>
      </c>
      <c r="B23" t="s">
        <v>85</v>
      </c>
      <c r="C23" t="s">
        <v>16</v>
      </c>
      <c r="D23" t="s">
        <v>22</v>
      </c>
      <c r="E23" t="s">
        <v>18</v>
      </c>
      <c r="F23" s="1">
        <v>42133</v>
      </c>
      <c r="G23">
        <v>977806651</v>
      </c>
      <c r="H23" t="s">
        <v>86</v>
      </c>
      <c r="I23">
        <v>3572</v>
      </c>
      <c r="J23">
        <v>255.28</v>
      </c>
      <c r="K23">
        <v>159.41999999999999</v>
      </c>
      <c r="L23">
        <v>911860.16</v>
      </c>
      <c r="M23">
        <v>569448.24</v>
      </c>
      <c r="N23">
        <v>342411.92</v>
      </c>
    </row>
    <row r="24" spans="1:14" x14ac:dyDescent="0.25">
      <c r="A24" t="s">
        <v>25</v>
      </c>
      <c r="B24" t="s">
        <v>87</v>
      </c>
      <c r="C24" t="s">
        <v>88</v>
      </c>
      <c r="D24" t="s">
        <v>17</v>
      </c>
      <c r="E24" t="s">
        <v>32</v>
      </c>
      <c r="F24" t="s">
        <v>89</v>
      </c>
      <c r="G24">
        <v>579463422</v>
      </c>
      <c r="H24" s="1">
        <v>42380</v>
      </c>
      <c r="I24">
        <v>4958</v>
      </c>
      <c r="J24">
        <v>9.33</v>
      </c>
      <c r="K24">
        <v>6.92</v>
      </c>
      <c r="L24">
        <v>46258.14</v>
      </c>
      <c r="M24">
        <v>34309.360000000001</v>
      </c>
      <c r="N24">
        <v>11948.78</v>
      </c>
    </row>
    <row r="25" spans="1:14" x14ac:dyDescent="0.25">
      <c r="A25" t="s">
        <v>42</v>
      </c>
      <c r="B25" t="s">
        <v>90</v>
      </c>
      <c r="C25" t="s">
        <v>27</v>
      </c>
      <c r="D25" t="s">
        <v>22</v>
      </c>
      <c r="E25" t="s">
        <v>32</v>
      </c>
      <c r="F25" t="s">
        <v>91</v>
      </c>
      <c r="G25">
        <v>610864150</v>
      </c>
      <c r="H25" s="1">
        <v>41094</v>
      </c>
      <c r="I25">
        <v>7132</v>
      </c>
      <c r="J25">
        <v>47.45</v>
      </c>
      <c r="K25">
        <v>31.79</v>
      </c>
      <c r="L25">
        <v>338413.4</v>
      </c>
      <c r="M25">
        <v>226726.28</v>
      </c>
      <c r="N25">
        <v>111687.12</v>
      </c>
    </row>
    <row r="26" spans="1:14" x14ac:dyDescent="0.25">
      <c r="A26" t="s">
        <v>38</v>
      </c>
      <c r="B26" t="s">
        <v>92</v>
      </c>
      <c r="C26" t="s">
        <v>21</v>
      </c>
      <c r="D26" t="s">
        <v>22</v>
      </c>
      <c r="E26" t="s">
        <v>32</v>
      </c>
      <c r="F26" t="s">
        <v>93</v>
      </c>
      <c r="G26">
        <v>604870164</v>
      </c>
      <c r="H26" s="1">
        <v>42861</v>
      </c>
      <c r="I26">
        <v>3378</v>
      </c>
      <c r="J26">
        <v>152.58000000000001</v>
      </c>
      <c r="K26">
        <v>97.44</v>
      </c>
      <c r="L26">
        <v>515415.24</v>
      </c>
      <c r="M26">
        <v>329152.32</v>
      </c>
      <c r="N26">
        <v>186262.92</v>
      </c>
    </row>
    <row r="27" spans="1:14" x14ac:dyDescent="0.25">
      <c r="A27" t="s">
        <v>14</v>
      </c>
      <c r="B27" t="s">
        <v>94</v>
      </c>
      <c r="C27" t="s">
        <v>31</v>
      </c>
      <c r="D27" t="s">
        <v>17</v>
      </c>
      <c r="E27" t="s">
        <v>45</v>
      </c>
      <c r="F27" t="s">
        <v>95</v>
      </c>
      <c r="G27">
        <v>164655292</v>
      </c>
      <c r="H27" s="1">
        <v>41644</v>
      </c>
      <c r="I27">
        <v>4015</v>
      </c>
      <c r="J27">
        <v>205.7</v>
      </c>
      <c r="K27">
        <v>117.11</v>
      </c>
      <c r="L27">
        <v>825885.5</v>
      </c>
      <c r="M27">
        <v>470196.65</v>
      </c>
      <c r="N27">
        <v>355688.85</v>
      </c>
    </row>
    <row r="28" spans="1:14" x14ac:dyDescent="0.25">
      <c r="A28" t="s">
        <v>25</v>
      </c>
      <c r="B28" t="s">
        <v>96</v>
      </c>
      <c r="C28" t="s">
        <v>88</v>
      </c>
      <c r="D28" t="s">
        <v>22</v>
      </c>
      <c r="E28" t="s">
        <v>32</v>
      </c>
      <c r="F28" t="s">
        <v>97</v>
      </c>
      <c r="G28">
        <v>313705861</v>
      </c>
      <c r="H28" s="1">
        <v>42650</v>
      </c>
      <c r="I28">
        <v>1390</v>
      </c>
      <c r="J28">
        <v>9.33</v>
      </c>
      <c r="K28">
        <v>6.92</v>
      </c>
      <c r="L28">
        <v>12968.7</v>
      </c>
      <c r="M28">
        <v>9618.7999999999993</v>
      </c>
      <c r="N28">
        <v>3349.9</v>
      </c>
    </row>
    <row r="29" spans="1:14" x14ac:dyDescent="0.25">
      <c r="A29" t="s">
        <v>14</v>
      </c>
      <c r="B29" t="s">
        <v>98</v>
      </c>
      <c r="C29" t="s">
        <v>55</v>
      </c>
      <c r="D29" t="s">
        <v>17</v>
      </c>
      <c r="E29" t="s">
        <v>18</v>
      </c>
      <c r="F29" t="s">
        <v>99</v>
      </c>
      <c r="G29">
        <v>345820701</v>
      </c>
      <c r="H29" s="1">
        <v>40910</v>
      </c>
      <c r="I29">
        <v>4885</v>
      </c>
      <c r="J29">
        <v>651.21</v>
      </c>
      <c r="K29">
        <v>524.96</v>
      </c>
      <c r="L29">
        <v>3181160.85</v>
      </c>
      <c r="M29">
        <v>2564429.6</v>
      </c>
      <c r="N29">
        <v>616731.25</v>
      </c>
    </row>
    <row r="30" spans="1:14" x14ac:dyDescent="0.25">
      <c r="A30" t="s">
        <v>51</v>
      </c>
      <c r="B30" t="s">
        <v>100</v>
      </c>
      <c r="C30" t="s">
        <v>16</v>
      </c>
      <c r="D30" t="s">
        <v>17</v>
      </c>
      <c r="E30" t="s">
        <v>18</v>
      </c>
      <c r="F30" t="s">
        <v>101</v>
      </c>
      <c r="G30">
        <v>975111138</v>
      </c>
      <c r="H30" t="s">
        <v>102</v>
      </c>
      <c r="I30">
        <v>5910</v>
      </c>
      <c r="J30">
        <v>255.28</v>
      </c>
      <c r="K30">
        <v>159.41999999999999</v>
      </c>
      <c r="L30">
        <v>1508704.8</v>
      </c>
      <c r="M30">
        <v>942172.2</v>
      </c>
      <c r="N30">
        <v>566532.6</v>
      </c>
    </row>
    <row r="31" spans="1:14" x14ac:dyDescent="0.25">
      <c r="A31" t="s">
        <v>42</v>
      </c>
      <c r="B31" t="s">
        <v>103</v>
      </c>
      <c r="C31" t="s">
        <v>21</v>
      </c>
      <c r="D31" t="s">
        <v>17</v>
      </c>
      <c r="E31" t="s">
        <v>23</v>
      </c>
      <c r="F31" s="1">
        <v>41278</v>
      </c>
      <c r="G31">
        <v>286001002</v>
      </c>
      <c r="H31" t="s">
        <v>104</v>
      </c>
      <c r="I31">
        <v>2907</v>
      </c>
      <c r="J31">
        <v>152.58000000000001</v>
      </c>
      <c r="K31">
        <v>97.44</v>
      </c>
      <c r="L31">
        <v>443550.06</v>
      </c>
      <c r="M31">
        <v>283258.08</v>
      </c>
      <c r="N31">
        <v>160291.98000000001</v>
      </c>
    </row>
    <row r="32" spans="1:14" x14ac:dyDescent="0.25">
      <c r="A32" t="s">
        <v>38</v>
      </c>
      <c r="B32" t="s">
        <v>105</v>
      </c>
      <c r="C32" t="s">
        <v>59</v>
      </c>
      <c r="D32" t="s">
        <v>22</v>
      </c>
      <c r="E32" t="s">
        <v>45</v>
      </c>
      <c r="F32" t="s">
        <v>106</v>
      </c>
      <c r="G32">
        <v>483226621</v>
      </c>
      <c r="H32" s="1">
        <v>42163</v>
      </c>
      <c r="I32">
        <v>6350</v>
      </c>
      <c r="J32">
        <v>437.2</v>
      </c>
      <c r="K32">
        <v>263.33</v>
      </c>
      <c r="L32">
        <v>2776220</v>
      </c>
      <c r="M32">
        <v>1672145.5</v>
      </c>
      <c r="N32">
        <v>1104074.5</v>
      </c>
    </row>
    <row r="33" spans="1:14" x14ac:dyDescent="0.25">
      <c r="A33" t="s">
        <v>42</v>
      </c>
      <c r="B33" t="s">
        <v>107</v>
      </c>
      <c r="C33" t="s">
        <v>44</v>
      </c>
      <c r="D33" t="s">
        <v>22</v>
      </c>
      <c r="E33" t="s">
        <v>18</v>
      </c>
      <c r="F33" t="s">
        <v>99</v>
      </c>
      <c r="G33">
        <v>241836822</v>
      </c>
      <c r="H33" t="s">
        <v>99</v>
      </c>
      <c r="I33">
        <v>3744</v>
      </c>
      <c r="J33">
        <v>109.28</v>
      </c>
      <c r="K33">
        <v>35.840000000000003</v>
      </c>
      <c r="L33">
        <v>409144.32000000001</v>
      </c>
      <c r="M33">
        <v>134184.95999999999</v>
      </c>
      <c r="N33">
        <v>274959.35999999999</v>
      </c>
    </row>
    <row r="34" spans="1:14" x14ac:dyDescent="0.25">
      <c r="A34" t="s">
        <v>38</v>
      </c>
      <c r="B34" t="s">
        <v>58</v>
      </c>
      <c r="C34" t="s">
        <v>44</v>
      </c>
      <c r="D34" t="s">
        <v>17</v>
      </c>
      <c r="E34" t="s">
        <v>45</v>
      </c>
      <c r="F34" s="1">
        <v>40609</v>
      </c>
      <c r="G34">
        <v>557192933</v>
      </c>
      <c r="H34" s="1">
        <v>40670</v>
      </c>
      <c r="I34">
        <v>4626</v>
      </c>
      <c r="J34">
        <v>109.28</v>
      </c>
      <c r="K34">
        <v>35.840000000000003</v>
      </c>
      <c r="L34">
        <v>505529.28</v>
      </c>
      <c r="M34">
        <v>165795.84</v>
      </c>
      <c r="N34">
        <v>339733.44</v>
      </c>
    </row>
    <row r="35" spans="1:14" x14ac:dyDescent="0.25">
      <c r="A35" t="s">
        <v>51</v>
      </c>
      <c r="B35" t="s">
        <v>108</v>
      </c>
      <c r="C35" t="s">
        <v>69</v>
      </c>
      <c r="D35" t="s">
        <v>17</v>
      </c>
      <c r="E35" t="s">
        <v>32</v>
      </c>
      <c r="F35" t="s">
        <v>109</v>
      </c>
      <c r="G35">
        <v>694968783</v>
      </c>
      <c r="H35" s="1">
        <v>40943</v>
      </c>
      <c r="I35">
        <v>5562</v>
      </c>
      <c r="J35">
        <v>421.89</v>
      </c>
      <c r="K35">
        <v>364.69</v>
      </c>
      <c r="L35">
        <v>2346552.1800000002</v>
      </c>
      <c r="M35">
        <v>2028405.78</v>
      </c>
      <c r="N35">
        <v>318146.40000000002</v>
      </c>
    </row>
    <row r="36" spans="1:14" x14ac:dyDescent="0.25">
      <c r="A36" t="s">
        <v>38</v>
      </c>
      <c r="B36" t="s">
        <v>68</v>
      </c>
      <c r="C36" t="s">
        <v>88</v>
      </c>
      <c r="D36" t="s">
        <v>17</v>
      </c>
      <c r="E36" t="s">
        <v>45</v>
      </c>
      <c r="F36" s="1">
        <v>41398</v>
      </c>
      <c r="G36">
        <v>441150701</v>
      </c>
      <c r="H36" s="1">
        <v>41613</v>
      </c>
      <c r="I36">
        <v>5150</v>
      </c>
      <c r="J36">
        <v>9.33</v>
      </c>
      <c r="K36">
        <v>6.92</v>
      </c>
      <c r="L36">
        <v>48049.5</v>
      </c>
      <c r="M36">
        <v>35638</v>
      </c>
      <c r="N36">
        <v>12411.5</v>
      </c>
    </row>
    <row r="37" spans="1:14" x14ac:dyDescent="0.25">
      <c r="A37" t="s">
        <v>25</v>
      </c>
      <c r="B37" t="s">
        <v>26</v>
      </c>
      <c r="C37" t="s">
        <v>31</v>
      </c>
      <c r="D37" t="s">
        <v>17</v>
      </c>
      <c r="E37" t="s">
        <v>18</v>
      </c>
      <c r="F37" s="1">
        <v>40762</v>
      </c>
      <c r="G37">
        <v>552037513</v>
      </c>
      <c r="H37" s="1">
        <v>40671</v>
      </c>
      <c r="I37">
        <v>9022</v>
      </c>
      <c r="J37">
        <v>205.7</v>
      </c>
      <c r="K37">
        <v>117.11</v>
      </c>
      <c r="L37">
        <v>1855825.4</v>
      </c>
      <c r="M37">
        <v>1056566.42</v>
      </c>
      <c r="N37">
        <v>799258.98</v>
      </c>
    </row>
    <row r="38" spans="1:14" x14ac:dyDescent="0.25">
      <c r="A38" t="s">
        <v>42</v>
      </c>
      <c r="B38" t="s">
        <v>103</v>
      </c>
      <c r="C38" t="s">
        <v>59</v>
      </c>
      <c r="D38" t="s">
        <v>22</v>
      </c>
      <c r="E38" t="s">
        <v>23</v>
      </c>
      <c r="F38" t="s">
        <v>110</v>
      </c>
      <c r="G38">
        <v>504240548</v>
      </c>
      <c r="H38" t="s">
        <v>111</v>
      </c>
      <c r="I38">
        <v>4838</v>
      </c>
      <c r="J38">
        <v>437.2</v>
      </c>
      <c r="K38">
        <v>263.33</v>
      </c>
      <c r="L38">
        <v>2115173.6</v>
      </c>
      <c r="M38">
        <v>1273990.54</v>
      </c>
      <c r="N38">
        <v>841183.06</v>
      </c>
    </row>
    <row r="39" spans="1:14" x14ac:dyDescent="0.25">
      <c r="A39" t="s">
        <v>25</v>
      </c>
      <c r="B39" t="s">
        <v>112</v>
      </c>
      <c r="C39" t="s">
        <v>113</v>
      </c>
      <c r="D39" t="s">
        <v>22</v>
      </c>
      <c r="E39" t="s">
        <v>32</v>
      </c>
      <c r="F39" t="s">
        <v>114</v>
      </c>
      <c r="G39">
        <v>744683635</v>
      </c>
      <c r="H39" s="1">
        <v>40182</v>
      </c>
      <c r="I39">
        <v>7291</v>
      </c>
      <c r="J39">
        <v>154.06</v>
      </c>
      <c r="K39">
        <v>90.93</v>
      </c>
      <c r="L39">
        <v>1123251.46</v>
      </c>
      <c r="M39">
        <v>662970.63</v>
      </c>
      <c r="N39">
        <v>460280.83</v>
      </c>
    </row>
    <row r="40" spans="1:14" x14ac:dyDescent="0.25">
      <c r="A40" t="s">
        <v>51</v>
      </c>
      <c r="B40" t="s">
        <v>115</v>
      </c>
      <c r="C40" t="s">
        <v>40</v>
      </c>
      <c r="D40" t="s">
        <v>17</v>
      </c>
      <c r="E40" t="s">
        <v>32</v>
      </c>
      <c r="F40" s="1">
        <v>42559</v>
      </c>
      <c r="G40">
        <v>440603101</v>
      </c>
      <c r="H40" t="s">
        <v>116</v>
      </c>
      <c r="I40">
        <v>3104</v>
      </c>
      <c r="J40">
        <v>81.73</v>
      </c>
      <c r="K40">
        <v>56.67</v>
      </c>
      <c r="L40">
        <v>253689.92</v>
      </c>
      <c r="M40">
        <v>175903.68</v>
      </c>
      <c r="N40">
        <v>77786.240000000005</v>
      </c>
    </row>
    <row r="41" spans="1:14" x14ac:dyDescent="0.25">
      <c r="A41" t="s">
        <v>38</v>
      </c>
      <c r="B41" t="s">
        <v>117</v>
      </c>
      <c r="C41" t="s">
        <v>44</v>
      </c>
      <c r="D41" t="s">
        <v>22</v>
      </c>
      <c r="E41" t="s">
        <v>32</v>
      </c>
      <c r="F41" t="s">
        <v>118</v>
      </c>
      <c r="G41">
        <v>629547774</v>
      </c>
      <c r="H41" s="1">
        <v>42799</v>
      </c>
      <c r="I41">
        <v>6031</v>
      </c>
      <c r="J41">
        <v>109.28</v>
      </c>
      <c r="K41">
        <v>35.840000000000003</v>
      </c>
      <c r="L41">
        <v>659067.68000000005</v>
      </c>
      <c r="M41">
        <v>216151.04000000001</v>
      </c>
      <c r="N41">
        <v>442916.64</v>
      </c>
    </row>
    <row r="42" spans="1:14" x14ac:dyDescent="0.25">
      <c r="A42" t="s">
        <v>25</v>
      </c>
      <c r="B42" t="s">
        <v>119</v>
      </c>
      <c r="C42" t="s">
        <v>69</v>
      </c>
      <c r="D42" t="s">
        <v>17</v>
      </c>
      <c r="E42" t="s">
        <v>32</v>
      </c>
      <c r="F42" t="s">
        <v>120</v>
      </c>
      <c r="G42">
        <v>169378983</v>
      </c>
      <c r="H42" s="1">
        <v>41916</v>
      </c>
      <c r="I42">
        <v>1860</v>
      </c>
      <c r="J42">
        <v>421.89</v>
      </c>
      <c r="K42">
        <v>364.69</v>
      </c>
      <c r="L42">
        <v>784715.4</v>
      </c>
      <c r="M42">
        <v>678323.4</v>
      </c>
      <c r="N42">
        <v>106392</v>
      </c>
    </row>
    <row r="43" spans="1:14" x14ac:dyDescent="0.25">
      <c r="A43" t="s">
        <v>38</v>
      </c>
      <c r="B43" t="s">
        <v>92</v>
      </c>
      <c r="C43" t="s">
        <v>40</v>
      </c>
      <c r="D43" t="s">
        <v>22</v>
      </c>
      <c r="E43" t="s">
        <v>32</v>
      </c>
      <c r="F43" s="1">
        <v>41672</v>
      </c>
      <c r="G43">
        <v>688270556</v>
      </c>
      <c r="H43" s="1">
        <v>41732</v>
      </c>
      <c r="I43">
        <v>3407</v>
      </c>
      <c r="J43">
        <v>81.73</v>
      </c>
      <c r="K43">
        <v>56.67</v>
      </c>
      <c r="L43">
        <v>278454.11</v>
      </c>
      <c r="M43">
        <v>193074.69</v>
      </c>
      <c r="N43">
        <v>85379.42</v>
      </c>
    </row>
    <row r="44" spans="1:14" x14ac:dyDescent="0.25">
      <c r="A44" t="s">
        <v>29</v>
      </c>
      <c r="B44" t="s">
        <v>121</v>
      </c>
      <c r="C44" t="s">
        <v>69</v>
      </c>
      <c r="D44" t="s">
        <v>17</v>
      </c>
      <c r="E44" t="s">
        <v>32</v>
      </c>
      <c r="F44" t="s">
        <v>122</v>
      </c>
      <c r="G44">
        <v>734708821</v>
      </c>
      <c r="H44" t="s">
        <v>123</v>
      </c>
      <c r="I44">
        <v>5522</v>
      </c>
      <c r="J44">
        <v>421.89</v>
      </c>
      <c r="K44">
        <v>364.69</v>
      </c>
      <c r="L44">
        <v>2329676.58</v>
      </c>
      <c r="M44">
        <v>2013818.18</v>
      </c>
      <c r="N44">
        <v>315858.40000000002</v>
      </c>
    </row>
    <row r="45" spans="1:14" x14ac:dyDescent="0.25">
      <c r="A45" t="s">
        <v>29</v>
      </c>
      <c r="B45" t="s">
        <v>124</v>
      </c>
      <c r="C45" t="s">
        <v>21</v>
      </c>
      <c r="D45" t="s">
        <v>17</v>
      </c>
      <c r="E45" t="s">
        <v>23</v>
      </c>
      <c r="F45" s="1">
        <v>41433</v>
      </c>
      <c r="G45">
        <v>727492606</v>
      </c>
      <c r="H45" t="s">
        <v>125</v>
      </c>
      <c r="I45">
        <v>84</v>
      </c>
      <c r="J45">
        <v>152.58000000000001</v>
      </c>
      <c r="K45">
        <v>97.44</v>
      </c>
      <c r="L45">
        <v>12816.72</v>
      </c>
      <c r="M45">
        <v>8184.96</v>
      </c>
      <c r="N45">
        <v>4631.76</v>
      </c>
    </row>
    <row r="46" spans="1:14" x14ac:dyDescent="0.25">
      <c r="A46" t="s">
        <v>38</v>
      </c>
      <c r="B46" t="s">
        <v>85</v>
      </c>
      <c r="C46" t="s">
        <v>16</v>
      </c>
      <c r="D46" t="s">
        <v>22</v>
      </c>
      <c r="E46" t="s">
        <v>18</v>
      </c>
      <c r="F46" t="s">
        <v>126</v>
      </c>
      <c r="G46">
        <v>705733239</v>
      </c>
      <c r="H46" t="s">
        <v>127</v>
      </c>
      <c r="I46">
        <v>1003</v>
      </c>
      <c r="J46">
        <v>255.28</v>
      </c>
      <c r="K46">
        <v>159.41999999999999</v>
      </c>
      <c r="L46">
        <v>256045.84</v>
      </c>
      <c r="M46">
        <v>159898.26</v>
      </c>
      <c r="N46">
        <v>96147.58</v>
      </c>
    </row>
    <row r="47" spans="1:14" x14ac:dyDescent="0.25">
      <c r="A47" t="s">
        <v>51</v>
      </c>
      <c r="B47" t="s">
        <v>128</v>
      </c>
      <c r="C47" t="s">
        <v>55</v>
      </c>
      <c r="D47" t="s">
        <v>22</v>
      </c>
      <c r="E47" t="s">
        <v>23</v>
      </c>
      <c r="F47" s="1">
        <v>42073</v>
      </c>
      <c r="G47">
        <v>778854548</v>
      </c>
      <c r="H47" s="1">
        <v>42073</v>
      </c>
      <c r="I47">
        <v>9224</v>
      </c>
      <c r="J47">
        <v>651.21</v>
      </c>
      <c r="K47">
        <v>524.96</v>
      </c>
      <c r="L47">
        <v>6006761.04</v>
      </c>
      <c r="M47">
        <v>4842231.04</v>
      </c>
      <c r="N47">
        <v>1164530</v>
      </c>
    </row>
    <row r="48" spans="1:14" x14ac:dyDescent="0.25">
      <c r="A48" t="s">
        <v>51</v>
      </c>
      <c r="B48" t="s">
        <v>129</v>
      </c>
      <c r="C48" t="s">
        <v>59</v>
      </c>
      <c r="D48" t="s">
        <v>22</v>
      </c>
      <c r="E48" t="s">
        <v>18</v>
      </c>
      <c r="F48" t="s">
        <v>130</v>
      </c>
      <c r="G48">
        <v>676592862</v>
      </c>
      <c r="H48" s="1">
        <v>41889</v>
      </c>
      <c r="I48">
        <v>7718</v>
      </c>
      <c r="J48">
        <v>437.2</v>
      </c>
      <c r="K48">
        <v>263.33</v>
      </c>
      <c r="L48">
        <v>3374309.6</v>
      </c>
      <c r="M48">
        <v>2032380.94</v>
      </c>
      <c r="N48">
        <v>1341928.6599999999</v>
      </c>
    </row>
    <row r="49" spans="1:14" x14ac:dyDescent="0.25">
      <c r="A49" t="s">
        <v>38</v>
      </c>
      <c r="B49" t="s">
        <v>68</v>
      </c>
      <c r="C49" t="s">
        <v>131</v>
      </c>
      <c r="D49" t="s">
        <v>22</v>
      </c>
      <c r="E49" t="s">
        <v>18</v>
      </c>
      <c r="F49" t="s">
        <v>132</v>
      </c>
      <c r="G49">
        <v>198997008</v>
      </c>
      <c r="H49" t="s">
        <v>133</v>
      </c>
      <c r="I49">
        <v>6492</v>
      </c>
      <c r="J49">
        <v>668.27</v>
      </c>
      <c r="K49">
        <v>502.54</v>
      </c>
      <c r="L49">
        <v>4338408.84</v>
      </c>
      <c r="M49">
        <v>3262489.68</v>
      </c>
      <c r="N49">
        <v>1075919.1599999999</v>
      </c>
    </row>
    <row r="50" spans="1:14" x14ac:dyDescent="0.25">
      <c r="A50" t="s">
        <v>25</v>
      </c>
      <c r="B50" t="s">
        <v>134</v>
      </c>
      <c r="C50" t="s">
        <v>27</v>
      </c>
      <c r="D50" t="s">
        <v>17</v>
      </c>
      <c r="E50" t="s">
        <v>45</v>
      </c>
      <c r="F50" t="s">
        <v>135</v>
      </c>
      <c r="G50">
        <v>566428315</v>
      </c>
      <c r="H50" t="s">
        <v>136</v>
      </c>
      <c r="I50">
        <v>7581</v>
      </c>
      <c r="J50">
        <v>47.45</v>
      </c>
      <c r="K50">
        <v>31.79</v>
      </c>
      <c r="L50">
        <v>359718.45</v>
      </c>
      <c r="M50">
        <v>240999.99</v>
      </c>
      <c r="N50">
        <v>118718.46</v>
      </c>
    </row>
    <row r="51" spans="1:14" x14ac:dyDescent="0.25">
      <c r="A51" t="s">
        <v>29</v>
      </c>
      <c r="B51" t="s">
        <v>137</v>
      </c>
      <c r="C51" t="s">
        <v>16</v>
      </c>
      <c r="D51" t="s">
        <v>17</v>
      </c>
      <c r="E51" t="s">
        <v>18</v>
      </c>
      <c r="F51" t="s">
        <v>138</v>
      </c>
      <c r="G51">
        <v>369560611</v>
      </c>
      <c r="H51" t="s">
        <v>139</v>
      </c>
      <c r="I51">
        <v>52</v>
      </c>
      <c r="J51">
        <v>255.28</v>
      </c>
      <c r="K51">
        <v>159.41999999999999</v>
      </c>
      <c r="L51">
        <v>13274.56</v>
      </c>
      <c r="M51">
        <v>8289.84</v>
      </c>
      <c r="N51">
        <v>4984.72</v>
      </c>
    </row>
    <row r="52" spans="1:14" x14ac:dyDescent="0.25">
      <c r="A52" t="s">
        <v>25</v>
      </c>
      <c r="B52" t="s">
        <v>140</v>
      </c>
      <c r="C52" t="s">
        <v>21</v>
      </c>
      <c r="D52" t="s">
        <v>17</v>
      </c>
      <c r="E52" t="s">
        <v>18</v>
      </c>
      <c r="F52" s="1">
        <v>42339</v>
      </c>
      <c r="G52">
        <v>519380223</v>
      </c>
      <c r="H52" t="s">
        <v>141</v>
      </c>
      <c r="I52">
        <v>5005</v>
      </c>
      <c r="J52">
        <v>152.58000000000001</v>
      </c>
      <c r="K52">
        <v>97.44</v>
      </c>
      <c r="L52">
        <v>763662.9</v>
      </c>
      <c r="M52">
        <v>487687.2</v>
      </c>
      <c r="N52">
        <v>275975.7</v>
      </c>
    </row>
    <row r="53" spans="1:14" x14ac:dyDescent="0.25">
      <c r="A53" t="s">
        <v>29</v>
      </c>
      <c r="B53" t="s">
        <v>121</v>
      </c>
      <c r="C53" t="s">
        <v>55</v>
      </c>
      <c r="D53" t="s">
        <v>17</v>
      </c>
      <c r="E53" t="s">
        <v>45</v>
      </c>
      <c r="F53" s="1">
        <v>41190</v>
      </c>
      <c r="G53">
        <v>197185981</v>
      </c>
      <c r="H53" s="1">
        <v>41222</v>
      </c>
      <c r="I53">
        <v>568</v>
      </c>
      <c r="J53">
        <v>651.21</v>
      </c>
      <c r="K53">
        <v>524.96</v>
      </c>
      <c r="L53">
        <v>369887.28</v>
      </c>
      <c r="M53">
        <v>298177.28000000003</v>
      </c>
      <c r="N53">
        <v>71710</v>
      </c>
    </row>
    <row r="54" spans="1:14" x14ac:dyDescent="0.25">
      <c r="A54" t="s">
        <v>25</v>
      </c>
      <c r="B54" t="s">
        <v>142</v>
      </c>
      <c r="C54" t="s">
        <v>55</v>
      </c>
      <c r="D54" t="s">
        <v>17</v>
      </c>
      <c r="E54" t="s">
        <v>45</v>
      </c>
      <c r="F54" t="s">
        <v>143</v>
      </c>
      <c r="G54">
        <v>904589211</v>
      </c>
      <c r="H54" s="1">
        <v>41734</v>
      </c>
      <c r="I54">
        <v>6905</v>
      </c>
      <c r="J54">
        <v>651.21</v>
      </c>
      <c r="K54">
        <v>524.96</v>
      </c>
      <c r="L54">
        <v>4496605.05</v>
      </c>
      <c r="M54">
        <v>3624848.8</v>
      </c>
      <c r="N54">
        <v>871756.25</v>
      </c>
    </row>
    <row r="55" spans="1:14" x14ac:dyDescent="0.25">
      <c r="A55" t="s">
        <v>42</v>
      </c>
      <c r="B55" t="s">
        <v>90</v>
      </c>
      <c r="C55" t="s">
        <v>131</v>
      </c>
      <c r="D55" t="s">
        <v>22</v>
      </c>
      <c r="E55" t="s">
        <v>45</v>
      </c>
      <c r="F55" t="s">
        <v>144</v>
      </c>
      <c r="G55">
        <v>613513743</v>
      </c>
      <c r="H55" t="s">
        <v>145</v>
      </c>
      <c r="I55">
        <v>1205</v>
      </c>
      <c r="J55">
        <v>668.27</v>
      </c>
      <c r="K55">
        <v>502.54</v>
      </c>
      <c r="L55">
        <v>805265.35</v>
      </c>
      <c r="M55">
        <v>605560.69999999995</v>
      </c>
      <c r="N55">
        <v>199704.65</v>
      </c>
    </row>
    <row r="56" spans="1:14" x14ac:dyDescent="0.25">
      <c r="A56" t="s">
        <v>42</v>
      </c>
      <c r="B56" t="s">
        <v>146</v>
      </c>
      <c r="C56" t="s">
        <v>44</v>
      </c>
      <c r="D56" t="s">
        <v>22</v>
      </c>
      <c r="E56" t="s">
        <v>18</v>
      </c>
      <c r="F56" t="s">
        <v>147</v>
      </c>
      <c r="G56">
        <v>516195905</v>
      </c>
      <c r="H56" t="s">
        <v>148</v>
      </c>
      <c r="I56">
        <v>2694</v>
      </c>
      <c r="J56">
        <v>109.28</v>
      </c>
      <c r="K56">
        <v>35.840000000000003</v>
      </c>
      <c r="L56">
        <v>294400.32</v>
      </c>
      <c r="M56">
        <v>96552.960000000006</v>
      </c>
      <c r="N56">
        <v>197847.36</v>
      </c>
    </row>
    <row r="57" spans="1:14" x14ac:dyDescent="0.25">
      <c r="A57" t="s">
        <v>29</v>
      </c>
      <c r="B57" t="s">
        <v>124</v>
      </c>
      <c r="C57" t="s">
        <v>113</v>
      </c>
      <c r="D57" t="s">
        <v>22</v>
      </c>
      <c r="E57" t="s">
        <v>45</v>
      </c>
      <c r="F57" s="1">
        <v>41345</v>
      </c>
      <c r="G57">
        <v>975184524</v>
      </c>
      <c r="H57" t="s">
        <v>149</v>
      </c>
      <c r="I57">
        <v>7626</v>
      </c>
      <c r="J57">
        <v>154.06</v>
      </c>
      <c r="K57">
        <v>90.93</v>
      </c>
      <c r="L57">
        <v>1174861.56</v>
      </c>
      <c r="M57">
        <v>693432.18</v>
      </c>
      <c r="N57">
        <v>481429.38</v>
      </c>
    </row>
    <row r="58" spans="1:14" x14ac:dyDescent="0.25">
      <c r="A58" t="s">
        <v>42</v>
      </c>
      <c r="B58" t="s">
        <v>150</v>
      </c>
      <c r="C58" t="s">
        <v>44</v>
      </c>
      <c r="D58" t="s">
        <v>17</v>
      </c>
      <c r="E58" t="s">
        <v>18</v>
      </c>
      <c r="F58" s="1">
        <v>41863</v>
      </c>
      <c r="G58">
        <v>173340928</v>
      </c>
      <c r="H58" s="1">
        <v>42064</v>
      </c>
      <c r="I58">
        <v>4287</v>
      </c>
      <c r="J58">
        <v>109.28</v>
      </c>
      <c r="K58">
        <v>35.840000000000003</v>
      </c>
      <c r="L58">
        <v>468483.36</v>
      </c>
      <c r="M58">
        <v>153646.07999999999</v>
      </c>
      <c r="N58">
        <v>314837.28000000003</v>
      </c>
    </row>
    <row r="59" spans="1:14" x14ac:dyDescent="0.25">
      <c r="A59" t="s">
        <v>51</v>
      </c>
      <c r="B59" t="s">
        <v>151</v>
      </c>
      <c r="C59" t="s">
        <v>40</v>
      </c>
      <c r="D59" t="s">
        <v>22</v>
      </c>
      <c r="E59" t="s">
        <v>45</v>
      </c>
      <c r="F59" t="s">
        <v>152</v>
      </c>
      <c r="G59">
        <v>863838946</v>
      </c>
      <c r="H59" s="1">
        <v>42125</v>
      </c>
      <c r="I59">
        <v>7995</v>
      </c>
      <c r="J59">
        <v>81.73</v>
      </c>
      <c r="K59">
        <v>56.67</v>
      </c>
      <c r="L59">
        <v>653431.35</v>
      </c>
      <c r="M59">
        <v>453076.65</v>
      </c>
      <c r="N59">
        <v>200354.7</v>
      </c>
    </row>
    <row r="60" spans="1:14" x14ac:dyDescent="0.25">
      <c r="A60" t="s">
        <v>29</v>
      </c>
      <c r="B60" t="s">
        <v>153</v>
      </c>
      <c r="C60" t="s">
        <v>31</v>
      </c>
      <c r="D60" t="s">
        <v>22</v>
      </c>
      <c r="E60" t="s">
        <v>32</v>
      </c>
      <c r="F60" s="1">
        <v>42403</v>
      </c>
      <c r="G60">
        <v>920164906</v>
      </c>
      <c r="H60" s="1">
        <v>42524</v>
      </c>
      <c r="I60">
        <v>6099</v>
      </c>
      <c r="J60">
        <v>205.7</v>
      </c>
      <c r="K60">
        <v>117.11</v>
      </c>
      <c r="L60">
        <v>1254564.3</v>
      </c>
      <c r="M60">
        <v>714253.89</v>
      </c>
      <c r="N60">
        <v>540310.41</v>
      </c>
    </row>
    <row r="61" spans="1:14" x14ac:dyDescent="0.25">
      <c r="A61" t="s">
        <v>14</v>
      </c>
      <c r="B61" t="s">
        <v>154</v>
      </c>
      <c r="C61" t="s">
        <v>69</v>
      </c>
      <c r="D61" t="s">
        <v>17</v>
      </c>
      <c r="E61" t="s">
        <v>18</v>
      </c>
      <c r="F61" s="1">
        <v>40518</v>
      </c>
      <c r="G61">
        <v>986117637</v>
      </c>
      <c r="H61" t="s">
        <v>155</v>
      </c>
      <c r="I61">
        <v>2977</v>
      </c>
      <c r="J61">
        <v>421.89</v>
      </c>
      <c r="K61">
        <v>364.69</v>
      </c>
      <c r="L61">
        <v>1255966.53</v>
      </c>
      <c r="M61">
        <v>1085682.1299999999</v>
      </c>
      <c r="N61">
        <v>170284.4</v>
      </c>
    </row>
    <row r="62" spans="1:14" x14ac:dyDescent="0.25">
      <c r="A62" t="s">
        <v>38</v>
      </c>
      <c r="B62" t="s">
        <v>156</v>
      </c>
      <c r="C62" t="s">
        <v>31</v>
      </c>
      <c r="D62" t="s">
        <v>17</v>
      </c>
      <c r="E62" t="s">
        <v>32</v>
      </c>
      <c r="F62" t="s">
        <v>157</v>
      </c>
      <c r="G62">
        <v>425808465</v>
      </c>
      <c r="H62" t="s">
        <v>158</v>
      </c>
      <c r="I62">
        <v>5042</v>
      </c>
      <c r="J62">
        <v>205.7</v>
      </c>
      <c r="K62">
        <v>117.11</v>
      </c>
      <c r="L62">
        <v>1037139.4</v>
      </c>
      <c r="M62">
        <v>590468.62</v>
      </c>
      <c r="N62">
        <v>446670.78</v>
      </c>
    </row>
    <row r="63" spans="1:14" x14ac:dyDescent="0.25">
      <c r="A63" t="s">
        <v>14</v>
      </c>
      <c r="B63" t="s">
        <v>64</v>
      </c>
      <c r="C63" t="s">
        <v>27</v>
      </c>
      <c r="D63" t="s">
        <v>17</v>
      </c>
      <c r="E63" t="s">
        <v>32</v>
      </c>
      <c r="F63" s="1">
        <v>42344</v>
      </c>
      <c r="G63">
        <v>473661220</v>
      </c>
      <c r="H63" s="1">
        <v>42070</v>
      </c>
      <c r="I63">
        <v>5736</v>
      </c>
      <c r="J63">
        <v>47.45</v>
      </c>
      <c r="K63">
        <v>31.79</v>
      </c>
      <c r="L63">
        <v>272173.2</v>
      </c>
      <c r="M63">
        <v>182347.44</v>
      </c>
      <c r="N63">
        <v>89825.76</v>
      </c>
    </row>
    <row r="64" spans="1:14" x14ac:dyDescent="0.25">
      <c r="A64" t="s">
        <v>25</v>
      </c>
      <c r="B64" t="s">
        <v>47</v>
      </c>
      <c r="C64" t="s">
        <v>16</v>
      </c>
      <c r="D64" t="s">
        <v>17</v>
      </c>
      <c r="E64" t="s">
        <v>23</v>
      </c>
      <c r="F64" s="1">
        <v>42098</v>
      </c>
      <c r="G64">
        <v>184412229</v>
      </c>
      <c r="H64" s="1">
        <v>42189</v>
      </c>
      <c r="I64">
        <v>531</v>
      </c>
      <c r="J64">
        <v>255.28</v>
      </c>
      <c r="K64">
        <v>159.41999999999999</v>
      </c>
      <c r="L64">
        <v>135553.68</v>
      </c>
      <c r="M64">
        <v>84652.02</v>
      </c>
      <c r="N64">
        <v>50901.66</v>
      </c>
    </row>
    <row r="65" spans="1:14" x14ac:dyDescent="0.25">
      <c r="A65" t="s">
        <v>29</v>
      </c>
      <c r="B65" t="s">
        <v>159</v>
      </c>
      <c r="C65" t="s">
        <v>113</v>
      </c>
      <c r="D65" t="s">
        <v>22</v>
      </c>
      <c r="E65" t="s">
        <v>45</v>
      </c>
      <c r="F65" s="1">
        <v>42712</v>
      </c>
      <c r="G65">
        <v>483110320</v>
      </c>
      <c r="H65" t="s">
        <v>160</v>
      </c>
      <c r="I65">
        <v>1934</v>
      </c>
      <c r="J65">
        <v>154.06</v>
      </c>
      <c r="K65">
        <v>90.93</v>
      </c>
      <c r="L65">
        <v>297952.03999999998</v>
      </c>
      <c r="M65">
        <v>175858.62</v>
      </c>
      <c r="N65">
        <v>122093.42</v>
      </c>
    </row>
    <row r="66" spans="1:14" x14ac:dyDescent="0.25">
      <c r="A66" t="s">
        <v>14</v>
      </c>
      <c r="B66" t="s">
        <v>81</v>
      </c>
      <c r="C66" t="s">
        <v>131</v>
      </c>
      <c r="D66" t="s">
        <v>17</v>
      </c>
      <c r="E66" t="s">
        <v>45</v>
      </c>
      <c r="F66" t="s">
        <v>161</v>
      </c>
      <c r="G66">
        <v>115116822</v>
      </c>
      <c r="H66" s="1">
        <v>42380</v>
      </c>
      <c r="I66">
        <v>4481</v>
      </c>
      <c r="J66">
        <v>668.27</v>
      </c>
      <c r="K66">
        <v>502.54</v>
      </c>
      <c r="L66">
        <v>2994517.87</v>
      </c>
      <c r="M66">
        <v>2251881.7400000002</v>
      </c>
      <c r="N66">
        <v>742636.13</v>
      </c>
    </row>
    <row r="67" spans="1:14" x14ac:dyDescent="0.25">
      <c r="A67" t="s">
        <v>38</v>
      </c>
      <c r="B67" t="s">
        <v>117</v>
      </c>
      <c r="C67" t="s">
        <v>16</v>
      </c>
      <c r="D67" t="s">
        <v>17</v>
      </c>
      <c r="E67" t="s">
        <v>18</v>
      </c>
      <c r="F67" t="s">
        <v>162</v>
      </c>
      <c r="G67">
        <v>596105563</v>
      </c>
      <c r="H67" t="s">
        <v>163</v>
      </c>
      <c r="I67">
        <v>9738</v>
      </c>
      <c r="J67">
        <v>255.28</v>
      </c>
      <c r="K67">
        <v>159.41999999999999</v>
      </c>
      <c r="L67">
        <v>2485916.64</v>
      </c>
      <c r="M67">
        <v>1552431.96</v>
      </c>
      <c r="N67">
        <v>933484.68</v>
      </c>
    </row>
    <row r="68" spans="1:14" x14ac:dyDescent="0.25">
      <c r="A68" t="s">
        <v>51</v>
      </c>
      <c r="B68" t="s">
        <v>164</v>
      </c>
      <c r="C68" t="s">
        <v>21</v>
      </c>
      <c r="D68" t="s">
        <v>17</v>
      </c>
      <c r="E68" t="s">
        <v>23</v>
      </c>
      <c r="F68" s="1">
        <v>41924</v>
      </c>
      <c r="G68">
        <v>362062871</v>
      </c>
      <c r="H68" t="s">
        <v>165</v>
      </c>
      <c r="I68">
        <v>1304</v>
      </c>
      <c r="J68">
        <v>152.58000000000001</v>
      </c>
      <c r="K68">
        <v>97.44</v>
      </c>
      <c r="L68">
        <v>198964.32</v>
      </c>
      <c r="M68">
        <v>127061.75999999999</v>
      </c>
      <c r="N68">
        <v>71902.559999999998</v>
      </c>
    </row>
    <row r="69" spans="1:14" x14ac:dyDescent="0.25">
      <c r="A69" t="s">
        <v>51</v>
      </c>
      <c r="B69" t="s">
        <v>166</v>
      </c>
      <c r="C69" t="s">
        <v>27</v>
      </c>
      <c r="D69" t="s">
        <v>17</v>
      </c>
      <c r="E69" t="s">
        <v>45</v>
      </c>
      <c r="F69" t="s">
        <v>167</v>
      </c>
      <c r="G69">
        <v>619287574</v>
      </c>
      <c r="H69" s="1">
        <v>42408</v>
      </c>
      <c r="I69">
        <v>9810</v>
      </c>
      <c r="J69">
        <v>47.45</v>
      </c>
      <c r="K69">
        <v>31.79</v>
      </c>
      <c r="L69">
        <v>465484.5</v>
      </c>
      <c r="M69">
        <v>311859.90000000002</v>
      </c>
      <c r="N69">
        <v>153624.6</v>
      </c>
    </row>
    <row r="70" spans="1:14" x14ac:dyDescent="0.25">
      <c r="A70" t="s">
        <v>14</v>
      </c>
      <c r="B70" t="s">
        <v>66</v>
      </c>
      <c r="C70" t="s">
        <v>44</v>
      </c>
      <c r="D70" t="s">
        <v>22</v>
      </c>
      <c r="E70" t="s">
        <v>45</v>
      </c>
      <c r="F70" s="1">
        <v>42649</v>
      </c>
      <c r="G70">
        <v>394391000</v>
      </c>
      <c r="H70" t="s">
        <v>168</v>
      </c>
      <c r="I70">
        <v>7916</v>
      </c>
      <c r="J70">
        <v>109.28</v>
      </c>
      <c r="K70">
        <v>35.840000000000003</v>
      </c>
      <c r="L70">
        <v>865060.48</v>
      </c>
      <c r="M70">
        <v>283709.44</v>
      </c>
      <c r="N70">
        <v>581351.04</v>
      </c>
    </row>
    <row r="71" spans="1:14" x14ac:dyDescent="0.25">
      <c r="A71" t="s">
        <v>51</v>
      </c>
      <c r="B71" t="s">
        <v>169</v>
      </c>
      <c r="C71" t="s">
        <v>27</v>
      </c>
      <c r="D71" t="s">
        <v>17</v>
      </c>
      <c r="E71" t="s">
        <v>18</v>
      </c>
      <c r="F71" t="s">
        <v>82</v>
      </c>
      <c r="G71">
        <v>584296977</v>
      </c>
      <c r="H71" t="s">
        <v>170</v>
      </c>
      <c r="I71">
        <v>5315</v>
      </c>
      <c r="J71">
        <v>47.45</v>
      </c>
      <c r="K71">
        <v>31.79</v>
      </c>
      <c r="L71">
        <v>252196.75</v>
      </c>
      <c r="M71">
        <v>168963.85</v>
      </c>
      <c r="N71">
        <v>83232.899999999994</v>
      </c>
    </row>
    <row r="72" spans="1:14" x14ac:dyDescent="0.25">
      <c r="A72" t="s">
        <v>38</v>
      </c>
      <c r="B72" t="s">
        <v>85</v>
      </c>
      <c r="C72" t="s">
        <v>44</v>
      </c>
      <c r="D72" t="s">
        <v>22</v>
      </c>
      <c r="E72" t="s">
        <v>18</v>
      </c>
      <c r="F72" s="1">
        <v>41766</v>
      </c>
      <c r="G72">
        <v>806241834</v>
      </c>
      <c r="H72" t="s">
        <v>171</v>
      </c>
      <c r="I72">
        <v>3730</v>
      </c>
      <c r="J72">
        <v>109.28</v>
      </c>
      <c r="K72">
        <v>35.840000000000003</v>
      </c>
      <c r="L72">
        <v>407614.4</v>
      </c>
      <c r="M72">
        <v>133683.20000000001</v>
      </c>
      <c r="N72">
        <v>273931.2</v>
      </c>
    </row>
    <row r="73" spans="1:14" x14ac:dyDescent="0.25">
      <c r="A73" t="s">
        <v>25</v>
      </c>
      <c r="B73" t="s">
        <v>172</v>
      </c>
      <c r="C73" t="s">
        <v>69</v>
      </c>
      <c r="D73" t="s">
        <v>22</v>
      </c>
      <c r="E73" t="s">
        <v>18</v>
      </c>
      <c r="F73" s="1">
        <v>42950</v>
      </c>
      <c r="G73">
        <v>747774398</v>
      </c>
      <c r="H73" s="1">
        <v>42798</v>
      </c>
      <c r="I73">
        <v>1916</v>
      </c>
      <c r="J73">
        <v>421.89</v>
      </c>
      <c r="K73">
        <v>364.69</v>
      </c>
      <c r="L73">
        <v>808341.24</v>
      </c>
      <c r="M73">
        <v>698746.04</v>
      </c>
      <c r="N73">
        <v>109595.2</v>
      </c>
    </row>
    <row r="74" spans="1:14" x14ac:dyDescent="0.25">
      <c r="A74" t="s">
        <v>14</v>
      </c>
      <c r="B74" t="s">
        <v>20</v>
      </c>
      <c r="C74" t="s">
        <v>69</v>
      </c>
      <c r="D74" t="s">
        <v>17</v>
      </c>
      <c r="E74" t="s">
        <v>45</v>
      </c>
      <c r="F74" t="s">
        <v>173</v>
      </c>
      <c r="G74">
        <v>616755998</v>
      </c>
      <c r="H74" s="1">
        <v>40614</v>
      </c>
      <c r="I74">
        <v>660</v>
      </c>
      <c r="J74">
        <v>421.89</v>
      </c>
      <c r="K74">
        <v>364.69</v>
      </c>
      <c r="L74">
        <v>278447.40000000002</v>
      </c>
      <c r="M74">
        <v>240695.4</v>
      </c>
      <c r="N74">
        <v>37752</v>
      </c>
    </row>
    <row r="75" spans="1:14" x14ac:dyDescent="0.25">
      <c r="A75" t="s">
        <v>42</v>
      </c>
      <c r="B75" t="s">
        <v>174</v>
      </c>
      <c r="C75" t="s">
        <v>16</v>
      </c>
      <c r="D75" t="s">
        <v>22</v>
      </c>
      <c r="E75" t="s">
        <v>23</v>
      </c>
      <c r="F75" t="s">
        <v>175</v>
      </c>
      <c r="G75">
        <v>691360461</v>
      </c>
      <c r="H75" s="1">
        <v>42562</v>
      </c>
      <c r="I75">
        <v>7779</v>
      </c>
      <c r="J75">
        <v>255.28</v>
      </c>
      <c r="K75">
        <v>159.41999999999999</v>
      </c>
      <c r="L75">
        <v>1985823.12</v>
      </c>
      <c r="M75">
        <v>1240128.18</v>
      </c>
      <c r="N75">
        <v>745694.94</v>
      </c>
    </row>
    <row r="76" spans="1:14" x14ac:dyDescent="0.25">
      <c r="A76" t="s">
        <v>14</v>
      </c>
      <c r="B76" t="s">
        <v>66</v>
      </c>
      <c r="C76" t="s">
        <v>27</v>
      </c>
      <c r="D76" t="s">
        <v>17</v>
      </c>
      <c r="E76" t="s">
        <v>23</v>
      </c>
      <c r="F76" s="1">
        <v>41278</v>
      </c>
      <c r="G76">
        <v>870074117</v>
      </c>
      <c r="H76" t="s">
        <v>176</v>
      </c>
      <c r="I76">
        <v>3121</v>
      </c>
      <c r="J76">
        <v>47.45</v>
      </c>
      <c r="K76">
        <v>31.79</v>
      </c>
      <c r="L76">
        <v>148091.45000000001</v>
      </c>
      <c r="M76">
        <v>99216.59</v>
      </c>
      <c r="N76">
        <v>48874.86</v>
      </c>
    </row>
    <row r="77" spans="1:14" x14ac:dyDescent="0.25">
      <c r="A77" t="s">
        <v>38</v>
      </c>
      <c r="B77" t="s">
        <v>177</v>
      </c>
      <c r="C77" t="s">
        <v>55</v>
      </c>
      <c r="D77" t="s">
        <v>17</v>
      </c>
      <c r="E77" t="s">
        <v>45</v>
      </c>
      <c r="F77" s="1">
        <v>40181</v>
      </c>
      <c r="G77">
        <v>221695792</v>
      </c>
      <c r="H77" t="s">
        <v>163</v>
      </c>
      <c r="I77">
        <v>3566</v>
      </c>
      <c r="J77">
        <v>651.21</v>
      </c>
      <c r="K77">
        <v>524.96</v>
      </c>
      <c r="L77">
        <v>2322214.86</v>
      </c>
      <c r="M77">
        <v>1872007.36</v>
      </c>
      <c r="N77">
        <v>450207.5</v>
      </c>
    </row>
    <row r="78" spans="1:14" x14ac:dyDescent="0.25">
      <c r="A78" t="s">
        <v>42</v>
      </c>
      <c r="B78" t="s">
        <v>103</v>
      </c>
      <c r="C78" t="s">
        <v>88</v>
      </c>
      <c r="D78" t="s">
        <v>17</v>
      </c>
      <c r="E78" t="s">
        <v>18</v>
      </c>
      <c r="F78" t="s">
        <v>178</v>
      </c>
      <c r="G78">
        <v>135336816</v>
      </c>
      <c r="H78" t="s">
        <v>179</v>
      </c>
      <c r="I78">
        <v>8026</v>
      </c>
      <c r="J78">
        <v>9.33</v>
      </c>
      <c r="K78">
        <v>6.92</v>
      </c>
      <c r="L78">
        <v>74882.58</v>
      </c>
      <c r="M78">
        <v>55539.92</v>
      </c>
      <c r="N78">
        <v>19342.66</v>
      </c>
    </row>
    <row r="79" spans="1:14" x14ac:dyDescent="0.25">
      <c r="A79" t="s">
        <v>42</v>
      </c>
      <c r="B79" t="s">
        <v>43</v>
      </c>
      <c r="C79" t="s">
        <v>55</v>
      </c>
      <c r="D79" t="s">
        <v>17</v>
      </c>
      <c r="E79" t="s">
        <v>32</v>
      </c>
      <c r="F79" t="s">
        <v>180</v>
      </c>
      <c r="G79">
        <v>270421016</v>
      </c>
      <c r="H79" t="s">
        <v>181</v>
      </c>
      <c r="I79">
        <v>2443</v>
      </c>
      <c r="J79">
        <v>651.21</v>
      </c>
      <c r="K79">
        <v>524.96</v>
      </c>
      <c r="L79">
        <v>1590906.03</v>
      </c>
      <c r="M79">
        <v>1282477.28</v>
      </c>
      <c r="N79">
        <v>308428.75</v>
      </c>
    </row>
    <row r="80" spans="1:14" x14ac:dyDescent="0.25">
      <c r="A80" t="s">
        <v>51</v>
      </c>
      <c r="B80" t="s">
        <v>182</v>
      </c>
      <c r="C80" t="s">
        <v>131</v>
      </c>
      <c r="D80" t="s">
        <v>17</v>
      </c>
      <c r="E80" t="s">
        <v>45</v>
      </c>
      <c r="F80" t="s">
        <v>183</v>
      </c>
      <c r="G80">
        <v>806684720</v>
      </c>
      <c r="H80" t="s">
        <v>184</v>
      </c>
      <c r="I80">
        <v>4790</v>
      </c>
      <c r="J80">
        <v>668.27</v>
      </c>
      <c r="K80">
        <v>502.54</v>
      </c>
      <c r="L80">
        <v>3201013.3</v>
      </c>
      <c r="M80">
        <v>2407166.6</v>
      </c>
      <c r="N80">
        <v>793846.7</v>
      </c>
    </row>
    <row r="81" spans="1:14" x14ac:dyDescent="0.25">
      <c r="A81" t="s">
        <v>25</v>
      </c>
      <c r="B81" t="s">
        <v>185</v>
      </c>
      <c r="C81" t="s">
        <v>131</v>
      </c>
      <c r="D81" t="s">
        <v>17</v>
      </c>
      <c r="E81" t="s">
        <v>18</v>
      </c>
      <c r="F81" s="1">
        <v>43015</v>
      </c>
      <c r="G81">
        <v>194176757</v>
      </c>
      <c r="H81" t="s">
        <v>186</v>
      </c>
      <c r="I81">
        <v>72</v>
      </c>
      <c r="J81">
        <v>668.27</v>
      </c>
      <c r="K81">
        <v>502.54</v>
      </c>
      <c r="L81">
        <v>48115.44</v>
      </c>
      <c r="M81">
        <v>36182.879999999997</v>
      </c>
      <c r="N81">
        <v>11932.56</v>
      </c>
    </row>
    <row r="82" spans="1:14" x14ac:dyDescent="0.25">
      <c r="A82" t="s">
        <v>38</v>
      </c>
      <c r="B82" t="s">
        <v>187</v>
      </c>
      <c r="C82" t="s">
        <v>16</v>
      </c>
      <c r="D82" t="s">
        <v>22</v>
      </c>
      <c r="E82" t="s">
        <v>45</v>
      </c>
      <c r="F82" t="s">
        <v>188</v>
      </c>
      <c r="G82">
        <v>103258454</v>
      </c>
      <c r="H82" t="s">
        <v>189</v>
      </c>
      <c r="I82">
        <v>5326</v>
      </c>
      <c r="J82">
        <v>255.28</v>
      </c>
      <c r="K82">
        <v>159.41999999999999</v>
      </c>
      <c r="L82">
        <v>1359621.28</v>
      </c>
      <c r="M82">
        <v>849070.92</v>
      </c>
      <c r="N82">
        <v>510550.36</v>
      </c>
    </row>
    <row r="83" spans="1:14" x14ac:dyDescent="0.25">
      <c r="A83" t="s">
        <v>38</v>
      </c>
      <c r="B83" t="s">
        <v>190</v>
      </c>
      <c r="C83" t="s">
        <v>55</v>
      </c>
      <c r="D83" t="s">
        <v>17</v>
      </c>
      <c r="E83" t="s">
        <v>45</v>
      </c>
      <c r="F83" t="s">
        <v>191</v>
      </c>
      <c r="G83">
        <v>474603641</v>
      </c>
      <c r="H83" t="s">
        <v>130</v>
      </c>
      <c r="I83">
        <v>4619</v>
      </c>
      <c r="J83">
        <v>651.21</v>
      </c>
      <c r="K83">
        <v>524.96</v>
      </c>
      <c r="L83">
        <v>3007938.99</v>
      </c>
      <c r="M83">
        <v>2424790.2400000002</v>
      </c>
      <c r="N83">
        <v>583148.75</v>
      </c>
    </row>
    <row r="84" spans="1:14" x14ac:dyDescent="0.25">
      <c r="A84" t="s">
        <v>51</v>
      </c>
      <c r="B84" t="s">
        <v>192</v>
      </c>
      <c r="C84" t="s">
        <v>31</v>
      </c>
      <c r="D84" t="s">
        <v>17</v>
      </c>
      <c r="E84" t="s">
        <v>45</v>
      </c>
      <c r="F84" t="s">
        <v>193</v>
      </c>
      <c r="G84">
        <v>869198644</v>
      </c>
      <c r="H84" s="1">
        <v>41395</v>
      </c>
      <c r="I84">
        <v>4049</v>
      </c>
      <c r="J84">
        <v>205.7</v>
      </c>
      <c r="K84">
        <v>117.11</v>
      </c>
      <c r="L84">
        <v>832879.3</v>
      </c>
      <c r="M84">
        <v>474178.39</v>
      </c>
      <c r="N84">
        <v>358700.91</v>
      </c>
    </row>
    <row r="85" spans="1:14" x14ac:dyDescent="0.25">
      <c r="A85" t="s">
        <v>51</v>
      </c>
      <c r="B85" t="s">
        <v>194</v>
      </c>
      <c r="C85" t="s">
        <v>131</v>
      </c>
      <c r="D85" t="s">
        <v>17</v>
      </c>
      <c r="E85" t="s">
        <v>45</v>
      </c>
      <c r="F85" s="1">
        <v>42015</v>
      </c>
      <c r="G85">
        <v>918342292</v>
      </c>
      <c r="H85" t="s">
        <v>195</v>
      </c>
      <c r="I85">
        <v>6747</v>
      </c>
      <c r="J85">
        <v>668.27</v>
      </c>
      <c r="K85">
        <v>502.54</v>
      </c>
      <c r="L85">
        <v>4508817.6900000004</v>
      </c>
      <c r="M85">
        <v>3390637.38</v>
      </c>
      <c r="N85">
        <v>1118180.31</v>
      </c>
    </row>
    <row r="86" spans="1:14" x14ac:dyDescent="0.25">
      <c r="A86" t="s">
        <v>25</v>
      </c>
      <c r="B86" t="s">
        <v>196</v>
      </c>
      <c r="C86" t="s">
        <v>59</v>
      </c>
      <c r="D86" t="s">
        <v>17</v>
      </c>
      <c r="E86" t="s">
        <v>45</v>
      </c>
      <c r="F86" t="s">
        <v>197</v>
      </c>
      <c r="G86">
        <v>773645913</v>
      </c>
      <c r="H86" t="s">
        <v>198</v>
      </c>
      <c r="I86">
        <v>7873</v>
      </c>
      <c r="J86">
        <v>437.2</v>
      </c>
      <c r="K86">
        <v>263.33</v>
      </c>
      <c r="L86">
        <v>3442075.6</v>
      </c>
      <c r="M86">
        <v>2073197.09</v>
      </c>
      <c r="N86">
        <v>1368878.51</v>
      </c>
    </row>
    <row r="87" spans="1:14" x14ac:dyDescent="0.25">
      <c r="A87" t="s">
        <v>29</v>
      </c>
      <c r="B87" t="s">
        <v>199</v>
      </c>
      <c r="C87" t="s">
        <v>59</v>
      </c>
      <c r="D87" t="s">
        <v>17</v>
      </c>
      <c r="E87" t="s">
        <v>23</v>
      </c>
      <c r="F87" t="s">
        <v>139</v>
      </c>
      <c r="G87">
        <v>657033336</v>
      </c>
      <c r="H87" s="1">
        <v>41677</v>
      </c>
      <c r="I87">
        <v>9620</v>
      </c>
      <c r="J87">
        <v>437.2</v>
      </c>
      <c r="K87">
        <v>263.33</v>
      </c>
      <c r="L87">
        <v>4205864</v>
      </c>
      <c r="M87">
        <v>2533234.6</v>
      </c>
      <c r="N87">
        <v>1672629.4</v>
      </c>
    </row>
    <row r="88" spans="1:14" x14ac:dyDescent="0.25">
      <c r="A88" t="s">
        <v>25</v>
      </c>
      <c r="B88" t="s">
        <v>47</v>
      </c>
      <c r="C88" t="s">
        <v>69</v>
      </c>
      <c r="D88" t="s">
        <v>17</v>
      </c>
      <c r="E88" t="s">
        <v>45</v>
      </c>
      <c r="F88" t="s">
        <v>200</v>
      </c>
      <c r="G88">
        <v>410740888</v>
      </c>
      <c r="H88" s="1">
        <v>40917</v>
      </c>
      <c r="I88">
        <v>6211</v>
      </c>
      <c r="J88">
        <v>421.89</v>
      </c>
      <c r="K88">
        <v>364.69</v>
      </c>
      <c r="L88">
        <v>2620358.79</v>
      </c>
      <c r="M88">
        <v>2265089.59</v>
      </c>
      <c r="N88">
        <v>355269.2</v>
      </c>
    </row>
    <row r="89" spans="1:14" x14ac:dyDescent="0.25">
      <c r="A89" t="s">
        <v>25</v>
      </c>
      <c r="B89" t="s">
        <v>201</v>
      </c>
      <c r="C89" t="s">
        <v>69</v>
      </c>
      <c r="D89" t="s">
        <v>22</v>
      </c>
      <c r="E89" t="s">
        <v>18</v>
      </c>
      <c r="F89" t="s">
        <v>202</v>
      </c>
      <c r="G89">
        <v>847317397</v>
      </c>
      <c r="H89" t="s">
        <v>203</v>
      </c>
      <c r="I89">
        <v>8902</v>
      </c>
      <c r="J89">
        <v>421.89</v>
      </c>
      <c r="K89">
        <v>364.69</v>
      </c>
      <c r="L89">
        <v>3755664.78</v>
      </c>
      <c r="M89">
        <v>3246470.38</v>
      </c>
      <c r="N89">
        <v>509194.4</v>
      </c>
    </row>
    <row r="90" spans="1:14" x14ac:dyDescent="0.25">
      <c r="A90" t="s">
        <v>25</v>
      </c>
      <c r="B90" t="s">
        <v>204</v>
      </c>
      <c r="C90" t="s">
        <v>27</v>
      </c>
      <c r="D90" t="s">
        <v>17</v>
      </c>
      <c r="E90" t="s">
        <v>32</v>
      </c>
      <c r="F90" s="1">
        <v>40977</v>
      </c>
      <c r="G90">
        <v>599624192</v>
      </c>
      <c r="H90" t="s">
        <v>205</v>
      </c>
      <c r="I90">
        <v>978</v>
      </c>
      <c r="J90">
        <v>47.45</v>
      </c>
      <c r="K90">
        <v>31.79</v>
      </c>
      <c r="L90">
        <v>46406.1</v>
      </c>
      <c r="M90">
        <v>31090.62</v>
      </c>
      <c r="N90">
        <v>15315.48</v>
      </c>
    </row>
    <row r="91" spans="1:14" x14ac:dyDescent="0.25">
      <c r="A91" t="s">
        <v>29</v>
      </c>
      <c r="B91" t="s">
        <v>206</v>
      </c>
      <c r="C91" t="s">
        <v>27</v>
      </c>
      <c r="D91" t="s">
        <v>22</v>
      </c>
      <c r="E91" t="s">
        <v>45</v>
      </c>
      <c r="F91" t="s">
        <v>207</v>
      </c>
      <c r="G91">
        <v>170835101</v>
      </c>
      <c r="H91" s="1">
        <v>41245</v>
      </c>
      <c r="I91">
        <v>2758</v>
      </c>
      <c r="J91">
        <v>47.45</v>
      </c>
      <c r="K91">
        <v>31.79</v>
      </c>
      <c r="L91">
        <v>130867.1</v>
      </c>
      <c r="M91">
        <v>87676.82</v>
      </c>
      <c r="N91">
        <v>43190.28</v>
      </c>
    </row>
    <row r="92" spans="1:14" x14ac:dyDescent="0.25">
      <c r="A92" t="s">
        <v>14</v>
      </c>
      <c r="B92" t="s">
        <v>208</v>
      </c>
      <c r="C92" t="s">
        <v>31</v>
      </c>
      <c r="D92" t="s">
        <v>17</v>
      </c>
      <c r="E92" t="s">
        <v>45</v>
      </c>
      <c r="F92" t="s">
        <v>209</v>
      </c>
      <c r="G92">
        <v>584436452</v>
      </c>
      <c r="H92" s="1">
        <v>42615</v>
      </c>
      <c r="I92">
        <v>6588</v>
      </c>
      <c r="J92">
        <v>205.7</v>
      </c>
      <c r="K92">
        <v>117.11</v>
      </c>
      <c r="L92">
        <v>1355151.6</v>
      </c>
      <c r="M92">
        <v>771520.68</v>
      </c>
      <c r="N92">
        <v>583630.92000000004</v>
      </c>
    </row>
    <row r="93" spans="1:14" x14ac:dyDescent="0.25">
      <c r="A93" t="s">
        <v>51</v>
      </c>
      <c r="B93" t="s">
        <v>210</v>
      </c>
      <c r="C93" t="s">
        <v>55</v>
      </c>
      <c r="D93" t="s">
        <v>17</v>
      </c>
      <c r="E93" t="s">
        <v>45</v>
      </c>
      <c r="F93" s="1">
        <v>40949</v>
      </c>
      <c r="G93">
        <v>234227073</v>
      </c>
      <c r="H93" s="1">
        <v>41253</v>
      </c>
      <c r="I93">
        <v>1851</v>
      </c>
      <c r="J93">
        <v>651.21</v>
      </c>
      <c r="K93">
        <v>524.96</v>
      </c>
      <c r="L93">
        <v>1205389.71</v>
      </c>
      <c r="M93">
        <v>971700.96</v>
      </c>
      <c r="N93">
        <v>233688.75</v>
      </c>
    </row>
    <row r="94" spans="1:14" x14ac:dyDescent="0.25">
      <c r="A94" t="s">
        <v>25</v>
      </c>
      <c r="B94" t="s">
        <v>211</v>
      </c>
      <c r="C94" t="s">
        <v>55</v>
      </c>
      <c r="D94" t="s">
        <v>17</v>
      </c>
      <c r="E94" t="s">
        <v>18</v>
      </c>
      <c r="F94" t="s">
        <v>212</v>
      </c>
      <c r="G94">
        <v>734318292</v>
      </c>
      <c r="H94" s="1">
        <v>41732</v>
      </c>
      <c r="I94">
        <v>9956</v>
      </c>
      <c r="J94">
        <v>651.21</v>
      </c>
      <c r="K94">
        <v>524.96</v>
      </c>
      <c r="L94">
        <v>6483446.7599999998</v>
      </c>
      <c r="M94">
        <v>5226501.76</v>
      </c>
      <c r="N94">
        <v>1256945</v>
      </c>
    </row>
    <row r="95" spans="1:14" x14ac:dyDescent="0.25">
      <c r="A95" t="s">
        <v>14</v>
      </c>
      <c r="B95" t="s">
        <v>213</v>
      </c>
      <c r="C95" t="s">
        <v>21</v>
      </c>
      <c r="D95" t="s">
        <v>17</v>
      </c>
      <c r="E95" t="s">
        <v>45</v>
      </c>
      <c r="F95" t="s">
        <v>214</v>
      </c>
      <c r="G95">
        <v>169133937</v>
      </c>
      <c r="H95" t="s">
        <v>215</v>
      </c>
      <c r="I95">
        <v>9345</v>
      </c>
      <c r="J95">
        <v>152.58000000000001</v>
      </c>
      <c r="K95">
        <v>97.44</v>
      </c>
      <c r="L95">
        <v>1425860.1</v>
      </c>
      <c r="M95">
        <v>910576.8</v>
      </c>
      <c r="N95">
        <v>515283.3</v>
      </c>
    </row>
    <row r="96" spans="1:14" x14ac:dyDescent="0.25">
      <c r="A96" t="s">
        <v>29</v>
      </c>
      <c r="B96" t="s">
        <v>35</v>
      </c>
      <c r="C96" t="s">
        <v>31</v>
      </c>
      <c r="D96" t="s">
        <v>17</v>
      </c>
      <c r="E96" t="s">
        <v>23</v>
      </c>
      <c r="F96" t="s">
        <v>216</v>
      </c>
      <c r="G96">
        <v>743410336</v>
      </c>
      <c r="H96" t="s">
        <v>217</v>
      </c>
      <c r="I96">
        <v>494</v>
      </c>
      <c r="J96">
        <v>205.7</v>
      </c>
      <c r="K96">
        <v>117.11</v>
      </c>
      <c r="L96">
        <v>101615.8</v>
      </c>
      <c r="M96">
        <v>57852.34</v>
      </c>
      <c r="N96">
        <v>43763.46</v>
      </c>
    </row>
    <row r="97" spans="1:14" x14ac:dyDescent="0.25">
      <c r="A97" t="s">
        <v>25</v>
      </c>
      <c r="B97" t="s">
        <v>218</v>
      </c>
      <c r="C97" t="s">
        <v>131</v>
      </c>
      <c r="D97" t="s">
        <v>22</v>
      </c>
      <c r="E97" t="s">
        <v>32</v>
      </c>
      <c r="F97" s="1">
        <v>42923</v>
      </c>
      <c r="G97">
        <v>232196319</v>
      </c>
      <c r="H97" s="1">
        <v>42833</v>
      </c>
      <c r="I97">
        <v>905</v>
      </c>
      <c r="J97">
        <v>668.27</v>
      </c>
      <c r="K97">
        <v>502.54</v>
      </c>
      <c r="L97">
        <v>604784.35</v>
      </c>
      <c r="M97">
        <v>454798.7</v>
      </c>
      <c r="N97">
        <v>149985.65</v>
      </c>
    </row>
    <row r="98" spans="1:14" x14ac:dyDescent="0.25">
      <c r="A98" t="s">
        <v>51</v>
      </c>
      <c r="B98" t="s">
        <v>219</v>
      </c>
      <c r="C98" t="s">
        <v>27</v>
      </c>
      <c r="D98" t="s">
        <v>22</v>
      </c>
      <c r="E98" t="s">
        <v>32</v>
      </c>
      <c r="F98" t="s">
        <v>220</v>
      </c>
      <c r="G98">
        <v>530853211</v>
      </c>
      <c r="H98" s="1">
        <v>41678</v>
      </c>
      <c r="I98">
        <v>117</v>
      </c>
      <c r="J98">
        <v>47.45</v>
      </c>
      <c r="K98">
        <v>31.79</v>
      </c>
      <c r="L98">
        <v>5551.65</v>
      </c>
      <c r="M98">
        <v>3719.43</v>
      </c>
      <c r="N98">
        <v>1832.22</v>
      </c>
    </row>
    <row r="99" spans="1:14" x14ac:dyDescent="0.25">
      <c r="A99" t="s">
        <v>42</v>
      </c>
      <c r="B99" t="s">
        <v>146</v>
      </c>
      <c r="C99" t="s">
        <v>88</v>
      </c>
      <c r="D99" t="s">
        <v>17</v>
      </c>
      <c r="E99" t="s">
        <v>32</v>
      </c>
      <c r="F99" s="1">
        <v>40736</v>
      </c>
      <c r="G99">
        <v>905054843</v>
      </c>
      <c r="H99" s="1">
        <v>41244</v>
      </c>
      <c r="I99">
        <v>4695</v>
      </c>
      <c r="J99">
        <v>9.33</v>
      </c>
      <c r="K99">
        <v>6.92</v>
      </c>
      <c r="L99">
        <v>43804.35</v>
      </c>
      <c r="M99">
        <v>32489.4</v>
      </c>
      <c r="N99">
        <v>11314.95</v>
      </c>
    </row>
    <row r="100" spans="1:14" x14ac:dyDescent="0.25">
      <c r="A100" t="s">
        <v>38</v>
      </c>
      <c r="B100" t="s">
        <v>117</v>
      </c>
      <c r="C100" t="s">
        <v>131</v>
      </c>
      <c r="D100" t="s">
        <v>22</v>
      </c>
      <c r="E100" t="s">
        <v>23</v>
      </c>
      <c r="F100" t="s">
        <v>221</v>
      </c>
      <c r="G100">
        <v>240787541</v>
      </c>
      <c r="H100" t="s">
        <v>222</v>
      </c>
      <c r="I100">
        <v>3239</v>
      </c>
      <c r="J100">
        <v>668.27</v>
      </c>
      <c r="K100">
        <v>502.54</v>
      </c>
      <c r="L100">
        <v>2164526.5299999998</v>
      </c>
      <c r="M100">
        <v>1627727.06</v>
      </c>
      <c r="N100">
        <v>536799.47</v>
      </c>
    </row>
    <row r="101" spans="1:14" x14ac:dyDescent="0.25">
      <c r="A101" t="s">
        <v>51</v>
      </c>
      <c r="B101" t="s">
        <v>223</v>
      </c>
      <c r="C101" t="s">
        <v>69</v>
      </c>
      <c r="D101" t="s">
        <v>17</v>
      </c>
      <c r="E101" t="s">
        <v>32</v>
      </c>
      <c r="F101" t="s">
        <v>224</v>
      </c>
      <c r="G101">
        <v>194350135</v>
      </c>
      <c r="H101" s="1">
        <v>40304</v>
      </c>
      <c r="I101">
        <v>1379</v>
      </c>
      <c r="J101">
        <v>421.89</v>
      </c>
      <c r="K101">
        <v>364.69</v>
      </c>
      <c r="L101">
        <v>581786.31000000006</v>
      </c>
      <c r="M101">
        <v>502907.51</v>
      </c>
      <c r="N101">
        <v>78878.8</v>
      </c>
    </row>
    <row r="102" spans="1:14" x14ac:dyDescent="0.25">
      <c r="A102" t="s">
        <v>29</v>
      </c>
      <c r="B102" t="s">
        <v>61</v>
      </c>
      <c r="C102" t="s">
        <v>131</v>
      </c>
      <c r="D102" t="s">
        <v>17</v>
      </c>
      <c r="E102" t="s">
        <v>32</v>
      </c>
      <c r="F102" s="1">
        <v>41612</v>
      </c>
      <c r="G102">
        <v>242353951</v>
      </c>
      <c r="H102" t="s">
        <v>225</v>
      </c>
      <c r="I102">
        <v>6775</v>
      </c>
      <c r="J102">
        <v>668.27</v>
      </c>
      <c r="K102">
        <v>502.54</v>
      </c>
      <c r="L102">
        <v>4527529.25</v>
      </c>
      <c r="M102">
        <v>3404708.5</v>
      </c>
      <c r="N102">
        <v>1122820.75</v>
      </c>
    </row>
    <row r="103" spans="1:14" x14ac:dyDescent="0.25">
      <c r="A103" t="s">
        <v>14</v>
      </c>
      <c r="B103" t="s">
        <v>226</v>
      </c>
      <c r="C103" t="s">
        <v>113</v>
      </c>
      <c r="D103" t="s">
        <v>22</v>
      </c>
      <c r="E103" t="s">
        <v>23</v>
      </c>
      <c r="F103" t="s">
        <v>227</v>
      </c>
      <c r="G103">
        <v>831722819</v>
      </c>
      <c r="H103" t="s">
        <v>228</v>
      </c>
      <c r="I103">
        <v>4120</v>
      </c>
      <c r="J103">
        <v>154.06</v>
      </c>
      <c r="K103">
        <v>90.93</v>
      </c>
      <c r="L103">
        <v>634727.19999999995</v>
      </c>
      <c r="M103">
        <v>374631.6</v>
      </c>
      <c r="N103">
        <v>260095.6</v>
      </c>
    </row>
    <row r="104" spans="1:14" x14ac:dyDescent="0.25">
      <c r="A104" t="s">
        <v>25</v>
      </c>
      <c r="B104" t="s">
        <v>229</v>
      </c>
      <c r="C104" t="s">
        <v>59</v>
      </c>
      <c r="D104" t="s">
        <v>17</v>
      </c>
      <c r="E104" t="s">
        <v>32</v>
      </c>
      <c r="F104" t="s">
        <v>230</v>
      </c>
      <c r="G104">
        <v>229693067</v>
      </c>
      <c r="H104" t="s">
        <v>230</v>
      </c>
      <c r="I104">
        <v>138</v>
      </c>
      <c r="J104">
        <v>437.2</v>
      </c>
      <c r="K104">
        <v>263.33</v>
      </c>
      <c r="L104">
        <v>60333.599999999999</v>
      </c>
      <c r="M104">
        <v>36339.54</v>
      </c>
      <c r="N104">
        <v>23994.06</v>
      </c>
    </row>
    <row r="105" spans="1:14" x14ac:dyDescent="0.25">
      <c r="A105" t="s">
        <v>51</v>
      </c>
      <c r="B105" t="s">
        <v>231</v>
      </c>
      <c r="C105" t="s">
        <v>31</v>
      </c>
      <c r="D105" t="s">
        <v>22</v>
      </c>
      <c r="E105" t="s">
        <v>45</v>
      </c>
      <c r="F105" t="s">
        <v>232</v>
      </c>
      <c r="G105">
        <v>373813521</v>
      </c>
      <c r="H105" t="s">
        <v>233</v>
      </c>
      <c r="I105">
        <v>8583</v>
      </c>
      <c r="J105">
        <v>205.7</v>
      </c>
      <c r="K105">
        <v>117.11</v>
      </c>
      <c r="L105">
        <v>1765523.1</v>
      </c>
      <c r="M105">
        <v>1005155.13</v>
      </c>
      <c r="N105">
        <v>760367.97</v>
      </c>
    </row>
    <row r="106" spans="1:14" x14ac:dyDescent="0.25">
      <c r="A106" t="s">
        <v>25</v>
      </c>
      <c r="B106" t="s">
        <v>234</v>
      </c>
      <c r="C106" t="s">
        <v>27</v>
      </c>
      <c r="D106" t="s">
        <v>17</v>
      </c>
      <c r="E106" t="s">
        <v>23</v>
      </c>
      <c r="F106" s="1">
        <v>42951</v>
      </c>
      <c r="G106">
        <v>121945512</v>
      </c>
      <c r="H106" s="1">
        <v>43073</v>
      </c>
      <c r="I106">
        <v>5242</v>
      </c>
      <c r="J106">
        <v>47.45</v>
      </c>
      <c r="K106">
        <v>31.79</v>
      </c>
      <c r="L106">
        <v>248732.9</v>
      </c>
      <c r="M106">
        <v>166643.18</v>
      </c>
      <c r="N106">
        <v>82089.72</v>
      </c>
    </row>
    <row r="107" spans="1:14" x14ac:dyDescent="0.25">
      <c r="A107" t="s">
        <v>42</v>
      </c>
      <c r="B107" t="s">
        <v>103</v>
      </c>
      <c r="C107" t="s">
        <v>88</v>
      </c>
      <c r="D107" t="s">
        <v>22</v>
      </c>
      <c r="E107" t="s">
        <v>32</v>
      </c>
      <c r="F107" s="1">
        <v>42166</v>
      </c>
      <c r="G107">
        <v>202262866</v>
      </c>
      <c r="H107" t="s">
        <v>235</v>
      </c>
      <c r="I107">
        <v>2932</v>
      </c>
      <c r="J107">
        <v>9.33</v>
      </c>
      <c r="K107">
        <v>6.92</v>
      </c>
      <c r="L107">
        <v>27355.56</v>
      </c>
      <c r="M107">
        <v>20289.439999999999</v>
      </c>
      <c r="N107">
        <v>7066.12</v>
      </c>
    </row>
    <row r="108" spans="1:14" x14ac:dyDescent="0.25">
      <c r="A108" t="s">
        <v>42</v>
      </c>
      <c r="B108" t="s">
        <v>90</v>
      </c>
      <c r="C108" t="s">
        <v>40</v>
      </c>
      <c r="D108" t="s">
        <v>22</v>
      </c>
      <c r="E108" t="s">
        <v>18</v>
      </c>
      <c r="F108" t="s">
        <v>236</v>
      </c>
      <c r="G108">
        <v>963251912</v>
      </c>
      <c r="H108" s="1">
        <v>42737</v>
      </c>
      <c r="I108">
        <v>6501</v>
      </c>
      <c r="J108">
        <v>81.73</v>
      </c>
      <c r="K108">
        <v>56.67</v>
      </c>
      <c r="L108">
        <v>531326.73</v>
      </c>
      <c r="M108">
        <v>368411.67</v>
      </c>
      <c r="N108">
        <v>162915.06</v>
      </c>
    </row>
    <row r="109" spans="1:14" x14ac:dyDescent="0.25">
      <c r="A109" t="s">
        <v>14</v>
      </c>
      <c r="B109" t="s">
        <v>15</v>
      </c>
      <c r="C109" t="s">
        <v>131</v>
      </c>
      <c r="D109" t="s">
        <v>17</v>
      </c>
      <c r="E109" t="s">
        <v>18</v>
      </c>
      <c r="F109" t="s">
        <v>237</v>
      </c>
      <c r="G109">
        <v>123711478</v>
      </c>
      <c r="H109" t="s">
        <v>238</v>
      </c>
      <c r="I109">
        <v>7830</v>
      </c>
      <c r="J109">
        <v>668.27</v>
      </c>
      <c r="K109">
        <v>502.54</v>
      </c>
      <c r="L109">
        <v>5232554.0999999996</v>
      </c>
      <c r="M109">
        <v>3934888.2</v>
      </c>
      <c r="N109">
        <v>1297665.8999999999</v>
      </c>
    </row>
    <row r="110" spans="1:14" x14ac:dyDescent="0.25">
      <c r="A110" t="s">
        <v>14</v>
      </c>
      <c r="B110" t="s">
        <v>226</v>
      </c>
      <c r="C110" t="s">
        <v>44</v>
      </c>
      <c r="D110" t="s">
        <v>22</v>
      </c>
      <c r="E110" t="s">
        <v>32</v>
      </c>
      <c r="F110" s="1">
        <v>40520</v>
      </c>
      <c r="G110">
        <v>422752892</v>
      </c>
      <c r="H110" s="1">
        <v>40520</v>
      </c>
      <c r="I110">
        <v>830</v>
      </c>
      <c r="J110">
        <v>109.28</v>
      </c>
      <c r="K110">
        <v>35.840000000000003</v>
      </c>
      <c r="L110">
        <v>90702.399999999994</v>
      </c>
      <c r="M110">
        <v>29747.200000000001</v>
      </c>
      <c r="N110">
        <v>60955.199999999997</v>
      </c>
    </row>
    <row r="111" spans="1:14" x14ac:dyDescent="0.25">
      <c r="A111" t="s">
        <v>25</v>
      </c>
      <c r="B111" t="s">
        <v>239</v>
      </c>
      <c r="C111" t="s">
        <v>88</v>
      </c>
      <c r="D111" t="s">
        <v>17</v>
      </c>
      <c r="E111" t="s">
        <v>45</v>
      </c>
      <c r="F111" t="s">
        <v>240</v>
      </c>
      <c r="G111">
        <v>169799983</v>
      </c>
      <c r="H111" t="s">
        <v>241</v>
      </c>
      <c r="I111">
        <v>6443</v>
      </c>
      <c r="J111">
        <v>9.33</v>
      </c>
      <c r="K111">
        <v>6.92</v>
      </c>
      <c r="L111">
        <v>60113.19</v>
      </c>
      <c r="M111">
        <v>44585.56</v>
      </c>
      <c r="N111">
        <v>15527.63</v>
      </c>
    </row>
    <row r="112" spans="1:14" x14ac:dyDescent="0.25">
      <c r="A112" t="s">
        <v>25</v>
      </c>
      <c r="B112" t="s">
        <v>242</v>
      </c>
      <c r="C112" t="s">
        <v>113</v>
      </c>
      <c r="D112" t="s">
        <v>17</v>
      </c>
      <c r="E112" t="s">
        <v>18</v>
      </c>
      <c r="F112" s="1">
        <v>41946</v>
      </c>
      <c r="G112">
        <v>894589078</v>
      </c>
      <c r="H112" s="1">
        <v>41916</v>
      </c>
      <c r="I112">
        <v>7643</v>
      </c>
      <c r="J112">
        <v>154.06</v>
      </c>
      <c r="K112">
        <v>90.93</v>
      </c>
      <c r="L112">
        <v>1177480.58</v>
      </c>
      <c r="M112">
        <v>694977.99</v>
      </c>
      <c r="N112">
        <v>482502.59</v>
      </c>
    </row>
    <row r="113" spans="1:14" x14ac:dyDescent="0.25">
      <c r="A113" t="s">
        <v>29</v>
      </c>
      <c r="B113" t="s">
        <v>243</v>
      </c>
      <c r="C113" t="s">
        <v>55</v>
      </c>
      <c r="D113" t="s">
        <v>22</v>
      </c>
      <c r="E113" t="s">
        <v>18</v>
      </c>
      <c r="F113" s="1">
        <v>42437</v>
      </c>
      <c r="G113">
        <v>597169005</v>
      </c>
      <c r="H113" t="s">
        <v>244</v>
      </c>
      <c r="I113">
        <v>4434</v>
      </c>
      <c r="J113">
        <v>651.21</v>
      </c>
      <c r="K113">
        <v>524.96</v>
      </c>
      <c r="L113">
        <v>2887465.14</v>
      </c>
      <c r="M113">
        <v>2327672.64</v>
      </c>
      <c r="N113">
        <v>559792.5</v>
      </c>
    </row>
    <row r="114" spans="1:14" x14ac:dyDescent="0.25">
      <c r="A114" t="s">
        <v>51</v>
      </c>
      <c r="B114" t="s">
        <v>194</v>
      </c>
      <c r="C114" t="s">
        <v>55</v>
      </c>
      <c r="D114" t="s">
        <v>22</v>
      </c>
      <c r="E114" t="s">
        <v>45</v>
      </c>
      <c r="F114" t="s">
        <v>245</v>
      </c>
      <c r="G114">
        <v>497901093</v>
      </c>
      <c r="H114" s="1">
        <v>42314</v>
      </c>
      <c r="I114">
        <v>8853</v>
      </c>
      <c r="J114">
        <v>651.21</v>
      </c>
      <c r="K114">
        <v>524.96</v>
      </c>
      <c r="L114">
        <v>5765162.1299999999</v>
      </c>
      <c r="M114">
        <v>4647470.88</v>
      </c>
      <c r="N114">
        <v>1117691.25</v>
      </c>
    </row>
    <row r="115" spans="1:14" x14ac:dyDescent="0.25">
      <c r="A115" t="s">
        <v>25</v>
      </c>
      <c r="B115" t="s">
        <v>196</v>
      </c>
      <c r="C115" t="s">
        <v>40</v>
      </c>
      <c r="D115" t="s">
        <v>17</v>
      </c>
      <c r="E115" t="s">
        <v>18</v>
      </c>
      <c r="F115" t="s">
        <v>246</v>
      </c>
      <c r="G115">
        <v>987459170</v>
      </c>
      <c r="H115" t="s">
        <v>247</v>
      </c>
      <c r="I115">
        <v>9967</v>
      </c>
      <c r="J115">
        <v>81.73</v>
      </c>
      <c r="K115">
        <v>56.67</v>
      </c>
      <c r="L115">
        <v>814602.91</v>
      </c>
      <c r="M115">
        <v>564829.89</v>
      </c>
      <c r="N115">
        <v>249773.02</v>
      </c>
    </row>
    <row r="116" spans="1:14" x14ac:dyDescent="0.25">
      <c r="A116" t="s">
        <v>29</v>
      </c>
      <c r="B116" t="s">
        <v>248</v>
      </c>
      <c r="C116" t="s">
        <v>40</v>
      </c>
      <c r="D116" t="s">
        <v>22</v>
      </c>
      <c r="E116" t="s">
        <v>18</v>
      </c>
      <c r="F116" t="s">
        <v>197</v>
      </c>
      <c r="G116">
        <v>276829564</v>
      </c>
      <c r="H116" t="s">
        <v>249</v>
      </c>
      <c r="I116">
        <v>8875</v>
      </c>
      <c r="J116">
        <v>81.73</v>
      </c>
      <c r="K116">
        <v>56.67</v>
      </c>
      <c r="L116">
        <v>725353.75</v>
      </c>
      <c r="M116">
        <v>502946.25</v>
      </c>
      <c r="N116">
        <v>222407.5</v>
      </c>
    </row>
    <row r="117" spans="1:14" x14ac:dyDescent="0.25">
      <c r="A117" t="s">
        <v>51</v>
      </c>
      <c r="B117" t="s">
        <v>250</v>
      </c>
      <c r="C117" t="s">
        <v>131</v>
      </c>
      <c r="D117" t="s">
        <v>22</v>
      </c>
      <c r="E117" t="s">
        <v>45</v>
      </c>
      <c r="F117" t="s">
        <v>251</v>
      </c>
      <c r="G117">
        <v>247311103</v>
      </c>
      <c r="H117" s="1">
        <v>42315</v>
      </c>
      <c r="I117">
        <v>3706</v>
      </c>
      <c r="J117">
        <v>668.27</v>
      </c>
      <c r="K117">
        <v>502.54</v>
      </c>
      <c r="L117">
        <v>2476608.62</v>
      </c>
      <c r="M117">
        <v>1862413.24</v>
      </c>
      <c r="N117">
        <v>614195.38</v>
      </c>
    </row>
    <row r="118" spans="1:14" x14ac:dyDescent="0.25">
      <c r="A118" t="s">
        <v>25</v>
      </c>
      <c r="B118" t="s">
        <v>252</v>
      </c>
      <c r="C118" t="s">
        <v>88</v>
      </c>
      <c r="D118" t="s">
        <v>22</v>
      </c>
      <c r="E118" t="s">
        <v>18</v>
      </c>
      <c r="F118" s="1">
        <v>42345</v>
      </c>
      <c r="G118">
        <v>600515115</v>
      </c>
      <c r="H118" t="s">
        <v>253</v>
      </c>
      <c r="I118">
        <v>4622</v>
      </c>
      <c r="J118">
        <v>9.33</v>
      </c>
      <c r="K118">
        <v>6.92</v>
      </c>
      <c r="L118">
        <v>43123.26</v>
      </c>
      <c r="M118">
        <v>31984.240000000002</v>
      </c>
      <c r="N118">
        <v>11139.02</v>
      </c>
    </row>
    <row r="119" spans="1:14" x14ac:dyDescent="0.25">
      <c r="A119" t="s">
        <v>25</v>
      </c>
      <c r="B119" t="s">
        <v>218</v>
      </c>
      <c r="C119" t="s">
        <v>55</v>
      </c>
      <c r="D119" t="s">
        <v>22</v>
      </c>
      <c r="E119" t="s">
        <v>18</v>
      </c>
      <c r="F119" t="s">
        <v>254</v>
      </c>
      <c r="G119">
        <v>208365428</v>
      </c>
      <c r="H119" t="s">
        <v>255</v>
      </c>
      <c r="I119">
        <v>8815</v>
      </c>
      <c r="J119">
        <v>651.21</v>
      </c>
      <c r="K119">
        <v>524.96</v>
      </c>
      <c r="L119">
        <v>5740416.1500000004</v>
      </c>
      <c r="M119">
        <v>4627522.4000000004</v>
      </c>
      <c r="N119">
        <v>1112893.75</v>
      </c>
    </row>
    <row r="120" spans="1:14" x14ac:dyDescent="0.25">
      <c r="A120" t="s">
        <v>25</v>
      </c>
      <c r="B120" t="s">
        <v>256</v>
      </c>
      <c r="C120" t="s">
        <v>40</v>
      </c>
      <c r="D120" t="s">
        <v>17</v>
      </c>
      <c r="E120" t="s">
        <v>32</v>
      </c>
      <c r="F120" s="1">
        <v>41857</v>
      </c>
      <c r="G120">
        <v>263098371</v>
      </c>
      <c r="H120" s="1">
        <v>41736</v>
      </c>
      <c r="I120">
        <v>5509</v>
      </c>
      <c r="J120">
        <v>81.73</v>
      </c>
      <c r="K120">
        <v>56.67</v>
      </c>
      <c r="L120">
        <v>450250.57</v>
      </c>
      <c r="M120">
        <v>312195.03000000003</v>
      </c>
      <c r="N120">
        <v>138055.54</v>
      </c>
    </row>
    <row r="121" spans="1:14" x14ac:dyDescent="0.25">
      <c r="A121" t="s">
        <v>42</v>
      </c>
      <c r="B121" t="s">
        <v>103</v>
      </c>
      <c r="C121" t="s">
        <v>55</v>
      </c>
      <c r="D121" t="s">
        <v>17</v>
      </c>
      <c r="E121" t="s">
        <v>32</v>
      </c>
      <c r="F121" t="s">
        <v>257</v>
      </c>
      <c r="G121">
        <v>227262771</v>
      </c>
      <c r="H121" s="1">
        <v>41791</v>
      </c>
      <c r="I121">
        <v>959</v>
      </c>
      <c r="J121">
        <v>651.21</v>
      </c>
      <c r="K121">
        <v>524.96</v>
      </c>
      <c r="L121">
        <v>624510.39</v>
      </c>
      <c r="M121">
        <v>503436.64</v>
      </c>
      <c r="N121">
        <v>121073.75</v>
      </c>
    </row>
    <row r="122" spans="1:14" x14ac:dyDescent="0.25">
      <c r="A122" t="s">
        <v>51</v>
      </c>
      <c r="B122" t="s">
        <v>258</v>
      </c>
      <c r="C122" t="s">
        <v>55</v>
      </c>
      <c r="D122" t="s">
        <v>22</v>
      </c>
      <c r="E122" t="s">
        <v>45</v>
      </c>
      <c r="F122" t="s">
        <v>259</v>
      </c>
      <c r="G122">
        <v>983719956</v>
      </c>
      <c r="H122" s="1">
        <v>40186</v>
      </c>
      <c r="I122">
        <v>3450</v>
      </c>
      <c r="J122">
        <v>651.21</v>
      </c>
      <c r="K122">
        <v>524.96</v>
      </c>
      <c r="L122">
        <v>2246674.5</v>
      </c>
      <c r="M122">
        <v>1811112</v>
      </c>
      <c r="N122">
        <v>435562.5</v>
      </c>
    </row>
    <row r="123" spans="1:14" x14ac:dyDescent="0.25">
      <c r="A123" t="s">
        <v>51</v>
      </c>
      <c r="B123" t="s">
        <v>260</v>
      </c>
      <c r="C123" t="s">
        <v>16</v>
      </c>
      <c r="D123" t="s">
        <v>22</v>
      </c>
      <c r="E123" t="s">
        <v>45</v>
      </c>
      <c r="F123" t="s">
        <v>261</v>
      </c>
      <c r="G123">
        <v>785643756</v>
      </c>
      <c r="H123" t="s">
        <v>262</v>
      </c>
      <c r="I123">
        <v>8301</v>
      </c>
      <c r="J123">
        <v>255.28</v>
      </c>
      <c r="K123">
        <v>159.41999999999999</v>
      </c>
      <c r="L123">
        <v>2119079.2799999998</v>
      </c>
      <c r="M123">
        <v>1323345.42</v>
      </c>
      <c r="N123">
        <v>795733.86</v>
      </c>
    </row>
    <row r="124" spans="1:14" x14ac:dyDescent="0.25">
      <c r="A124" t="s">
        <v>51</v>
      </c>
      <c r="B124" t="s">
        <v>210</v>
      </c>
      <c r="C124" t="s">
        <v>55</v>
      </c>
      <c r="D124" t="s">
        <v>17</v>
      </c>
      <c r="E124" t="s">
        <v>23</v>
      </c>
      <c r="F124" t="s">
        <v>263</v>
      </c>
      <c r="G124">
        <v>206520497</v>
      </c>
      <c r="H124" s="1">
        <v>42493</v>
      </c>
      <c r="I124">
        <v>2859</v>
      </c>
      <c r="J124">
        <v>651.21</v>
      </c>
      <c r="K124">
        <v>524.96</v>
      </c>
      <c r="L124">
        <v>1861809.39</v>
      </c>
      <c r="M124">
        <v>1500860.64</v>
      </c>
      <c r="N124">
        <v>360948.75</v>
      </c>
    </row>
    <row r="125" spans="1:14" x14ac:dyDescent="0.25">
      <c r="A125" t="s">
        <v>25</v>
      </c>
      <c r="B125" t="s">
        <v>87</v>
      </c>
      <c r="C125" t="s">
        <v>59</v>
      </c>
      <c r="D125" t="s">
        <v>17</v>
      </c>
      <c r="E125" t="s">
        <v>23</v>
      </c>
      <c r="F125" t="s">
        <v>264</v>
      </c>
      <c r="G125">
        <v>790149009</v>
      </c>
      <c r="H125" t="s">
        <v>265</v>
      </c>
      <c r="I125">
        <v>1505</v>
      </c>
      <c r="J125">
        <v>437.2</v>
      </c>
      <c r="K125">
        <v>263.33</v>
      </c>
      <c r="L125">
        <v>657986</v>
      </c>
      <c r="M125">
        <v>396311.65</v>
      </c>
      <c r="N125">
        <v>261674.35</v>
      </c>
    </row>
    <row r="126" spans="1:14" x14ac:dyDescent="0.25">
      <c r="A126" t="s">
        <v>25</v>
      </c>
      <c r="B126" t="s">
        <v>266</v>
      </c>
      <c r="C126" t="s">
        <v>31</v>
      </c>
      <c r="D126" t="s">
        <v>17</v>
      </c>
      <c r="E126" t="s">
        <v>18</v>
      </c>
      <c r="F126" s="1">
        <v>41861</v>
      </c>
      <c r="G126">
        <v>100640618</v>
      </c>
      <c r="H126" t="s">
        <v>267</v>
      </c>
      <c r="I126">
        <v>650</v>
      </c>
      <c r="J126">
        <v>205.7</v>
      </c>
      <c r="K126">
        <v>117.11</v>
      </c>
      <c r="L126">
        <v>133705</v>
      </c>
      <c r="M126">
        <v>76121.5</v>
      </c>
      <c r="N126">
        <v>57583.5</v>
      </c>
    </row>
    <row r="127" spans="1:14" x14ac:dyDescent="0.25">
      <c r="A127" t="s">
        <v>51</v>
      </c>
      <c r="B127" t="s">
        <v>52</v>
      </c>
      <c r="C127" t="s">
        <v>40</v>
      </c>
      <c r="D127" t="s">
        <v>17</v>
      </c>
      <c r="E127" t="s">
        <v>32</v>
      </c>
      <c r="F127" t="s">
        <v>268</v>
      </c>
      <c r="G127">
        <v>272419154</v>
      </c>
      <c r="H127" t="s">
        <v>269</v>
      </c>
      <c r="I127">
        <v>3736</v>
      </c>
      <c r="J127">
        <v>81.73</v>
      </c>
      <c r="K127">
        <v>56.67</v>
      </c>
      <c r="L127">
        <v>305343.28000000003</v>
      </c>
      <c r="M127">
        <v>211719.12</v>
      </c>
      <c r="N127">
        <v>93624.16</v>
      </c>
    </row>
    <row r="128" spans="1:14" x14ac:dyDescent="0.25">
      <c r="A128" t="s">
        <v>51</v>
      </c>
      <c r="B128" t="s">
        <v>223</v>
      </c>
      <c r="C128" t="s">
        <v>69</v>
      </c>
      <c r="D128" t="s">
        <v>22</v>
      </c>
      <c r="E128" t="s">
        <v>18</v>
      </c>
      <c r="F128" t="s">
        <v>270</v>
      </c>
      <c r="G128">
        <v>360220944</v>
      </c>
      <c r="H128" t="s">
        <v>270</v>
      </c>
      <c r="I128">
        <v>6237</v>
      </c>
      <c r="J128">
        <v>421.89</v>
      </c>
      <c r="K128">
        <v>364.69</v>
      </c>
      <c r="L128">
        <v>2631327.9300000002</v>
      </c>
      <c r="M128">
        <v>2274571.5299999998</v>
      </c>
      <c r="N128">
        <v>356756.4</v>
      </c>
    </row>
    <row r="129" spans="1:14" x14ac:dyDescent="0.25">
      <c r="A129" t="s">
        <v>29</v>
      </c>
      <c r="B129" t="s">
        <v>271</v>
      </c>
      <c r="C129" t="s">
        <v>27</v>
      </c>
      <c r="D129" t="s">
        <v>22</v>
      </c>
      <c r="E129" t="s">
        <v>23</v>
      </c>
      <c r="F129" s="1">
        <v>41649</v>
      </c>
      <c r="G129">
        <v>389094817</v>
      </c>
      <c r="H129" s="1">
        <v>41954</v>
      </c>
      <c r="I129">
        <v>658</v>
      </c>
      <c r="J129">
        <v>47.45</v>
      </c>
      <c r="K129">
        <v>31.79</v>
      </c>
      <c r="L129">
        <v>31222.1</v>
      </c>
      <c r="M129">
        <v>20917.82</v>
      </c>
      <c r="N129">
        <v>10304.280000000001</v>
      </c>
    </row>
    <row r="130" spans="1:14" x14ac:dyDescent="0.25">
      <c r="A130" t="s">
        <v>51</v>
      </c>
      <c r="B130" t="s">
        <v>192</v>
      </c>
      <c r="C130" t="s">
        <v>69</v>
      </c>
      <c r="D130" t="s">
        <v>22</v>
      </c>
      <c r="E130" t="s">
        <v>32</v>
      </c>
      <c r="F130" t="s">
        <v>272</v>
      </c>
      <c r="G130">
        <v>904402101</v>
      </c>
      <c r="H130" t="s">
        <v>273</v>
      </c>
      <c r="I130">
        <v>1534</v>
      </c>
      <c r="J130">
        <v>421.89</v>
      </c>
      <c r="K130">
        <v>364.69</v>
      </c>
      <c r="L130">
        <v>647179.26</v>
      </c>
      <c r="M130">
        <v>559434.46</v>
      </c>
      <c r="N130">
        <v>87744.8</v>
      </c>
    </row>
    <row r="131" spans="1:14" x14ac:dyDescent="0.25">
      <c r="A131" t="s">
        <v>51</v>
      </c>
      <c r="B131" t="s">
        <v>274</v>
      </c>
      <c r="C131" t="s">
        <v>113</v>
      </c>
      <c r="D131" t="s">
        <v>17</v>
      </c>
      <c r="E131" t="s">
        <v>45</v>
      </c>
      <c r="F131" t="s">
        <v>114</v>
      </c>
      <c r="G131">
        <v>721816623</v>
      </c>
      <c r="H131" t="s">
        <v>275</v>
      </c>
      <c r="I131">
        <v>434</v>
      </c>
      <c r="J131">
        <v>154.06</v>
      </c>
      <c r="K131">
        <v>90.93</v>
      </c>
      <c r="L131">
        <v>66862.039999999994</v>
      </c>
      <c r="M131">
        <v>39463.620000000003</v>
      </c>
      <c r="N131">
        <v>27398.42</v>
      </c>
    </row>
    <row r="132" spans="1:14" x14ac:dyDescent="0.25">
      <c r="A132" t="s">
        <v>25</v>
      </c>
      <c r="B132" t="s">
        <v>112</v>
      </c>
      <c r="C132" t="s">
        <v>21</v>
      </c>
      <c r="D132" t="s">
        <v>17</v>
      </c>
      <c r="E132" t="s">
        <v>45</v>
      </c>
      <c r="F132" s="1">
        <v>40545</v>
      </c>
      <c r="G132">
        <v>977324712</v>
      </c>
      <c r="H132" s="1">
        <v>40819</v>
      </c>
      <c r="I132">
        <v>955</v>
      </c>
      <c r="J132">
        <v>152.58000000000001</v>
      </c>
      <c r="K132">
        <v>97.44</v>
      </c>
      <c r="L132">
        <v>145713.9</v>
      </c>
      <c r="M132">
        <v>93055.2</v>
      </c>
      <c r="N132">
        <v>52658.7</v>
      </c>
    </row>
    <row r="133" spans="1:14" x14ac:dyDescent="0.25">
      <c r="A133" t="s">
        <v>51</v>
      </c>
      <c r="B133" t="s">
        <v>276</v>
      </c>
      <c r="C133" t="s">
        <v>27</v>
      </c>
      <c r="D133" t="s">
        <v>17</v>
      </c>
      <c r="E133" t="s">
        <v>23</v>
      </c>
      <c r="F133" s="1">
        <v>42194</v>
      </c>
      <c r="G133">
        <v>177225196</v>
      </c>
      <c r="H133" s="1">
        <v>42347</v>
      </c>
      <c r="I133">
        <v>3729</v>
      </c>
      <c r="J133">
        <v>47.45</v>
      </c>
      <c r="K133">
        <v>31.79</v>
      </c>
      <c r="L133">
        <v>176941.05</v>
      </c>
      <c r="M133">
        <v>118544.91</v>
      </c>
      <c r="N133">
        <v>58396.14</v>
      </c>
    </row>
    <row r="134" spans="1:14" x14ac:dyDescent="0.25">
      <c r="A134" t="s">
        <v>38</v>
      </c>
      <c r="B134" t="s">
        <v>105</v>
      </c>
      <c r="C134" t="s">
        <v>27</v>
      </c>
      <c r="D134" t="s">
        <v>17</v>
      </c>
      <c r="E134" t="s">
        <v>18</v>
      </c>
      <c r="F134" t="s">
        <v>277</v>
      </c>
      <c r="G134">
        <v>948129403</v>
      </c>
      <c r="H134" t="s">
        <v>278</v>
      </c>
      <c r="I134">
        <v>1415</v>
      </c>
      <c r="J134">
        <v>47.45</v>
      </c>
      <c r="K134">
        <v>31.79</v>
      </c>
      <c r="L134">
        <v>67141.75</v>
      </c>
      <c r="M134">
        <v>44982.85</v>
      </c>
      <c r="N134">
        <v>22158.9</v>
      </c>
    </row>
    <row r="135" spans="1:14" x14ac:dyDescent="0.25">
      <c r="A135" t="s">
        <v>14</v>
      </c>
      <c r="B135" t="s">
        <v>226</v>
      </c>
      <c r="C135" t="s">
        <v>69</v>
      </c>
      <c r="D135" t="s">
        <v>22</v>
      </c>
      <c r="E135" t="s">
        <v>18</v>
      </c>
      <c r="F135" t="s">
        <v>279</v>
      </c>
      <c r="G135">
        <v>586961162</v>
      </c>
      <c r="H135" t="s">
        <v>280</v>
      </c>
      <c r="I135">
        <v>3706</v>
      </c>
      <c r="J135">
        <v>421.89</v>
      </c>
      <c r="K135">
        <v>364.69</v>
      </c>
      <c r="L135">
        <v>1563524.34</v>
      </c>
      <c r="M135">
        <v>1351541.14</v>
      </c>
      <c r="N135">
        <v>211983.2</v>
      </c>
    </row>
    <row r="136" spans="1:14" x14ac:dyDescent="0.25">
      <c r="A136" t="s">
        <v>25</v>
      </c>
      <c r="B136" t="s">
        <v>112</v>
      </c>
      <c r="C136" t="s">
        <v>21</v>
      </c>
      <c r="D136" t="s">
        <v>17</v>
      </c>
      <c r="E136" t="s">
        <v>45</v>
      </c>
      <c r="F136" s="1">
        <v>40368</v>
      </c>
      <c r="G136">
        <v>510956799</v>
      </c>
      <c r="H136" t="s">
        <v>281</v>
      </c>
      <c r="I136">
        <v>2326</v>
      </c>
      <c r="J136">
        <v>152.58000000000001</v>
      </c>
      <c r="K136">
        <v>97.44</v>
      </c>
      <c r="L136">
        <v>354901.08</v>
      </c>
      <c r="M136">
        <v>226645.44</v>
      </c>
      <c r="N136">
        <v>128255.64</v>
      </c>
    </row>
    <row r="137" spans="1:14" x14ac:dyDescent="0.25">
      <c r="A137" t="s">
        <v>14</v>
      </c>
      <c r="B137" t="s">
        <v>64</v>
      </c>
      <c r="C137" t="s">
        <v>69</v>
      </c>
      <c r="D137" t="s">
        <v>17</v>
      </c>
      <c r="E137" t="s">
        <v>32</v>
      </c>
      <c r="F137" t="s">
        <v>282</v>
      </c>
      <c r="G137">
        <v>407665145</v>
      </c>
      <c r="H137" s="1">
        <v>41401</v>
      </c>
      <c r="I137">
        <v>6030</v>
      </c>
      <c r="J137">
        <v>421.89</v>
      </c>
      <c r="K137">
        <v>364.69</v>
      </c>
      <c r="L137">
        <v>2543996.7000000002</v>
      </c>
      <c r="M137">
        <v>2199080.7000000002</v>
      </c>
      <c r="N137">
        <v>344916</v>
      </c>
    </row>
    <row r="138" spans="1:14" x14ac:dyDescent="0.25">
      <c r="A138" t="s">
        <v>38</v>
      </c>
      <c r="B138" t="s">
        <v>190</v>
      </c>
      <c r="C138" t="s">
        <v>69</v>
      </c>
      <c r="D138" t="s">
        <v>17</v>
      </c>
      <c r="E138" t="s">
        <v>23</v>
      </c>
      <c r="F138" s="1">
        <v>42250</v>
      </c>
      <c r="G138">
        <v>484947526</v>
      </c>
      <c r="H138" t="s">
        <v>283</v>
      </c>
      <c r="I138">
        <v>5604</v>
      </c>
      <c r="J138">
        <v>421.89</v>
      </c>
      <c r="K138">
        <v>364.69</v>
      </c>
      <c r="L138">
        <v>2364271.56</v>
      </c>
      <c r="M138">
        <v>2043722.76</v>
      </c>
      <c r="N138">
        <v>320548.8</v>
      </c>
    </row>
    <row r="139" spans="1:14" x14ac:dyDescent="0.25">
      <c r="A139" t="s">
        <v>25</v>
      </c>
      <c r="B139" t="s">
        <v>284</v>
      </c>
      <c r="C139" t="s">
        <v>88</v>
      </c>
      <c r="D139" t="s">
        <v>17</v>
      </c>
      <c r="E139" t="s">
        <v>18</v>
      </c>
      <c r="F139" t="s">
        <v>285</v>
      </c>
      <c r="G139">
        <v>120977771</v>
      </c>
      <c r="H139" s="1">
        <v>40579</v>
      </c>
      <c r="I139">
        <v>8866</v>
      </c>
      <c r="J139">
        <v>9.33</v>
      </c>
      <c r="K139">
        <v>6.92</v>
      </c>
      <c r="L139">
        <v>82719.78</v>
      </c>
      <c r="M139">
        <v>61352.72</v>
      </c>
      <c r="N139">
        <v>21367.06</v>
      </c>
    </row>
    <row r="140" spans="1:14" x14ac:dyDescent="0.25">
      <c r="A140" t="s">
        <v>29</v>
      </c>
      <c r="B140" t="s">
        <v>248</v>
      </c>
      <c r="C140" t="s">
        <v>40</v>
      </c>
      <c r="D140" t="s">
        <v>22</v>
      </c>
      <c r="E140" t="s">
        <v>18</v>
      </c>
      <c r="F140" t="s">
        <v>286</v>
      </c>
      <c r="G140">
        <v>114242208</v>
      </c>
      <c r="H140" t="s">
        <v>287</v>
      </c>
      <c r="I140">
        <v>5663</v>
      </c>
      <c r="J140">
        <v>81.73</v>
      </c>
      <c r="K140">
        <v>56.67</v>
      </c>
      <c r="L140">
        <v>462836.99</v>
      </c>
      <c r="M140">
        <v>320922.21000000002</v>
      </c>
      <c r="N140">
        <v>141914.78</v>
      </c>
    </row>
    <row r="141" spans="1:14" x14ac:dyDescent="0.25">
      <c r="A141" t="s">
        <v>38</v>
      </c>
      <c r="B141" t="s">
        <v>288</v>
      </c>
      <c r="C141" t="s">
        <v>44</v>
      </c>
      <c r="D141" t="s">
        <v>17</v>
      </c>
      <c r="E141" t="s">
        <v>18</v>
      </c>
      <c r="F141" s="1">
        <v>42125</v>
      </c>
      <c r="G141">
        <v>433539664</v>
      </c>
      <c r="H141" t="s">
        <v>289</v>
      </c>
      <c r="I141">
        <v>2876</v>
      </c>
      <c r="J141">
        <v>109.28</v>
      </c>
      <c r="K141">
        <v>35.840000000000003</v>
      </c>
      <c r="L141">
        <v>314289.28000000003</v>
      </c>
      <c r="M141">
        <v>103075.84</v>
      </c>
      <c r="N141">
        <v>211213.44</v>
      </c>
    </row>
    <row r="142" spans="1:14" x14ac:dyDescent="0.25">
      <c r="A142" t="s">
        <v>42</v>
      </c>
      <c r="B142" t="s">
        <v>290</v>
      </c>
      <c r="C142" t="s">
        <v>69</v>
      </c>
      <c r="D142" t="s">
        <v>17</v>
      </c>
      <c r="E142" t="s">
        <v>18</v>
      </c>
      <c r="F142" t="s">
        <v>291</v>
      </c>
      <c r="G142">
        <v>667981469</v>
      </c>
      <c r="H142" s="1">
        <v>40883</v>
      </c>
      <c r="I142">
        <v>9416</v>
      </c>
      <c r="J142">
        <v>421.89</v>
      </c>
      <c r="K142">
        <v>364.69</v>
      </c>
      <c r="L142">
        <v>3972516.24</v>
      </c>
      <c r="M142">
        <v>3433921.04</v>
      </c>
      <c r="N142">
        <v>538595.19999999995</v>
      </c>
    </row>
    <row r="143" spans="1:14" x14ac:dyDescent="0.25">
      <c r="A143" t="s">
        <v>25</v>
      </c>
      <c r="B143" t="s">
        <v>74</v>
      </c>
      <c r="C143" t="s">
        <v>21</v>
      </c>
      <c r="D143" t="s">
        <v>22</v>
      </c>
      <c r="E143" t="s">
        <v>32</v>
      </c>
      <c r="F143" s="1">
        <v>43042</v>
      </c>
      <c r="G143">
        <v>476991450</v>
      </c>
      <c r="H143" t="s">
        <v>292</v>
      </c>
      <c r="I143">
        <v>1225</v>
      </c>
      <c r="J143">
        <v>152.58000000000001</v>
      </c>
      <c r="K143">
        <v>97.44</v>
      </c>
      <c r="L143">
        <v>186910.5</v>
      </c>
      <c r="M143">
        <v>119364</v>
      </c>
      <c r="N143">
        <v>67546.5</v>
      </c>
    </row>
    <row r="144" spans="1:14" x14ac:dyDescent="0.25">
      <c r="A144" t="s">
        <v>51</v>
      </c>
      <c r="B144" t="s">
        <v>169</v>
      </c>
      <c r="C144" t="s">
        <v>55</v>
      </c>
      <c r="D144" t="s">
        <v>17</v>
      </c>
      <c r="E144" t="s">
        <v>23</v>
      </c>
      <c r="F144" t="s">
        <v>293</v>
      </c>
      <c r="G144">
        <v>940305936</v>
      </c>
      <c r="H144" t="s">
        <v>294</v>
      </c>
      <c r="I144">
        <v>6277</v>
      </c>
      <c r="J144">
        <v>651.21</v>
      </c>
      <c r="K144">
        <v>524.96</v>
      </c>
      <c r="L144">
        <v>4087645.17</v>
      </c>
      <c r="M144">
        <v>3295173.92</v>
      </c>
      <c r="N144">
        <v>792471.25</v>
      </c>
    </row>
    <row r="145" spans="1:14" x14ac:dyDescent="0.25">
      <c r="A145" t="s">
        <v>51</v>
      </c>
      <c r="B145" t="s">
        <v>295</v>
      </c>
      <c r="C145" t="s">
        <v>16</v>
      </c>
      <c r="D145" t="s">
        <v>17</v>
      </c>
      <c r="E145" t="s">
        <v>45</v>
      </c>
      <c r="F145" t="s">
        <v>296</v>
      </c>
      <c r="G145">
        <v>507973754</v>
      </c>
      <c r="H145" s="1">
        <v>41244</v>
      </c>
      <c r="I145">
        <v>9577</v>
      </c>
      <c r="J145">
        <v>255.28</v>
      </c>
      <c r="K145">
        <v>159.41999999999999</v>
      </c>
      <c r="L145">
        <v>2444816.56</v>
      </c>
      <c r="M145">
        <v>1526765.34</v>
      </c>
      <c r="N145">
        <v>918051.22</v>
      </c>
    </row>
    <row r="146" spans="1:14" x14ac:dyDescent="0.25">
      <c r="A146" t="s">
        <v>29</v>
      </c>
      <c r="B146" t="s">
        <v>199</v>
      </c>
      <c r="C146" t="s">
        <v>59</v>
      </c>
      <c r="D146" t="s">
        <v>17</v>
      </c>
      <c r="E146" t="s">
        <v>32</v>
      </c>
      <c r="F146" s="1">
        <v>41429</v>
      </c>
      <c r="G146">
        <v>850356233</v>
      </c>
      <c r="H146" t="s">
        <v>297</v>
      </c>
      <c r="I146">
        <v>8161</v>
      </c>
      <c r="J146">
        <v>437.2</v>
      </c>
      <c r="K146">
        <v>263.33</v>
      </c>
      <c r="L146">
        <v>3567989.2</v>
      </c>
      <c r="M146">
        <v>2149036.13</v>
      </c>
      <c r="N146">
        <v>1418953.07</v>
      </c>
    </row>
    <row r="147" spans="1:14" x14ac:dyDescent="0.25">
      <c r="A147" t="s">
        <v>29</v>
      </c>
      <c r="B147" t="s">
        <v>35</v>
      </c>
      <c r="C147" t="s">
        <v>69</v>
      </c>
      <c r="D147" t="s">
        <v>22</v>
      </c>
      <c r="E147" t="s">
        <v>32</v>
      </c>
      <c r="F147" s="1">
        <v>40307</v>
      </c>
      <c r="G147">
        <v>108127200</v>
      </c>
      <c r="H147" s="1">
        <v>40188</v>
      </c>
      <c r="I147">
        <v>6096</v>
      </c>
      <c r="J147">
        <v>421.89</v>
      </c>
      <c r="K147">
        <v>364.69</v>
      </c>
      <c r="L147">
        <v>2571841.44</v>
      </c>
      <c r="M147">
        <v>2223150.2400000002</v>
      </c>
      <c r="N147">
        <v>348691.20000000001</v>
      </c>
    </row>
    <row r="148" spans="1:14" x14ac:dyDescent="0.25">
      <c r="A148" t="s">
        <v>38</v>
      </c>
      <c r="B148" t="s">
        <v>187</v>
      </c>
      <c r="C148" t="s">
        <v>55</v>
      </c>
      <c r="D148" t="s">
        <v>17</v>
      </c>
      <c r="E148" t="s">
        <v>23</v>
      </c>
      <c r="F148" t="s">
        <v>298</v>
      </c>
      <c r="G148">
        <v>542272984</v>
      </c>
      <c r="H148" s="1">
        <v>42594</v>
      </c>
      <c r="I148">
        <v>9481</v>
      </c>
      <c r="J148">
        <v>651.21</v>
      </c>
      <c r="K148">
        <v>524.96</v>
      </c>
      <c r="L148">
        <v>6174122.0099999998</v>
      </c>
      <c r="M148">
        <v>4977145.76</v>
      </c>
      <c r="N148">
        <v>1196976.25</v>
      </c>
    </row>
    <row r="149" spans="1:14" x14ac:dyDescent="0.25">
      <c r="A149" t="s">
        <v>51</v>
      </c>
      <c r="B149" t="s">
        <v>299</v>
      </c>
      <c r="C149" t="s">
        <v>55</v>
      </c>
      <c r="D149" t="s">
        <v>22</v>
      </c>
      <c r="E149" t="s">
        <v>23</v>
      </c>
      <c r="F149" s="1">
        <v>40851</v>
      </c>
      <c r="G149">
        <v>884092414</v>
      </c>
      <c r="H149" t="s">
        <v>300</v>
      </c>
      <c r="I149">
        <v>1447</v>
      </c>
      <c r="J149">
        <v>651.21</v>
      </c>
      <c r="K149">
        <v>524.96</v>
      </c>
      <c r="L149">
        <v>942300.87</v>
      </c>
      <c r="M149">
        <v>759617.12</v>
      </c>
      <c r="N149">
        <v>182683.75</v>
      </c>
    </row>
    <row r="150" spans="1:14" x14ac:dyDescent="0.25">
      <c r="A150" t="s">
        <v>51</v>
      </c>
      <c r="B150" t="s">
        <v>301</v>
      </c>
      <c r="C150" t="s">
        <v>131</v>
      </c>
      <c r="D150" t="s">
        <v>22</v>
      </c>
      <c r="E150" t="s">
        <v>23</v>
      </c>
      <c r="F150" t="s">
        <v>302</v>
      </c>
      <c r="G150">
        <v>385196816</v>
      </c>
      <c r="H150" s="1">
        <v>40977</v>
      </c>
      <c r="I150">
        <v>7153</v>
      </c>
      <c r="J150">
        <v>668.27</v>
      </c>
      <c r="K150">
        <v>502.54</v>
      </c>
      <c r="L150">
        <v>4780135.3099999996</v>
      </c>
      <c r="M150">
        <v>3594668.62</v>
      </c>
      <c r="N150">
        <v>1185466.69</v>
      </c>
    </row>
    <row r="151" spans="1:14" x14ac:dyDescent="0.25">
      <c r="A151" t="s">
        <v>29</v>
      </c>
      <c r="B151" t="s">
        <v>199</v>
      </c>
      <c r="C151" t="s">
        <v>69</v>
      </c>
      <c r="D151" t="s">
        <v>17</v>
      </c>
      <c r="E151" t="s">
        <v>32</v>
      </c>
      <c r="F151" s="1">
        <v>41526</v>
      </c>
      <c r="G151">
        <v>167510020</v>
      </c>
      <c r="H151" s="1">
        <v>41435</v>
      </c>
      <c r="I151">
        <v>8792</v>
      </c>
      <c r="J151">
        <v>421.89</v>
      </c>
      <c r="K151">
        <v>364.69</v>
      </c>
      <c r="L151">
        <v>3709256.88</v>
      </c>
      <c r="M151">
        <v>3206354.48</v>
      </c>
      <c r="N151">
        <v>502902.4</v>
      </c>
    </row>
    <row r="152" spans="1:14" x14ac:dyDescent="0.25">
      <c r="A152" t="s">
        <v>25</v>
      </c>
      <c r="B152" t="s">
        <v>303</v>
      </c>
      <c r="C152" t="s">
        <v>27</v>
      </c>
      <c r="D152" t="s">
        <v>17</v>
      </c>
      <c r="E152" t="s">
        <v>45</v>
      </c>
      <c r="F152" s="1">
        <v>42496</v>
      </c>
      <c r="G152">
        <v>973268353</v>
      </c>
      <c r="H152" t="s">
        <v>304</v>
      </c>
      <c r="I152">
        <v>589</v>
      </c>
      <c r="J152">
        <v>47.45</v>
      </c>
      <c r="K152">
        <v>31.79</v>
      </c>
      <c r="L152">
        <v>27948.05</v>
      </c>
      <c r="M152">
        <v>18724.310000000001</v>
      </c>
      <c r="N152">
        <v>9223.74</v>
      </c>
    </row>
    <row r="153" spans="1:14" x14ac:dyDescent="0.25">
      <c r="A153" t="s">
        <v>51</v>
      </c>
      <c r="B153" t="s">
        <v>305</v>
      </c>
      <c r="C153" t="s">
        <v>88</v>
      </c>
      <c r="D153" t="s">
        <v>22</v>
      </c>
      <c r="E153" t="s">
        <v>18</v>
      </c>
      <c r="F153" t="s">
        <v>306</v>
      </c>
      <c r="G153">
        <v>915020644</v>
      </c>
      <c r="H153" t="s">
        <v>307</v>
      </c>
      <c r="I153">
        <v>3797</v>
      </c>
      <c r="J153">
        <v>9.33</v>
      </c>
      <c r="K153">
        <v>6.92</v>
      </c>
      <c r="L153">
        <v>35426.01</v>
      </c>
      <c r="M153">
        <v>26275.24</v>
      </c>
      <c r="N153">
        <v>9150.77</v>
      </c>
    </row>
    <row r="154" spans="1:14" x14ac:dyDescent="0.25">
      <c r="A154" t="s">
        <v>51</v>
      </c>
      <c r="B154" t="s">
        <v>308</v>
      </c>
      <c r="C154" t="s">
        <v>59</v>
      </c>
      <c r="D154" t="s">
        <v>22</v>
      </c>
      <c r="E154" t="s">
        <v>23</v>
      </c>
      <c r="F154" t="s">
        <v>71</v>
      </c>
      <c r="G154">
        <v>425628221</v>
      </c>
      <c r="H154" t="s">
        <v>309</v>
      </c>
      <c r="I154">
        <v>1704</v>
      </c>
      <c r="J154">
        <v>437.2</v>
      </c>
      <c r="K154">
        <v>263.33</v>
      </c>
      <c r="L154">
        <v>744988.8</v>
      </c>
      <c r="M154">
        <v>448714.32</v>
      </c>
      <c r="N154">
        <v>296274.48</v>
      </c>
    </row>
    <row r="155" spans="1:14" x14ac:dyDescent="0.25">
      <c r="A155" t="s">
        <v>14</v>
      </c>
      <c r="B155" t="s">
        <v>64</v>
      </c>
      <c r="C155" t="s">
        <v>27</v>
      </c>
      <c r="D155" t="s">
        <v>17</v>
      </c>
      <c r="E155" t="s">
        <v>32</v>
      </c>
      <c r="F155" t="s">
        <v>310</v>
      </c>
      <c r="G155">
        <v>908264911</v>
      </c>
      <c r="H155" t="s">
        <v>311</v>
      </c>
      <c r="I155">
        <v>4626</v>
      </c>
      <c r="J155">
        <v>47.45</v>
      </c>
      <c r="K155">
        <v>31.79</v>
      </c>
      <c r="L155">
        <v>219503.7</v>
      </c>
      <c r="M155">
        <v>147060.54</v>
      </c>
      <c r="N155">
        <v>72443.16</v>
      </c>
    </row>
    <row r="156" spans="1:14" x14ac:dyDescent="0.25">
      <c r="A156" t="s">
        <v>51</v>
      </c>
      <c r="B156" t="s">
        <v>192</v>
      </c>
      <c r="C156" t="s">
        <v>31</v>
      </c>
      <c r="D156" t="s">
        <v>17</v>
      </c>
      <c r="E156" t="s">
        <v>23</v>
      </c>
      <c r="F156" t="s">
        <v>312</v>
      </c>
      <c r="G156">
        <v>686417043</v>
      </c>
      <c r="H156" t="s">
        <v>313</v>
      </c>
      <c r="I156">
        <v>4912</v>
      </c>
      <c r="J156">
        <v>205.7</v>
      </c>
      <c r="K156">
        <v>117.11</v>
      </c>
      <c r="L156">
        <v>1010398.4</v>
      </c>
      <c r="M156">
        <v>575244.31999999995</v>
      </c>
      <c r="N156">
        <v>435154.08</v>
      </c>
    </row>
    <row r="157" spans="1:14" x14ac:dyDescent="0.25">
      <c r="A157" t="s">
        <v>29</v>
      </c>
      <c r="B157" t="s">
        <v>137</v>
      </c>
      <c r="C157" t="s">
        <v>131</v>
      </c>
      <c r="D157" t="s">
        <v>17</v>
      </c>
      <c r="E157" t="s">
        <v>45</v>
      </c>
      <c r="F157" s="1">
        <v>41467</v>
      </c>
      <c r="G157">
        <v>853883445</v>
      </c>
      <c r="H157" s="1">
        <v>41913</v>
      </c>
      <c r="I157">
        <v>1941</v>
      </c>
      <c r="J157">
        <v>668.27</v>
      </c>
      <c r="K157">
        <v>502.54</v>
      </c>
      <c r="L157">
        <v>1297112.07</v>
      </c>
      <c r="M157">
        <v>975430.14</v>
      </c>
      <c r="N157">
        <v>321681.93</v>
      </c>
    </row>
    <row r="158" spans="1:14" x14ac:dyDescent="0.25">
      <c r="A158" t="s">
        <v>38</v>
      </c>
      <c r="B158" t="s">
        <v>39</v>
      </c>
      <c r="C158" t="s">
        <v>31</v>
      </c>
      <c r="D158" t="s">
        <v>17</v>
      </c>
      <c r="E158" t="s">
        <v>23</v>
      </c>
      <c r="F158" s="1">
        <v>42224</v>
      </c>
      <c r="G158">
        <v>324775445</v>
      </c>
      <c r="H158" t="s">
        <v>314</v>
      </c>
      <c r="I158">
        <v>7126</v>
      </c>
      <c r="J158">
        <v>205.7</v>
      </c>
      <c r="K158">
        <v>117.11</v>
      </c>
      <c r="L158">
        <v>1465818.2</v>
      </c>
      <c r="M158">
        <v>834525.86</v>
      </c>
      <c r="N158">
        <v>631292.34</v>
      </c>
    </row>
    <row r="159" spans="1:14" x14ac:dyDescent="0.25">
      <c r="A159" t="s">
        <v>38</v>
      </c>
      <c r="B159" t="s">
        <v>288</v>
      </c>
      <c r="C159" t="s">
        <v>31</v>
      </c>
      <c r="D159" t="s">
        <v>17</v>
      </c>
      <c r="E159" t="s">
        <v>23</v>
      </c>
      <c r="F159" s="1">
        <v>42066</v>
      </c>
      <c r="G159">
        <v>783516871</v>
      </c>
      <c r="H159" s="1">
        <v>42159</v>
      </c>
      <c r="I159">
        <v>8909</v>
      </c>
      <c r="J159">
        <v>205.7</v>
      </c>
      <c r="K159">
        <v>117.11</v>
      </c>
      <c r="L159">
        <v>1832581.3</v>
      </c>
      <c r="M159">
        <v>1043332.99</v>
      </c>
      <c r="N159">
        <v>789248.31</v>
      </c>
    </row>
    <row r="160" spans="1:14" x14ac:dyDescent="0.25">
      <c r="A160" t="s">
        <v>29</v>
      </c>
      <c r="B160" t="s">
        <v>315</v>
      </c>
      <c r="C160" t="s">
        <v>59</v>
      </c>
      <c r="D160" t="s">
        <v>22</v>
      </c>
      <c r="E160" t="s">
        <v>45</v>
      </c>
      <c r="F160" t="s">
        <v>316</v>
      </c>
      <c r="G160">
        <v>834844052</v>
      </c>
      <c r="H160" t="s">
        <v>317</v>
      </c>
      <c r="I160">
        <v>7762</v>
      </c>
      <c r="J160">
        <v>437.2</v>
      </c>
      <c r="K160">
        <v>263.33</v>
      </c>
      <c r="L160">
        <v>3393546.4</v>
      </c>
      <c r="M160">
        <v>2043967.46</v>
      </c>
      <c r="N160">
        <v>1349578.94</v>
      </c>
    </row>
    <row r="161" spans="1:14" x14ac:dyDescent="0.25">
      <c r="A161" t="s">
        <v>29</v>
      </c>
      <c r="B161" t="s">
        <v>159</v>
      </c>
      <c r="C161" t="s">
        <v>21</v>
      </c>
      <c r="D161" t="s">
        <v>22</v>
      </c>
      <c r="E161" t="s">
        <v>45</v>
      </c>
      <c r="F161" t="s">
        <v>318</v>
      </c>
      <c r="G161">
        <v>953805816</v>
      </c>
      <c r="H161" t="s">
        <v>319</v>
      </c>
      <c r="I161">
        <v>1191</v>
      </c>
      <c r="J161">
        <v>152.58000000000001</v>
      </c>
      <c r="K161">
        <v>97.44</v>
      </c>
      <c r="L161">
        <v>181722.78</v>
      </c>
      <c r="M161">
        <v>116051.04</v>
      </c>
      <c r="N161">
        <v>65671.740000000005</v>
      </c>
    </row>
    <row r="162" spans="1:14" x14ac:dyDescent="0.25">
      <c r="A162" t="s">
        <v>77</v>
      </c>
      <c r="B162" t="s">
        <v>320</v>
      </c>
      <c r="C162" t="s">
        <v>55</v>
      </c>
      <c r="D162" t="s">
        <v>17</v>
      </c>
      <c r="E162" t="s">
        <v>32</v>
      </c>
      <c r="F162" t="s">
        <v>224</v>
      </c>
      <c r="G162">
        <v>335763490</v>
      </c>
      <c r="H162" s="1">
        <v>40275</v>
      </c>
      <c r="I162">
        <v>8733</v>
      </c>
      <c r="J162">
        <v>651.21</v>
      </c>
      <c r="K162">
        <v>524.96</v>
      </c>
      <c r="L162">
        <v>5687016.9299999997</v>
      </c>
      <c r="M162">
        <v>4584475.68</v>
      </c>
      <c r="N162">
        <v>1102541.25</v>
      </c>
    </row>
    <row r="163" spans="1:14" x14ac:dyDescent="0.25">
      <c r="A163" t="s">
        <v>29</v>
      </c>
      <c r="B163" t="s">
        <v>153</v>
      </c>
      <c r="C163" t="s">
        <v>59</v>
      </c>
      <c r="D163" t="s">
        <v>17</v>
      </c>
      <c r="E163" t="s">
        <v>45</v>
      </c>
      <c r="F163" t="s">
        <v>307</v>
      </c>
      <c r="G163">
        <v>946390902</v>
      </c>
      <c r="H163" t="s">
        <v>136</v>
      </c>
      <c r="I163">
        <v>6954</v>
      </c>
      <c r="J163">
        <v>437.2</v>
      </c>
      <c r="K163">
        <v>263.33</v>
      </c>
      <c r="L163">
        <v>3040288.8</v>
      </c>
      <c r="M163">
        <v>1831196.82</v>
      </c>
      <c r="N163">
        <v>1209091.98</v>
      </c>
    </row>
    <row r="164" spans="1:14" x14ac:dyDescent="0.25">
      <c r="A164" t="s">
        <v>25</v>
      </c>
      <c r="B164" t="s">
        <v>134</v>
      </c>
      <c r="C164" t="s">
        <v>113</v>
      </c>
      <c r="D164" t="s">
        <v>22</v>
      </c>
      <c r="E164" t="s">
        <v>32</v>
      </c>
      <c r="F164" t="s">
        <v>321</v>
      </c>
      <c r="G164">
        <v>771674382</v>
      </c>
      <c r="H164" t="s">
        <v>322</v>
      </c>
      <c r="I164">
        <v>4453</v>
      </c>
      <c r="J164">
        <v>154.06</v>
      </c>
      <c r="K164">
        <v>90.93</v>
      </c>
      <c r="L164">
        <v>686029.18</v>
      </c>
      <c r="M164">
        <v>404911.29</v>
      </c>
      <c r="N164">
        <v>281117.89</v>
      </c>
    </row>
    <row r="165" spans="1:14" x14ac:dyDescent="0.25">
      <c r="A165" t="s">
        <v>29</v>
      </c>
      <c r="B165" t="s">
        <v>323</v>
      </c>
      <c r="C165" t="s">
        <v>31</v>
      </c>
      <c r="D165" t="s">
        <v>17</v>
      </c>
      <c r="E165" t="s">
        <v>23</v>
      </c>
      <c r="F165" t="s">
        <v>324</v>
      </c>
      <c r="G165">
        <v>567912757</v>
      </c>
      <c r="H165" t="s">
        <v>325</v>
      </c>
      <c r="I165">
        <v>6860</v>
      </c>
      <c r="J165">
        <v>205.7</v>
      </c>
      <c r="K165">
        <v>117.11</v>
      </c>
      <c r="L165">
        <v>1411102</v>
      </c>
      <c r="M165">
        <v>803374.6</v>
      </c>
      <c r="N165">
        <v>607727.4</v>
      </c>
    </row>
    <row r="166" spans="1:14" x14ac:dyDescent="0.25">
      <c r="A166" t="s">
        <v>38</v>
      </c>
      <c r="B166" t="s">
        <v>83</v>
      </c>
      <c r="C166" t="s">
        <v>55</v>
      </c>
      <c r="D166" t="s">
        <v>22</v>
      </c>
      <c r="E166" t="s">
        <v>32</v>
      </c>
      <c r="F166" t="s">
        <v>326</v>
      </c>
      <c r="G166">
        <v>711717355</v>
      </c>
      <c r="H166" t="s">
        <v>326</v>
      </c>
      <c r="I166">
        <v>1836</v>
      </c>
      <c r="J166">
        <v>651.21</v>
      </c>
      <c r="K166">
        <v>524.96</v>
      </c>
      <c r="L166">
        <v>1195621.56</v>
      </c>
      <c r="M166">
        <v>963826.56</v>
      </c>
      <c r="N166">
        <v>231795</v>
      </c>
    </row>
    <row r="167" spans="1:14" x14ac:dyDescent="0.25">
      <c r="A167" t="s">
        <v>51</v>
      </c>
      <c r="B167" t="s">
        <v>327</v>
      </c>
      <c r="C167" t="s">
        <v>55</v>
      </c>
      <c r="D167" t="s">
        <v>17</v>
      </c>
      <c r="E167" t="s">
        <v>32</v>
      </c>
      <c r="F167" s="1">
        <v>42320</v>
      </c>
      <c r="G167">
        <v>750012004</v>
      </c>
      <c r="H167" t="s">
        <v>328</v>
      </c>
      <c r="I167">
        <v>4074</v>
      </c>
      <c r="J167">
        <v>651.21</v>
      </c>
      <c r="K167">
        <v>524.96</v>
      </c>
      <c r="L167">
        <v>2653029.54</v>
      </c>
      <c r="M167">
        <v>2138687.04</v>
      </c>
      <c r="N167">
        <v>514342.5</v>
      </c>
    </row>
    <row r="168" spans="1:14" x14ac:dyDescent="0.25">
      <c r="A168" t="s">
        <v>38</v>
      </c>
      <c r="B168" t="s">
        <v>329</v>
      </c>
      <c r="C168" t="s">
        <v>21</v>
      </c>
      <c r="D168" t="s">
        <v>17</v>
      </c>
      <c r="E168" t="s">
        <v>23</v>
      </c>
      <c r="F168" s="1">
        <v>42620</v>
      </c>
      <c r="G168">
        <v>750033032</v>
      </c>
      <c r="H168" t="s">
        <v>330</v>
      </c>
      <c r="I168">
        <v>297</v>
      </c>
      <c r="J168">
        <v>152.58000000000001</v>
      </c>
      <c r="K168">
        <v>97.44</v>
      </c>
      <c r="L168">
        <v>45316.26</v>
      </c>
      <c r="M168">
        <v>28939.68</v>
      </c>
      <c r="N168">
        <v>16376.58</v>
      </c>
    </row>
    <row r="169" spans="1:14" x14ac:dyDescent="0.25">
      <c r="A169" t="s">
        <v>14</v>
      </c>
      <c r="B169" t="s">
        <v>64</v>
      </c>
      <c r="C169" t="s">
        <v>131</v>
      </c>
      <c r="D169" t="s">
        <v>22</v>
      </c>
      <c r="E169" t="s">
        <v>45</v>
      </c>
      <c r="F169" t="s">
        <v>188</v>
      </c>
      <c r="G169">
        <v>849329268</v>
      </c>
      <c r="H169" t="s">
        <v>331</v>
      </c>
      <c r="I169">
        <v>4259</v>
      </c>
      <c r="J169">
        <v>668.27</v>
      </c>
      <c r="K169">
        <v>502.54</v>
      </c>
      <c r="L169">
        <v>2846161.93</v>
      </c>
      <c r="M169">
        <v>2140317.86</v>
      </c>
      <c r="N169">
        <v>705844.07</v>
      </c>
    </row>
    <row r="170" spans="1:14" x14ac:dyDescent="0.25">
      <c r="A170" t="s">
        <v>14</v>
      </c>
      <c r="B170" t="s">
        <v>208</v>
      </c>
      <c r="C170" t="s">
        <v>69</v>
      </c>
      <c r="D170" t="s">
        <v>17</v>
      </c>
      <c r="E170" t="s">
        <v>18</v>
      </c>
      <c r="F170" t="s">
        <v>332</v>
      </c>
      <c r="G170">
        <v>805762040</v>
      </c>
      <c r="H170" s="1">
        <v>41490</v>
      </c>
      <c r="I170">
        <v>1748</v>
      </c>
      <c r="J170">
        <v>421.89</v>
      </c>
      <c r="K170">
        <v>364.69</v>
      </c>
      <c r="L170">
        <v>737463.72</v>
      </c>
      <c r="M170">
        <v>637478.12</v>
      </c>
      <c r="N170">
        <v>99985.600000000006</v>
      </c>
    </row>
    <row r="171" spans="1:14" x14ac:dyDescent="0.25">
      <c r="A171" t="s">
        <v>51</v>
      </c>
      <c r="B171" t="s">
        <v>210</v>
      </c>
      <c r="C171" t="s">
        <v>31</v>
      </c>
      <c r="D171" t="s">
        <v>17</v>
      </c>
      <c r="E171" t="s">
        <v>45</v>
      </c>
      <c r="F171" s="1">
        <v>40275</v>
      </c>
      <c r="G171">
        <v>447505176</v>
      </c>
      <c r="H171" t="s">
        <v>333</v>
      </c>
      <c r="I171">
        <v>5581</v>
      </c>
      <c r="J171">
        <v>205.7</v>
      </c>
      <c r="K171">
        <v>117.11</v>
      </c>
      <c r="L171">
        <v>1148011.7</v>
      </c>
      <c r="M171">
        <v>653590.91</v>
      </c>
      <c r="N171">
        <v>494420.79</v>
      </c>
    </row>
    <row r="172" spans="1:14" x14ac:dyDescent="0.25">
      <c r="A172" t="s">
        <v>42</v>
      </c>
      <c r="B172" t="s">
        <v>174</v>
      </c>
      <c r="C172" t="s">
        <v>27</v>
      </c>
      <c r="D172" t="s">
        <v>22</v>
      </c>
      <c r="E172" t="s">
        <v>32</v>
      </c>
      <c r="F172" t="s">
        <v>334</v>
      </c>
      <c r="G172">
        <v>123045003</v>
      </c>
      <c r="H172" t="s">
        <v>335</v>
      </c>
      <c r="I172">
        <v>606</v>
      </c>
      <c r="J172">
        <v>47.45</v>
      </c>
      <c r="K172">
        <v>31.79</v>
      </c>
      <c r="L172">
        <v>28754.7</v>
      </c>
      <c r="M172">
        <v>19264.740000000002</v>
      </c>
      <c r="N172">
        <v>9489.9599999999991</v>
      </c>
    </row>
    <row r="173" spans="1:14" x14ac:dyDescent="0.25">
      <c r="A173" t="s">
        <v>29</v>
      </c>
      <c r="B173" t="s">
        <v>323</v>
      </c>
      <c r="C173" t="s">
        <v>131</v>
      </c>
      <c r="D173" t="s">
        <v>22</v>
      </c>
      <c r="E173" t="s">
        <v>45</v>
      </c>
      <c r="F173" t="s">
        <v>336</v>
      </c>
      <c r="G173">
        <v>251180350</v>
      </c>
      <c r="H173" t="s">
        <v>337</v>
      </c>
      <c r="I173">
        <v>8702</v>
      </c>
      <c r="J173">
        <v>668.27</v>
      </c>
      <c r="K173">
        <v>502.54</v>
      </c>
      <c r="L173">
        <v>5815285.54</v>
      </c>
      <c r="M173">
        <v>4373103.08</v>
      </c>
      <c r="N173">
        <v>1442182.46</v>
      </c>
    </row>
    <row r="174" spans="1:14" x14ac:dyDescent="0.25">
      <c r="A174" t="s">
        <v>29</v>
      </c>
      <c r="B174" t="s">
        <v>338</v>
      </c>
      <c r="C174" t="s">
        <v>131</v>
      </c>
      <c r="D174" t="s">
        <v>17</v>
      </c>
      <c r="E174" t="s">
        <v>18</v>
      </c>
      <c r="F174" s="1">
        <v>41186</v>
      </c>
      <c r="G174">
        <v>871022546</v>
      </c>
      <c r="H174" s="1">
        <v>41217</v>
      </c>
      <c r="I174">
        <v>3782</v>
      </c>
      <c r="J174">
        <v>668.27</v>
      </c>
      <c r="K174">
        <v>502.54</v>
      </c>
      <c r="L174">
        <v>2527397.14</v>
      </c>
      <c r="M174">
        <v>1900606.28</v>
      </c>
      <c r="N174">
        <v>626790.86</v>
      </c>
    </row>
    <row r="175" spans="1:14" x14ac:dyDescent="0.25">
      <c r="A175" t="s">
        <v>25</v>
      </c>
      <c r="B175" t="s">
        <v>339</v>
      </c>
      <c r="C175" t="s">
        <v>88</v>
      </c>
      <c r="D175" t="s">
        <v>17</v>
      </c>
      <c r="E175" t="s">
        <v>32</v>
      </c>
      <c r="F175" s="1">
        <v>40214</v>
      </c>
      <c r="G175">
        <v>291995418</v>
      </c>
      <c r="H175" s="1">
        <v>40335</v>
      </c>
      <c r="I175">
        <v>6788</v>
      </c>
      <c r="J175">
        <v>9.33</v>
      </c>
      <c r="K175">
        <v>6.92</v>
      </c>
      <c r="L175">
        <v>63332.04</v>
      </c>
      <c r="M175">
        <v>46972.959999999999</v>
      </c>
      <c r="N175">
        <v>16359.08</v>
      </c>
    </row>
    <row r="176" spans="1:14" x14ac:dyDescent="0.25">
      <c r="A176" t="s">
        <v>29</v>
      </c>
      <c r="B176" t="s">
        <v>248</v>
      </c>
      <c r="C176" t="s">
        <v>44</v>
      </c>
      <c r="D176" t="s">
        <v>17</v>
      </c>
      <c r="E176" t="s">
        <v>23</v>
      </c>
      <c r="F176" t="s">
        <v>139</v>
      </c>
      <c r="G176">
        <v>943835294</v>
      </c>
      <c r="H176" s="1">
        <v>41647</v>
      </c>
      <c r="I176">
        <v>692</v>
      </c>
      <c r="J176">
        <v>109.28</v>
      </c>
      <c r="K176">
        <v>35.840000000000003</v>
      </c>
      <c r="L176">
        <v>75621.759999999995</v>
      </c>
      <c r="M176">
        <v>24801.279999999999</v>
      </c>
      <c r="N176">
        <v>50820.480000000003</v>
      </c>
    </row>
    <row r="177" spans="1:14" x14ac:dyDescent="0.25">
      <c r="A177" t="s">
        <v>51</v>
      </c>
      <c r="B177" t="s">
        <v>166</v>
      </c>
      <c r="C177" t="s">
        <v>55</v>
      </c>
      <c r="D177" t="s">
        <v>22</v>
      </c>
      <c r="E177" t="s">
        <v>32</v>
      </c>
      <c r="F177" t="s">
        <v>340</v>
      </c>
      <c r="G177">
        <v>826591002</v>
      </c>
      <c r="H177" t="s">
        <v>340</v>
      </c>
      <c r="I177">
        <v>5501</v>
      </c>
      <c r="J177">
        <v>651.21</v>
      </c>
      <c r="K177">
        <v>524.96</v>
      </c>
      <c r="L177">
        <v>3582306.21</v>
      </c>
      <c r="M177">
        <v>2887804.96</v>
      </c>
      <c r="N177">
        <v>694501.25</v>
      </c>
    </row>
    <row r="178" spans="1:14" x14ac:dyDescent="0.25">
      <c r="A178" t="s">
        <v>38</v>
      </c>
      <c r="B178" t="s">
        <v>68</v>
      </c>
      <c r="C178" t="s">
        <v>59</v>
      </c>
      <c r="D178" t="s">
        <v>17</v>
      </c>
      <c r="E178" t="s">
        <v>18</v>
      </c>
      <c r="F178" s="1">
        <v>40548</v>
      </c>
      <c r="G178">
        <v>260623872</v>
      </c>
      <c r="H178" s="1">
        <v>40882</v>
      </c>
      <c r="I178">
        <v>3250</v>
      </c>
      <c r="J178">
        <v>437.2</v>
      </c>
      <c r="K178">
        <v>263.33</v>
      </c>
      <c r="L178">
        <v>1420900</v>
      </c>
      <c r="M178">
        <v>855822.5</v>
      </c>
      <c r="N178">
        <v>565077.5</v>
      </c>
    </row>
    <row r="179" spans="1:14" x14ac:dyDescent="0.25">
      <c r="A179" t="s">
        <v>42</v>
      </c>
      <c r="B179" t="s">
        <v>150</v>
      </c>
      <c r="C179" t="s">
        <v>113</v>
      </c>
      <c r="D179" t="s">
        <v>17</v>
      </c>
      <c r="E179" t="s">
        <v>32</v>
      </c>
      <c r="F179" t="s">
        <v>341</v>
      </c>
      <c r="G179">
        <v>536607730</v>
      </c>
      <c r="H179" s="1">
        <v>41709</v>
      </c>
      <c r="I179">
        <v>3007</v>
      </c>
      <c r="J179">
        <v>154.06</v>
      </c>
      <c r="K179">
        <v>90.93</v>
      </c>
      <c r="L179">
        <v>463258.42</v>
      </c>
      <c r="M179">
        <v>273426.51</v>
      </c>
      <c r="N179">
        <v>189831.91</v>
      </c>
    </row>
    <row r="180" spans="1:14" x14ac:dyDescent="0.25">
      <c r="A180" t="s">
        <v>42</v>
      </c>
      <c r="B180" t="s">
        <v>150</v>
      </c>
      <c r="C180" t="s">
        <v>40</v>
      </c>
      <c r="D180" t="s">
        <v>22</v>
      </c>
      <c r="E180" t="s">
        <v>32</v>
      </c>
      <c r="F180" t="s">
        <v>342</v>
      </c>
      <c r="G180">
        <v>765528905</v>
      </c>
      <c r="H180" s="1">
        <v>42158</v>
      </c>
      <c r="I180">
        <v>5870</v>
      </c>
      <c r="J180">
        <v>81.73</v>
      </c>
      <c r="K180">
        <v>56.67</v>
      </c>
      <c r="L180">
        <v>479755.1</v>
      </c>
      <c r="M180">
        <v>332652.90000000002</v>
      </c>
      <c r="N180">
        <v>147102.20000000001</v>
      </c>
    </row>
    <row r="181" spans="1:14" x14ac:dyDescent="0.25">
      <c r="A181" t="s">
        <v>25</v>
      </c>
      <c r="B181" t="s">
        <v>343</v>
      </c>
      <c r="C181" t="s">
        <v>16</v>
      </c>
      <c r="D181" t="s">
        <v>17</v>
      </c>
      <c r="E181" t="s">
        <v>18</v>
      </c>
      <c r="F181" t="s">
        <v>344</v>
      </c>
      <c r="G181">
        <v>128686225</v>
      </c>
      <c r="H181" t="s">
        <v>345</v>
      </c>
      <c r="I181">
        <v>9968</v>
      </c>
      <c r="J181">
        <v>255.28</v>
      </c>
      <c r="K181">
        <v>159.41999999999999</v>
      </c>
      <c r="L181">
        <v>2544631.04</v>
      </c>
      <c r="M181">
        <v>1589098.56</v>
      </c>
      <c r="N181">
        <v>955532.48</v>
      </c>
    </row>
    <row r="182" spans="1:14" x14ac:dyDescent="0.25">
      <c r="A182" t="s">
        <v>38</v>
      </c>
      <c r="B182" t="s">
        <v>346</v>
      </c>
      <c r="C182" t="s">
        <v>113</v>
      </c>
      <c r="D182" t="s">
        <v>22</v>
      </c>
      <c r="E182" t="s">
        <v>32</v>
      </c>
      <c r="F182" s="1">
        <v>42739</v>
      </c>
      <c r="G182">
        <v>127691018</v>
      </c>
      <c r="H182" s="1">
        <v>42859</v>
      </c>
      <c r="I182">
        <v>5465</v>
      </c>
      <c r="J182">
        <v>154.06</v>
      </c>
      <c r="K182">
        <v>90.93</v>
      </c>
      <c r="L182">
        <v>841937.9</v>
      </c>
      <c r="M182">
        <v>496932.45</v>
      </c>
      <c r="N182">
        <v>345005.45</v>
      </c>
    </row>
    <row r="183" spans="1:14" x14ac:dyDescent="0.25">
      <c r="A183" t="s">
        <v>42</v>
      </c>
      <c r="B183" t="s">
        <v>290</v>
      </c>
      <c r="C183" t="s">
        <v>113</v>
      </c>
      <c r="D183" t="s">
        <v>22</v>
      </c>
      <c r="E183" t="s">
        <v>23</v>
      </c>
      <c r="F183" t="s">
        <v>347</v>
      </c>
      <c r="G183">
        <v>534467113</v>
      </c>
      <c r="H183" t="s">
        <v>348</v>
      </c>
      <c r="I183">
        <v>9550</v>
      </c>
      <c r="J183">
        <v>154.06</v>
      </c>
      <c r="K183">
        <v>90.93</v>
      </c>
      <c r="L183">
        <v>1471273</v>
      </c>
      <c r="M183">
        <v>868381.5</v>
      </c>
      <c r="N183">
        <v>602891.5</v>
      </c>
    </row>
    <row r="184" spans="1:14" x14ac:dyDescent="0.25">
      <c r="A184" t="s">
        <v>42</v>
      </c>
      <c r="B184" t="s">
        <v>103</v>
      </c>
      <c r="C184" t="s">
        <v>40</v>
      </c>
      <c r="D184" t="s">
        <v>17</v>
      </c>
      <c r="E184" t="s">
        <v>45</v>
      </c>
      <c r="F184" t="s">
        <v>349</v>
      </c>
      <c r="G184">
        <v>741250836</v>
      </c>
      <c r="H184" s="1">
        <v>40817</v>
      </c>
      <c r="I184">
        <v>1450</v>
      </c>
      <c r="J184">
        <v>81.73</v>
      </c>
      <c r="K184">
        <v>56.67</v>
      </c>
      <c r="L184">
        <v>118508.5</v>
      </c>
      <c r="M184">
        <v>82171.5</v>
      </c>
      <c r="N184">
        <v>36337</v>
      </c>
    </row>
    <row r="185" spans="1:14" x14ac:dyDescent="0.25">
      <c r="A185" t="s">
        <v>42</v>
      </c>
      <c r="B185" t="s">
        <v>103</v>
      </c>
      <c r="C185" t="s">
        <v>21</v>
      </c>
      <c r="D185" t="s">
        <v>17</v>
      </c>
      <c r="E185" t="s">
        <v>18</v>
      </c>
      <c r="F185" s="1">
        <v>41675</v>
      </c>
      <c r="G185">
        <v>210591018</v>
      </c>
      <c r="H185" t="s">
        <v>138</v>
      </c>
      <c r="I185">
        <v>7417</v>
      </c>
      <c r="J185">
        <v>152.58000000000001</v>
      </c>
      <c r="K185">
        <v>97.44</v>
      </c>
      <c r="L185">
        <v>1131685.8600000001</v>
      </c>
      <c r="M185">
        <v>722712.48</v>
      </c>
      <c r="N185">
        <v>408973.38</v>
      </c>
    </row>
    <row r="186" spans="1:14" x14ac:dyDescent="0.25">
      <c r="A186" t="s">
        <v>14</v>
      </c>
      <c r="B186" t="s">
        <v>208</v>
      </c>
      <c r="C186" t="s">
        <v>113</v>
      </c>
      <c r="D186" t="s">
        <v>17</v>
      </c>
      <c r="E186" t="s">
        <v>23</v>
      </c>
      <c r="F186" s="1">
        <v>41793</v>
      </c>
      <c r="G186">
        <v>725348985</v>
      </c>
      <c r="H186" t="s">
        <v>143</v>
      </c>
      <c r="I186">
        <v>5738</v>
      </c>
      <c r="J186">
        <v>154.06</v>
      </c>
      <c r="K186">
        <v>90.93</v>
      </c>
      <c r="L186">
        <v>883996.28</v>
      </c>
      <c r="M186">
        <v>521756.34</v>
      </c>
      <c r="N186">
        <v>362239.94</v>
      </c>
    </row>
    <row r="187" spans="1:14" x14ac:dyDescent="0.25">
      <c r="A187" t="s">
        <v>51</v>
      </c>
      <c r="B187" t="s">
        <v>350</v>
      </c>
      <c r="C187" t="s">
        <v>131</v>
      </c>
      <c r="D187" t="s">
        <v>22</v>
      </c>
      <c r="E187" t="s">
        <v>45</v>
      </c>
      <c r="F187" s="1">
        <v>40855</v>
      </c>
      <c r="G187">
        <v>538698565</v>
      </c>
      <c r="H187" s="1">
        <v>40733</v>
      </c>
      <c r="I187">
        <v>1731</v>
      </c>
      <c r="J187">
        <v>668.27</v>
      </c>
      <c r="K187">
        <v>502.54</v>
      </c>
      <c r="L187">
        <v>1156775.3700000001</v>
      </c>
      <c r="M187">
        <v>869896.74</v>
      </c>
      <c r="N187">
        <v>286878.63</v>
      </c>
    </row>
    <row r="188" spans="1:14" x14ac:dyDescent="0.25">
      <c r="A188" t="s">
        <v>14</v>
      </c>
      <c r="B188" t="s">
        <v>94</v>
      </c>
      <c r="C188" t="s">
        <v>31</v>
      </c>
      <c r="D188" t="s">
        <v>22</v>
      </c>
      <c r="E188" t="s">
        <v>45</v>
      </c>
      <c r="F188" t="s">
        <v>351</v>
      </c>
      <c r="G188">
        <v>224126088</v>
      </c>
      <c r="H188" s="1">
        <v>42710</v>
      </c>
      <c r="I188">
        <v>2745</v>
      </c>
      <c r="J188">
        <v>205.7</v>
      </c>
      <c r="K188">
        <v>117.11</v>
      </c>
      <c r="L188">
        <v>564646.5</v>
      </c>
      <c r="M188">
        <v>321466.95</v>
      </c>
      <c r="N188">
        <v>243179.55</v>
      </c>
    </row>
    <row r="189" spans="1:14" x14ac:dyDescent="0.25">
      <c r="A189" t="s">
        <v>38</v>
      </c>
      <c r="B189" t="s">
        <v>85</v>
      </c>
      <c r="C189" t="s">
        <v>27</v>
      </c>
      <c r="D189" t="s">
        <v>17</v>
      </c>
      <c r="E189" t="s">
        <v>18</v>
      </c>
      <c r="F189" t="s">
        <v>240</v>
      </c>
      <c r="G189">
        <v>425430381</v>
      </c>
      <c r="H189" s="1">
        <v>41041</v>
      </c>
      <c r="I189">
        <v>3159</v>
      </c>
      <c r="J189">
        <v>47.45</v>
      </c>
      <c r="K189">
        <v>31.79</v>
      </c>
      <c r="L189">
        <v>149894.54999999999</v>
      </c>
      <c r="M189">
        <v>100424.61</v>
      </c>
      <c r="N189">
        <v>49469.94</v>
      </c>
    </row>
    <row r="190" spans="1:14" x14ac:dyDescent="0.25">
      <c r="A190" t="s">
        <v>51</v>
      </c>
      <c r="B190" t="s">
        <v>182</v>
      </c>
      <c r="C190" t="s">
        <v>113</v>
      </c>
      <c r="D190" t="s">
        <v>22</v>
      </c>
      <c r="E190" t="s">
        <v>18</v>
      </c>
      <c r="F190" t="s">
        <v>352</v>
      </c>
      <c r="G190">
        <v>506722772</v>
      </c>
      <c r="H190" s="1">
        <v>42590</v>
      </c>
      <c r="I190">
        <v>9383</v>
      </c>
      <c r="J190">
        <v>154.06</v>
      </c>
      <c r="K190">
        <v>90.93</v>
      </c>
      <c r="L190">
        <v>1445544.98</v>
      </c>
      <c r="M190">
        <v>853196.19</v>
      </c>
      <c r="N190">
        <v>592348.79</v>
      </c>
    </row>
    <row r="191" spans="1:14" x14ac:dyDescent="0.25">
      <c r="A191" t="s">
        <v>51</v>
      </c>
      <c r="B191" t="s">
        <v>274</v>
      </c>
      <c r="C191" t="s">
        <v>55</v>
      </c>
      <c r="D191" t="s">
        <v>22</v>
      </c>
      <c r="E191" t="s">
        <v>23</v>
      </c>
      <c r="F191" s="1">
        <v>40363</v>
      </c>
      <c r="G191">
        <v>802427089</v>
      </c>
      <c r="H191" t="s">
        <v>353</v>
      </c>
      <c r="I191">
        <v>4862</v>
      </c>
      <c r="J191">
        <v>651.21</v>
      </c>
      <c r="K191">
        <v>524.96</v>
      </c>
      <c r="L191">
        <v>3166183.02</v>
      </c>
      <c r="M191">
        <v>2552355.52</v>
      </c>
      <c r="N191">
        <v>613827.5</v>
      </c>
    </row>
    <row r="192" spans="1:14" x14ac:dyDescent="0.25">
      <c r="A192" t="s">
        <v>29</v>
      </c>
      <c r="B192" t="s">
        <v>271</v>
      </c>
      <c r="C192" t="s">
        <v>59</v>
      </c>
      <c r="D192" t="s">
        <v>22</v>
      </c>
      <c r="E192" t="s">
        <v>45</v>
      </c>
      <c r="F192" t="s">
        <v>354</v>
      </c>
      <c r="G192">
        <v>367279660</v>
      </c>
      <c r="H192" s="1">
        <v>42255</v>
      </c>
      <c r="I192">
        <v>5068</v>
      </c>
      <c r="J192">
        <v>437.2</v>
      </c>
      <c r="K192">
        <v>263.33</v>
      </c>
      <c r="L192">
        <v>2215729.6</v>
      </c>
      <c r="M192">
        <v>1334556.44</v>
      </c>
      <c r="N192">
        <v>881173.16</v>
      </c>
    </row>
    <row r="193" spans="1:14" x14ac:dyDescent="0.25">
      <c r="A193" t="s">
        <v>38</v>
      </c>
      <c r="B193" t="s">
        <v>54</v>
      </c>
      <c r="C193" t="s">
        <v>40</v>
      </c>
      <c r="D193" t="s">
        <v>22</v>
      </c>
      <c r="E193" t="s">
        <v>45</v>
      </c>
      <c r="F193" s="1">
        <v>41552</v>
      </c>
      <c r="G193">
        <v>126329314</v>
      </c>
      <c r="H193" t="s">
        <v>355</v>
      </c>
      <c r="I193">
        <v>2506</v>
      </c>
      <c r="J193">
        <v>81.73</v>
      </c>
      <c r="K193">
        <v>56.67</v>
      </c>
      <c r="L193">
        <v>204815.38</v>
      </c>
      <c r="M193">
        <v>142015.01999999999</v>
      </c>
      <c r="N193">
        <v>62800.36</v>
      </c>
    </row>
    <row r="194" spans="1:14" x14ac:dyDescent="0.25">
      <c r="A194" t="s">
        <v>29</v>
      </c>
      <c r="B194" t="s">
        <v>356</v>
      </c>
      <c r="C194" t="s">
        <v>40</v>
      </c>
      <c r="D194" t="s">
        <v>22</v>
      </c>
      <c r="E194" t="s">
        <v>45</v>
      </c>
      <c r="F194" s="1">
        <v>42371</v>
      </c>
      <c r="G194">
        <v>624937379</v>
      </c>
      <c r="H194" s="1">
        <v>42584</v>
      </c>
      <c r="I194">
        <v>1713</v>
      </c>
      <c r="J194">
        <v>81.73</v>
      </c>
      <c r="K194">
        <v>56.67</v>
      </c>
      <c r="L194">
        <v>140003.49</v>
      </c>
      <c r="M194">
        <v>97075.71</v>
      </c>
      <c r="N194">
        <v>42927.78</v>
      </c>
    </row>
    <row r="195" spans="1:14" x14ac:dyDescent="0.25">
      <c r="A195" t="s">
        <v>14</v>
      </c>
      <c r="B195" t="s">
        <v>357</v>
      </c>
      <c r="C195" t="s">
        <v>21</v>
      </c>
      <c r="D195" t="s">
        <v>22</v>
      </c>
      <c r="E195" t="s">
        <v>45</v>
      </c>
      <c r="F195" t="s">
        <v>358</v>
      </c>
      <c r="G195">
        <v>678777682</v>
      </c>
      <c r="H195" t="s">
        <v>359</v>
      </c>
      <c r="I195">
        <v>4255</v>
      </c>
      <c r="J195">
        <v>152.58000000000001</v>
      </c>
      <c r="K195">
        <v>97.44</v>
      </c>
      <c r="L195">
        <v>649227.9</v>
      </c>
      <c r="M195">
        <v>414607.2</v>
      </c>
      <c r="N195">
        <v>234620.7</v>
      </c>
    </row>
    <row r="196" spans="1:14" x14ac:dyDescent="0.25">
      <c r="A196" t="s">
        <v>29</v>
      </c>
      <c r="B196" t="s">
        <v>356</v>
      </c>
      <c r="C196" t="s">
        <v>31</v>
      </c>
      <c r="D196" t="s">
        <v>17</v>
      </c>
      <c r="E196" t="s">
        <v>32</v>
      </c>
      <c r="F196" s="1">
        <v>42342</v>
      </c>
      <c r="G196">
        <v>523836553</v>
      </c>
      <c r="H196" t="s">
        <v>251</v>
      </c>
      <c r="I196">
        <v>3732</v>
      </c>
      <c r="J196">
        <v>205.7</v>
      </c>
      <c r="K196">
        <v>117.11</v>
      </c>
      <c r="L196">
        <v>767672.4</v>
      </c>
      <c r="M196">
        <v>437054.52</v>
      </c>
      <c r="N196">
        <v>330617.88</v>
      </c>
    </row>
    <row r="197" spans="1:14" x14ac:dyDescent="0.25">
      <c r="A197" t="s">
        <v>51</v>
      </c>
      <c r="B197" t="s">
        <v>360</v>
      </c>
      <c r="C197" t="s">
        <v>31</v>
      </c>
      <c r="D197" t="s">
        <v>22</v>
      </c>
      <c r="E197" t="s">
        <v>23</v>
      </c>
      <c r="F197" s="1">
        <v>42220</v>
      </c>
      <c r="G197">
        <v>466412818</v>
      </c>
      <c r="H197" s="1">
        <v>42343</v>
      </c>
      <c r="I197">
        <v>772</v>
      </c>
      <c r="J197">
        <v>205.7</v>
      </c>
      <c r="K197">
        <v>117.11</v>
      </c>
      <c r="L197">
        <v>158800.4</v>
      </c>
      <c r="M197">
        <v>90408.92</v>
      </c>
      <c r="N197">
        <v>68391.48</v>
      </c>
    </row>
    <row r="198" spans="1:14" x14ac:dyDescent="0.25">
      <c r="A198" t="s">
        <v>42</v>
      </c>
      <c r="B198" t="s">
        <v>361</v>
      </c>
      <c r="C198" t="s">
        <v>88</v>
      </c>
      <c r="D198" t="s">
        <v>17</v>
      </c>
      <c r="E198" t="s">
        <v>45</v>
      </c>
      <c r="F198" t="s">
        <v>362</v>
      </c>
      <c r="G198">
        <v>433117806</v>
      </c>
      <c r="H198" s="1">
        <v>41062</v>
      </c>
      <c r="I198">
        <v>8039</v>
      </c>
      <c r="J198">
        <v>9.33</v>
      </c>
      <c r="K198">
        <v>6.92</v>
      </c>
      <c r="L198">
        <v>75003.87</v>
      </c>
      <c r="M198">
        <v>55629.88</v>
      </c>
      <c r="N198">
        <v>19373.990000000002</v>
      </c>
    </row>
    <row r="199" spans="1:14" x14ac:dyDescent="0.25">
      <c r="A199" t="s">
        <v>25</v>
      </c>
      <c r="B199" t="s">
        <v>363</v>
      </c>
      <c r="C199" t="s">
        <v>59</v>
      </c>
      <c r="D199" t="s">
        <v>22</v>
      </c>
      <c r="E199" t="s">
        <v>32</v>
      </c>
      <c r="F199" s="1">
        <v>41061</v>
      </c>
      <c r="G199">
        <v>420875346</v>
      </c>
      <c r="H199" t="s">
        <v>364</v>
      </c>
      <c r="I199">
        <v>5223</v>
      </c>
      <c r="J199">
        <v>437.2</v>
      </c>
      <c r="K199">
        <v>263.33</v>
      </c>
      <c r="L199">
        <v>2283495.6</v>
      </c>
      <c r="M199">
        <v>1375372.59</v>
      </c>
      <c r="N199">
        <v>908123.01</v>
      </c>
    </row>
    <row r="200" spans="1:14" x14ac:dyDescent="0.25">
      <c r="A200" t="s">
        <v>51</v>
      </c>
      <c r="B200" t="s">
        <v>194</v>
      </c>
      <c r="C200" t="s">
        <v>59</v>
      </c>
      <c r="D200" t="s">
        <v>17</v>
      </c>
      <c r="E200" t="s">
        <v>23</v>
      </c>
      <c r="F200" t="s">
        <v>365</v>
      </c>
      <c r="G200">
        <v>946921765</v>
      </c>
      <c r="H200" t="s">
        <v>152</v>
      </c>
      <c r="I200">
        <v>4048</v>
      </c>
      <c r="J200">
        <v>437.2</v>
      </c>
      <c r="K200">
        <v>263.33</v>
      </c>
      <c r="L200">
        <v>1769785.6</v>
      </c>
      <c r="M200">
        <v>1065959.8400000001</v>
      </c>
      <c r="N200">
        <v>703825.76</v>
      </c>
    </row>
    <row r="201" spans="1:14" x14ac:dyDescent="0.25">
      <c r="A201" t="s">
        <v>51</v>
      </c>
      <c r="B201" t="s">
        <v>231</v>
      </c>
      <c r="C201" t="s">
        <v>131</v>
      </c>
      <c r="D201" t="s">
        <v>22</v>
      </c>
      <c r="E201" t="s">
        <v>45</v>
      </c>
      <c r="F201" s="1">
        <v>40272</v>
      </c>
      <c r="G201">
        <v>798805892</v>
      </c>
      <c r="H201" t="s">
        <v>366</v>
      </c>
      <c r="I201">
        <v>3270</v>
      </c>
      <c r="J201">
        <v>668.27</v>
      </c>
      <c r="K201">
        <v>502.54</v>
      </c>
      <c r="L201">
        <v>2185242.9</v>
      </c>
      <c r="M201">
        <v>1643305.8</v>
      </c>
      <c r="N201">
        <v>541937.1</v>
      </c>
    </row>
    <row r="202" spans="1:14" x14ac:dyDescent="0.25">
      <c r="A202" t="s">
        <v>51</v>
      </c>
      <c r="B202" t="s">
        <v>367</v>
      </c>
      <c r="C202" t="s">
        <v>131</v>
      </c>
      <c r="D202" t="s">
        <v>22</v>
      </c>
      <c r="E202" t="s">
        <v>18</v>
      </c>
      <c r="F202" t="s">
        <v>368</v>
      </c>
      <c r="G202">
        <v>184389054</v>
      </c>
      <c r="H202" t="s">
        <v>369</v>
      </c>
      <c r="I202">
        <v>3674</v>
      </c>
      <c r="J202">
        <v>668.27</v>
      </c>
      <c r="K202">
        <v>502.54</v>
      </c>
      <c r="L202">
        <v>2455223.98</v>
      </c>
      <c r="M202">
        <v>1846331.96</v>
      </c>
      <c r="N202">
        <v>608892.02</v>
      </c>
    </row>
    <row r="203" spans="1:14" x14ac:dyDescent="0.25">
      <c r="A203" t="s">
        <v>14</v>
      </c>
      <c r="B203" t="s">
        <v>370</v>
      </c>
      <c r="C203" t="s">
        <v>131</v>
      </c>
      <c r="D203" t="s">
        <v>22</v>
      </c>
      <c r="E203" t="s">
        <v>18</v>
      </c>
      <c r="F203" s="1">
        <v>41526</v>
      </c>
      <c r="G203">
        <v>281845080</v>
      </c>
      <c r="H203" t="s">
        <v>371</v>
      </c>
      <c r="I203">
        <v>3077</v>
      </c>
      <c r="J203">
        <v>668.27</v>
      </c>
      <c r="K203">
        <v>502.54</v>
      </c>
      <c r="L203">
        <v>2056266.79</v>
      </c>
      <c r="M203">
        <v>1546315.58</v>
      </c>
      <c r="N203">
        <v>509951.21</v>
      </c>
    </row>
    <row r="204" spans="1:14" x14ac:dyDescent="0.25">
      <c r="A204" t="s">
        <v>14</v>
      </c>
      <c r="B204" t="s">
        <v>372</v>
      </c>
      <c r="C204" t="s">
        <v>69</v>
      </c>
      <c r="D204" t="s">
        <v>17</v>
      </c>
      <c r="E204" t="s">
        <v>45</v>
      </c>
      <c r="F204" t="s">
        <v>373</v>
      </c>
      <c r="G204">
        <v>989660298</v>
      </c>
      <c r="H204" s="1">
        <v>41588</v>
      </c>
      <c r="I204">
        <v>1330</v>
      </c>
      <c r="J204">
        <v>421.89</v>
      </c>
      <c r="K204">
        <v>364.69</v>
      </c>
      <c r="L204">
        <v>561113.69999999995</v>
      </c>
      <c r="M204">
        <v>485037.7</v>
      </c>
      <c r="N204">
        <v>76076</v>
      </c>
    </row>
    <row r="205" spans="1:14" x14ac:dyDescent="0.25">
      <c r="A205" t="s">
        <v>25</v>
      </c>
      <c r="B205" t="s">
        <v>374</v>
      </c>
      <c r="C205" t="s">
        <v>113</v>
      </c>
      <c r="D205" t="s">
        <v>17</v>
      </c>
      <c r="E205" t="s">
        <v>23</v>
      </c>
      <c r="F205" s="1">
        <v>41039</v>
      </c>
      <c r="G205">
        <v>476633536</v>
      </c>
      <c r="H205" s="1">
        <v>40979</v>
      </c>
      <c r="I205">
        <v>5310</v>
      </c>
      <c r="J205">
        <v>154.06</v>
      </c>
      <c r="K205">
        <v>90.93</v>
      </c>
      <c r="L205">
        <v>818058.6</v>
      </c>
      <c r="M205">
        <v>482838.3</v>
      </c>
      <c r="N205">
        <v>335220.3</v>
      </c>
    </row>
    <row r="206" spans="1:14" x14ac:dyDescent="0.25">
      <c r="A206" t="s">
        <v>29</v>
      </c>
      <c r="B206" t="s">
        <v>375</v>
      </c>
      <c r="C206" t="s">
        <v>16</v>
      </c>
      <c r="D206" t="s">
        <v>22</v>
      </c>
      <c r="E206" t="s">
        <v>23</v>
      </c>
      <c r="F206" t="s">
        <v>225</v>
      </c>
      <c r="G206">
        <v>131876122</v>
      </c>
      <c r="H206" t="s">
        <v>376</v>
      </c>
      <c r="I206">
        <v>3930</v>
      </c>
      <c r="J206">
        <v>255.28</v>
      </c>
      <c r="K206">
        <v>159.41999999999999</v>
      </c>
      <c r="L206">
        <v>1003250.4</v>
      </c>
      <c r="M206">
        <v>626520.6</v>
      </c>
      <c r="N206">
        <v>376729.8</v>
      </c>
    </row>
    <row r="207" spans="1:14" x14ac:dyDescent="0.25">
      <c r="A207" t="s">
        <v>51</v>
      </c>
      <c r="B207" t="s">
        <v>182</v>
      </c>
      <c r="C207" t="s">
        <v>69</v>
      </c>
      <c r="D207" t="s">
        <v>22</v>
      </c>
      <c r="E207" t="s">
        <v>32</v>
      </c>
      <c r="F207" t="s">
        <v>377</v>
      </c>
      <c r="G207">
        <v>514811885</v>
      </c>
      <c r="H207" t="s">
        <v>378</v>
      </c>
      <c r="I207">
        <v>3132</v>
      </c>
      <c r="J207">
        <v>421.89</v>
      </c>
      <c r="K207">
        <v>364.69</v>
      </c>
      <c r="L207">
        <v>1321359.48</v>
      </c>
      <c r="M207">
        <v>1142209.08</v>
      </c>
      <c r="N207">
        <v>179150.4</v>
      </c>
    </row>
    <row r="208" spans="1:14" x14ac:dyDescent="0.25">
      <c r="A208" t="s">
        <v>29</v>
      </c>
      <c r="B208" t="s">
        <v>199</v>
      </c>
      <c r="C208" t="s">
        <v>55</v>
      </c>
      <c r="D208" t="s">
        <v>17</v>
      </c>
      <c r="E208" t="s">
        <v>23</v>
      </c>
      <c r="F208" t="s">
        <v>379</v>
      </c>
      <c r="G208">
        <v>905177152</v>
      </c>
      <c r="H208" s="1">
        <v>40725</v>
      </c>
      <c r="I208">
        <v>889</v>
      </c>
      <c r="J208">
        <v>651.21</v>
      </c>
      <c r="K208">
        <v>524.96</v>
      </c>
      <c r="L208">
        <v>578925.68999999994</v>
      </c>
      <c r="M208">
        <v>466689.44</v>
      </c>
      <c r="N208">
        <v>112236.25</v>
      </c>
    </row>
    <row r="209" spans="1:14" x14ac:dyDescent="0.25">
      <c r="A209" t="s">
        <v>38</v>
      </c>
      <c r="B209" t="s">
        <v>83</v>
      </c>
      <c r="C209" t="s">
        <v>40</v>
      </c>
      <c r="D209" t="s">
        <v>22</v>
      </c>
      <c r="E209" t="s">
        <v>45</v>
      </c>
      <c r="F209" s="1">
        <v>41677</v>
      </c>
      <c r="G209">
        <v>653020751</v>
      </c>
      <c r="H209" t="s">
        <v>380</v>
      </c>
      <c r="I209">
        <v>2207</v>
      </c>
      <c r="J209">
        <v>81.73</v>
      </c>
      <c r="K209">
        <v>56.67</v>
      </c>
      <c r="L209">
        <v>180378.11</v>
      </c>
      <c r="M209">
        <v>125070.69</v>
      </c>
      <c r="N209">
        <v>55307.42</v>
      </c>
    </row>
    <row r="210" spans="1:14" x14ac:dyDescent="0.25">
      <c r="A210" t="s">
        <v>29</v>
      </c>
      <c r="B210" t="s">
        <v>206</v>
      </c>
      <c r="C210" t="s">
        <v>69</v>
      </c>
      <c r="D210" t="s">
        <v>17</v>
      </c>
      <c r="E210" t="s">
        <v>32</v>
      </c>
      <c r="F210" t="s">
        <v>381</v>
      </c>
      <c r="G210">
        <v>528704011</v>
      </c>
      <c r="H210" s="1">
        <v>42769</v>
      </c>
      <c r="I210">
        <v>4121</v>
      </c>
      <c r="J210">
        <v>421.89</v>
      </c>
      <c r="K210">
        <v>364.69</v>
      </c>
      <c r="L210">
        <v>1738608.69</v>
      </c>
      <c r="M210">
        <v>1502887.49</v>
      </c>
      <c r="N210">
        <v>235721.2</v>
      </c>
    </row>
    <row r="211" spans="1:14" x14ac:dyDescent="0.25">
      <c r="A211" t="s">
        <v>29</v>
      </c>
      <c r="B211" t="s">
        <v>248</v>
      </c>
      <c r="C211" t="s">
        <v>21</v>
      </c>
      <c r="D211" t="s">
        <v>22</v>
      </c>
      <c r="E211" t="s">
        <v>18</v>
      </c>
      <c r="F211" s="1">
        <v>42126</v>
      </c>
      <c r="G211">
        <v>472900760</v>
      </c>
      <c r="H211" t="s">
        <v>382</v>
      </c>
      <c r="I211">
        <v>699</v>
      </c>
      <c r="J211">
        <v>152.58000000000001</v>
      </c>
      <c r="K211">
        <v>97.44</v>
      </c>
      <c r="L211">
        <v>106653.42</v>
      </c>
      <c r="M211">
        <v>68110.559999999998</v>
      </c>
      <c r="N211">
        <v>38542.86</v>
      </c>
    </row>
    <row r="212" spans="1:14" x14ac:dyDescent="0.25">
      <c r="A212" t="s">
        <v>14</v>
      </c>
      <c r="B212" t="s">
        <v>383</v>
      </c>
      <c r="C212" t="s">
        <v>16</v>
      </c>
      <c r="D212" t="s">
        <v>22</v>
      </c>
      <c r="E212" t="s">
        <v>32</v>
      </c>
      <c r="F212" t="s">
        <v>384</v>
      </c>
      <c r="G212">
        <v>946597325</v>
      </c>
      <c r="H212" t="s">
        <v>384</v>
      </c>
      <c r="I212">
        <v>8039</v>
      </c>
      <c r="J212">
        <v>255.28</v>
      </c>
      <c r="K212">
        <v>159.41999999999999</v>
      </c>
      <c r="L212">
        <v>2052195.92</v>
      </c>
      <c r="M212">
        <v>1281577.3799999999</v>
      </c>
      <c r="N212">
        <v>770618.54</v>
      </c>
    </row>
    <row r="213" spans="1:14" x14ac:dyDescent="0.25">
      <c r="A213" t="s">
        <v>29</v>
      </c>
      <c r="B213" t="s">
        <v>35</v>
      </c>
      <c r="C213" t="s">
        <v>55</v>
      </c>
      <c r="D213" t="s">
        <v>22</v>
      </c>
      <c r="E213" t="s">
        <v>32</v>
      </c>
      <c r="F213" s="1">
        <v>41800</v>
      </c>
      <c r="G213">
        <v>681092536</v>
      </c>
      <c r="H213" t="s">
        <v>326</v>
      </c>
      <c r="I213">
        <v>9272</v>
      </c>
      <c r="J213">
        <v>651.21</v>
      </c>
      <c r="K213">
        <v>524.96</v>
      </c>
      <c r="L213">
        <v>6038019.1200000001</v>
      </c>
      <c r="M213">
        <v>4867429.12</v>
      </c>
      <c r="N213">
        <v>1170590</v>
      </c>
    </row>
    <row r="214" spans="1:14" x14ac:dyDescent="0.25">
      <c r="A214" t="s">
        <v>25</v>
      </c>
      <c r="B214" t="s">
        <v>252</v>
      </c>
      <c r="C214" t="s">
        <v>113</v>
      </c>
      <c r="D214" t="s">
        <v>22</v>
      </c>
      <c r="E214" t="s">
        <v>23</v>
      </c>
      <c r="F214" s="1">
        <v>41677</v>
      </c>
      <c r="G214">
        <v>727997720</v>
      </c>
      <c r="H214" t="s">
        <v>380</v>
      </c>
      <c r="I214">
        <v>9558</v>
      </c>
      <c r="J214">
        <v>154.06</v>
      </c>
      <c r="K214">
        <v>90.93</v>
      </c>
      <c r="L214">
        <v>1472505.48</v>
      </c>
      <c r="M214">
        <v>869108.94</v>
      </c>
      <c r="N214">
        <v>603396.54</v>
      </c>
    </row>
    <row r="215" spans="1:14" x14ac:dyDescent="0.25">
      <c r="A215" t="s">
        <v>38</v>
      </c>
      <c r="B215" t="s">
        <v>49</v>
      </c>
      <c r="C215" t="s">
        <v>16</v>
      </c>
      <c r="D215" t="s">
        <v>17</v>
      </c>
      <c r="E215" t="s">
        <v>23</v>
      </c>
      <c r="F215" t="s">
        <v>385</v>
      </c>
      <c r="G215">
        <v>409236705</v>
      </c>
      <c r="H215" s="1">
        <v>41584</v>
      </c>
      <c r="I215">
        <v>1090</v>
      </c>
      <c r="J215">
        <v>255.28</v>
      </c>
      <c r="K215">
        <v>159.41999999999999</v>
      </c>
      <c r="L215">
        <v>278255.2</v>
      </c>
      <c r="M215">
        <v>173767.8</v>
      </c>
      <c r="N215">
        <v>104487.4</v>
      </c>
    </row>
    <row r="216" spans="1:14" x14ac:dyDescent="0.25">
      <c r="A216" t="s">
        <v>25</v>
      </c>
      <c r="B216" t="s">
        <v>386</v>
      </c>
      <c r="C216" t="s">
        <v>40</v>
      </c>
      <c r="D216" t="s">
        <v>17</v>
      </c>
      <c r="E216" t="s">
        <v>18</v>
      </c>
      <c r="F216" s="1">
        <v>41581</v>
      </c>
      <c r="G216">
        <v>467045819</v>
      </c>
      <c r="H216" s="1">
        <v>41612</v>
      </c>
      <c r="I216">
        <v>8092</v>
      </c>
      <c r="J216">
        <v>81.73</v>
      </c>
      <c r="K216">
        <v>56.67</v>
      </c>
      <c r="L216">
        <v>661359.16</v>
      </c>
      <c r="M216">
        <v>458573.64</v>
      </c>
      <c r="N216">
        <v>202785.52</v>
      </c>
    </row>
    <row r="217" spans="1:14" x14ac:dyDescent="0.25">
      <c r="A217" t="s">
        <v>25</v>
      </c>
      <c r="B217" t="s">
        <v>339</v>
      </c>
      <c r="C217" t="s">
        <v>59</v>
      </c>
      <c r="D217" t="s">
        <v>22</v>
      </c>
      <c r="E217" t="s">
        <v>23</v>
      </c>
      <c r="F217" s="1">
        <v>40919</v>
      </c>
      <c r="G217">
        <v>813973891</v>
      </c>
      <c r="H217" t="s">
        <v>387</v>
      </c>
      <c r="I217">
        <v>1818</v>
      </c>
      <c r="J217">
        <v>437.2</v>
      </c>
      <c r="K217">
        <v>263.33</v>
      </c>
      <c r="L217">
        <v>794829.6</v>
      </c>
      <c r="M217">
        <v>478733.94</v>
      </c>
      <c r="N217">
        <v>316095.65999999997</v>
      </c>
    </row>
    <row r="218" spans="1:14" x14ac:dyDescent="0.25">
      <c r="A218" t="s">
        <v>38</v>
      </c>
      <c r="B218" t="s">
        <v>388</v>
      </c>
      <c r="C218" t="s">
        <v>131</v>
      </c>
      <c r="D218" t="s">
        <v>17</v>
      </c>
      <c r="E218" t="s">
        <v>18</v>
      </c>
      <c r="F218" t="s">
        <v>389</v>
      </c>
      <c r="G218">
        <v>982882249</v>
      </c>
      <c r="H218" t="s">
        <v>390</v>
      </c>
      <c r="I218">
        <v>5554</v>
      </c>
      <c r="J218">
        <v>668.27</v>
      </c>
      <c r="K218">
        <v>502.54</v>
      </c>
      <c r="L218">
        <v>3711571.58</v>
      </c>
      <c r="M218">
        <v>2791107.16</v>
      </c>
      <c r="N218">
        <v>920464.42</v>
      </c>
    </row>
    <row r="219" spans="1:14" x14ac:dyDescent="0.25">
      <c r="A219" t="s">
        <v>25</v>
      </c>
      <c r="B219" t="s">
        <v>374</v>
      </c>
      <c r="C219" t="s">
        <v>59</v>
      </c>
      <c r="D219" t="s">
        <v>22</v>
      </c>
      <c r="E219" t="s">
        <v>32</v>
      </c>
      <c r="F219" t="s">
        <v>160</v>
      </c>
      <c r="G219">
        <v>576944720</v>
      </c>
      <c r="H219" s="1">
        <v>42623</v>
      </c>
      <c r="I219">
        <v>9619</v>
      </c>
      <c r="J219">
        <v>437.2</v>
      </c>
      <c r="K219">
        <v>263.33</v>
      </c>
      <c r="L219">
        <v>4205426.8</v>
      </c>
      <c r="M219">
        <v>2532971.27</v>
      </c>
      <c r="N219">
        <v>1672455.53</v>
      </c>
    </row>
    <row r="220" spans="1:14" x14ac:dyDescent="0.25">
      <c r="A220" t="s">
        <v>29</v>
      </c>
      <c r="B220" t="s">
        <v>248</v>
      </c>
      <c r="C220" t="s">
        <v>113</v>
      </c>
      <c r="D220" t="s">
        <v>22</v>
      </c>
      <c r="E220" t="s">
        <v>23</v>
      </c>
      <c r="F220" t="s">
        <v>391</v>
      </c>
      <c r="G220">
        <v>619647634</v>
      </c>
      <c r="H220" t="s">
        <v>392</v>
      </c>
      <c r="I220">
        <v>6360</v>
      </c>
      <c r="J220">
        <v>154.06</v>
      </c>
      <c r="K220">
        <v>90.93</v>
      </c>
      <c r="L220">
        <v>979821.6</v>
      </c>
      <c r="M220">
        <v>578314.80000000005</v>
      </c>
      <c r="N220">
        <v>401506.8</v>
      </c>
    </row>
    <row r="221" spans="1:14" x14ac:dyDescent="0.25">
      <c r="A221" t="s">
        <v>25</v>
      </c>
      <c r="B221" t="s">
        <v>211</v>
      </c>
      <c r="C221" t="s">
        <v>16</v>
      </c>
      <c r="D221" t="s">
        <v>17</v>
      </c>
      <c r="E221" t="s">
        <v>32</v>
      </c>
      <c r="F221" s="1">
        <v>42071</v>
      </c>
      <c r="G221">
        <v>404789817</v>
      </c>
      <c r="H221" s="1">
        <v>42225</v>
      </c>
      <c r="I221">
        <v>5157</v>
      </c>
      <c r="J221">
        <v>255.28</v>
      </c>
      <c r="K221">
        <v>159.41999999999999</v>
      </c>
      <c r="L221">
        <v>1316478.96</v>
      </c>
      <c r="M221">
        <v>822128.94</v>
      </c>
      <c r="N221">
        <v>494350.02</v>
      </c>
    </row>
    <row r="222" spans="1:14" x14ac:dyDescent="0.25">
      <c r="A222" t="s">
        <v>29</v>
      </c>
      <c r="B222" t="s">
        <v>393</v>
      </c>
      <c r="C222" t="s">
        <v>21</v>
      </c>
      <c r="D222" t="s">
        <v>22</v>
      </c>
      <c r="E222" t="s">
        <v>18</v>
      </c>
      <c r="F222" t="s">
        <v>394</v>
      </c>
      <c r="G222">
        <v>646482598</v>
      </c>
      <c r="H222" t="s">
        <v>395</v>
      </c>
      <c r="I222">
        <v>7422</v>
      </c>
      <c r="J222">
        <v>152.58000000000001</v>
      </c>
      <c r="K222">
        <v>97.44</v>
      </c>
      <c r="L222">
        <v>1132448.76</v>
      </c>
      <c r="M222">
        <v>723199.68</v>
      </c>
      <c r="N222">
        <v>409249.08</v>
      </c>
    </row>
    <row r="223" spans="1:14" x14ac:dyDescent="0.25">
      <c r="A223" t="s">
        <v>51</v>
      </c>
      <c r="B223" t="s">
        <v>169</v>
      </c>
      <c r="C223" t="s">
        <v>69</v>
      </c>
      <c r="D223" t="s">
        <v>17</v>
      </c>
      <c r="E223" t="s">
        <v>23</v>
      </c>
      <c r="F223" s="1">
        <v>42380</v>
      </c>
      <c r="G223">
        <v>329149806</v>
      </c>
      <c r="H223" s="1">
        <v>42594</v>
      </c>
      <c r="I223">
        <v>1597</v>
      </c>
      <c r="J223">
        <v>421.89</v>
      </c>
      <c r="K223">
        <v>364.69</v>
      </c>
      <c r="L223">
        <v>673758.33</v>
      </c>
      <c r="M223">
        <v>582409.93000000005</v>
      </c>
      <c r="N223">
        <v>91348.4</v>
      </c>
    </row>
    <row r="224" spans="1:14" x14ac:dyDescent="0.25">
      <c r="A224" t="s">
        <v>42</v>
      </c>
      <c r="B224" t="s">
        <v>103</v>
      </c>
      <c r="C224" t="s">
        <v>55</v>
      </c>
      <c r="D224" t="s">
        <v>22</v>
      </c>
      <c r="E224" t="s">
        <v>18</v>
      </c>
      <c r="F224" t="s">
        <v>396</v>
      </c>
      <c r="G224">
        <v>757527768</v>
      </c>
      <c r="H224" t="s">
        <v>397</v>
      </c>
      <c r="I224">
        <v>8155</v>
      </c>
      <c r="J224">
        <v>651.21</v>
      </c>
      <c r="K224">
        <v>524.96</v>
      </c>
      <c r="L224">
        <v>5310617.55</v>
      </c>
      <c r="M224">
        <v>4281048.8</v>
      </c>
      <c r="N224">
        <v>1029568.75</v>
      </c>
    </row>
    <row r="225" spans="1:14" x14ac:dyDescent="0.25">
      <c r="A225" t="s">
        <v>51</v>
      </c>
      <c r="B225" t="s">
        <v>398</v>
      </c>
      <c r="C225" t="s">
        <v>59</v>
      </c>
      <c r="D225" t="s">
        <v>17</v>
      </c>
      <c r="E225" t="s">
        <v>23</v>
      </c>
      <c r="F225" t="s">
        <v>399</v>
      </c>
      <c r="G225">
        <v>606665313</v>
      </c>
      <c r="H225" t="s">
        <v>400</v>
      </c>
      <c r="I225">
        <v>4602</v>
      </c>
      <c r="J225">
        <v>437.2</v>
      </c>
      <c r="K225">
        <v>263.33</v>
      </c>
      <c r="L225">
        <v>2011994.4</v>
      </c>
      <c r="M225">
        <v>1211844.6599999999</v>
      </c>
      <c r="N225">
        <v>800149.74</v>
      </c>
    </row>
    <row r="226" spans="1:14" x14ac:dyDescent="0.25">
      <c r="A226" t="s">
        <v>25</v>
      </c>
      <c r="B226" t="s">
        <v>47</v>
      </c>
      <c r="C226" t="s">
        <v>16</v>
      </c>
      <c r="D226" t="s">
        <v>17</v>
      </c>
      <c r="E226" t="s">
        <v>23</v>
      </c>
      <c r="F226" t="s">
        <v>401</v>
      </c>
      <c r="G226">
        <v>871923768</v>
      </c>
      <c r="H226" t="s">
        <v>130</v>
      </c>
      <c r="I226">
        <v>474</v>
      </c>
      <c r="J226">
        <v>255.28</v>
      </c>
      <c r="K226">
        <v>159.41999999999999</v>
      </c>
      <c r="L226">
        <v>121002.72</v>
      </c>
      <c r="M226">
        <v>75565.08</v>
      </c>
      <c r="N226">
        <v>45437.64</v>
      </c>
    </row>
    <row r="227" spans="1:14" x14ac:dyDescent="0.25">
      <c r="A227" t="s">
        <v>25</v>
      </c>
      <c r="B227" t="s">
        <v>339</v>
      </c>
      <c r="C227" t="s">
        <v>113</v>
      </c>
      <c r="D227" t="s">
        <v>22</v>
      </c>
      <c r="E227" t="s">
        <v>23</v>
      </c>
      <c r="F227" t="s">
        <v>402</v>
      </c>
      <c r="G227">
        <v>818976962</v>
      </c>
      <c r="H227" t="s">
        <v>403</v>
      </c>
      <c r="I227">
        <v>2337</v>
      </c>
      <c r="J227">
        <v>154.06</v>
      </c>
      <c r="K227">
        <v>90.93</v>
      </c>
      <c r="L227">
        <v>360038.22</v>
      </c>
      <c r="M227">
        <v>212503.41</v>
      </c>
      <c r="N227">
        <v>147534.81</v>
      </c>
    </row>
    <row r="228" spans="1:14" x14ac:dyDescent="0.25">
      <c r="A228" t="s">
        <v>25</v>
      </c>
      <c r="B228" t="s">
        <v>119</v>
      </c>
      <c r="C228" t="s">
        <v>59</v>
      </c>
      <c r="D228" t="s">
        <v>17</v>
      </c>
      <c r="E228" t="s">
        <v>23</v>
      </c>
      <c r="F228" t="s">
        <v>404</v>
      </c>
      <c r="G228">
        <v>233811223</v>
      </c>
      <c r="H228" t="s">
        <v>404</v>
      </c>
      <c r="I228">
        <v>8792</v>
      </c>
      <c r="J228">
        <v>437.2</v>
      </c>
      <c r="K228">
        <v>263.33</v>
      </c>
      <c r="L228">
        <v>3843862.4</v>
      </c>
      <c r="M228">
        <v>2315197.36</v>
      </c>
      <c r="N228">
        <v>1528665.04</v>
      </c>
    </row>
    <row r="229" spans="1:14" x14ac:dyDescent="0.25">
      <c r="A229" t="s">
        <v>14</v>
      </c>
      <c r="B229" t="s">
        <v>94</v>
      </c>
      <c r="C229" t="s">
        <v>27</v>
      </c>
      <c r="D229" t="s">
        <v>22</v>
      </c>
      <c r="E229" t="s">
        <v>32</v>
      </c>
      <c r="F229" t="s">
        <v>405</v>
      </c>
      <c r="G229">
        <v>772725379</v>
      </c>
      <c r="H229" s="1">
        <v>42981</v>
      </c>
      <c r="I229">
        <v>5466</v>
      </c>
      <c r="J229">
        <v>47.45</v>
      </c>
      <c r="K229">
        <v>31.79</v>
      </c>
      <c r="L229">
        <v>259361.7</v>
      </c>
      <c r="M229">
        <v>173764.14</v>
      </c>
      <c r="N229">
        <v>85597.56</v>
      </c>
    </row>
    <row r="230" spans="1:14" x14ac:dyDescent="0.25">
      <c r="A230" t="s">
        <v>25</v>
      </c>
      <c r="B230" t="s">
        <v>363</v>
      </c>
      <c r="C230" t="s">
        <v>55</v>
      </c>
      <c r="D230" t="s">
        <v>22</v>
      </c>
      <c r="E230" t="s">
        <v>23</v>
      </c>
      <c r="F230" t="s">
        <v>406</v>
      </c>
      <c r="G230">
        <v>112330758</v>
      </c>
      <c r="H230" s="1">
        <v>43040</v>
      </c>
      <c r="I230">
        <v>22</v>
      </c>
      <c r="J230">
        <v>651.21</v>
      </c>
      <c r="K230">
        <v>524.96</v>
      </c>
      <c r="L230">
        <v>14326.62</v>
      </c>
      <c r="M230">
        <v>11549.12</v>
      </c>
      <c r="N230">
        <v>2777.5</v>
      </c>
    </row>
    <row r="231" spans="1:14" x14ac:dyDescent="0.25">
      <c r="A231" t="s">
        <v>38</v>
      </c>
      <c r="B231" t="s">
        <v>68</v>
      </c>
      <c r="C231" t="s">
        <v>44</v>
      </c>
      <c r="D231" t="s">
        <v>17</v>
      </c>
      <c r="E231" t="s">
        <v>18</v>
      </c>
      <c r="F231" t="s">
        <v>296</v>
      </c>
      <c r="G231">
        <v>499551188</v>
      </c>
      <c r="H231" t="s">
        <v>407</v>
      </c>
      <c r="I231">
        <v>7153</v>
      </c>
      <c r="J231">
        <v>109.28</v>
      </c>
      <c r="K231">
        <v>35.840000000000003</v>
      </c>
      <c r="L231">
        <v>781679.84</v>
      </c>
      <c r="M231">
        <v>256363.51999999999</v>
      </c>
      <c r="N231">
        <v>525316.31999999995</v>
      </c>
    </row>
    <row r="232" spans="1:14" x14ac:dyDescent="0.25">
      <c r="A232" t="s">
        <v>29</v>
      </c>
      <c r="B232" t="s">
        <v>30</v>
      </c>
      <c r="C232" t="s">
        <v>44</v>
      </c>
      <c r="D232" t="s">
        <v>17</v>
      </c>
      <c r="E232" t="s">
        <v>18</v>
      </c>
      <c r="F232" t="s">
        <v>408</v>
      </c>
      <c r="G232">
        <v>201622998</v>
      </c>
      <c r="H232" s="1">
        <v>41400</v>
      </c>
      <c r="I232">
        <v>3581</v>
      </c>
      <c r="J232">
        <v>109.28</v>
      </c>
      <c r="K232">
        <v>35.840000000000003</v>
      </c>
      <c r="L232">
        <v>391331.68</v>
      </c>
      <c r="M232">
        <v>128343.03999999999</v>
      </c>
      <c r="N232">
        <v>262988.64</v>
      </c>
    </row>
    <row r="233" spans="1:14" x14ac:dyDescent="0.25">
      <c r="A233" t="s">
        <v>25</v>
      </c>
      <c r="B233" t="s">
        <v>96</v>
      </c>
      <c r="C233" t="s">
        <v>55</v>
      </c>
      <c r="D233" t="s">
        <v>22</v>
      </c>
      <c r="E233" t="s">
        <v>45</v>
      </c>
      <c r="F233" s="1">
        <v>41677</v>
      </c>
      <c r="G233">
        <v>256095016</v>
      </c>
      <c r="H233" t="s">
        <v>409</v>
      </c>
      <c r="I233">
        <v>3061</v>
      </c>
      <c r="J233">
        <v>651.21</v>
      </c>
      <c r="K233">
        <v>524.96</v>
      </c>
      <c r="L233">
        <v>1993353.81</v>
      </c>
      <c r="M233">
        <v>1606902.56</v>
      </c>
      <c r="N233">
        <v>386451.25</v>
      </c>
    </row>
    <row r="234" spans="1:14" x14ac:dyDescent="0.25">
      <c r="A234" t="s">
        <v>51</v>
      </c>
      <c r="B234" t="s">
        <v>194</v>
      </c>
      <c r="C234" t="s">
        <v>88</v>
      </c>
      <c r="D234" t="s">
        <v>22</v>
      </c>
      <c r="E234" t="s">
        <v>18</v>
      </c>
      <c r="F234" t="s">
        <v>122</v>
      </c>
      <c r="G234">
        <v>420828568</v>
      </c>
      <c r="H234" t="s">
        <v>410</v>
      </c>
      <c r="I234">
        <v>1380</v>
      </c>
      <c r="J234">
        <v>9.33</v>
      </c>
      <c r="K234">
        <v>6.92</v>
      </c>
      <c r="L234">
        <v>12875.4</v>
      </c>
      <c r="M234">
        <v>9549.6</v>
      </c>
      <c r="N234">
        <v>3325.8</v>
      </c>
    </row>
    <row r="235" spans="1:14" x14ac:dyDescent="0.25">
      <c r="A235" t="s">
        <v>51</v>
      </c>
      <c r="B235" t="s">
        <v>398</v>
      </c>
      <c r="C235" t="s">
        <v>31</v>
      </c>
      <c r="D235" t="s">
        <v>17</v>
      </c>
      <c r="E235" t="s">
        <v>32</v>
      </c>
      <c r="F235" t="s">
        <v>411</v>
      </c>
      <c r="G235">
        <v>523997485</v>
      </c>
      <c r="H235" t="s">
        <v>412</v>
      </c>
      <c r="I235">
        <v>1355</v>
      </c>
      <c r="J235">
        <v>205.7</v>
      </c>
      <c r="K235">
        <v>117.11</v>
      </c>
      <c r="L235">
        <v>278723.5</v>
      </c>
      <c r="M235">
        <v>158684.04999999999</v>
      </c>
      <c r="N235">
        <v>120039.45</v>
      </c>
    </row>
    <row r="236" spans="1:14" x14ac:dyDescent="0.25">
      <c r="A236" t="s">
        <v>29</v>
      </c>
      <c r="B236" t="s">
        <v>393</v>
      </c>
      <c r="C236" t="s">
        <v>55</v>
      </c>
      <c r="D236" t="s">
        <v>17</v>
      </c>
      <c r="E236" t="s">
        <v>23</v>
      </c>
      <c r="F236" t="s">
        <v>413</v>
      </c>
      <c r="G236">
        <v>914088094</v>
      </c>
      <c r="H236" s="1">
        <v>40242</v>
      </c>
      <c r="I236">
        <v>7835</v>
      </c>
      <c r="J236">
        <v>651.21</v>
      </c>
      <c r="K236">
        <v>524.96</v>
      </c>
      <c r="L236">
        <v>5102230.3499999996</v>
      </c>
      <c r="M236">
        <v>4113061.6</v>
      </c>
      <c r="N236">
        <v>989168.75</v>
      </c>
    </row>
    <row r="237" spans="1:14" x14ac:dyDescent="0.25">
      <c r="A237" t="s">
        <v>51</v>
      </c>
      <c r="B237" t="s">
        <v>414</v>
      </c>
      <c r="C237" t="s">
        <v>21</v>
      </c>
      <c r="D237" t="s">
        <v>17</v>
      </c>
      <c r="E237" t="s">
        <v>18</v>
      </c>
      <c r="F237" t="s">
        <v>415</v>
      </c>
      <c r="G237">
        <v>209899222</v>
      </c>
      <c r="H237" t="s">
        <v>416</v>
      </c>
      <c r="I237">
        <v>2699</v>
      </c>
      <c r="J237">
        <v>152.58000000000001</v>
      </c>
      <c r="K237">
        <v>97.44</v>
      </c>
      <c r="L237">
        <v>411813.42</v>
      </c>
      <c r="M237">
        <v>262990.56</v>
      </c>
      <c r="N237">
        <v>148822.85999999999</v>
      </c>
    </row>
    <row r="238" spans="1:14" x14ac:dyDescent="0.25">
      <c r="A238" t="s">
        <v>51</v>
      </c>
      <c r="B238" t="s">
        <v>417</v>
      </c>
      <c r="C238" t="s">
        <v>44</v>
      </c>
      <c r="D238" t="s">
        <v>22</v>
      </c>
      <c r="E238" t="s">
        <v>18</v>
      </c>
      <c r="F238" t="s">
        <v>130</v>
      </c>
      <c r="G238">
        <v>250542199</v>
      </c>
      <c r="H238" s="1">
        <v>41646</v>
      </c>
      <c r="I238">
        <v>9859</v>
      </c>
      <c r="J238">
        <v>109.28</v>
      </c>
      <c r="K238">
        <v>35.840000000000003</v>
      </c>
      <c r="L238">
        <v>1077391.52</v>
      </c>
      <c r="M238">
        <v>353346.56</v>
      </c>
      <c r="N238">
        <v>724044.96</v>
      </c>
    </row>
    <row r="239" spans="1:14" x14ac:dyDescent="0.25">
      <c r="A239" t="s">
        <v>25</v>
      </c>
      <c r="B239" t="s">
        <v>418</v>
      </c>
      <c r="C239" t="s">
        <v>69</v>
      </c>
      <c r="D239" t="s">
        <v>17</v>
      </c>
      <c r="E239" t="s">
        <v>32</v>
      </c>
      <c r="F239" t="s">
        <v>419</v>
      </c>
      <c r="G239">
        <v>245440852</v>
      </c>
      <c r="H239" t="s">
        <v>70</v>
      </c>
      <c r="I239">
        <v>257</v>
      </c>
      <c r="J239">
        <v>421.89</v>
      </c>
      <c r="K239">
        <v>364.69</v>
      </c>
      <c r="L239">
        <v>108425.73</v>
      </c>
      <c r="M239">
        <v>93725.33</v>
      </c>
      <c r="N239">
        <v>14700.4</v>
      </c>
    </row>
    <row r="240" spans="1:14" x14ac:dyDescent="0.25">
      <c r="A240" t="s">
        <v>51</v>
      </c>
      <c r="B240" t="s">
        <v>420</v>
      </c>
      <c r="C240" t="s">
        <v>113</v>
      </c>
      <c r="D240" t="s">
        <v>17</v>
      </c>
      <c r="E240" t="s">
        <v>32</v>
      </c>
      <c r="F240" s="1">
        <v>42188</v>
      </c>
      <c r="G240">
        <v>824331510</v>
      </c>
      <c r="H240" t="s">
        <v>421</v>
      </c>
      <c r="I240">
        <v>6867</v>
      </c>
      <c r="J240">
        <v>154.06</v>
      </c>
      <c r="K240">
        <v>90.93</v>
      </c>
      <c r="L240">
        <v>1057930.02</v>
      </c>
      <c r="M240">
        <v>624416.31000000006</v>
      </c>
      <c r="N240">
        <v>433513.71</v>
      </c>
    </row>
    <row r="241" spans="1:14" x14ac:dyDescent="0.25">
      <c r="A241" t="s">
        <v>51</v>
      </c>
      <c r="B241" t="s">
        <v>108</v>
      </c>
      <c r="C241" t="s">
        <v>69</v>
      </c>
      <c r="D241" t="s">
        <v>17</v>
      </c>
      <c r="E241" t="s">
        <v>18</v>
      </c>
      <c r="F241" t="s">
        <v>422</v>
      </c>
      <c r="G241">
        <v>887263000</v>
      </c>
      <c r="H241" t="s">
        <v>423</v>
      </c>
      <c r="I241">
        <v>9693</v>
      </c>
      <c r="J241">
        <v>421.89</v>
      </c>
      <c r="K241">
        <v>364.69</v>
      </c>
      <c r="L241">
        <v>4089379.77</v>
      </c>
      <c r="M241">
        <v>3534940.17</v>
      </c>
      <c r="N241">
        <v>554439.6</v>
      </c>
    </row>
    <row r="242" spans="1:14" x14ac:dyDescent="0.25">
      <c r="A242" t="s">
        <v>51</v>
      </c>
      <c r="B242" t="s">
        <v>424</v>
      </c>
      <c r="C242" t="s">
        <v>31</v>
      </c>
      <c r="D242" t="s">
        <v>22</v>
      </c>
      <c r="E242" t="s">
        <v>45</v>
      </c>
      <c r="F242" t="s">
        <v>251</v>
      </c>
      <c r="G242">
        <v>754596650</v>
      </c>
      <c r="H242" t="s">
        <v>425</v>
      </c>
      <c r="I242">
        <v>772</v>
      </c>
      <c r="J242">
        <v>205.7</v>
      </c>
      <c r="K242">
        <v>117.11</v>
      </c>
      <c r="L242">
        <v>158800.4</v>
      </c>
      <c r="M242">
        <v>90408.92</v>
      </c>
      <c r="N242">
        <v>68391.48</v>
      </c>
    </row>
    <row r="243" spans="1:14" x14ac:dyDescent="0.25">
      <c r="A243" t="s">
        <v>25</v>
      </c>
      <c r="B243" t="s">
        <v>426</v>
      </c>
      <c r="C243" t="s">
        <v>88</v>
      </c>
      <c r="D243" t="s">
        <v>17</v>
      </c>
      <c r="E243" t="s">
        <v>45</v>
      </c>
      <c r="F243" t="s">
        <v>427</v>
      </c>
      <c r="G243">
        <v>817006289</v>
      </c>
      <c r="H243" t="s">
        <v>428</v>
      </c>
      <c r="I243">
        <v>9172</v>
      </c>
      <c r="J243">
        <v>9.33</v>
      </c>
      <c r="K243">
        <v>6.92</v>
      </c>
      <c r="L243">
        <v>85574.76</v>
      </c>
      <c r="M243">
        <v>63470.239999999998</v>
      </c>
      <c r="N243">
        <v>22104.52</v>
      </c>
    </row>
    <row r="244" spans="1:14" x14ac:dyDescent="0.25">
      <c r="A244" t="s">
        <v>51</v>
      </c>
      <c r="B244" t="s">
        <v>274</v>
      </c>
      <c r="C244" t="s">
        <v>44</v>
      </c>
      <c r="D244" t="s">
        <v>22</v>
      </c>
      <c r="E244" t="s">
        <v>45</v>
      </c>
      <c r="F244" s="1">
        <v>41123</v>
      </c>
      <c r="G244">
        <v>185478246</v>
      </c>
      <c r="H244" t="s">
        <v>429</v>
      </c>
      <c r="I244">
        <v>5989</v>
      </c>
      <c r="J244">
        <v>109.28</v>
      </c>
      <c r="K244">
        <v>35.840000000000003</v>
      </c>
      <c r="L244">
        <v>654477.92000000004</v>
      </c>
      <c r="M244">
        <v>214645.76000000001</v>
      </c>
      <c r="N244">
        <v>439832.16</v>
      </c>
    </row>
    <row r="245" spans="1:14" x14ac:dyDescent="0.25">
      <c r="A245" t="s">
        <v>29</v>
      </c>
      <c r="B245" t="s">
        <v>137</v>
      </c>
      <c r="C245" t="s">
        <v>40</v>
      </c>
      <c r="D245" t="s">
        <v>22</v>
      </c>
      <c r="E245" t="s">
        <v>23</v>
      </c>
      <c r="F245" t="s">
        <v>133</v>
      </c>
      <c r="G245">
        <v>741311347</v>
      </c>
      <c r="H245" s="1">
        <v>41770</v>
      </c>
      <c r="I245">
        <v>9356</v>
      </c>
      <c r="J245">
        <v>81.73</v>
      </c>
      <c r="K245">
        <v>56.67</v>
      </c>
      <c r="L245">
        <v>764665.88</v>
      </c>
      <c r="M245">
        <v>530204.52</v>
      </c>
      <c r="N245">
        <v>234461.36</v>
      </c>
    </row>
    <row r="246" spans="1:14" x14ac:dyDescent="0.25">
      <c r="A246" t="s">
        <v>38</v>
      </c>
      <c r="B246" t="s">
        <v>430</v>
      </c>
      <c r="C246" t="s">
        <v>40</v>
      </c>
      <c r="D246" t="s">
        <v>22</v>
      </c>
      <c r="E246" t="s">
        <v>18</v>
      </c>
      <c r="F246" t="s">
        <v>428</v>
      </c>
      <c r="G246">
        <v>386116921</v>
      </c>
      <c r="H246" t="s">
        <v>431</v>
      </c>
      <c r="I246">
        <v>9432</v>
      </c>
      <c r="J246">
        <v>81.73</v>
      </c>
      <c r="K246">
        <v>56.67</v>
      </c>
      <c r="L246">
        <v>770877.36</v>
      </c>
      <c r="M246">
        <v>534511.43999999994</v>
      </c>
      <c r="N246">
        <v>236365.92</v>
      </c>
    </row>
    <row r="247" spans="1:14" x14ac:dyDescent="0.25">
      <c r="A247" t="s">
        <v>14</v>
      </c>
      <c r="B247" t="s">
        <v>432</v>
      </c>
      <c r="C247" t="s">
        <v>69</v>
      </c>
      <c r="D247" t="s">
        <v>22</v>
      </c>
      <c r="E247" t="s">
        <v>32</v>
      </c>
      <c r="F247" s="1">
        <v>42068</v>
      </c>
      <c r="G247">
        <v>691818797</v>
      </c>
      <c r="H247" s="1">
        <v>42190</v>
      </c>
      <c r="I247">
        <v>3411</v>
      </c>
      <c r="J247">
        <v>421.89</v>
      </c>
      <c r="K247">
        <v>364.69</v>
      </c>
      <c r="L247">
        <v>1439066.79</v>
      </c>
      <c r="M247">
        <v>1243957.5900000001</v>
      </c>
      <c r="N247">
        <v>195109.2</v>
      </c>
    </row>
    <row r="248" spans="1:14" x14ac:dyDescent="0.25">
      <c r="A248" t="s">
        <v>14</v>
      </c>
      <c r="B248" t="s">
        <v>433</v>
      </c>
      <c r="C248" t="s">
        <v>21</v>
      </c>
      <c r="D248" t="s">
        <v>17</v>
      </c>
      <c r="E248" t="s">
        <v>23</v>
      </c>
      <c r="F248" t="s">
        <v>65</v>
      </c>
      <c r="G248">
        <v>150653302</v>
      </c>
      <c r="H248" s="1">
        <v>42044</v>
      </c>
      <c r="I248">
        <v>515</v>
      </c>
      <c r="J248">
        <v>152.58000000000001</v>
      </c>
      <c r="K248">
        <v>97.44</v>
      </c>
      <c r="L248">
        <v>78578.7</v>
      </c>
      <c r="M248">
        <v>50181.599999999999</v>
      </c>
      <c r="N248">
        <v>28397.1</v>
      </c>
    </row>
    <row r="249" spans="1:14" x14ac:dyDescent="0.25">
      <c r="A249" t="s">
        <v>29</v>
      </c>
      <c r="B249" t="s">
        <v>159</v>
      </c>
      <c r="C249" t="s">
        <v>113</v>
      </c>
      <c r="D249" t="s">
        <v>22</v>
      </c>
      <c r="E249" t="s">
        <v>18</v>
      </c>
      <c r="F249" s="1">
        <v>42008</v>
      </c>
      <c r="G249">
        <v>925169265</v>
      </c>
      <c r="H249" s="1">
        <v>42068</v>
      </c>
      <c r="I249">
        <v>7000</v>
      </c>
      <c r="J249">
        <v>154.06</v>
      </c>
      <c r="K249">
        <v>90.93</v>
      </c>
      <c r="L249">
        <v>1078420</v>
      </c>
      <c r="M249">
        <v>636510</v>
      </c>
      <c r="N249">
        <v>441910</v>
      </c>
    </row>
    <row r="250" spans="1:14" x14ac:dyDescent="0.25">
      <c r="A250" t="s">
        <v>25</v>
      </c>
      <c r="B250" t="s">
        <v>434</v>
      </c>
      <c r="C250" t="s">
        <v>113</v>
      </c>
      <c r="D250" t="s">
        <v>17</v>
      </c>
      <c r="E250" t="s">
        <v>45</v>
      </c>
      <c r="F250" t="s">
        <v>435</v>
      </c>
      <c r="G250">
        <v>298228013</v>
      </c>
      <c r="H250" t="s">
        <v>436</v>
      </c>
      <c r="I250">
        <v>1151</v>
      </c>
      <c r="J250">
        <v>154.06</v>
      </c>
      <c r="K250">
        <v>90.93</v>
      </c>
      <c r="L250">
        <v>177323.06</v>
      </c>
      <c r="M250">
        <v>104660.43</v>
      </c>
      <c r="N250">
        <v>72662.63</v>
      </c>
    </row>
    <row r="251" spans="1:14" x14ac:dyDescent="0.25">
      <c r="A251" t="s">
        <v>42</v>
      </c>
      <c r="B251" t="s">
        <v>290</v>
      </c>
      <c r="C251" t="s">
        <v>55</v>
      </c>
      <c r="D251" t="s">
        <v>17</v>
      </c>
      <c r="E251" t="s">
        <v>32</v>
      </c>
      <c r="F251" t="s">
        <v>437</v>
      </c>
      <c r="G251">
        <v>123003375</v>
      </c>
      <c r="H251" t="s">
        <v>438</v>
      </c>
      <c r="I251">
        <v>8287</v>
      </c>
      <c r="J251">
        <v>651.21</v>
      </c>
      <c r="K251">
        <v>524.96</v>
      </c>
      <c r="L251">
        <v>5396577.2699999996</v>
      </c>
      <c r="M251">
        <v>4350343.5199999996</v>
      </c>
      <c r="N251">
        <v>1046233.75</v>
      </c>
    </row>
    <row r="252" spans="1:14" x14ac:dyDescent="0.25">
      <c r="A252" t="s">
        <v>25</v>
      </c>
      <c r="B252" t="s">
        <v>201</v>
      </c>
      <c r="C252" t="s">
        <v>21</v>
      </c>
      <c r="D252" t="s">
        <v>17</v>
      </c>
      <c r="E252" t="s">
        <v>23</v>
      </c>
      <c r="F252" t="s">
        <v>439</v>
      </c>
      <c r="G252">
        <v>972981679</v>
      </c>
      <c r="H252" s="1">
        <v>42982</v>
      </c>
      <c r="I252">
        <v>5755</v>
      </c>
      <c r="J252">
        <v>152.58000000000001</v>
      </c>
      <c r="K252">
        <v>97.44</v>
      </c>
      <c r="L252">
        <v>878097.9</v>
      </c>
      <c r="M252">
        <v>560767.19999999995</v>
      </c>
      <c r="N252">
        <v>317330.7</v>
      </c>
    </row>
    <row r="253" spans="1:14" x14ac:dyDescent="0.25">
      <c r="A253" t="s">
        <v>29</v>
      </c>
      <c r="B253" t="s">
        <v>440</v>
      </c>
      <c r="C253" t="s">
        <v>27</v>
      </c>
      <c r="D253" t="s">
        <v>17</v>
      </c>
      <c r="E253" t="s">
        <v>18</v>
      </c>
      <c r="F253" s="1">
        <v>41982</v>
      </c>
      <c r="G253">
        <v>791961753</v>
      </c>
      <c r="H253" t="s">
        <v>341</v>
      </c>
      <c r="I253">
        <v>7937</v>
      </c>
      <c r="J253">
        <v>47.45</v>
      </c>
      <c r="K253">
        <v>31.79</v>
      </c>
      <c r="L253">
        <v>376610.65</v>
      </c>
      <c r="M253">
        <v>252317.23</v>
      </c>
      <c r="N253">
        <v>124293.42</v>
      </c>
    </row>
    <row r="254" spans="1:14" x14ac:dyDescent="0.25">
      <c r="A254" t="s">
        <v>29</v>
      </c>
      <c r="B254" t="s">
        <v>199</v>
      </c>
      <c r="C254" t="s">
        <v>131</v>
      </c>
      <c r="D254" t="s">
        <v>17</v>
      </c>
      <c r="E254" t="s">
        <v>23</v>
      </c>
      <c r="F254" t="s">
        <v>441</v>
      </c>
      <c r="G254">
        <v>744054925</v>
      </c>
      <c r="H254" t="s">
        <v>442</v>
      </c>
      <c r="I254">
        <v>1242</v>
      </c>
      <c r="J254">
        <v>668.27</v>
      </c>
      <c r="K254">
        <v>502.54</v>
      </c>
      <c r="L254">
        <v>829991.34</v>
      </c>
      <c r="M254">
        <v>624154.68000000005</v>
      </c>
      <c r="N254">
        <v>205836.66</v>
      </c>
    </row>
    <row r="255" spans="1:14" x14ac:dyDescent="0.25">
      <c r="A255" t="s">
        <v>29</v>
      </c>
      <c r="B255" t="s">
        <v>338</v>
      </c>
      <c r="C255" t="s">
        <v>55</v>
      </c>
      <c r="D255" t="s">
        <v>22</v>
      </c>
      <c r="E255" t="s">
        <v>32</v>
      </c>
      <c r="F255" s="1">
        <v>40971</v>
      </c>
      <c r="G255">
        <v>263685023</v>
      </c>
      <c r="H255" s="1">
        <v>41125</v>
      </c>
      <c r="I255">
        <v>9113</v>
      </c>
      <c r="J255">
        <v>651.21</v>
      </c>
      <c r="K255">
        <v>524.96</v>
      </c>
      <c r="L255">
        <v>5934476.7300000004</v>
      </c>
      <c r="M255">
        <v>4783960.4800000004</v>
      </c>
      <c r="N255">
        <v>1150516.25</v>
      </c>
    </row>
    <row r="256" spans="1:14" x14ac:dyDescent="0.25">
      <c r="A256" t="s">
        <v>14</v>
      </c>
      <c r="B256" t="s">
        <v>20</v>
      </c>
      <c r="C256" t="s">
        <v>16</v>
      </c>
      <c r="D256" t="s">
        <v>17</v>
      </c>
      <c r="E256" t="s">
        <v>45</v>
      </c>
      <c r="F256" t="s">
        <v>443</v>
      </c>
      <c r="G256">
        <v>205588376</v>
      </c>
      <c r="H256" t="s">
        <v>444</v>
      </c>
      <c r="I256">
        <v>7024</v>
      </c>
      <c r="J256">
        <v>255.28</v>
      </c>
      <c r="K256">
        <v>159.41999999999999</v>
      </c>
      <c r="L256">
        <v>1793086.72</v>
      </c>
      <c r="M256">
        <v>1119766.08</v>
      </c>
      <c r="N256">
        <v>673320.64</v>
      </c>
    </row>
    <row r="257" spans="1:14" x14ac:dyDescent="0.25">
      <c r="A257" t="s">
        <v>25</v>
      </c>
      <c r="B257" t="s">
        <v>266</v>
      </c>
      <c r="C257" t="s">
        <v>40</v>
      </c>
      <c r="D257" t="s">
        <v>22</v>
      </c>
      <c r="E257" t="s">
        <v>18</v>
      </c>
      <c r="F257" s="1">
        <v>41127</v>
      </c>
      <c r="G257">
        <v>594813811</v>
      </c>
      <c r="H257" t="s">
        <v>445</v>
      </c>
      <c r="I257">
        <v>7480</v>
      </c>
      <c r="J257">
        <v>81.73</v>
      </c>
      <c r="K257">
        <v>56.67</v>
      </c>
      <c r="L257">
        <v>611340.4</v>
      </c>
      <c r="M257">
        <v>423891.6</v>
      </c>
      <c r="N257">
        <v>187448.8</v>
      </c>
    </row>
    <row r="258" spans="1:14" x14ac:dyDescent="0.25">
      <c r="A258" t="s">
        <v>25</v>
      </c>
      <c r="B258" t="s">
        <v>87</v>
      </c>
      <c r="C258" t="s">
        <v>44</v>
      </c>
      <c r="D258" t="s">
        <v>17</v>
      </c>
      <c r="E258" t="s">
        <v>45</v>
      </c>
      <c r="F258" s="1">
        <v>41130</v>
      </c>
      <c r="G258">
        <v>176722657</v>
      </c>
      <c r="H258" t="s">
        <v>446</v>
      </c>
      <c r="I258">
        <v>5016</v>
      </c>
      <c r="J258">
        <v>109.28</v>
      </c>
      <c r="K258">
        <v>35.840000000000003</v>
      </c>
      <c r="L258">
        <v>548148.47999999998</v>
      </c>
      <c r="M258">
        <v>179773.44</v>
      </c>
      <c r="N258">
        <v>368375.03999999998</v>
      </c>
    </row>
    <row r="259" spans="1:14" x14ac:dyDescent="0.25">
      <c r="A259" t="s">
        <v>25</v>
      </c>
      <c r="B259" t="s">
        <v>242</v>
      </c>
      <c r="C259" t="s">
        <v>40</v>
      </c>
      <c r="D259" t="s">
        <v>22</v>
      </c>
      <c r="E259" t="s">
        <v>18</v>
      </c>
      <c r="F259" t="s">
        <v>447</v>
      </c>
      <c r="G259">
        <v>466988742</v>
      </c>
      <c r="H259" t="s">
        <v>447</v>
      </c>
      <c r="I259">
        <v>1201</v>
      </c>
      <c r="J259">
        <v>81.73</v>
      </c>
      <c r="K259">
        <v>56.67</v>
      </c>
      <c r="L259">
        <v>98157.73</v>
      </c>
      <c r="M259">
        <v>68060.67</v>
      </c>
      <c r="N259">
        <v>30097.06</v>
      </c>
    </row>
    <row r="260" spans="1:14" x14ac:dyDescent="0.25">
      <c r="A260" t="s">
        <v>51</v>
      </c>
      <c r="B260" t="s">
        <v>194</v>
      </c>
      <c r="C260" t="s">
        <v>40</v>
      </c>
      <c r="D260" t="s">
        <v>22</v>
      </c>
      <c r="E260" t="s">
        <v>32</v>
      </c>
      <c r="F260" t="s">
        <v>448</v>
      </c>
      <c r="G260">
        <v>801598393</v>
      </c>
      <c r="H260" s="1">
        <v>40945</v>
      </c>
      <c r="I260">
        <v>9633</v>
      </c>
      <c r="J260">
        <v>81.73</v>
      </c>
      <c r="K260">
        <v>56.67</v>
      </c>
      <c r="L260">
        <v>787305.09</v>
      </c>
      <c r="M260">
        <v>545902.11</v>
      </c>
      <c r="N260">
        <v>241402.98</v>
      </c>
    </row>
    <row r="261" spans="1:14" x14ac:dyDescent="0.25">
      <c r="A261" t="s">
        <v>51</v>
      </c>
      <c r="B261" t="s">
        <v>414</v>
      </c>
      <c r="C261" t="s">
        <v>69</v>
      </c>
      <c r="D261" t="s">
        <v>22</v>
      </c>
      <c r="E261" t="s">
        <v>18</v>
      </c>
      <c r="F261" t="s">
        <v>449</v>
      </c>
      <c r="G261">
        <v>586850440</v>
      </c>
      <c r="H261" s="1">
        <v>42222</v>
      </c>
      <c r="I261">
        <v>941</v>
      </c>
      <c r="J261">
        <v>421.89</v>
      </c>
      <c r="K261">
        <v>364.69</v>
      </c>
      <c r="L261">
        <v>396998.49</v>
      </c>
      <c r="M261">
        <v>343173.29</v>
      </c>
      <c r="N261">
        <v>53825.2</v>
      </c>
    </row>
    <row r="262" spans="1:14" x14ac:dyDescent="0.25">
      <c r="A262" t="s">
        <v>14</v>
      </c>
      <c r="B262" t="s">
        <v>81</v>
      </c>
      <c r="C262" t="s">
        <v>21</v>
      </c>
      <c r="D262" t="s">
        <v>22</v>
      </c>
      <c r="E262" t="s">
        <v>45</v>
      </c>
      <c r="F262" t="s">
        <v>450</v>
      </c>
      <c r="G262">
        <v>649356210</v>
      </c>
      <c r="H262" t="s">
        <v>450</v>
      </c>
      <c r="I262">
        <v>7787</v>
      </c>
      <c r="J262">
        <v>152.58000000000001</v>
      </c>
      <c r="K262">
        <v>97.44</v>
      </c>
      <c r="L262">
        <v>1188140.46</v>
      </c>
      <c r="M262">
        <v>758765.28</v>
      </c>
      <c r="N262">
        <v>429375.18</v>
      </c>
    </row>
    <row r="263" spans="1:14" x14ac:dyDescent="0.25">
      <c r="A263" t="s">
        <v>38</v>
      </c>
      <c r="B263" t="s">
        <v>451</v>
      </c>
      <c r="C263" t="s">
        <v>31</v>
      </c>
      <c r="D263" t="s">
        <v>22</v>
      </c>
      <c r="E263" t="s">
        <v>45</v>
      </c>
      <c r="F263" t="s">
        <v>452</v>
      </c>
      <c r="G263">
        <v>986039531</v>
      </c>
      <c r="H263" s="1">
        <v>42289</v>
      </c>
      <c r="I263">
        <v>9864</v>
      </c>
      <c r="J263">
        <v>205.7</v>
      </c>
      <c r="K263">
        <v>117.11</v>
      </c>
      <c r="L263">
        <v>2029024.8</v>
      </c>
      <c r="M263">
        <v>1155173.04</v>
      </c>
      <c r="N263">
        <v>873851.76</v>
      </c>
    </row>
    <row r="264" spans="1:14" x14ac:dyDescent="0.25">
      <c r="A264" t="s">
        <v>29</v>
      </c>
      <c r="B264" t="s">
        <v>338</v>
      </c>
      <c r="C264" t="s">
        <v>131</v>
      </c>
      <c r="D264" t="s">
        <v>22</v>
      </c>
      <c r="E264" t="s">
        <v>45</v>
      </c>
      <c r="F264" s="1">
        <v>41183</v>
      </c>
      <c r="G264">
        <v>314136731</v>
      </c>
      <c r="H264" s="1">
        <v>41244</v>
      </c>
      <c r="I264">
        <v>8894</v>
      </c>
      <c r="J264">
        <v>668.27</v>
      </c>
      <c r="K264">
        <v>502.54</v>
      </c>
      <c r="L264">
        <v>5943593.3799999999</v>
      </c>
      <c r="M264">
        <v>4469590.76</v>
      </c>
      <c r="N264">
        <v>1474002.62</v>
      </c>
    </row>
    <row r="265" spans="1:14" x14ac:dyDescent="0.25">
      <c r="A265" t="s">
        <v>38</v>
      </c>
      <c r="B265" t="s">
        <v>117</v>
      </c>
      <c r="C265" t="s">
        <v>27</v>
      </c>
      <c r="D265" t="s">
        <v>22</v>
      </c>
      <c r="E265" t="s">
        <v>45</v>
      </c>
      <c r="F265" t="s">
        <v>453</v>
      </c>
      <c r="G265">
        <v>121196639</v>
      </c>
      <c r="H265" s="1">
        <v>42187</v>
      </c>
      <c r="I265">
        <v>3634</v>
      </c>
      <c r="J265">
        <v>47.45</v>
      </c>
      <c r="K265">
        <v>31.79</v>
      </c>
      <c r="L265">
        <v>172433.3</v>
      </c>
      <c r="M265">
        <v>115524.86</v>
      </c>
      <c r="N265">
        <v>56908.44</v>
      </c>
    </row>
    <row r="266" spans="1:14" x14ac:dyDescent="0.25">
      <c r="A266" t="s">
        <v>25</v>
      </c>
      <c r="B266" t="s">
        <v>211</v>
      </c>
      <c r="C266" t="s">
        <v>31</v>
      </c>
      <c r="D266" t="s">
        <v>17</v>
      </c>
      <c r="E266" t="s">
        <v>23</v>
      </c>
      <c r="F266" s="1">
        <v>42316</v>
      </c>
      <c r="G266">
        <v>615080583</v>
      </c>
      <c r="H266" t="s">
        <v>454</v>
      </c>
      <c r="I266">
        <v>4868</v>
      </c>
      <c r="J266">
        <v>205.7</v>
      </c>
      <c r="K266">
        <v>117.11</v>
      </c>
      <c r="L266">
        <v>1001347.6</v>
      </c>
      <c r="M266">
        <v>570091.48</v>
      </c>
      <c r="N266">
        <v>431256.12</v>
      </c>
    </row>
    <row r="267" spans="1:14" x14ac:dyDescent="0.25">
      <c r="A267" t="s">
        <v>29</v>
      </c>
      <c r="B267" t="s">
        <v>124</v>
      </c>
      <c r="C267" t="s">
        <v>88</v>
      </c>
      <c r="D267" t="s">
        <v>22</v>
      </c>
      <c r="E267" t="s">
        <v>32</v>
      </c>
      <c r="F267" t="s">
        <v>455</v>
      </c>
      <c r="G267">
        <v>273962390</v>
      </c>
      <c r="H267" s="1">
        <v>42499</v>
      </c>
      <c r="I267">
        <v>414</v>
      </c>
      <c r="J267">
        <v>9.33</v>
      </c>
      <c r="K267">
        <v>6.92</v>
      </c>
      <c r="L267">
        <v>3862.62</v>
      </c>
      <c r="M267">
        <v>2864.88</v>
      </c>
      <c r="N267">
        <v>997.74</v>
      </c>
    </row>
    <row r="268" spans="1:14" x14ac:dyDescent="0.25">
      <c r="A268" t="s">
        <v>38</v>
      </c>
      <c r="B268" t="s">
        <v>68</v>
      </c>
      <c r="C268" t="s">
        <v>40</v>
      </c>
      <c r="D268" t="s">
        <v>22</v>
      </c>
      <c r="E268" t="s">
        <v>45</v>
      </c>
      <c r="F268" t="s">
        <v>456</v>
      </c>
      <c r="G268">
        <v>796328389</v>
      </c>
      <c r="H268" t="s">
        <v>457</v>
      </c>
      <c r="I268">
        <v>121</v>
      </c>
      <c r="J268">
        <v>81.73</v>
      </c>
      <c r="K268">
        <v>56.67</v>
      </c>
      <c r="L268">
        <v>9889.33</v>
      </c>
      <c r="M268">
        <v>6857.07</v>
      </c>
      <c r="N268">
        <v>3032.26</v>
      </c>
    </row>
    <row r="269" spans="1:14" x14ac:dyDescent="0.25">
      <c r="A269" t="s">
        <v>25</v>
      </c>
      <c r="B269" t="s">
        <v>458</v>
      </c>
      <c r="C269" t="s">
        <v>59</v>
      </c>
      <c r="D269" t="s">
        <v>17</v>
      </c>
      <c r="E269" t="s">
        <v>23</v>
      </c>
      <c r="F269" t="s">
        <v>459</v>
      </c>
      <c r="G269">
        <v>350977408</v>
      </c>
      <c r="H269" t="s">
        <v>197</v>
      </c>
      <c r="I269">
        <v>869</v>
      </c>
      <c r="J269">
        <v>437.2</v>
      </c>
      <c r="K269">
        <v>263.33</v>
      </c>
      <c r="L269">
        <v>379926.8</v>
      </c>
      <c r="M269">
        <v>228833.77</v>
      </c>
      <c r="N269">
        <v>151093.03</v>
      </c>
    </row>
    <row r="270" spans="1:14" x14ac:dyDescent="0.25">
      <c r="A270" t="s">
        <v>38</v>
      </c>
      <c r="B270" t="s">
        <v>85</v>
      </c>
      <c r="C270" t="s">
        <v>44</v>
      </c>
      <c r="D270" t="s">
        <v>22</v>
      </c>
      <c r="E270" t="s">
        <v>18</v>
      </c>
      <c r="F270" t="s">
        <v>460</v>
      </c>
      <c r="G270">
        <v>327020776</v>
      </c>
      <c r="H270" t="s">
        <v>461</v>
      </c>
      <c r="I270">
        <v>1570</v>
      </c>
      <c r="J270">
        <v>109.28</v>
      </c>
      <c r="K270">
        <v>35.840000000000003</v>
      </c>
      <c r="L270">
        <v>171569.6</v>
      </c>
      <c r="M270">
        <v>56268.800000000003</v>
      </c>
      <c r="N270">
        <v>115300.8</v>
      </c>
    </row>
    <row r="271" spans="1:14" x14ac:dyDescent="0.25">
      <c r="A271" t="s">
        <v>38</v>
      </c>
      <c r="B271" t="s">
        <v>156</v>
      </c>
      <c r="C271" t="s">
        <v>113</v>
      </c>
      <c r="D271" t="s">
        <v>17</v>
      </c>
      <c r="E271" t="s">
        <v>45</v>
      </c>
      <c r="F271" s="1">
        <v>41581</v>
      </c>
      <c r="G271">
        <v>383882319</v>
      </c>
      <c r="H271" t="s">
        <v>104</v>
      </c>
      <c r="I271">
        <v>8164</v>
      </c>
      <c r="J271">
        <v>154.06</v>
      </c>
      <c r="K271">
        <v>90.93</v>
      </c>
      <c r="L271">
        <v>1257745.8400000001</v>
      </c>
      <c r="M271">
        <v>742352.52</v>
      </c>
      <c r="N271">
        <v>515393.32</v>
      </c>
    </row>
    <row r="272" spans="1:14" x14ac:dyDescent="0.25">
      <c r="A272" t="s">
        <v>25</v>
      </c>
      <c r="B272" t="s">
        <v>462</v>
      </c>
      <c r="C272" t="s">
        <v>40</v>
      </c>
      <c r="D272" t="s">
        <v>22</v>
      </c>
      <c r="E272" t="s">
        <v>18</v>
      </c>
      <c r="F272" s="1">
        <v>40767</v>
      </c>
      <c r="G272">
        <v>701298367</v>
      </c>
      <c r="H272" s="1">
        <v>41061</v>
      </c>
      <c r="I272">
        <v>8626</v>
      </c>
      <c r="J272">
        <v>81.73</v>
      </c>
      <c r="K272">
        <v>56.67</v>
      </c>
      <c r="L272">
        <v>705002.98</v>
      </c>
      <c r="M272">
        <v>488835.42</v>
      </c>
      <c r="N272">
        <v>216167.56</v>
      </c>
    </row>
    <row r="273" spans="1:14" x14ac:dyDescent="0.25">
      <c r="A273" t="s">
        <v>51</v>
      </c>
      <c r="B273" t="s">
        <v>115</v>
      </c>
      <c r="C273" t="s">
        <v>88</v>
      </c>
      <c r="D273" t="s">
        <v>17</v>
      </c>
      <c r="E273" t="s">
        <v>18</v>
      </c>
      <c r="F273" t="s">
        <v>463</v>
      </c>
      <c r="G273">
        <v>629317748</v>
      </c>
      <c r="H273" t="s">
        <v>464</v>
      </c>
      <c r="I273">
        <v>7961</v>
      </c>
      <c r="J273">
        <v>9.33</v>
      </c>
      <c r="K273">
        <v>6.92</v>
      </c>
      <c r="L273">
        <v>74276.13</v>
      </c>
      <c r="M273">
        <v>55090.12</v>
      </c>
      <c r="N273">
        <v>19186.009999999998</v>
      </c>
    </row>
    <row r="274" spans="1:14" x14ac:dyDescent="0.25">
      <c r="A274" t="s">
        <v>29</v>
      </c>
      <c r="B274" t="s">
        <v>153</v>
      </c>
      <c r="C274" t="s">
        <v>16</v>
      </c>
      <c r="D274" t="s">
        <v>22</v>
      </c>
      <c r="E274" t="s">
        <v>23</v>
      </c>
      <c r="F274" t="s">
        <v>465</v>
      </c>
      <c r="G274">
        <v>938301789</v>
      </c>
      <c r="H274" t="s">
        <v>466</v>
      </c>
      <c r="I274">
        <v>3205</v>
      </c>
      <c r="J274">
        <v>255.28</v>
      </c>
      <c r="K274">
        <v>159.41999999999999</v>
      </c>
      <c r="L274">
        <v>818172.4</v>
      </c>
      <c r="M274">
        <v>510941.1</v>
      </c>
      <c r="N274">
        <v>307231.3</v>
      </c>
    </row>
    <row r="275" spans="1:14" x14ac:dyDescent="0.25">
      <c r="A275" t="s">
        <v>38</v>
      </c>
      <c r="B275" t="s">
        <v>187</v>
      </c>
      <c r="C275" t="s">
        <v>113</v>
      </c>
      <c r="D275" t="s">
        <v>17</v>
      </c>
      <c r="E275" t="s">
        <v>32</v>
      </c>
      <c r="F275" s="1">
        <v>40914</v>
      </c>
      <c r="G275">
        <v>668924319</v>
      </c>
      <c r="H275" s="1">
        <v>41097</v>
      </c>
      <c r="I275">
        <v>8426</v>
      </c>
      <c r="J275">
        <v>154.06</v>
      </c>
      <c r="K275">
        <v>90.93</v>
      </c>
      <c r="L275">
        <v>1298109.56</v>
      </c>
      <c r="M275">
        <v>766176.18</v>
      </c>
      <c r="N275">
        <v>531933.38</v>
      </c>
    </row>
    <row r="276" spans="1:14" x14ac:dyDescent="0.25">
      <c r="A276" t="s">
        <v>29</v>
      </c>
      <c r="B276" t="s">
        <v>467</v>
      </c>
      <c r="C276" t="s">
        <v>44</v>
      </c>
      <c r="D276" t="s">
        <v>17</v>
      </c>
      <c r="E276" t="s">
        <v>23</v>
      </c>
      <c r="F276" s="1">
        <v>40400</v>
      </c>
      <c r="G276">
        <v>282171666</v>
      </c>
      <c r="H276" t="s">
        <v>468</v>
      </c>
      <c r="I276">
        <v>9721</v>
      </c>
      <c r="J276">
        <v>109.28</v>
      </c>
      <c r="K276">
        <v>35.840000000000003</v>
      </c>
      <c r="L276">
        <v>1062310.8799999999</v>
      </c>
      <c r="M276">
        <v>348400.64000000001</v>
      </c>
      <c r="N276">
        <v>713910.24</v>
      </c>
    </row>
    <row r="277" spans="1:14" x14ac:dyDescent="0.25">
      <c r="A277" t="s">
        <v>25</v>
      </c>
      <c r="B277" t="s">
        <v>469</v>
      </c>
      <c r="C277" t="s">
        <v>40</v>
      </c>
      <c r="D277" t="s">
        <v>17</v>
      </c>
      <c r="E277" t="s">
        <v>23</v>
      </c>
      <c r="F277" t="s">
        <v>470</v>
      </c>
      <c r="G277">
        <v>309342658</v>
      </c>
      <c r="H277" t="s">
        <v>46</v>
      </c>
      <c r="I277">
        <v>222</v>
      </c>
      <c r="J277">
        <v>81.73</v>
      </c>
      <c r="K277">
        <v>56.67</v>
      </c>
      <c r="L277">
        <v>18144.060000000001</v>
      </c>
      <c r="M277">
        <v>12580.74</v>
      </c>
      <c r="N277">
        <v>5563.32</v>
      </c>
    </row>
    <row r="278" spans="1:14" x14ac:dyDescent="0.25">
      <c r="A278" t="s">
        <v>51</v>
      </c>
      <c r="B278" t="s">
        <v>192</v>
      </c>
      <c r="C278" t="s">
        <v>59</v>
      </c>
      <c r="D278" t="s">
        <v>17</v>
      </c>
      <c r="E278" t="s">
        <v>45</v>
      </c>
      <c r="F278" s="1">
        <v>42502</v>
      </c>
      <c r="G278">
        <v>902048623</v>
      </c>
      <c r="H278" t="s">
        <v>471</v>
      </c>
      <c r="I278">
        <v>5088</v>
      </c>
      <c r="J278">
        <v>437.2</v>
      </c>
      <c r="K278">
        <v>263.33</v>
      </c>
      <c r="L278">
        <v>2224473.6</v>
      </c>
      <c r="M278">
        <v>1339823.04</v>
      </c>
      <c r="N278">
        <v>884650.56</v>
      </c>
    </row>
    <row r="279" spans="1:14" x14ac:dyDescent="0.25">
      <c r="A279" t="s">
        <v>38</v>
      </c>
      <c r="B279" t="s">
        <v>451</v>
      </c>
      <c r="C279" t="s">
        <v>44</v>
      </c>
      <c r="D279" t="s">
        <v>17</v>
      </c>
      <c r="E279" t="s">
        <v>45</v>
      </c>
      <c r="F279" s="1">
        <v>41433</v>
      </c>
      <c r="G279">
        <v>482213389</v>
      </c>
      <c r="H279" s="1">
        <v>41342</v>
      </c>
      <c r="I279">
        <v>6513</v>
      </c>
      <c r="J279">
        <v>109.28</v>
      </c>
      <c r="K279">
        <v>35.840000000000003</v>
      </c>
      <c r="L279">
        <v>711740.64</v>
      </c>
      <c r="M279">
        <v>233425.92000000001</v>
      </c>
      <c r="N279">
        <v>478314.72</v>
      </c>
    </row>
    <row r="280" spans="1:14" x14ac:dyDescent="0.25">
      <c r="A280" t="s">
        <v>14</v>
      </c>
      <c r="B280" t="s">
        <v>94</v>
      </c>
      <c r="C280" t="s">
        <v>113</v>
      </c>
      <c r="D280" t="s">
        <v>22</v>
      </c>
      <c r="E280" t="s">
        <v>23</v>
      </c>
      <c r="F280" s="1">
        <v>40365</v>
      </c>
      <c r="G280">
        <v>692073285</v>
      </c>
      <c r="H280" t="s">
        <v>472</v>
      </c>
      <c r="I280">
        <v>8719</v>
      </c>
      <c r="J280">
        <v>154.06</v>
      </c>
      <c r="K280">
        <v>90.93</v>
      </c>
      <c r="L280">
        <v>1343249.14</v>
      </c>
      <c r="M280">
        <v>792818.67</v>
      </c>
      <c r="N280">
        <v>550430.47</v>
      </c>
    </row>
    <row r="281" spans="1:14" x14ac:dyDescent="0.25">
      <c r="A281" t="s">
        <v>42</v>
      </c>
      <c r="B281" t="s">
        <v>290</v>
      </c>
      <c r="C281" t="s">
        <v>88</v>
      </c>
      <c r="D281" t="s">
        <v>17</v>
      </c>
      <c r="E281" t="s">
        <v>32</v>
      </c>
      <c r="F281" t="s">
        <v>473</v>
      </c>
      <c r="G281">
        <v>544177138</v>
      </c>
      <c r="H281" t="s">
        <v>474</v>
      </c>
      <c r="I281">
        <v>2963</v>
      </c>
      <c r="J281">
        <v>9.33</v>
      </c>
      <c r="K281">
        <v>6.92</v>
      </c>
      <c r="L281">
        <v>27644.79</v>
      </c>
      <c r="M281">
        <v>20503.96</v>
      </c>
      <c r="N281">
        <v>7140.83</v>
      </c>
    </row>
    <row r="282" spans="1:14" x14ac:dyDescent="0.25">
      <c r="A282" t="s">
        <v>14</v>
      </c>
      <c r="B282" t="s">
        <v>98</v>
      </c>
      <c r="C282" t="s">
        <v>113</v>
      </c>
      <c r="D282" t="s">
        <v>17</v>
      </c>
      <c r="E282" t="s">
        <v>18</v>
      </c>
      <c r="F282" t="s">
        <v>89</v>
      </c>
      <c r="G282">
        <v>471386277</v>
      </c>
      <c r="H282" t="s">
        <v>475</v>
      </c>
      <c r="I282">
        <v>2530</v>
      </c>
      <c r="J282">
        <v>154.06</v>
      </c>
      <c r="K282">
        <v>90.93</v>
      </c>
      <c r="L282">
        <v>389771.8</v>
      </c>
      <c r="M282">
        <v>230052.9</v>
      </c>
      <c r="N282">
        <v>159718.9</v>
      </c>
    </row>
    <row r="283" spans="1:14" x14ac:dyDescent="0.25">
      <c r="A283" t="s">
        <v>42</v>
      </c>
      <c r="B283" t="s">
        <v>476</v>
      </c>
      <c r="C283" t="s">
        <v>40</v>
      </c>
      <c r="D283" t="s">
        <v>17</v>
      </c>
      <c r="E283" t="s">
        <v>32</v>
      </c>
      <c r="F283" s="1">
        <v>42583</v>
      </c>
      <c r="G283">
        <v>976874530</v>
      </c>
      <c r="H283" t="s">
        <v>477</v>
      </c>
      <c r="I283">
        <v>7737</v>
      </c>
      <c r="J283">
        <v>81.73</v>
      </c>
      <c r="K283">
        <v>56.67</v>
      </c>
      <c r="L283">
        <v>632345.01</v>
      </c>
      <c r="M283">
        <v>438455.79</v>
      </c>
      <c r="N283">
        <v>193889.22</v>
      </c>
    </row>
    <row r="284" spans="1:14" x14ac:dyDescent="0.25">
      <c r="A284" t="s">
        <v>25</v>
      </c>
      <c r="B284" t="s">
        <v>266</v>
      </c>
      <c r="C284" t="s">
        <v>131</v>
      </c>
      <c r="D284" t="s">
        <v>22</v>
      </c>
      <c r="E284" t="s">
        <v>18</v>
      </c>
      <c r="F284" t="s">
        <v>163</v>
      </c>
      <c r="G284">
        <v>384128224</v>
      </c>
      <c r="H284" t="s">
        <v>353</v>
      </c>
      <c r="I284">
        <v>933</v>
      </c>
      <c r="J284">
        <v>668.27</v>
      </c>
      <c r="K284">
        <v>502.54</v>
      </c>
      <c r="L284">
        <v>623495.91</v>
      </c>
      <c r="M284">
        <v>468869.82</v>
      </c>
      <c r="N284">
        <v>154626.09</v>
      </c>
    </row>
    <row r="285" spans="1:14" x14ac:dyDescent="0.25">
      <c r="A285" t="s">
        <v>51</v>
      </c>
      <c r="B285" t="s">
        <v>166</v>
      </c>
      <c r="C285" t="s">
        <v>40</v>
      </c>
      <c r="D285" t="s">
        <v>17</v>
      </c>
      <c r="E285" t="s">
        <v>45</v>
      </c>
      <c r="F285" t="s">
        <v>478</v>
      </c>
      <c r="G285">
        <v>686946189</v>
      </c>
      <c r="H285" s="1">
        <v>40393</v>
      </c>
      <c r="I285">
        <v>1498</v>
      </c>
      <c r="J285">
        <v>81.73</v>
      </c>
      <c r="K285">
        <v>56.67</v>
      </c>
      <c r="L285">
        <v>122431.54</v>
      </c>
      <c r="M285">
        <v>84891.66</v>
      </c>
      <c r="N285">
        <v>37539.879999999997</v>
      </c>
    </row>
    <row r="286" spans="1:14" x14ac:dyDescent="0.25">
      <c r="A286" t="s">
        <v>51</v>
      </c>
      <c r="B286" t="s">
        <v>231</v>
      </c>
      <c r="C286" t="s">
        <v>21</v>
      </c>
      <c r="D286" t="s">
        <v>22</v>
      </c>
      <c r="E286" t="s">
        <v>18</v>
      </c>
      <c r="F286" t="s">
        <v>479</v>
      </c>
      <c r="G286">
        <v>799439752</v>
      </c>
      <c r="H286" t="s">
        <v>200</v>
      </c>
      <c r="I286">
        <v>843</v>
      </c>
      <c r="J286">
        <v>152.58000000000001</v>
      </c>
      <c r="K286">
        <v>97.44</v>
      </c>
      <c r="L286">
        <v>128624.94</v>
      </c>
      <c r="M286">
        <v>82141.919999999998</v>
      </c>
      <c r="N286">
        <v>46483.02</v>
      </c>
    </row>
    <row r="287" spans="1:14" x14ac:dyDescent="0.25">
      <c r="A287" t="s">
        <v>14</v>
      </c>
      <c r="B287" t="s">
        <v>370</v>
      </c>
      <c r="C287" t="s">
        <v>31</v>
      </c>
      <c r="D287" t="s">
        <v>17</v>
      </c>
      <c r="E287" t="s">
        <v>18</v>
      </c>
      <c r="F287" t="s">
        <v>265</v>
      </c>
      <c r="G287">
        <v>606032741</v>
      </c>
      <c r="H287" t="s">
        <v>480</v>
      </c>
      <c r="I287">
        <v>7410</v>
      </c>
      <c r="J287">
        <v>205.7</v>
      </c>
      <c r="K287">
        <v>117.11</v>
      </c>
      <c r="L287">
        <v>1524237</v>
      </c>
      <c r="M287">
        <v>867785.1</v>
      </c>
      <c r="N287">
        <v>656451.9</v>
      </c>
    </row>
    <row r="288" spans="1:14" x14ac:dyDescent="0.25">
      <c r="A288" t="s">
        <v>29</v>
      </c>
      <c r="B288" t="s">
        <v>440</v>
      </c>
      <c r="C288" t="s">
        <v>27</v>
      </c>
      <c r="D288" t="s">
        <v>22</v>
      </c>
      <c r="E288" t="s">
        <v>45</v>
      </c>
      <c r="F288" t="s">
        <v>481</v>
      </c>
      <c r="G288">
        <v>511461484</v>
      </c>
      <c r="H288" s="1">
        <v>42857</v>
      </c>
      <c r="I288">
        <v>1674</v>
      </c>
      <c r="J288">
        <v>47.45</v>
      </c>
      <c r="K288">
        <v>31.79</v>
      </c>
      <c r="L288">
        <v>79431.3</v>
      </c>
      <c r="M288">
        <v>53216.46</v>
      </c>
      <c r="N288">
        <v>26214.84</v>
      </c>
    </row>
    <row r="289" spans="1:14" x14ac:dyDescent="0.25">
      <c r="A289" t="s">
        <v>25</v>
      </c>
      <c r="B289" t="s">
        <v>172</v>
      </c>
      <c r="C289" t="s">
        <v>131</v>
      </c>
      <c r="D289" t="s">
        <v>22</v>
      </c>
      <c r="E289" t="s">
        <v>23</v>
      </c>
      <c r="F289" t="s">
        <v>149</v>
      </c>
      <c r="G289">
        <v>990774810</v>
      </c>
      <c r="H289" t="s">
        <v>482</v>
      </c>
      <c r="I289">
        <v>1138</v>
      </c>
      <c r="J289">
        <v>668.27</v>
      </c>
      <c r="K289">
        <v>502.54</v>
      </c>
      <c r="L289">
        <v>760491.26</v>
      </c>
      <c r="M289">
        <v>571890.52</v>
      </c>
      <c r="N289">
        <v>188600.74</v>
      </c>
    </row>
    <row r="290" spans="1:14" x14ac:dyDescent="0.25">
      <c r="A290" t="s">
        <v>29</v>
      </c>
      <c r="B290" t="s">
        <v>271</v>
      </c>
      <c r="C290" t="s">
        <v>21</v>
      </c>
      <c r="D290" t="s">
        <v>22</v>
      </c>
      <c r="E290" t="s">
        <v>18</v>
      </c>
      <c r="F290" s="1">
        <v>40577</v>
      </c>
      <c r="G290">
        <v>339334046</v>
      </c>
      <c r="H290" t="s">
        <v>483</v>
      </c>
      <c r="I290">
        <v>5340</v>
      </c>
      <c r="J290">
        <v>152.58000000000001</v>
      </c>
      <c r="K290">
        <v>97.44</v>
      </c>
      <c r="L290">
        <v>814777.2</v>
      </c>
      <c r="M290">
        <v>520329.6</v>
      </c>
      <c r="N290">
        <v>294447.59999999998</v>
      </c>
    </row>
    <row r="291" spans="1:14" x14ac:dyDescent="0.25">
      <c r="A291" t="s">
        <v>51</v>
      </c>
      <c r="B291" t="s">
        <v>414</v>
      </c>
      <c r="C291" t="s">
        <v>40</v>
      </c>
      <c r="D291" t="s">
        <v>22</v>
      </c>
      <c r="E291" t="s">
        <v>23</v>
      </c>
      <c r="F291" s="1">
        <v>41915</v>
      </c>
      <c r="G291">
        <v>522813022</v>
      </c>
      <c r="H291" s="1">
        <v>41855</v>
      </c>
      <c r="I291">
        <v>846</v>
      </c>
      <c r="J291">
        <v>81.73</v>
      </c>
      <c r="K291">
        <v>56.67</v>
      </c>
      <c r="L291">
        <v>69143.58</v>
      </c>
      <c r="M291">
        <v>47942.82</v>
      </c>
      <c r="N291">
        <v>21200.76</v>
      </c>
    </row>
    <row r="292" spans="1:14" x14ac:dyDescent="0.25">
      <c r="A292" t="s">
        <v>51</v>
      </c>
      <c r="B292" t="s">
        <v>182</v>
      </c>
      <c r="C292" t="s">
        <v>88</v>
      </c>
      <c r="D292" t="s">
        <v>22</v>
      </c>
      <c r="E292" t="s">
        <v>18</v>
      </c>
      <c r="F292" t="s">
        <v>484</v>
      </c>
      <c r="G292">
        <v>427198064</v>
      </c>
      <c r="H292" s="1">
        <v>42036</v>
      </c>
      <c r="I292">
        <v>6255</v>
      </c>
      <c r="J292">
        <v>9.33</v>
      </c>
      <c r="K292">
        <v>6.92</v>
      </c>
      <c r="L292">
        <v>58359.15</v>
      </c>
      <c r="M292">
        <v>43284.6</v>
      </c>
      <c r="N292">
        <v>15074.55</v>
      </c>
    </row>
    <row r="293" spans="1:14" x14ac:dyDescent="0.25">
      <c r="A293" t="s">
        <v>29</v>
      </c>
      <c r="B293" t="s">
        <v>485</v>
      </c>
      <c r="C293" t="s">
        <v>27</v>
      </c>
      <c r="D293" t="s">
        <v>22</v>
      </c>
      <c r="E293" t="s">
        <v>23</v>
      </c>
      <c r="F293" s="1">
        <v>42800</v>
      </c>
      <c r="G293">
        <v>808788001</v>
      </c>
      <c r="H293" t="s">
        <v>486</v>
      </c>
      <c r="I293">
        <v>7197</v>
      </c>
      <c r="J293">
        <v>47.45</v>
      </c>
      <c r="K293">
        <v>31.79</v>
      </c>
      <c r="L293">
        <v>341497.65</v>
      </c>
      <c r="M293">
        <v>228792.63</v>
      </c>
      <c r="N293">
        <v>112705.02</v>
      </c>
    </row>
    <row r="294" spans="1:14" x14ac:dyDescent="0.25">
      <c r="A294" t="s">
        <v>51</v>
      </c>
      <c r="B294" t="s">
        <v>487</v>
      </c>
      <c r="C294" t="s">
        <v>69</v>
      </c>
      <c r="D294" t="s">
        <v>22</v>
      </c>
      <c r="E294" t="s">
        <v>32</v>
      </c>
      <c r="F294" s="1">
        <v>40736</v>
      </c>
      <c r="G294">
        <v>244194161</v>
      </c>
      <c r="H294" s="1">
        <v>41091</v>
      </c>
      <c r="I294">
        <v>1334</v>
      </c>
      <c r="J294">
        <v>421.89</v>
      </c>
      <c r="K294">
        <v>364.69</v>
      </c>
      <c r="L294">
        <v>562801.26</v>
      </c>
      <c r="M294">
        <v>486496.46</v>
      </c>
      <c r="N294">
        <v>76304.800000000003</v>
      </c>
    </row>
    <row r="295" spans="1:14" x14ac:dyDescent="0.25">
      <c r="A295" t="s">
        <v>14</v>
      </c>
      <c r="B295" t="s">
        <v>488</v>
      </c>
      <c r="C295" t="s">
        <v>88</v>
      </c>
      <c r="D295" t="s">
        <v>22</v>
      </c>
      <c r="E295" t="s">
        <v>32</v>
      </c>
      <c r="F295" s="1">
        <v>42371</v>
      </c>
      <c r="G295">
        <v>980340373</v>
      </c>
      <c r="H295" t="s">
        <v>489</v>
      </c>
      <c r="I295">
        <v>3357</v>
      </c>
      <c r="J295">
        <v>9.33</v>
      </c>
      <c r="K295">
        <v>6.92</v>
      </c>
      <c r="L295">
        <v>31320.81</v>
      </c>
      <c r="M295">
        <v>23230.44</v>
      </c>
      <c r="N295">
        <v>8090.37</v>
      </c>
    </row>
    <row r="296" spans="1:14" x14ac:dyDescent="0.25">
      <c r="A296" t="s">
        <v>42</v>
      </c>
      <c r="B296" t="s">
        <v>150</v>
      </c>
      <c r="C296" t="s">
        <v>27</v>
      </c>
      <c r="D296" t="s">
        <v>17</v>
      </c>
      <c r="E296" t="s">
        <v>18</v>
      </c>
      <c r="F296" s="1">
        <v>40339</v>
      </c>
      <c r="G296">
        <v>384462964</v>
      </c>
      <c r="H296" s="1">
        <v>40461</v>
      </c>
      <c r="I296">
        <v>9990</v>
      </c>
      <c r="J296">
        <v>47.45</v>
      </c>
      <c r="K296">
        <v>31.79</v>
      </c>
      <c r="L296">
        <v>474025.5</v>
      </c>
      <c r="M296">
        <v>317582.09999999998</v>
      </c>
      <c r="N296">
        <v>156443.4</v>
      </c>
    </row>
    <row r="297" spans="1:14" x14ac:dyDescent="0.25">
      <c r="A297" t="s">
        <v>25</v>
      </c>
      <c r="B297" t="s">
        <v>140</v>
      </c>
      <c r="C297" t="s">
        <v>113</v>
      </c>
      <c r="D297" t="s">
        <v>22</v>
      </c>
      <c r="E297" t="s">
        <v>23</v>
      </c>
      <c r="F297" t="s">
        <v>490</v>
      </c>
      <c r="G297">
        <v>394110763</v>
      </c>
      <c r="H297" t="s">
        <v>491</v>
      </c>
      <c r="I297">
        <v>4988</v>
      </c>
      <c r="J297">
        <v>154.06</v>
      </c>
      <c r="K297">
        <v>90.93</v>
      </c>
      <c r="L297">
        <v>768451.28</v>
      </c>
      <c r="M297">
        <v>453558.84</v>
      </c>
      <c r="N297">
        <v>314892.44</v>
      </c>
    </row>
    <row r="298" spans="1:14" x14ac:dyDescent="0.25">
      <c r="A298" t="s">
        <v>42</v>
      </c>
      <c r="B298" t="s">
        <v>43</v>
      </c>
      <c r="C298" t="s">
        <v>59</v>
      </c>
      <c r="D298" t="s">
        <v>17</v>
      </c>
      <c r="E298" t="s">
        <v>32</v>
      </c>
      <c r="F298" s="1">
        <v>41975</v>
      </c>
      <c r="G298">
        <v>767145097</v>
      </c>
      <c r="H298" s="1">
        <v>41946</v>
      </c>
      <c r="I298">
        <v>4137</v>
      </c>
      <c r="J298">
        <v>437.2</v>
      </c>
      <c r="K298">
        <v>263.33</v>
      </c>
      <c r="L298">
        <v>1808696.4</v>
      </c>
      <c r="M298">
        <v>1089396.21</v>
      </c>
      <c r="N298">
        <v>719300.19</v>
      </c>
    </row>
    <row r="299" spans="1:14" x14ac:dyDescent="0.25">
      <c r="A299" t="s">
        <v>51</v>
      </c>
      <c r="B299" t="s">
        <v>487</v>
      </c>
      <c r="C299" t="s">
        <v>88</v>
      </c>
      <c r="D299" t="s">
        <v>17</v>
      </c>
      <c r="E299" t="s">
        <v>32</v>
      </c>
      <c r="F299" t="s">
        <v>492</v>
      </c>
      <c r="G299">
        <v>431739795</v>
      </c>
      <c r="H299" t="s">
        <v>493</v>
      </c>
      <c r="I299">
        <v>254</v>
      </c>
      <c r="J299">
        <v>9.33</v>
      </c>
      <c r="K299">
        <v>6.92</v>
      </c>
      <c r="L299">
        <v>2369.8200000000002</v>
      </c>
      <c r="M299">
        <v>1757.68</v>
      </c>
      <c r="N299">
        <v>612.14</v>
      </c>
    </row>
    <row r="300" spans="1:14" x14ac:dyDescent="0.25">
      <c r="A300" t="s">
        <v>29</v>
      </c>
      <c r="B300" t="s">
        <v>494</v>
      </c>
      <c r="C300" t="s">
        <v>31</v>
      </c>
      <c r="D300" t="s">
        <v>17</v>
      </c>
      <c r="E300" t="s">
        <v>32</v>
      </c>
      <c r="F300" s="1">
        <v>40581</v>
      </c>
      <c r="G300">
        <v>636381185</v>
      </c>
      <c r="H300" t="s">
        <v>495</v>
      </c>
      <c r="I300">
        <v>8189</v>
      </c>
      <c r="J300">
        <v>205.7</v>
      </c>
      <c r="K300">
        <v>117.11</v>
      </c>
      <c r="L300">
        <v>1684477.3</v>
      </c>
      <c r="M300">
        <v>959013.79</v>
      </c>
      <c r="N300">
        <v>725463.51</v>
      </c>
    </row>
    <row r="301" spans="1:14" x14ac:dyDescent="0.25">
      <c r="A301" t="s">
        <v>25</v>
      </c>
      <c r="B301" t="s">
        <v>339</v>
      </c>
      <c r="C301" t="s">
        <v>88</v>
      </c>
      <c r="D301" t="s">
        <v>17</v>
      </c>
      <c r="E301" t="s">
        <v>23</v>
      </c>
      <c r="F301" s="1">
        <v>40942</v>
      </c>
      <c r="G301">
        <v>899868094</v>
      </c>
      <c r="H301" t="s">
        <v>496</v>
      </c>
      <c r="I301">
        <v>9821</v>
      </c>
      <c r="J301">
        <v>9.33</v>
      </c>
      <c r="K301">
        <v>6.92</v>
      </c>
      <c r="L301">
        <v>91629.93</v>
      </c>
      <c r="M301">
        <v>67961.320000000007</v>
      </c>
      <c r="N301">
        <v>23668.61</v>
      </c>
    </row>
    <row r="302" spans="1:14" x14ac:dyDescent="0.25">
      <c r="A302" t="s">
        <v>25</v>
      </c>
      <c r="B302" t="s">
        <v>497</v>
      </c>
      <c r="C302" t="s">
        <v>16</v>
      </c>
      <c r="D302" t="s">
        <v>22</v>
      </c>
      <c r="E302" t="s">
        <v>32</v>
      </c>
      <c r="F302" s="1">
        <v>42887</v>
      </c>
      <c r="G302">
        <v>361311852</v>
      </c>
      <c r="H302" t="s">
        <v>498</v>
      </c>
      <c r="I302">
        <v>9061</v>
      </c>
      <c r="J302">
        <v>255.28</v>
      </c>
      <c r="K302">
        <v>159.41999999999999</v>
      </c>
      <c r="L302">
        <v>2313092.08</v>
      </c>
      <c r="M302">
        <v>1444504.62</v>
      </c>
      <c r="N302">
        <v>868587.46</v>
      </c>
    </row>
    <row r="303" spans="1:14" x14ac:dyDescent="0.25">
      <c r="A303" t="s">
        <v>25</v>
      </c>
      <c r="B303" t="s">
        <v>343</v>
      </c>
      <c r="C303" t="s">
        <v>27</v>
      </c>
      <c r="D303" t="s">
        <v>17</v>
      </c>
      <c r="E303" t="s">
        <v>32</v>
      </c>
      <c r="F303" t="s">
        <v>499</v>
      </c>
      <c r="G303">
        <v>930136287</v>
      </c>
      <c r="H303" t="s">
        <v>500</v>
      </c>
      <c r="I303">
        <v>6852</v>
      </c>
      <c r="J303">
        <v>47.45</v>
      </c>
      <c r="K303">
        <v>31.79</v>
      </c>
      <c r="L303">
        <v>325127.40000000002</v>
      </c>
      <c r="M303">
        <v>217825.08</v>
      </c>
      <c r="N303">
        <v>107302.32</v>
      </c>
    </row>
    <row r="304" spans="1:14" x14ac:dyDescent="0.25">
      <c r="A304" t="s">
        <v>14</v>
      </c>
      <c r="B304" t="s">
        <v>64</v>
      </c>
      <c r="C304" t="s">
        <v>31</v>
      </c>
      <c r="D304" t="s">
        <v>17</v>
      </c>
      <c r="E304" t="s">
        <v>32</v>
      </c>
      <c r="F304" t="s">
        <v>443</v>
      </c>
      <c r="G304">
        <v>536077725</v>
      </c>
      <c r="H304" s="1">
        <v>42557</v>
      </c>
      <c r="I304">
        <v>6167</v>
      </c>
      <c r="J304">
        <v>205.7</v>
      </c>
      <c r="K304">
        <v>117.11</v>
      </c>
      <c r="L304">
        <v>1268551.8999999999</v>
      </c>
      <c r="M304">
        <v>722217.37</v>
      </c>
      <c r="N304">
        <v>546334.53</v>
      </c>
    </row>
    <row r="305" spans="1:14" x14ac:dyDescent="0.25">
      <c r="A305" t="s">
        <v>51</v>
      </c>
      <c r="B305" t="s">
        <v>308</v>
      </c>
      <c r="C305" t="s">
        <v>21</v>
      </c>
      <c r="D305" t="s">
        <v>17</v>
      </c>
      <c r="E305" t="s">
        <v>18</v>
      </c>
      <c r="F305" s="1">
        <v>42890</v>
      </c>
      <c r="G305">
        <v>779184997</v>
      </c>
      <c r="H305" t="s">
        <v>501</v>
      </c>
      <c r="I305">
        <v>7011</v>
      </c>
      <c r="J305">
        <v>152.58000000000001</v>
      </c>
      <c r="K305">
        <v>97.44</v>
      </c>
      <c r="L305">
        <v>1069738.3799999999</v>
      </c>
      <c r="M305">
        <v>683151.84</v>
      </c>
      <c r="N305">
        <v>386586.54</v>
      </c>
    </row>
    <row r="306" spans="1:14" x14ac:dyDescent="0.25">
      <c r="A306" t="s">
        <v>25</v>
      </c>
      <c r="B306" t="s">
        <v>74</v>
      </c>
      <c r="C306" t="s">
        <v>59</v>
      </c>
      <c r="D306" t="s">
        <v>17</v>
      </c>
      <c r="E306" t="s">
        <v>23</v>
      </c>
      <c r="F306" s="1">
        <v>41034</v>
      </c>
      <c r="G306">
        <v>179819428</v>
      </c>
      <c r="H306" s="1">
        <v>40945</v>
      </c>
      <c r="I306">
        <v>1420</v>
      </c>
      <c r="J306">
        <v>437.2</v>
      </c>
      <c r="K306">
        <v>263.33</v>
      </c>
      <c r="L306">
        <v>620824</v>
      </c>
      <c r="M306">
        <v>373928.6</v>
      </c>
      <c r="N306">
        <v>246895.4</v>
      </c>
    </row>
    <row r="307" spans="1:14" x14ac:dyDescent="0.25">
      <c r="A307" t="s">
        <v>29</v>
      </c>
      <c r="B307" t="s">
        <v>199</v>
      </c>
      <c r="C307" t="s">
        <v>113</v>
      </c>
      <c r="D307" t="s">
        <v>17</v>
      </c>
      <c r="E307" t="s">
        <v>45</v>
      </c>
      <c r="F307" s="1">
        <v>42563</v>
      </c>
      <c r="G307">
        <v>928654849</v>
      </c>
      <c r="H307" s="1">
        <v>42917</v>
      </c>
      <c r="I307">
        <v>8461</v>
      </c>
      <c r="J307">
        <v>154.06</v>
      </c>
      <c r="K307">
        <v>90.93</v>
      </c>
      <c r="L307">
        <v>1303501.6599999999</v>
      </c>
      <c r="M307">
        <v>769358.73</v>
      </c>
      <c r="N307">
        <v>534142.93000000005</v>
      </c>
    </row>
    <row r="308" spans="1:14" x14ac:dyDescent="0.25">
      <c r="A308" t="s">
        <v>51</v>
      </c>
      <c r="B308" t="s">
        <v>502</v>
      </c>
      <c r="C308" t="s">
        <v>16</v>
      </c>
      <c r="D308" t="s">
        <v>22</v>
      </c>
      <c r="E308" t="s">
        <v>45</v>
      </c>
      <c r="F308" t="s">
        <v>503</v>
      </c>
      <c r="G308">
        <v>336677587</v>
      </c>
      <c r="H308" t="s">
        <v>504</v>
      </c>
      <c r="I308">
        <v>9234</v>
      </c>
      <c r="J308">
        <v>255.28</v>
      </c>
      <c r="K308">
        <v>159.41999999999999</v>
      </c>
      <c r="L308">
        <v>2357255.52</v>
      </c>
      <c r="M308">
        <v>1472084.28</v>
      </c>
      <c r="N308">
        <v>885171.24</v>
      </c>
    </row>
    <row r="309" spans="1:14" x14ac:dyDescent="0.25">
      <c r="A309" t="s">
        <v>42</v>
      </c>
      <c r="B309" t="s">
        <v>107</v>
      </c>
      <c r="C309" t="s">
        <v>113</v>
      </c>
      <c r="D309" t="s">
        <v>17</v>
      </c>
      <c r="E309" t="s">
        <v>23</v>
      </c>
      <c r="F309" s="1">
        <v>40580</v>
      </c>
      <c r="G309">
        <v>285186469</v>
      </c>
      <c r="H309" t="s">
        <v>505</v>
      </c>
      <c r="I309">
        <v>1869</v>
      </c>
      <c r="J309">
        <v>154.06</v>
      </c>
      <c r="K309">
        <v>90.93</v>
      </c>
      <c r="L309">
        <v>287938.14</v>
      </c>
      <c r="M309">
        <v>169948.17</v>
      </c>
      <c r="N309">
        <v>117989.97</v>
      </c>
    </row>
    <row r="310" spans="1:14" x14ac:dyDescent="0.25">
      <c r="A310" t="s">
        <v>38</v>
      </c>
      <c r="B310" t="s">
        <v>39</v>
      </c>
      <c r="C310" t="s">
        <v>16</v>
      </c>
      <c r="D310" t="s">
        <v>22</v>
      </c>
      <c r="E310" t="s">
        <v>18</v>
      </c>
      <c r="F310" t="s">
        <v>506</v>
      </c>
      <c r="G310">
        <v>475792825</v>
      </c>
      <c r="H310" s="1">
        <v>41707</v>
      </c>
      <c r="I310">
        <v>6525</v>
      </c>
      <c r="J310">
        <v>255.28</v>
      </c>
      <c r="K310">
        <v>159.41999999999999</v>
      </c>
      <c r="L310">
        <v>1665702</v>
      </c>
      <c r="M310">
        <v>1040215.5</v>
      </c>
      <c r="N310">
        <v>625486.5</v>
      </c>
    </row>
    <row r="311" spans="1:14" x14ac:dyDescent="0.25">
      <c r="A311" t="s">
        <v>38</v>
      </c>
      <c r="B311" t="s">
        <v>156</v>
      </c>
      <c r="C311" t="s">
        <v>44</v>
      </c>
      <c r="D311" t="s">
        <v>22</v>
      </c>
      <c r="E311" t="s">
        <v>32</v>
      </c>
      <c r="F311" s="1">
        <v>42165</v>
      </c>
      <c r="G311">
        <v>680420482</v>
      </c>
      <c r="H311" s="1">
        <v>42227</v>
      </c>
      <c r="I311">
        <v>396</v>
      </c>
      <c r="J311">
        <v>109.28</v>
      </c>
      <c r="K311">
        <v>35.840000000000003</v>
      </c>
      <c r="L311">
        <v>43274.879999999997</v>
      </c>
      <c r="M311">
        <v>14192.64</v>
      </c>
      <c r="N311">
        <v>29082.240000000002</v>
      </c>
    </row>
    <row r="312" spans="1:14" x14ac:dyDescent="0.25">
      <c r="A312" t="s">
        <v>25</v>
      </c>
      <c r="B312" t="s">
        <v>47</v>
      </c>
      <c r="C312" t="s">
        <v>88</v>
      </c>
      <c r="D312" t="s">
        <v>17</v>
      </c>
      <c r="E312" t="s">
        <v>45</v>
      </c>
      <c r="F312" s="1">
        <v>41395</v>
      </c>
      <c r="G312">
        <v>291305768</v>
      </c>
      <c r="H312" s="1">
        <v>41426</v>
      </c>
      <c r="I312">
        <v>2705</v>
      </c>
      <c r="J312">
        <v>9.33</v>
      </c>
      <c r="K312">
        <v>6.92</v>
      </c>
      <c r="L312">
        <v>25237.65</v>
      </c>
      <c r="M312">
        <v>18718.599999999999</v>
      </c>
      <c r="N312">
        <v>6519.05</v>
      </c>
    </row>
    <row r="313" spans="1:14" x14ac:dyDescent="0.25">
      <c r="A313" t="s">
        <v>38</v>
      </c>
      <c r="B313" t="s">
        <v>190</v>
      </c>
      <c r="C313" t="s">
        <v>16</v>
      </c>
      <c r="D313" t="s">
        <v>22</v>
      </c>
      <c r="E313" t="s">
        <v>32</v>
      </c>
      <c r="F313" t="s">
        <v>455</v>
      </c>
      <c r="G313">
        <v>570997512</v>
      </c>
      <c r="H313" s="1">
        <v>42530</v>
      </c>
      <c r="I313">
        <v>9707</v>
      </c>
      <c r="J313">
        <v>255.28</v>
      </c>
      <c r="K313">
        <v>159.41999999999999</v>
      </c>
      <c r="L313">
        <v>2478002.96</v>
      </c>
      <c r="M313">
        <v>1547489.94</v>
      </c>
      <c r="N313">
        <v>930513.02</v>
      </c>
    </row>
    <row r="314" spans="1:14" x14ac:dyDescent="0.25">
      <c r="A314" t="s">
        <v>25</v>
      </c>
      <c r="B314" t="s">
        <v>185</v>
      </c>
      <c r="C314" t="s">
        <v>40</v>
      </c>
      <c r="D314" t="s">
        <v>17</v>
      </c>
      <c r="E314" t="s">
        <v>32</v>
      </c>
      <c r="F314" t="s">
        <v>507</v>
      </c>
      <c r="G314">
        <v>602357041</v>
      </c>
      <c r="H314" s="1">
        <v>42129</v>
      </c>
      <c r="I314">
        <v>9689</v>
      </c>
      <c r="J314">
        <v>81.73</v>
      </c>
      <c r="K314">
        <v>56.67</v>
      </c>
      <c r="L314">
        <v>791881.97</v>
      </c>
      <c r="M314">
        <v>549075.63</v>
      </c>
      <c r="N314">
        <v>242806.34</v>
      </c>
    </row>
    <row r="315" spans="1:14" x14ac:dyDescent="0.25">
      <c r="A315" t="s">
        <v>38</v>
      </c>
      <c r="B315" t="s">
        <v>68</v>
      </c>
      <c r="C315" t="s">
        <v>69</v>
      </c>
      <c r="D315" t="s">
        <v>17</v>
      </c>
      <c r="E315" t="s">
        <v>18</v>
      </c>
      <c r="F315" t="s">
        <v>508</v>
      </c>
      <c r="G315">
        <v>438558185</v>
      </c>
      <c r="H315" t="s">
        <v>509</v>
      </c>
      <c r="I315">
        <v>7967</v>
      </c>
      <c r="J315">
        <v>421.89</v>
      </c>
      <c r="K315">
        <v>364.69</v>
      </c>
      <c r="L315">
        <v>3361197.63</v>
      </c>
      <c r="M315">
        <v>2905485.23</v>
      </c>
      <c r="N315">
        <v>455712.4</v>
      </c>
    </row>
    <row r="316" spans="1:14" x14ac:dyDescent="0.25">
      <c r="A316" t="s">
        <v>25</v>
      </c>
      <c r="B316" t="s">
        <v>374</v>
      </c>
      <c r="C316" t="s">
        <v>21</v>
      </c>
      <c r="D316" t="s">
        <v>17</v>
      </c>
      <c r="E316" t="s">
        <v>45</v>
      </c>
      <c r="F316" s="1">
        <v>40221</v>
      </c>
      <c r="G316">
        <v>653087270</v>
      </c>
      <c r="H316" s="1">
        <v>40371</v>
      </c>
      <c r="I316">
        <v>1891</v>
      </c>
      <c r="J316">
        <v>152.58000000000001</v>
      </c>
      <c r="K316">
        <v>97.44</v>
      </c>
      <c r="L316">
        <v>288528.78000000003</v>
      </c>
      <c r="M316">
        <v>184259.04</v>
      </c>
      <c r="N316">
        <v>104269.74</v>
      </c>
    </row>
    <row r="317" spans="1:14" x14ac:dyDescent="0.25">
      <c r="A317" t="s">
        <v>42</v>
      </c>
      <c r="B317" t="s">
        <v>150</v>
      </c>
      <c r="C317" t="s">
        <v>31</v>
      </c>
      <c r="D317" t="s">
        <v>22</v>
      </c>
      <c r="E317" t="s">
        <v>23</v>
      </c>
      <c r="F317" t="s">
        <v>510</v>
      </c>
      <c r="G317">
        <v>989743125</v>
      </c>
      <c r="H317" t="s">
        <v>127</v>
      </c>
      <c r="I317">
        <v>5840</v>
      </c>
      <c r="J317">
        <v>205.7</v>
      </c>
      <c r="K317">
        <v>117.11</v>
      </c>
      <c r="L317">
        <v>1201288</v>
      </c>
      <c r="M317">
        <v>683922.4</v>
      </c>
      <c r="N317">
        <v>517365.6</v>
      </c>
    </row>
    <row r="318" spans="1:14" x14ac:dyDescent="0.25">
      <c r="A318" t="s">
        <v>25</v>
      </c>
      <c r="B318" t="s">
        <v>239</v>
      </c>
      <c r="C318" t="s">
        <v>88</v>
      </c>
      <c r="D318" t="s">
        <v>22</v>
      </c>
      <c r="E318" t="s">
        <v>18</v>
      </c>
      <c r="F318" t="s">
        <v>511</v>
      </c>
      <c r="G318">
        <v>812637078</v>
      </c>
      <c r="H318" s="1">
        <v>41760</v>
      </c>
      <c r="I318">
        <v>6225</v>
      </c>
      <c r="J318">
        <v>9.33</v>
      </c>
      <c r="K318">
        <v>6.92</v>
      </c>
      <c r="L318">
        <v>58079.25</v>
      </c>
      <c r="M318">
        <v>43077</v>
      </c>
      <c r="N318">
        <v>15002.25</v>
      </c>
    </row>
    <row r="319" spans="1:14" x14ac:dyDescent="0.25">
      <c r="A319" t="s">
        <v>25</v>
      </c>
      <c r="B319" t="s">
        <v>458</v>
      </c>
      <c r="C319" t="s">
        <v>40</v>
      </c>
      <c r="D319" t="s">
        <v>17</v>
      </c>
      <c r="E319" t="s">
        <v>32</v>
      </c>
      <c r="F319" t="s">
        <v>380</v>
      </c>
      <c r="G319">
        <v>456192958</v>
      </c>
      <c r="H319" t="s">
        <v>512</v>
      </c>
      <c r="I319">
        <v>6489</v>
      </c>
      <c r="J319">
        <v>81.73</v>
      </c>
      <c r="K319">
        <v>56.67</v>
      </c>
      <c r="L319">
        <v>530345.97</v>
      </c>
      <c r="M319">
        <v>367731.63</v>
      </c>
      <c r="N319">
        <v>162614.34</v>
      </c>
    </row>
    <row r="320" spans="1:14" x14ac:dyDescent="0.25">
      <c r="A320" t="s">
        <v>38</v>
      </c>
      <c r="B320" t="s">
        <v>68</v>
      </c>
      <c r="C320" t="s">
        <v>31</v>
      </c>
      <c r="D320" t="s">
        <v>17</v>
      </c>
      <c r="E320" t="s">
        <v>32</v>
      </c>
      <c r="F320" t="s">
        <v>275</v>
      </c>
      <c r="G320">
        <v>775147092</v>
      </c>
      <c r="H320" t="s">
        <v>513</v>
      </c>
      <c r="I320">
        <v>2105</v>
      </c>
      <c r="J320">
        <v>205.7</v>
      </c>
      <c r="K320">
        <v>117.11</v>
      </c>
      <c r="L320">
        <v>432998.5</v>
      </c>
      <c r="M320">
        <v>246516.55</v>
      </c>
      <c r="N320">
        <v>186481.95</v>
      </c>
    </row>
    <row r="321" spans="1:14" x14ac:dyDescent="0.25">
      <c r="A321" t="s">
        <v>51</v>
      </c>
      <c r="B321" t="s">
        <v>417</v>
      </c>
      <c r="C321" t="s">
        <v>131</v>
      </c>
      <c r="D321" t="s">
        <v>22</v>
      </c>
      <c r="E321" t="s">
        <v>18</v>
      </c>
      <c r="F321" t="s">
        <v>296</v>
      </c>
      <c r="G321">
        <v>894548308</v>
      </c>
      <c r="H321" s="1">
        <v>40941</v>
      </c>
      <c r="I321">
        <v>5578</v>
      </c>
      <c r="J321">
        <v>668.27</v>
      </c>
      <c r="K321">
        <v>502.54</v>
      </c>
      <c r="L321">
        <v>3727610.06</v>
      </c>
      <c r="M321">
        <v>2803168.12</v>
      </c>
      <c r="N321">
        <v>924441.94</v>
      </c>
    </row>
    <row r="322" spans="1:14" x14ac:dyDescent="0.25">
      <c r="A322" t="s">
        <v>51</v>
      </c>
      <c r="B322" t="s">
        <v>250</v>
      </c>
      <c r="C322" t="s">
        <v>59</v>
      </c>
      <c r="D322" t="s">
        <v>22</v>
      </c>
      <c r="E322" t="s">
        <v>45</v>
      </c>
      <c r="F322" s="1">
        <v>42799</v>
      </c>
      <c r="G322">
        <v>459757936</v>
      </c>
      <c r="H322" s="1">
        <v>43014</v>
      </c>
      <c r="I322">
        <v>1445</v>
      </c>
      <c r="J322">
        <v>437.2</v>
      </c>
      <c r="K322">
        <v>263.33</v>
      </c>
      <c r="L322">
        <v>631754</v>
      </c>
      <c r="M322">
        <v>380511.85</v>
      </c>
      <c r="N322">
        <v>251242.15</v>
      </c>
    </row>
    <row r="323" spans="1:14" x14ac:dyDescent="0.25">
      <c r="A323" t="s">
        <v>25</v>
      </c>
      <c r="B323" t="s">
        <v>374</v>
      </c>
      <c r="C323" t="s">
        <v>69</v>
      </c>
      <c r="D323" t="s">
        <v>22</v>
      </c>
      <c r="E323" t="s">
        <v>45</v>
      </c>
      <c r="F323" t="s">
        <v>514</v>
      </c>
      <c r="G323">
        <v>986449801</v>
      </c>
      <c r="H323" t="s">
        <v>515</v>
      </c>
      <c r="I323">
        <v>1272</v>
      </c>
      <c r="J323">
        <v>421.89</v>
      </c>
      <c r="K323">
        <v>364.69</v>
      </c>
      <c r="L323">
        <v>536644.07999999996</v>
      </c>
      <c r="M323">
        <v>463885.68</v>
      </c>
      <c r="N323">
        <v>72758.399999999994</v>
      </c>
    </row>
    <row r="324" spans="1:14" x14ac:dyDescent="0.25">
      <c r="A324" t="s">
        <v>25</v>
      </c>
      <c r="B324" t="s">
        <v>434</v>
      </c>
      <c r="C324" t="s">
        <v>59</v>
      </c>
      <c r="D324" t="s">
        <v>17</v>
      </c>
      <c r="E324" t="s">
        <v>32</v>
      </c>
      <c r="F324" s="1">
        <v>42801</v>
      </c>
      <c r="G324">
        <v>910610234</v>
      </c>
      <c r="H324" t="s">
        <v>516</v>
      </c>
      <c r="I324">
        <v>8659</v>
      </c>
      <c r="J324">
        <v>437.2</v>
      </c>
      <c r="K324">
        <v>263.33</v>
      </c>
      <c r="L324">
        <v>3785714.8</v>
      </c>
      <c r="M324">
        <v>2280174.4700000002</v>
      </c>
      <c r="N324">
        <v>1505540.33</v>
      </c>
    </row>
    <row r="325" spans="1:14" x14ac:dyDescent="0.25">
      <c r="A325" t="s">
        <v>51</v>
      </c>
      <c r="B325" t="s">
        <v>367</v>
      </c>
      <c r="C325" t="s">
        <v>31</v>
      </c>
      <c r="D325" t="s">
        <v>22</v>
      </c>
      <c r="E325" t="s">
        <v>45</v>
      </c>
      <c r="F325" s="1">
        <v>42227</v>
      </c>
      <c r="G325">
        <v>538538062</v>
      </c>
      <c r="H325" s="1">
        <v>42075</v>
      </c>
      <c r="I325">
        <v>4235</v>
      </c>
      <c r="J325">
        <v>205.7</v>
      </c>
      <c r="K325">
        <v>117.11</v>
      </c>
      <c r="L325">
        <v>871139.5</v>
      </c>
      <c r="M325">
        <v>495960.85</v>
      </c>
      <c r="N325">
        <v>375178.65</v>
      </c>
    </row>
    <row r="326" spans="1:14" x14ac:dyDescent="0.25">
      <c r="A326" t="s">
        <v>25</v>
      </c>
      <c r="B326" t="s">
        <v>266</v>
      </c>
      <c r="C326" t="s">
        <v>69</v>
      </c>
      <c r="D326" t="s">
        <v>17</v>
      </c>
      <c r="E326" t="s">
        <v>18</v>
      </c>
      <c r="F326" s="1">
        <v>42797</v>
      </c>
      <c r="G326">
        <v>696844613</v>
      </c>
      <c r="H326" t="s">
        <v>335</v>
      </c>
      <c r="I326">
        <v>661</v>
      </c>
      <c r="J326">
        <v>421.89</v>
      </c>
      <c r="K326">
        <v>364.69</v>
      </c>
      <c r="L326">
        <v>278869.28999999998</v>
      </c>
      <c r="M326">
        <v>241060.09</v>
      </c>
      <c r="N326">
        <v>37809.199999999997</v>
      </c>
    </row>
    <row r="327" spans="1:14" x14ac:dyDescent="0.25">
      <c r="A327" t="s">
        <v>38</v>
      </c>
      <c r="B327" t="s">
        <v>430</v>
      </c>
      <c r="C327" t="s">
        <v>88</v>
      </c>
      <c r="D327" t="s">
        <v>17</v>
      </c>
      <c r="E327" t="s">
        <v>45</v>
      </c>
      <c r="F327" t="s">
        <v>517</v>
      </c>
      <c r="G327">
        <v>482453715</v>
      </c>
      <c r="H327" t="s">
        <v>518</v>
      </c>
      <c r="I327">
        <v>7630</v>
      </c>
      <c r="J327">
        <v>9.33</v>
      </c>
      <c r="K327">
        <v>6.92</v>
      </c>
      <c r="L327">
        <v>71187.899999999994</v>
      </c>
      <c r="M327">
        <v>52799.6</v>
      </c>
      <c r="N327">
        <v>18388.3</v>
      </c>
    </row>
    <row r="328" spans="1:14" x14ac:dyDescent="0.25">
      <c r="A328" t="s">
        <v>14</v>
      </c>
      <c r="B328" t="s">
        <v>94</v>
      </c>
      <c r="C328" t="s">
        <v>55</v>
      </c>
      <c r="D328" t="s">
        <v>22</v>
      </c>
      <c r="E328" t="s">
        <v>32</v>
      </c>
      <c r="F328" s="1">
        <v>43042</v>
      </c>
      <c r="G328">
        <v>412601697</v>
      </c>
      <c r="H328" t="s">
        <v>519</v>
      </c>
      <c r="I328">
        <v>6866</v>
      </c>
      <c r="J328">
        <v>651.21</v>
      </c>
      <c r="K328">
        <v>524.96</v>
      </c>
      <c r="L328">
        <v>4471207.8600000003</v>
      </c>
      <c r="M328">
        <v>3604375.36</v>
      </c>
      <c r="N328">
        <v>866832.5</v>
      </c>
    </row>
    <row r="329" spans="1:14" x14ac:dyDescent="0.25">
      <c r="A329" t="s">
        <v>14</v>
      </c>
      <c r="B329" t="s">
        <v>357</v>
      </c>
      <c r="C329" t="s">
        <v>69</v>
      </c>
      <c r="D329" t="s">
        <v>22</v>
      </c>
      <c r="E329" t="s">
        <v>18</v>
      </c>
      <c r="F329" t="s">
        <v>227</v>
      </c>
      <c r="G329">
        <v>174837386</v>
      </c>
      <c r="H329" t="s">
        <v>520</v>
      </c>
      <c r="I329">
        <v>7123</v>
      </c>
      <c r="J329">
        <v>421.89</v>
      </c>
      <c r="K329">
        <v>364.69</v>
      </c>
      <c r="L329">
        <v>3005122.47</v>
      </c>
      <c r="M329">
        <v>2597686.87</v>
      </c>
      <c r="N329">
        <v>407435.6</v>
      </c>
    </row>
    <row r="330" spans="1:14" x14ac:dyDescent="0.25">
      <c r="A330" t="s">
        <v>38</v>
      </c>
      <c r="B330" t="s">
        <v>329</v>
      </c>
      <c r="C330" t="s">
        <v>40</v>
      </c>
      <c r="D330" t="s">
        <v>22</v>
      </c>
      <c r="E330" t="s">
        <v>32</v>
      </c>
      <c r="F330" t="s">
        <v>521</v>
      </c>
      <c r="G330">
        <v>877022111</v>
      </c>
      <c r="H330" t="s">
        <v>522</v>
      </c>
      <c r="I330">
        <v>9187</v>
      </c>
      <c r="J330">
        <v>81.73</v>
      </c>
      <c r="K330">
        <v>56.67</v>
      </c>
      <c r="L330">
        <v>750853.51</v>
      </c>
      <c r="M330">
        <v>520627.29</v>
      </c>
      <c r="N330">
        <v>230226.22</v>
      </c>
    </row>
    <row r="331" spans="1:14" x14ac:dyDescent="0.25">
      <c r="A331" t="s">
        <v>77</v>
      </c>
      <c r="B331" t="s">
        <v>320</v>
      </c>
      <c r="C331" t="s">
        <v>31</v>
      </c>
      <c r="D331" t="s">
        <v>22</v>
      </c>
      <c r="E331" t="s">
        <v>18</v>
      </c>
      <c r="F331" t="s">
        <v>523</v>
      </c>
      <c r="G331">
        <v>997329699</v>
      </c>
      <c r="H331" t="s">
        <v>230</v>
      </c>
      <c r="I331">
        <v>876</v>
      </c>
      <c r="J331">
        <v>205.7</v>
      </c>
      <c r="K331">
        <v>117.11</v>
      </c>
      <c r="L331">
        <v>180193.2</v>
      </c>
      <c r="M331">
        <v>102588.36</v>
      </c>
      <c r="N331">
        <v>77604.84</v>
      </c>
    </row>
    <row r="332" spans="1:14" x14ac:dyDescent="0.25">
      <c r="A332" t="s">
        <v>51</v>
      </c>
      <c r="B332" t="s">
        <v>420</v>
      </c>
      <c r="C332" t="s">
        <v>21</v>
      </c>
      <c r="D332" t="s">
        <v>22</v>
      </c>
      <c r="E332" t="s">
        <v>18</v>
      </c>
      <c r="F332" t="s">
        <v>524</v>
      </c>
      <c r="G332">
        <v>434246480</v>
      </c>
      <c r="H332" s="1">
        <v>42676</v>
      </c>
      <c r="I332">
        <v>2038</v>
      </c>
      <c r="J332">
        <v>152.58000000000001</v>
      </c>
      <c r="K332">
        <v>97.44</v>
      </c>
      <c r="L332">
        <v>310958.03999999998</v>
      </c>
      <c r="M332">
        <v>198582.72</v>
      </c>
      <c r="N332">
        <v>112375.32</v>
      </c>
    </row>
    <row r="333" spans="1:14" x14ac:dyDescent="0.25">
      <c r="A333" t="s">
        <v>14</v>
      </c>
      <c r="B333" t="s">
        <v>372</v>
      </c>
      <c r="C333" t="s">
        <v>31</v>
      </c>
      <c r="D333" t="s">
        <v>17</v>
      </c>
      <c r="E333" t="s">
        <v>23</v>
      </c>
      <c r="F333" s="1">
        <v>42798</v>
      </c>
      <c r="G333">
        <v>956571280</v>
      </c>
      <c r="H333" s="1">
        <v>42859</v>
      </c>
      <c r="I333">
        <v>9554</v>
      </c>
      <c r="J333">
        <v>205.7</v>
      </c>
      <c r="K333">
        <v>117.11</v>
      </c>
      <c r="L333">
        <v>1965257.8</v>
      </c>
      <c r="M333">
        <v>1118868.94</v>
      </c>
      <c r="N333">
        <v>846388.86</v>
      </c>
    </row>
    <row r="334" spans="1:14" x14ac:dyDescent="0.25">
      <c r="A334" t="s">
        <v>25</v>
      </c>
      <c r="B334" t="s">
        <v>26</v>
      </c>
      <c r="C334" t="s">
        <v>40</v>
      </c>
      <c r="D334" t="s">
        <v>17</v>
      </c>
      <c r="E334" t="s">
        <v>18</v>
      </c>
      <c r="F334" s="1">
        <v>40280</v>
      </c>
      <c r="G334">
        <v>353415429</v>
      </c>
      <c r="H334" s="1">
        <v>40402</v>
      </c>
      <c r="I334">
        <v>2334</v>
      </c>
      <c r="J334">
        <v>81.73</v>
      </c>
      <c r="K334">
        <v>56.67</v>
      </c>
      <c r="L334">
        <v>190757.82</v>
      </c>
      <c r="M334">
        <v>132267.78</v>
      </c>
      <c r="N334">
        <v>58490.04</v>
      </c>
    </row>
    <row r="335" spans="1:14" x14ac:dyDescent="0.25">
      <c r="A335" t="s">
        <v>51</v>
      </c>
      <c r="B335" t="s">
        <v>525</v>
      </c>
      <c r="C335" t="s">
        <v>113</v>
      </c>
      <c r="D335" t="s">
        <v>17</v>
      </c>
      <c r="E335" t="s">
        <v>45</v>
      </c>
      <c r="F335" t="s">
        <v>526</v>
      </c>
      <c r="G335">
        <v>984202754</v>
      </c>
      <c r="H335" s="1">
        <v>40767</v>
      </c>
      <c r="I335">
        <v>6321</v>
      </c>
      <c r="J335">
        <v>154.06</v>
      </c>
      <c r="K335">
        <v>90.93</v>
      </c>
      <c r="L335">
        <v>973813.26</v>
      </c>
      <c r="M335">
        <v>574768.53</v>
      </c>
      <c r="N335">
        <v>399044.73</v>
      </c>
    </row>
    <row r="336" spans="1:14" x14ac:dyDescent="0.25">
      <c r="A336" t="s">
        <v>51</v>
      </c>
      <c r="B336" t="s">
        <v>151</v>
      </c>
      <c r="C336" t="s">
        <v>27</v>
      </c>
      <c r="D336" t="s">
        <v>22</v>
      </c>
      <c r="E336" t="s">
        <v>45</v>
      </c>
      <c r="F336" t="s">
        <v>176</v>
      </c>
      <c r="G336">
        <v>328669583</v>
      </c>
      <c r="H336" s="1">
        <v>41311</v>
      </c>
      <c r="I336">
        <v>9488</v>
      </c>
      <c r="J336">
        <v>47.45</v>
      </c>
      <c r="K336">
        <v>31.79</v>
      </c>
      <c r="L336">
        <v>450205.6</v>
      </c>
      <c r="M336">
        <v>301623.52</v>
      </c>
      <c r="N336">
        <v>148582.07999999999</v>
      </c>
    </row>
    <row r="337" spans="1:14" x14ac:dyDescent="0.25">
      <c r="A337" t="s">
        <v>38</v>
      </c>
      <c r="B337" t="s">
        <v>288</v>
      </c>
      <c r="C337" t="s">
        <v>59</v>
      </c>
      <c r="D337" t="s">
        <v>22</v>
      </c>
      <c r="E337" t="s">
        <v>23</v>
      </c>
      <c r="F337" t="s">
        <v>176</v>
      </c>
      <c r="G337">
        <v>436864745</v>
      </c>
      <c r="H337" t="s">
        <v>376</v>
      </c>
      <c r="I337">
        <v>6841</v>
      </c>
      <c r="J337">
        <v>437.2</v>
      </c>
      <c r="K337">
        <v>263.33</v>
      </c>
      <c r="L337">
        <v>2990885.2</v>
      </c>
      <c r="M337">
        <v>1801440.53</v>
      </c>
      <c r="N337">
        <v>1189444.67</v>
      </c>
    </row>
    <row r="338" spans="1:14" x14ac:dyDescent="0.25">
      <c r="A338" t="s">
        <v>38</v>
      </c>
      <c r="B338" t="s">
        <v>527</v>
      </c>
      <c r="C338" t="s">
        <v>131</v>
      </c>
      <c r="D338" t="s">
        <v>22</v>
      </c>
      <c r="E338" t="s">
        <v>18</v>
      </c>
      <c r="F338" s="1">
        <v>40544</v>
      </c>
      <c r="G338">
        <v>279149568</v>
      </c>
      <c r="H338" t="s">
        <v>528</v>
      </c>
      <c r="I338">
        <v>5415</v>
      </c>
      <c r="J338">
        <v>668.27</v>
      </c>
      <c r="K338">
        <v>502.54</v>
      </c>
      <c r="L338">
        <v>3618682.05</v>
      </c>
      <c r="M338">
        <v>2721254.1</v>
      </c>
      <c r="N338">
        <v>897427.95</v>
      </c>
    </row>
    <row r="339" spans="1:14" x14ac:dyDescent="0.25">
      <c r="A339" t="s">
        <v>25</v>
      </c>
      <c r="B339" t="s">
        <v>529</v>
      </c>
      <c r="C339" t="s">
        <v>31</v>
      </c>
      <c r="D339" t="s">
        <v>17</v>
      </c>
      <c r="E339" t="s">
        <v>45</v>
      </c>
      <c r="F339" t="s">
        <v>530</v>
      </c>
      <c r="G339">
        <v>696197879</v>
      </c>
      <c r="H339" t="s">
        <v>531</v>
      </c>
      <c r="I339">
        <v>9278</v>
      </c>
      <c r="J339">
        <v>205.7</v>
      </c>
      <c r="K339">
        <v>117.11</v>
      </c>
      <c r="L339">
        <v>1908484.6</v>
      </c>
      <c r="M339">
        <v>1086546.58</v>
      </c>
      <c r="N339">
        <v>821938.02</v>
      </c>
    </row>
    <row r="340" spans="1:14" x14ac:dyDescent="0.25">
      <c r="A340" t="s">
        <v>77</v>
      </c>
      <c r="B340" t="s">
        <v>320</v>
      </c>
      <c r="C340" t="s">
        <v>131</v>
      </c>
      <c r="D340" t="s">
        <v>22</v>
      </c>
      <c r="E340" t="s">
        <v>18</v>
      </c>
      <c r="F340" s="1">
        <v>42614</v>
      </c>
      <c r="G340">
        <v>348996007</v>
      </c>
      <c r="H340" s="1">
        <v>42705</v>
      </c>
      <c r="I340">
        <v>4529</v>
      </c>
      <c r="J340">
        <v>668.27</v>
      </c>
      <c r="K340">
        <v>502.54</v>
      </c>
      <c r="L340">
        <v>3026594.83</v>
      </c>
      <c r="M340">
        <v>2276003.66</v>
      </c>
      <c r="N340">
        <v>750591.17</v>
      </c>
    </row>
    <row r="341" spans="1:14" x14ac:dyDescent="0.25">
      <c r="A341" t="s">
        <v>51</v>
      </c>
      <c r="B341" t="s">
        <v>424</v>
      </c>
      <c r="C341" t="s">
        <v>27</v>
      </c>
      <c r="D341" t="s">
        <v>22</v>
      </c>
      <c r="E341" t="s">
        <v>32</v>
      </c>
      <c r="F341" s="1">
        <v>42071</v>
      </c>
      <c r="G341">
        <v>668842780</v>
      </c>
      <c r="H341" t="s">
        <v>532</v>
      </c>
      <c r="I341">
        <v>4297</v>
      </c>
      <c r="J341">
        <v>47.45</v>
      </c>
      <c r="K341">
        <v>31.79</v>
      </c>
      <c r="L341">
        <v>203892.65</v>
      </c>
      <c r="M341">
        <v>136601.63</v>
      </c>
      <c r="N341">
        <v>67291.02</v>
      </c>
    </row>
    <row r="342" spans="1:14" x14ac:dyDescent="0.25">
      <c r="A342" t="s">
        <v>25</v>
      </c>
      <c r="B342" t="s">
        <v>533</v>
      </c>
      <c r="C342" t="s">
        <v>59</v>
      </c>
      <c r="D342" t="s">
        <v>17</v>
      </c>
      <c r="E342" t="s">
        <v>23</v>
      </c>
      <c r="F342" s="1">
        <v>41033</v>
      </c>
      <c r="G342">
        <v>907349526</v>
      </c>
      <c r="H342" t="s">
        <v>534</v>
      </c>
      <c r="I342">
        <v>3743</v>
      </c>
      <c r="J342">
        <v>437.2</v>
      </c>
      <c r="K342">
        <v>263.33</v>
      </c>
      <c r="L342">
        <v>1636439.6</v>
      </c>
      <c r="M342">
        <v>985644.19</v>
      </c>
      <c r="N342">
        <v>650795.41</v>
      </c>
    </row>
    <row r="343" spans="1:14" x14ac:dyDescent="0.25">
      <c r="A343" t="s">
        <v>25</v>
      </c>
      <c r="B343" t="s">
        <v>218</v>
      </c>
      <c r="C343" t="s">
        <v>40</v>
      </c>
      <c r="D343" t="s">
        <v>22</v>
      </c>
      <c r="E343" t="s">
        <v>23</v>
      </c>
      <c r="F343" s="1">
        <v>41763</v>
      </c>
      <c r="G343">
        <v>386440074</v>
      </c>
      <c r="H343" t="s">
        <v>535</v>
      </c>
      <c r="I343">
        <v>5060</v>
      </c>
      <c r="J343">
        <v>81.73</v>
      </c>
      <c r="K343">
        <v>56.67</v>
      </c>
      <c r="L343">
        <v>413553.8</v>
      </c>
      <c r="M343">
        <v>286750.2</v>
      </c>
      <c r="N343">
        <v>126803.6</v>
      </c>
    </row>
    <row r="344" spans="1:14" x14ac:dyDescent="0.25">
      <c r="A344" t="s">
        <v>51</v>
      </c>
      <c r="B344" t="s">
        <v>308</v>
      </c>
      <c r="C344" t="s">
        <v>113</v>
      </c>
      <c r="D344" t="s">
        <v>22</v>
      </c>
      <c r="E344" t="s">
        <v>23</v>
      </c>
      <c r="F344" t="s">
        <v>454</v>
      </c>
      <c r="G344">
        <v>748350751</v>
      </c>
      <c r="H344" t="s">
        <v>536</v>
      </c>
      <c r="I344">
        <v>2472</v>
      </c>
      <c r="J344">
        <v>154.06</v>
      </c>
      <c r="K344">
        <v>90.93</v>
      </c>
      <c r="L344">
        <v>380836.32</v>
      </c>
      <c r="M344">
        <v>224778.96</v>
      </c>
      <c r="N344">
        <v>156057.35999999999</v>
      </c>
    </row>
    <row r="345" spans="1:14" x14ac:dyDescent="0.25">
      <c r="A345" t="s">
        <v>14</v>
      </c>
      <c r="B345" t="s">
        <v>370</v>
      </c>
      <c r="C345" t="s">
        <v>40</v>
      </c>
      <c r="D345" t="s">
        <v>17</v>
      </c>
      <c r="E345" t="s">
        <v>32</v>
      </c>
      <c r="F345" s="1">
        <v>42346</v>
      </c>
      <c r="G345">
        <v>105630385</v>
      </c>
      <c r="H345" t="s">
        <v>537</v>
      </c>
      <c r="I345">
        <v>7233</v>
      </c>
      <c r="J345">
        <v>81.73</v>
      </c>
      <c r="K345">
        <v>56.67</v>
      </c>
      <c r="L345">
        <v>591153.09</v>
      </c>
      <c r="M345">
        <v>409894.11</v>
      </c>
      <c r="N345">
        <v>181258.98</v>
      </c>
    </row>
    <row r="346" spans="1:14" x14ac:dyDescent="0.25">
      <c r="A346" t="s">
        <v>29</v>
      </c>
      <c r="B346" t="s">
        <v>35</v>
      </c>
      <c r="C346" t="s">
        <v>59</v>
      </c>
      <c r="D346" t="s">
        <v>22</v>
      </c>
      <c r="E346" t="s">
        <v>32</v>
      </c>
      <c r="F346" t="s">
        <v>538</v>
      </c>
      <c r="G346">
        <v>691140305</v>
      </c>
      <c r="H346" s="1">
        <v>41852</v>
      </c>
      <c r="I346">
        <v>2630</v>
      </c>
      <c r="J346">
        <v>437.2</v>
      </c>
      <c r="K346">
        <v>263.33</v>
      </c>
      <c r="L346">
        <v>1149836</v>
      </c>
      <c r="M346">
        <v>692557.9</v>
      </c>
      <c r="N346">
        <v>457278.1</v>
      </c>
    </row>
    <row r="347" spans="1:14" x14ac:dyDescent="0.25">
      <c r="A347" t="s">
        <v>51</v>
      </c>
      <c r="B347" t="s">
        <v>417</v>
      </c>
      <c r="C347" t="s">
        <v>59</v>
      </c>
      <c r="D347" t="s">
        <v>22</v>
      </c>
      <c r="E347" t="s">
        <v>45</v>
      </c>
      <c r="F347" s="1">
        <v>42226</v>
      </c>
      <c r="G347">
        <v>308054339</v>
      </c>
      <c r="H347" t="s">
        <v>539</v>
      </c>
      <c r="I347">
        <v>8980</v>
      </c>
      <c r="J347">
        <v>437.2</v>
      </c>
      <c r="K347">
        <v>263.33</v>
      </c>
      <c r="L347">
        <v>3926056</v>
      </c>
      <c r="M347">
        <v>2364703.4</v>
      </c>
      <c r="N347">
        <v>1561352.6</v>
      </c>
    </row>
    <row r="348" spans="1:14" x14ac:dyDescent="0.25">
      <c r="A348" t="s">
        <v>51</v>
      </c>
      <c r="B348" t="s">
        <v>219</v>
      </c>
      <c r="C348" t="s">
        <v>88</v>
      </c>
      <c r="D348" t="s">
        <v>22</v>
      </c>
      <c r="E348" t="s">
        <v>45</v>
      </c>
      <c r="F348" t="s">
        <v>28</v>
      </c>
      <c r="G348">
        <v>879858815</v>
      </c>
      <c r="H348" t="s">
        <v>540</v>
      </c>
      <c r="I348">
        <v>8631</v>
      </c>
      <c r="J348">
        <v>9.33</v>
      </c>
      <c r="K348">
        <v>6.92</v>
      </c>
      <c r="L348">
        <v>80527.23</v>
      </c>
      <c r="M348">
        <v>59726.52</v>
      </c>
      <c r="N348">
        <v>20800.71</v>
      </c>
    </row>
    <row r="349" spans="1:14" x14ac:dyDescent="0.25">
      <c r="A349" t="s">
        <v>25</v>
      </c>
      <c r="B349" t="s">
        <v>134</v>
      </c>
      <c r="C349" t="s">
        <v>113</v>
      </c>
      <c r="D349" t="s">
        <v>17</v>
      </c>
      <c r="E349" t="s">
        <v>45</v>
      </c>
      <c r="F349" t="s">
        <v>541</v>
      </c>
      <c r="G349">
        <v>800352561</v>
      </c>
      <c r="H349" t="s">
        <v>522</v>
      </c>
      <c r="I349">
        <v>963</v>
      </c>
      <c r="J349">
        <v>154.06</v>
      </c>
      <c r="K349">
        <v>90.93</v>
      </c>
      <c r="L349">
        <v>148359.78</v>
      </c>
      <c r="M349">
        <v>87565.59</v>
      </c>
      <c r="N349">
        <v>60794.19</v>
      </c>
    </row>
    <row r="350" spans="1:14" x14ac:dyDescent="0.25">
      <c r="A350" t="s">
        <v>51</v>
      </c>
      <c r="B350" t="s">
        <v>542</v>
      </c>
      <c r="C350" t="s">
        <v>16</v>
      </c>
      <c r="D350" t="s">
        <v>17</v>
      </c>
      <c r="E350" t="s">
        <v>32</v>
      </c>
      <c r="F350" s="1">
        <v>42011</v>
      </c>
      <c r="G350">
        <v>783646905</v>
      </c>
      <c r="H350" s="1">
        <v>42285</v>
      </c>
      <c r="I350">
        <v>7388</v>
      </c>
      <c r="J350">
        <v>255.28</v>
      </c>
      <c r="K350">
        <v>159.41999999999999</v>
      </c>
      <c r="L350">
        <v>1886008.64</v>
      </c>
      <c r="M350">
        <v>1177794.96</v>
      </c>
      <c r="N350">
        <v>708213.68</v>
      </c>
    </row>
    <row r="351" spans="1:14" x14ac:dyDescent="0.25">
      <c r="A351" t="s">
        <v>25</v>
      </c>
      <c r="B351" t="s">
        <v>218</v>
      </c>
      <c r="C351" t="s">
        <v>27</v>
      </c>
      <c r="D351" t="s">
        <v>22</v>
      </c>
      <c r="E351" t="s">
        <v>23</v>
      </c>
      <c r="F351" s="1">
        <v>41852</v>
      </c>
      <c r="G351">
        <v>714165675</v>
      </c>
      <c r="H351" s="1">
        <v>41672</v>
      </c>
      <c r="I351">
        <v>6348</v>
      </c>
      <c r="J351">
        <v>47.45</v>
      </c>
      <c r="K351">
        <v>31.79</v>
      </c>
      <c r="L351">
        <v>301212.59999999998</v>
      </c>
      <c r="M351">
        <v>201802.92</v>
      </c>
      <c r="N351">
        <v>99409.68</v>
      </c>
    </row>
    <row r="352" spans="1:14" x14ac:dyDescent="0.25">
      <c r="A352" t="s">
        <v>29</v>
      </c>
      <c r="B352" t="s">
        <v>338</v>
      </c>
      <c r="C352" t="s">
        <v>69</v>
      </c>
      <c r="D352" t="s">
        <v>22</v>
      </c>
      <c r="E352" t="s">
        <v>45</v>
      </c>
      <c r="F352" t="s">
        <v>379</v>
      </c>
      <c r="G352">
        <v>996645200</v>
      </c>
      <c r="H352" t="s">
        <v>543</v>
      </c>
      <c r="I352">
        <v>8317</v>
      </c>
      <c r="J352">
        <v>421.89</v>
      </c>
      <c r="K352">
        <v>364.69</v>
      </c>
      <c r="L352">
        <v>3508859.13</v>
      </c>
      <c r="M352">
        <v>3033126.73</v>
      </c>
      <c r="N352">
        <v>475732.4</v>
      </c>
    </row>
    <row r="353" spans="1:14" x14ac:dyDescent="0.25">
      <c r="A353" t="s">
        <v>38</v>
      </c>
      <c r="B353" t="s">
        <v>92</v>
      </c>
      <c r="C353" t="s">
        <v>55</v>
      </c>
      <c r="D353" t="s">
        <v>22</v>
      </c>
      <c r="E353" t="s">
        <v>18</v>
      </c>
      <c r="F353" s="1">
        <v>41316</v>
      </c>
      <c r="G353">
        <v>306134307</v>
      </c>
      <c r="H353" t="s">
        <v>544</v>
      </c>
      <c r="I353">
        <v>799</v>
      </c>
      <c r="J353">
        <v>651.21</v>
      </c>
      <c r="K353">
        <v>524.96</v>
      </c>
      <c r="L353">
        <v>520316.79</v>
      </c>
      <c r="M353">
        <v>419443.04</v>
      </c>
      <c r="N353">
        <v>100873.75</v>
      </c>
    </row>
    <row r="354" spans="1:14" x14ac:dyDescent="0.25">
      <c r="A354" t="s">
        <v>29</v>
      </c>
      <c r="B354" t="s">
        <v>545</v>
      </c>
      <c r="C354" t="s">
        <v>21</v>
      </c>
      <c r="D354" t="s">
        <v>22</v>
      </c>
      <c r="E354" t="s">
        <v>18</v>
      </c>
      <c r="F354" t="s">
        <v>546</v>
      </c>
      <c r="G354">
        <v>537994325</v>
      </c>
      <c r="H354" t="s">
        <v>547</v>
      </c>
      <c r="I354">
        <v>3331</v>
      </c>
      <c r="J354">
        <v>152.58000000000001</v>
      </c>
      <c r="K354">
        <v>97.44</v>
      </c>
      <c r="L354">
        <v>508243.98</v>
      </c>
      <c r="M354">
        <v>324572.64</v>
      </c>
      <c r="N354">
        <v>183671.34</v>
      </c>
    </row>
    <row r="355" spans="1:14" x14ac:dyDescent="0.25">
      <c r="A355" t="s">
        <v>29</v>
      </c>
      <c r="B355" t="s">
        <v>323</v>
      </c>
      <c r="C355" t="s">
        <v>31</v>
      </c>
      <c r="D355" t="s">
        <v>17</v>
      </c>
      <c r="E355" t="s">
        <v>18</v>
      </c>
      <c r="F355" t="s">
        <v>318</v>
      </c>
      <c r="G355">
        <v>957899081</v>
      </c>
      <c r="H355" t="s">
        <v>548</v>
      </c>
      <c r="I355">
        <v>2480</v>
      </c>
      <c r="J355">
        <v>205.7</v>
      </c>
      <c r="K355">
        <v>117.11</v>
      </c>
      <c r="L355">
        <v>510136</v>
      </c>
      <c r="M355">
        <v>290432.8</v>
      </c>
      <c r="N355">
        <v>219703.2</v>
      </c>
    </row>
    <row r="356" spans="1:14" x14ac:dyDescent="0.25">
      <c r="A356" t="s">
        <v>29</v>
      </c>
      <c r="B356" t="s">
        <v>393</v>
      </c>
      <c r="C356" t="s">
        <v>55</v>
      </c>
      <c r="D356" t="s">
        <v>17</v>
      </c>
      <c r="E356" t="s">
        <v>18</v>
      </c>
      <c r="F356" s="1">
        <v>41008</v>
      </c>
      <c r="G356">
        <v>451834905</v>
      </c>
      <c r="H356" t="s">
        <v>205</v>
      </c>
      <c r="I356">
        <v>6844</v>
      </c>
      <c r="J356">
        <v>651.21</v>
      </c>
      <c r="K356">
        <v>524.96</v>
      </c>
      <c r="L356">
        <v>4456881.24</v>
      </c>
      <c r="M356">
        <v>3592826.24</v>
      </c>
      <c r="N356">
        <v>864055</v>
      </c>
    </row>
    <row r="357" spans="1:14" x14ac:dyDescent="0.25">
      <c r="A357" t="s">
        <v>51</v>
      </c>
      <c r="B357" t="s">
        <v>424</v>
      </c>
      <c r="C357" t="s">
        <v>16</v>
      </c>
      <c r="D357" t="s">
        <v>17</v>
      </c>
      <c r="E357" t="s">
        <v>45</v>
      </c>
      <c r="F357" t="s">
        <v>549</v>
      </c>
      <c r="G357">
        <v>676100623</v>
      </c>
      <c r="H357" t="s">
        <v>281</v>
      </c>
      <c r="I357">
        <v>2054</v>
      </c>
      <c r="J357">
        <v>255.28</v>
      </c>
      <c r="K357">
        <v>159.41999999999999</v>
      </c>
      <c r="L357">
        <v>524345.12</v>
      </c>
      <c r="M357">
        <v>327448.68</v>
      </c>
      <c r="N357">
        <v>196896.44</v>
      </c>
    </row>
    <row r="358" spans="1:14" x14ac:dyDescent="0.25">
      <c r="A358" t="s">
        <v>42</v>
      </c>
      <c r="B358" t="s">
        <v>103</v>
      </c>
      <c r="C358" t="s">
        <v>21</v>
      </c>
      <c r="D358" t="s">
        <v>22</v>
      </c>
      <c r="E358" t="s">
        <v>18</v>
      </c>
      <c r="F358" t="s">
        <v>377</v>
      </c>
      <c r="G358">
        <v>207307565</v>
      </c>
      <c r="H358" t="s">
        <v>550</v>
      </c>
      <c r="I358">
        <v>5770</v>
      </c>
      <c r="J358">
        <v>152.58000000000001</v>
      </c>
      <c r="K358">
        <v>97.44</v>
      </c>
      <c r="L358">
        <v>880386.6</v>
      </c>
      <c r="M358">
        <v>562228.80000000005</v>
      </c>
      <c r="N358">
        <v>318157.8</v>
      </c>
    </row>
    <row r="359" spans="1:14" x14ac:dyDescent="0.25">
      <c r="A359" t="s">
        <v>29</v>
      </c>
      <c r="B359" t="s">
        <v>375</v>
      </c>
      <c r="C359" t="s">
        <v>16</v>
      </c>
      <c r="D359" t="s">
        <v>22</v>
      </c>
      <c r="E359" t="s">
        <v>45</v>
      </c>
      <c r="F359" t="s">
        <v>551</v>
      </c>
      <c r="G359">
        <v>392379558</v>
      </c>
      <c r="H359" s="1">
        <v>41520</v>
      </c>
      <c r="I359">
        <v>2685</v>
      </c>
      <c r="J359">
        <v>255.28</v>
      </c>
      <c r="K359">
        <v>159.41999999999999</v>
      </c>
      <c r="L359">
        <v>685426.8</v>
      </c>
      <c r="M359">
        <v>428042.7</v>
      </c>
      <c r="N359">
        <v>257384.1</v>
      </c>
    </row>
    <row r="360" spans="1:14" x14ac:dyDescent="0.25">
      <c r="A360" t="s">
        <v>42</v>
      </c>
      <c r="B360" t="s">
        <v>552</v>
      </c>
      <c r="C360" t="s">
        <v>59</v>
      </c>
      <c r="D360" t="s">
        <v>17</v>
      </c>
      <c r="E360" t="s">
        <v>18</v>
      </c>
      <c r="F360" s="1">
        <v>42372</v>
      </c>
      <c r="G360">
        <v>398552930</v>
      </c>
      <c r="H360" t="s">
        <v>313</v>
      </c>
      <c r="I360">
        <v>9524</v>
      </c>
      <c r="J360">
        <v>437.2</v>
      </c>
      <c r="K360">
        <v>263.33</v>
      </c>
      <c r="L360">
        <v>4163892.8</v>
      </c>
      <c r="M360">
        <v>2507954.92</v>
      </c>
      <c r="N360">
        <v>1655937.88</v>
      </c>
    </row>
    <row r="361" spans="1:14" x14ac:dyDescent="0.25">
      <c r="A361" t="s">
        <v>38</v>
      </c>
      <c r="B361" t="s">
        <v>346</v>
      </c>
      <c r="C361" t="s">
        <v>55</v>
      </c>
      <c r="D361" t="s">
        <v>22</v>
      </c>
      <c r="E361" t="s">
        <v>32</v>
      </c>
      <c r="F361" s="1">
        <v>42893</v>
      </c>
      <c r="G361">
        <v>363376510</v>
      </c>
      <c r="H361" s="1">
        <v>43016</v>
      </c>
      <c r="I361">
        <v>39</v>
      </c>
      <c r="J361">
        <v>651.21</v>
      </c>
      <c r="K361">
        <v>524.96</v>
      </c>
      <c r="L361">
        <v>25397.19</v>
      </c>
      <c r="M361">
        <v>20473.439999999999</v>
      </c>
      <c r="N361">
        <v>4923.75</v>
      </c>
    </row>
    <row r="362" spans="1:14" x14ac:dyDescent="0.25">
      <c r="A362" t="s">
        <v>38</v>
      </c>
      <c r="B362" t="s">
        <v>39</v>
      </c>
      <c r="C362" t="s">
        <v>113</v>
      </c>
      <c r="D362" t="s">
        <v>22</v>
      </c>
      <c r="E362" t="s">
        <v>45</v>
      </c>
      <c r="F362" t="s">
        <v>553</v>
      </c>
      <c r="G362">
        <v>944711625</v>
      </c>
      <c r="H362" t="s">
        <v>554</v>
      </c>
      <c r="I362">
        <v>18</v>
      </c>
      <c r="J362">
        <v>154.06</v>
      </c>
      <c r="K362">
        <v>90.93</v>
      </c>
      <c r="L362">
        <v>2773.08</v>
      </c>
      <c r="M362">
        <v>1636.74</v>
      </c>
      <c r="N362">
        <v>1136.3399999999999</v>
      </c>
    </row>
    <row r="363" spans="1:14" x14ac:dyDescent="0.25">
      <c r="A363" t="s">
        <v>51</v>
      </c>
      <c r="B363" t="s">
        <v>250</v>
      </c>
      <c r="C363" t="s">
        <v>131</v>
      </c>
      <c r="D363" t="s">
        <v>17</v>
      </c>
      <c r="E363" t="s">
        <v>23</v>
      </c>
      <c r="F363" t="s">
        <v>555</v>
      </c>
      <c r="G363">
        <v>170732104</v>
      </c>
      <c r="H363" s="1">
        <v>41098</v>
      </c>
      <c r="I363">
        <v>2279</v>
      </c>
      <c r="J363">
        <v>668.27</v>
      </c>
      <c r="K363">
        <v>502.54</v>
      </c>
      <c r="L363">
        <v>1522987.33</v>
      </c>
      <c r="M363">
        <v>1145288.6599999999</v>
      </c>
      <c r="N363">
        <v>377698.67</v>
      </c>
    </row>
    <row r="364" spans="1:14" x14ac:dyDescent="0.25">
      <c r="A364" t="s">
        <v>25</v>
      </c>
      <c r="B364" t="s">
        <v>556</v>
      </c>
      <c r="C364" t="s">
        <v>27</v>
      </c>
      <c r="D364" t="s">
        <v>22</v>
      </c>
      <c r="E364" t="s">
        <v>32</v>
      </c>
      <c r="F364" t="s">
        <v>557</v>
      </c>
      <c r="G364">
        <v>189924275</v>
      </c>
      <c r="H364" t="s">
        <v>322</v>
      </c>
      <c r="I364">
        <v>1668</v>
      </c>
      <c r="J364">
        <v>47.45</v>
      </c>
      <c r="K364">
        <v>31.79</v>
      </c>
      <c r="L364">
        <v>79146.600000000006</v>
      </c>
      <c r="M364">
        <v>53025.72</v>
      </c>
      <c r="N364">
        <v>26120.880000000001</v>
      </c>
    </row>
    <row r="365" spans="1:14" x14ac:dyDescent="0.25">
      <c r="A365" t="s">
        <v>29</v>
      </c>
      <c r="B365" t="s">
        <v>271</v>
      </c>
      <c r="C365" t="s">
        <v>44</v>
      </c>
      <c r="D365" t="s">
        <v>22</v>
      </c>
      <c r="E365" t="s">
        <v>32</v>
      </c>
      <c r="F365" s="1">
        <v>40696</v>
      </c>
      <c r="G365">
        <v>521086966</v>
      </c>
      <c r="H365" t="s">
        <v>558</v>
      </c>
      <c r="I365">
        <v>68</v>
      </c>
      <c r="J365">
        <v>109.28</v>
      </c>
      <c r="K365">
        <v>35.840000000000003</v>
      </c>
      <c r="L365">
        <v>7431.04</v>
      </c>
      <c r="M365">
        <v>2437.12</v>
      </c>
      <c r="N365">
        <v>4993.92</v>
      </c>
    </row>
    <row r="366" spans="1:14" x14ac:dyDescent="0.25">
      <c r="A366" t="s">
        <v>29</v>
      </c>
      <c r="B366" t="s">
        <v>124</v>
      </c>
      <c r="C366" t="s">
        <v>69</v>
      </c>
      <c r="D366" t="s">
        <v>17</v>
      </c>
      <c r="E366" t="s">
        <v>18</v>
      </c>
      <c r="F366" s="1">
        <v>41220</v>
      </c>
      <c r="G366">
        <v>303331506</v>
      </c>
      <c r="H366" s="1">
        <v>41068</v>
      </c>
      <c r="I366">
        <v>1388</v>
      </c>
      <c r="J366">
        <v>421.89</v>
      </c>
      <c r="K366">
        <v>364.69</v>
      </c>
      <c r="L366">
        <v>585583.31999999995</v>
      </c>
      <c r="M366">
        <v>506189.72</v>
      </c>
      <c r="N366">
        <v>79393.600000000006</v>
      </c>
    </row>
    <row r="367" spans="1:14" x14ac:dyDescent="0.25">
      <c r="A367" t="s">
        <v>25</v>
      </c>
      <c r="B367" t="s">
        <v>218</v>
      </c>
      <c r="C367" t="s">
        <v>69</v>
      </c>
      <c r="D367" t="s">
        <v>17</v>
      </c>
      <c r="E367" t="s">
        <v>45</v>
      </c>
      <c r="F367" t="s">
        <v>559</v>
      </c>
      <c r="G367">
        <v>546081721</v>
      </c>
      <c r="H367" t="s">
        <v>376</v>
      </c>
      <c r="I367">
        <v>6571</v>
      </c>
      <c r="J367">
        <v>421.89</v>
      </c>
      <c r="K367">
        <v>364.69</v>
      </c>
      <c r="L367">
        <v>2772239.19</v>
      </c>
      <c r="M367">
        <v>2396377.9900000002</v>
      </c>
      <c r="N367">
        <v>375861.2</v>
      </c>
    </row>
    <row r="368" spans="1:14" x14ac:dyDescent="0.25">
      <c r="A368" t="s">
        <v>25</v>
      </c>
      <c r="B368" t="s">
        <v>119</v>
      </c>
      <c r="C368" t="s">
        <v>16</v>
      </c>
      <c r="D368" t="s">
        <v>17</v>
      </c>
      <c r="E368" t="s">
        <v>23</v>
      </c>
      <c r="F368" t="s">
        <v>560</v>
      </c>
      <c r="G368">
        <v>979073941</v>
      </c>
      <c r="H368" t="s">
        <v>184</v>
      </c>
      <c r="I368">
        <v>8591</v>
      </c>
      <c r="J368">
        <v>255.28</v>
      </c>
      <c r="K368">
        <v>159.41999999999999</v>
      </c>
      <c r="L368">
        <v>2193110.48</v>
      </c>
      <c r="M368">
        <v>1369577.22</v>
      </c>
      <c r="N368">
        <v>823533.26</v>
      </c>
    </row>
    <row r="369" spans="1:14" x14ac:dyDescent="0.25">
      <c r="A369" t="s">
        <v>51</v>
      </c>
      <c r="B369" t="s">
        <v>542</v>
      </c>
      <c r="C369" t="s">
        <v>113</v>
      </c>
      <c r="D369" t="s">
        <v>22</v>
      </c>
      <c r="E369" t="s">
        <v>32</v>
      </c>
      <c r="F369" t="s">
        <v>355</v>
      </c>
      <c r="G369">
        <v>502356994</v>
      </c>
      <c r="H369" t="s">
        <v>561</v>
      </c>
      <c r="I369">
        <v>7453</v>
      </c>
      <c r="J369">
        <v>154.06</v>
      </c>
      <c r="K369">
        <v>90.93</v>
      </c>
      <c r="L369">
        <v>1148209.18</v>
      </c>
      <c r="M369">
        <v>677701.29</v>
      </c>
      <c r="N369">
        <v>470507.89</v>
      </c>
    </row>
    <row r="370" spans="1:14" x14ac:dyDescent="0.25">
      <c r="A370" t="s">
        <v>42</v>
      </c>
      <c r="B370" t="s">
        <v>476</v>
      </c>
      <c r="C370" t="s">
        <v>69</v>
      </c>
      <c r="D370" t="s">
        <v>17</v>
      </c>
      <c r="E370" t="s">
        <v>45</v>
      </c>
      <c r="F370" s="1">
        <v>42921</v>
      </c>
      <c r="G370">
        <v>336292207</v>
      </c>
      <c r="H370" s="1">
        <v>42861</v>
      </c>
      <c r="I370">
        <v>5192</v>
      </c>
      <c r="J370">
        <v>421.89</v>
      </c>
      <c r="K370">
        <v>364.69</v>
      </c>
      <c r="L370">
        <v>2190452.88</v>
      </c>
      <c r="M370">
        <v>1893470.48</v>
      </c>
      <c r="N370">
        <v>296982.40000000002</v>
      </c>
    </row>
    <row r="371" spans="1:14" x14ac:dyDescent="0.25">
      <c r="A371" t="s">
        <v>51</v>
      </c>
      <c r="B371" t="s">
        <v>182</v>
      </c>
      <c r="C371" t="s">
        <v>40</v>
      </c>
      <c r="D371" t="s">
        <v>17</v>
      </c>
      <c r="E371" t="s">
        <v>45</v>
      </c>
      <c r="F371" t="s">
        <v>562</v>
      </c>
      <c r="G371">
        <v>871553409</v>
      </c>
      <c r="H371" s="1">
        <v>42125</v>
      </c>
      <c r="I371">
        <v>876</v>
      </c>
      <c r="J371">
        <v>81.73</v>
      </c>
      <c r="K371">
        <v>56.67</v>
      </c>
      <c r="L371">
        <v>71595.48</v>
      </c>
      <c r="M371">
        <v>49642.92</v>
      </c>
      <c r="N371">
        <v>21952.560000000001</v>
      </c>
    </row>
    <row r="372" spans="1:14" x14ac:dyDescent="0.25">
      <c r="A372" t="s">
        <v>42</v>
      </c>
      <c r="B372" t="s">
        <v>476</v>
      </c>
      <c r="C372" t="s">
        <v>40</v>
      </c>
      <c r="D372" t="s">
        <v>22</v>
      </c>
      <c r="E372" t="s">
        <v>45</v>
      </c>
      <c r="F372" t="s">
        <v>563</v>
      </c>
      <c r="G372">
        <v>319126927</v>
      </c>
      <c r="H372" s="1">
        <v>42157</v>
      </c>
      <c r="I372">
        <v>5604</v>
      </c>
      <c r="J372">
        <v>81.73</v>
      </c>
      <c r="K372">
        <v>56.67</v>
      </c>
      <c r="L372">
        <v>458014.92</v>
      </c>
      <c r="M372">
        <v>317578.68</v>
      </c>
      <c r="N372">
        <v>140436.24</v>
      </c>
    </row>
    <row r="373" spans="1:14" x14ac:dyDescent="0.25">
      <c r="A373" t="s">
        <v>51</v>
      </c>
      <c r="B373" t="s">
        <v>367</v>
      </c>
      <c r="C373" t="s">
        <v>113</v>
      </c>
      <c r="D373" t="s">
        <v>17</v>
      </c>
      <c r="E373" t="s">
        <v>45</v>
      </c>
      <c r="F373" s="1">
        <v>42402</v>
      </c>
      <c r="G373">
        <v>560311591</v>
      </c>
      <c r="H373" s="1">
        <v>42492</v>
      </c>
      <c r="I373">
        <v>7506</v>
      </c>
      <c r="J373">
        <v>154.06</v>
      </c>
      <c r="K373">
        <v>90.93</v>
      </c>
      <c r="L373">
        <v>1156374.3600000001</v>
      </c>
      <c r="M373">
        <v>682520.58</v>
      </c>
      <c r="N373">
        <v>473853.78</v>
      </c>
    </row>
    <row r="374" spans="1:14" x14ac:dyDescent="0.25">
      <c r="A374" t="s">
        <v>25</v>
      </c>
      <c r="B374" t="s">
        <v>47</v>
      </c>
      <c r="C374" t="s">
        <v>40</v>
      </c>
      <c r="D374" t="s">
        <v>22</v>
      </c>
      <c r="E374" t="s">
        <v>32</v>
      </c>
      <c r="F374" s="1">
        <v>40361</v>
      </c>
      <c r="G374">
        <v>396718728</v>
      </c>
      <c r="H374" t="s">
        <v>564</v>
      </c>
      <c r="I374">
        <v>6742</v>
      </c>
      <c r="J374">
        <v>81.73</v>
      </c>
      <c r="K374">
        <v>56.67</v>
      </c>
      <c r="L374">
        <v>551023.66</v>
      </c>
      <c r="M374">
        <v>382069.14</v>
      </c>
      <c r="N374">
        <v>168954.52</v>
      </c>
    </row>
    <row r="375" spans="1:14" x14ac:dyDescent="0.25">
      <c r="A375" t="s">
        <v>42</v>
      </c>
      <c r="B375" t="s">
        <v>565</v>
      </c>
      <c r="C375" t="s">
        <v>88</v>
      </c>
      <c r="D375" t="s">
        <v>17</v>
      </c>
      <c r="E375" t="s">
        <v>45</v>
      </c>
      <c r="F375" t="s">
        <v>566</v>
      </c>
      <c r="G375">
        <v>500272166</v>
      </c>
      <c r="H375" s="1">
        <v>42623</v>
      </c>
      <c r="I375">
        <v>506</v>
      </c>
      <c r="J375">
        <v>9.33</v>
      </c>
      <c r="K375">
        <v>6.92</v>
      </c>
      <c r="L375">
        <v>4720.9799999999996</v>
      </c>
      <c r="M375">
        <v>3501.52</v>
      </c>
      <c r="N375">
        <v>1219.46</v>
      </c>
    </row>
    <row r="376" spans="1:14" x14ac:dyDescent="0.25">
      <c r="A376" t="s">
        <v>29</v>
      </c>
      <c r="B376" t="s">
        <v>159</v>
      </c>
      <c r="C376" t="s">
        <v>21</v>
      </c>
      <c r="D376" t="s">
        <v>17</v>
      </c>
      <c r="E376" t="s">
        <v>32</v>
      </c>
      <c r="F376" t="s">
        <v>349</v>
      </c>
      <c r="G376">
        <v>263208234</v>
      </c>
      <c r="H376" t="s">
        <v>567</v>
      </c>
      <c r="I376">
        <v>8020</v>
      </c>
      <c r="J376">
        <v>152.58000000000001</v>
      </c>
      <c r="K376">
        <v>97.44</v>
      </c>
      <c r="L376">
        <v>1223691.6000000001</v>
      </c>
      <c r="M376">
        <v>781468.8</v>
      </c>
      <c r="N376">
        <v>442222.8</v>
      </c>
    </row>
    <row r="377" spans="1:14" x14ac:dyDescent="0.25">
      <c r="A377" t="s">
        <v>25</v>
      </c>
      <c r="B377" t="s">
        <v>343</v>
      </c>
      <c r="C377" t="s">
        <v>27</v>
      </c>
      <c r="D377" t="s">
        <v>22</v>
      </c>
      <c r="E377" t="s">
        <v>18</v>
      </c>
      <c r="F377" s="1">
        <v>40249</v>
      </c>
      <c r="G377">
        <v>948075759</v>
      </c>
      <c r="H377" s="1">
        <v>40634</v>
      </c>
      <c r="I377">
        <v>5540</v>
      </c>
      <c r="J377">
        <v>47.45</v>
      </c>
      <c r="K377">
        <v>31.79</v>
      </c>
      <c r="L377">
        <v>262873</v>
      </c>
      <c r="M377">
        <v>176116.6</v>
      </c>
      <c r="N377">
        <v>86756.4</v>
      </c>
    </row>
    <row r="378" spans="1:14" x14ac:dyDescent="0.25">
      <c r="A378" t="s">
        <v>25</v>
      </c>
      <c r="B378" t="s">
        <v>434</v>
      </c>
      <c r="C378" t="s">
        <v>31</v>
      </c>
      <c r="D378" t="s">
        <v>22</v>
      </c>
      <c r="E378" t="s">
        <v>32</v>
      </c>
      <c r="F378" t="s">
        <v>568</v>
      </c>
      <c r="G378">
        <v>737736070</v>
      </c>
      <c r="H378" s="1">
        <v>40979</v>
      </c>
      <c r="I378">
        <v>1352</v>
      </c>
      <c r="J378">
        <v>205.7</v>
      </c>
      <c r="K378">
        <v>117.11</v>
      </c>
      <c r="L378">
        <v>278106.40000000002</v>
      </c>
      <c r="M378">
        <v>158332.72</v>
      </c>
      <c r="N378">
        <v>119773.68</v>
      </c>
    </row>
    <row r="379" spans="1:14" x14ac:dyDescent="0.25">
      <c r="A379" t="s">
        <v>25</v>
      </c>
      <c r="B379" t="s">
        <v>569</v>
      </c>
      <c r="C379" t="s">
        <v>131</v>
      </c>
      <c r="D379" t="s">
        <v>22</v>
      </c>
      <c r="E379" t="s">
        <v>32</v>
      </c>
      <c r="F379" t="s">
        <v>570</v>
      </c>
      <c r="G379">
        <v>585362994</v>
      </c>
      <c r="H379" s="1">
        <v>40486</v>
      </c>
      <c r="I379">
        <v>773</v>
      </c>
      <c r="J379">
        <v>668.27</v>
      </c>
      <c r="K379">
        <v>502.54</v>
      </c>
      <c r="L379">
        <v>516572.71</v>
      </c>
      <c r="M379">
        <v>388463.42</v>
      </c>
      <c r="N379">
        <v>128109.29</v>
      </c>
    </row>
    <row r="380" spans="1:14" x14ac:dyDescent="0.25">
      <c r="A380" t="s">
        <v>38</v>
      </c>
      <c r="B380" t="s">
        <v>39</v>
      </c>
      <c r="C380" t="s">
        <v>16</v>
      </c>
      <c r="D380" t="s">
        <v>22</v>
      </c>
      <c r="E380" t="s">
        <v>18</v>
      </c>
      <c r="F380" s="1">
        <v>41099</v>
      </c>
      <c r="G380">
        <v>164442861</v>
      </c>
      <c r="H380" t="s">
        <v>571</v>
      </c>
      <c r="I380">
        <v>1152</v>
      </c>
      <c r="J380">
        <v>255.28</v>
      </c>
      <c r="K380">
        <v>159.41999999999999</v>
      </c>
      <c r="L380">
        <v>294082.56</v>
      </c>
      <c r="M380">
        <v>183651.84</v>
      </c>
      <c r="N380">
        <v>110430.72</v>
      </c>
    </row>
    <row r="381" spans="1:14" x14ac:dyDescent="0.25">
      <c r="A381" t="s">
        <v>42</v>
      </c>
      <c r="B381" t="s">
        <v>150</v>
      </c>
      <c r="C381" t="s">
        <v>55</v>
      </c>
      <c r="D381" t="s">
        <v>17</v>
      </c>
      <c r="E381" t="s">
        <v>18</v>
      </c>
      <c r="F381" t="s">
        <v>180</v>
      </c>
      <c r="G381">
        <v>118774497</v>
      </c>
      <c r="H381" t="s">
        <v>572</v>
      </c>
      <c r="I381">
        <v>6868</v>
      </c>
      <c r="J381">
        <v>651.21</v>
      </c>
      <c r="K381">
        <v>524.96</v>
      </c>
      <c r="L381">
        <v>4472510.28</v>
      </c>
      <c r="M381">
        <v>3605425.28</v>
      </c>
      <c r="N381">
        <v>867085</v>
      </c>
    </row>
    <row r="382" spans="1:14" x14ac:dyDescent="0.25">
      <c r="A382" t="s">
        <v>42</v>
      </c>
      <c r="B382" t="s">
        <v>573</v>
      </c>
      <c r="C382" t="s">
        <v>16</v>
      </c>
      <c r="D382" t="s">
        <v>17</v>
      </c>
      <c r="E382" t="s">
        <v>18</v>
      </c>
      <c r="F382" t="s">
        <v>574</v>
      </c>
      <c r="G382">
        <v>712469232</v>
      </c>
      <c r="H382" s="1">
        <v>43072</v>
      </c>
      <c r="I382">
        <v>4333</v>
      </c>
      <c r="J382">
        <v>255.28</v>
      </c>
      <c r="K382">
        <v>159.41999999999999</v>
      </c>
      <c r="L382">
        <v>1106128.24</v>
      </c>
      <c r="M382">
        <v>690766.86</v>
      </c>
      <c r="N382">
        <v>415361.38</v>
      </c>
    </row>
    <row r="383" spans="1:14" x14ac:dyDescent="0.25">
      <c r="A383" t="s">
        <v>51</v>
      </c>
      <c r="B383" t="s">
        <v>575</v>
      </c>
      <c r="C383" t="s">
        <v>16</v>
      </c>
      <c r="D383" t="s">
        <v>22</v>
      </c>
      <c r="E383" t="s">
        <v>23</v>
      </c>
      <c r="F383" t="s">
        <v>576</v>
      </c>
      <c r="G383">
        <v>479950892</v>
      </c>
      <c r="H383" t="s">
        <v>577</v>
      </c>
      <c r="I383">
        <v>6989</v>
      </c>
      <c r="J383">
        <v>255.28</v>
      </c>
      <c r="K383">
        <v>159.41999999999999</v>
      </c>
      <c r="L383">
        <v>1784151.92</v>
      </c>
      <c r="M383">
        <v>1114186.3799999999</v>
      </c>
      <c r="N383">
        <v>669965.54</v>
      </c>
    </row>
    <row r="384" spans="1:14" x14ac:dyDescent="0.25">
      <c r="A384" t="s">
        <v>51</v>
      </c>
      <c r="B384" t="s">
        <v>578</v>
      </c>
      <c r="C384" t="s">
        <v>113</v>
      </c>
      <c r="D384" t="s">
        <v>17</v>
      </c>
      <c r="E384" t="s">
        <v>45</v>
      </c>
      <c r="F384" s="1">
        <v>40645</v>
      </c>
      <c r="G384">
        <v>275955808</v>
      </c>
      <c r="H384" t="s">
        <v>579</v>
      </c>
      <c r="I384">
        <v>311</v>
      </c>
      <c r="J384">
        <v>154.06</v>
      </c>
      <c r="K384">
        <v>90.93</v>
      </c>
      <c r="L384">
        <v>47912.66</v>
      </c>
      <c r="M384">
        <v>28279.23</v>
      </c>
      <c r="N384">
        <v>19633.43</v>
      </c>
    </row>
    <row r="385" spans="1:14" x14ac:dyDescent="0.25">
      <c r="A385" t="s">
        <v>29</v>
      </c>
      <c r="B385" t="s">
        <v>393</v>
      </c>
      <c r="C385" t="s">
        <v>16</v>
      </c>
      <c r="D385" t="s">
        <v>22</v>
      </c>
      <c r="E385" t="s">
        <v>18</v>
      </c>
      <c r="F385" s="1">
        <v>41091</v>
      </c>
      <c r="G385">
        <v>125532805</v>
      </c>
      <c r="H385" t="s">
        <v>109</v>
      </c>
      <c r="I385">
        <v>6802</v>
      </c>
      <c r="J385">
        <v>255.28</v>
      </c>
      <c r="K385">
        <v>159.41999999999999</v>
      </c>
      <c r="L385">
        <v>1736414.56</v>
      </c>
      <c r="M385">
        <v>1084374.8400000001</v>
      </c>
      <c r="N385">
        <v>652039.72</v>
      </c>
    </row>
    <row r="386" spans="1:14" x14ac:dyDescent="0.25">
      <c r="A386" t="s">
        <v>29</v>
      </c>
      <c r="B386" t="s">
        <v>323</v>
      </c>
      <c r="C386" t="s">
        <v>44</v>
      </c>
      <c r="D386" t="s">
        <v>17</v>
      </c>
      <c r="E386" t="s">
        <v>23</v>
      </c>
      <c r="F386" t="s">
        <v>580</v>
      </c>
      <c r="G386">
        <v>574043214</v>
      </c>
      <c r="H386" s="1">
        <v>42125</v>
      </c>
      <c r="I386">
        <v>998</v>
      </c>
      <c r="J386">
        <v>109.28</v>
      </c>
      <c r="K386">
        <v>35.840000000000003</v>
      </c>
      <c r="L386">
        <v>109061.44</v>
      </c>
      <c r="M386">
        <v>35768.32</v>
      </c>
      <c r="N386">
        <v>73293.119999999995</v>
      </c>
    </row>
    <row r="387" spans="1:14" x14ac:dyDescent="0.25">
      <c r="A387" t="s">
        <v>38</v>
      </c>
      <c r="B387" t="s">
        <v>288</v>
      </c>
      <c r="C387" t="s">
        <v>40</v>
      </c>
      <c r="D387" t="s">
        <v>17</v>
      </c>
      <c r="E387" t="s">
        <v>45</v>
      </c>
      <c r="F387" s="1">
        <v>42217</v>
      </c>
      <c r="G387">
        <v>437160861</v>
      </c>
      <c r="H387" t="s">
        <v>563</v>
      </c>
      <c r="I387">
        <v>4468</v>
      </c>
      <c r="J387">
        <v>81.73</v>
      </c>
      <c r="K387">
        <v>56.67</v>
      </c>
      <c r="L387">
        <v>365169.64</v>
      </c>
      <c r="M387">
        <v>253201.56</v>
      </c>
      <c r="N387">
        <v>111968.08</v>
      </c>
    </row>
    <row r="388" spans="1:14" x14ac:dyDescent="0.25">
      <c r="A388" t="s">
        <v>25</v>
      </c>
      <c r="B388" t="s">
        <v>26</v>
      </c>
      <c r="C388" t="s">
        <v>16</v>
      </c>
      <c r="D388" t="s">
        <v>22</v>
      </c>
      <c r="E388" t="s">
        <v>45</v>
      </c>
      <c r="F388" t="s">
        <v>581</v>
      </c>
      <c r="G388">
        <v>850872075</v>
      </c>
      <c r="H388" s="1">
        <v>42012</v>
      </c>
      <c r="I388">
        <v>810</v>
      </c>
      <c r="J388">
        <v>255.28</v>
      </c>
      <c r="K388">
        <v>159.41999999999999</v>
      </c>
      <c r="L388">
        <v>206776.8</v>
      </c>
      <c r="M388">
        <v>129130.2</v>
      </c>
      <c r="N388">
        <v>77646.600000000006</v>
      </c>
    </row>
    <row r="389" spans="1:14" x14ac:dyDescent="0.25">
      <c r="A389" t="s">
        <v>42</v>
      </c>
      <c r="B389" t="s">
        <v>361</v>
      </c>
      <c r="C389" t="s">
        <v>21</v>
      </c>
      <c r="D389" t="s">
        <v>22</v>
      </c>
      <c r="E389" t="s">
        <v>45</v>
      </c>
      <c r="F389" s="1">
        <v>42593</v>
      </c>
      <c r="G389">
        <v>321475684</v>
      </c>
      <c r="H389" t="s">
        <v>582</v>
      </c>
      <c r="I389">
        <v>654</v>
      </c>
      <c r="J389">
        <v>152.58000000000001</v>
      </c>
      <c r="K389">
        <v>97.44</v>
      </c>
      <c r="L389">
        <v>99787.32</v>
      </c>
      <c r="M389">
        <v>63725.760000000002</v>
      </c>
      <c r="N389">
        <v>36061.56</v>
      </c>
    </row>
    <row r="390" spans="1:14" x14ac:dyDescent="0.25">
      <c r="A390" t="s">
        <v>25</v>
      </c>
      <c r="B390" t="s">
        <v>47</v>
      </c>
      <c r="C390" t="s">
        <v>55</v>
      </c>
      <c r="D390" t="s">
        <v>22</v>
      </c>
      <c r="E390" t="s">
        <v>23</v>
      </c>
      <c r="F390" s="1">
        <v>41132</v>
      </c>
      <c r="G390">
        <v>575583016</v>
      </c>
      <c r="H390" t="s">
        <v>583</v>
      </c>
      <c r="I390">
        <v>6660</v>
      </c>
      <c r="J390">
        <v>651.21</v>
      </c>
      <c r="K390">
        <v>524.96</v>
      </c>
      <c r="L390">
        <v>4337058.5999999996</v>
      </c>
      <c r="M390">
        <v>3496233.6</v>
      </c>
      <c r="N390">
        <v>840825</v>
      </c>
    </row>
    <row r="391" spans="1:14" x14ac:dyDescent="0.25">
      <c r="A391" t="s">
        <v>38</v>
      </c>
      <c r="B391" t="s">
        <v>584</v>
      </c>
      <c r="C391" t="s">
        <v>69</v>
      </c>
      <c r="D391" t="s">
        <v>22</v>
      </c>
      <c r="E391" t="s">
        <v>18</v>
      </c>
      <c r="F391" s="1">
        <v>42953</v>
      </c>
      <c r="G391">
        <v>710117900</v>
      </c>
      <c r="H391" s="1">
        <v>42773</v>
      </c>
      <c r="I391">
        <v>8522</v>
      </c>
      <c r="J391">
        <v>421.89</v>
      </c>
      <c r="K391">
        <v>364.69</v>
      </c>
      <c r="L391">
        <v>3595346.58</v>
      </c>
      <c r="M391">
        <v>3107888.18</v>
      </c>
      <c r="N391">
        <v>487458.4</v>
      </c>
    </row>
    <row r="392" spans="1:14" x14ac:dyDescent="0.25">
      <c r="A392" t="s">
        <v>29</v>
      </c>
      <c r="B392" t="s">
        <v>585</v>
      </c>
      <c r="C392" t="s">
        <v>88</v>
      </c>
      <c r="D392" t="s">
        <v>22</v>
      </c>
      <c r="E392" t="s">
        <v>32</v>
      </c>
      <c r="F392" s="1">
        <v>42128</v>
      </c>
      <c r="G392">
        <v>342316663</v>
      </c>
      <c r="H392" s="1">
        <v>42128</v>
      </c>
      <c r="I392">
        <v>7962</v>
      </c>
      <c r="J392">
        <v>9.33</v>
      </c>
      <c r="K392">
        <v>6.92</v>
      </c>
      <c r="L392">
        <v>74285.460000000006</v>
      </c>
      <c r="M392">
        <v>55097.04</v>
      </c>
      <c r="N392">
        <v>19188.419999999998</v>
      </c>
    </row>
    <row r="393" spans="1:14" x14ac:dyDescent="0.25">
      <c r="A393" t="s">
        <v>29</v>
      </c>
      <c r="B393" t="s">
        <v>586</v>
      </c>
      <c r="C393" t="s">
        <v>59</v>
      </c>
      <c r="D393" t="s">
        <v>22</v>
      </c>
      <c r="E393" t="s">
        <v>23</v>
      </c>
      <c r="F393" t="s">
        <v>587</v>
      </c>
      <c r="G393">
        <v>959728133</v>
      </c>
      <c r="H393" t="s">
        <v>567</v>
      </c>
      <c r="I393">
        <v>3737</v>
      </c>
      <c r="J393">
        <v>437.2</v>
      </c>
      <c r="K393">
        <v>263.33</v>
      </c>
      <c r="L393">
        <v>1633816.4</v>
      </c>
      <c r="M393">
        <v>984064.21</v>
      </c>
      <c r="N393">
        <v>649752.18999999994</v>
      </c>
    </row>
    <row r="394" spans="1:14" x14ac:dyDescent="0.25">
      <c r="A394" t="s">
        <v>42</v>
      </c>
      <c r="B394" t="s">
        <v>90</v>
      </c>
      <c r="C394" t="s">
        <v>113</v>
      </c>
      <c r="D394" t="s">
        <v>22</v>
      </c>
      <c r="E394" t="s">
        <v>23</v>
      </c>
      <c r="F394" s="1">
        <v>40456</v>
      </c>
      <c r="G394">
        <v>970213639</v>
      </c>
      <c r="H394" s="1">
        <v>40518</v>
      </c>
      <c r="I394">
        <v>6631</v>
      </c>
      <c r="J394">
        <v>154.06</v>
      </c>
      <c r="K394">
        <v>90.93</v>
      </c>
      <c r="L394">
        <v>1021571.86</v>
      </c>
      <c r="M394">
        <v>602956.82999999996</v>
      </c>
      <c r="N394">
        <v>418615.03</v>
      </c>
    </row>
    <row r="395" spans="1:14" x14ac:dyDescent="0.25">
      <c r="A395" t="s">
        <v>29</v>
      </c>
      <c r="B395" t="s">
        <v>323</v>
      </c>
      <c r="C395" t="s">
        <v>31</v>
      </c>
      <c r="D395" t="s">
        <v>22</v>
      </c>
      <c r="E395" t="s">
        <v>18</v>
      </c>
      <c r="F395" s="1">
        <v>42679</v>
      </c>
      <c r="G395">
        <v>651947009</v>
      </c>
      <c r="H395" t="s">
        <v>588</v>
      </c>
      <c r="I395">
        <v>4463</v>
      </c>
      <c r="J395">
        <v>205.7</v>
      </c>
      <c r="K395">
        <v>117.11</v>
      </c>
      <c r="L395">
        <v>918039.1</v>
      </c>
      <c r="M395">
        <v>522661.93</v>
      </c>
      <c r="N395">
        <v>395377.17</v>
      </c>
    </row>
    <row r="396" spans="1:14" x14ac:dyDescent="0.25">
      <c r="A396" t="s">
        <v>77</v>
      </c>
      <c r="B396" t="s">
        <v>320</v>
      </c>
      <c r="C396" t="s">
        <v>113</v>
      </c>
      <c r="D396" t="s">
        <v>22</v>
      </c>
      <c r="E396" t="s">
        <v>45</v>
      </c>
      <c r="F396" s="1">
        <v>40517</v>
      </c>
      <c r="G396">
        <v>803414571</v>
      </c>
      <c r="H396" t="s">
        <v>589</v>
      </c>
      <c r="I396">
        <v>7080</v>
      </c>
      <c r="J396">
        <v>154.06</v>
      </c>
      <c r="K396">
        <v>90.93</v>
      </c>
      <c r="L396">
        <v>1090744.8</v>
      </c>
      <c r="M396">
        <v>643784.4</v>
      </c>
      <c r="N396">
        <v>446960.4</v>
      </c>
    </row>
    <row r="397" spans="1:14" x14ac:dyDescent="0.25">
      <c r="A397" t="s">
        <v>51</v>
      </c>
      <c r="B397" t="s">
        <v>299</v>
      </c>
      <c r="C397" t="s">
        <v>88</v>
      </c>
      <c r="D397" t="s">
        <v>22</v>
      </c>
      <c r="E397" t="s">
        <v>18</v>
      </c>
      <c r="F397" s="1">
        <v>42435</v>
      </c>
      <c r="G397">
        <v>493415153</v>
      </c>
      <c r="H397" s="1">
        <v>42619</v>
      </c>
      <c r="I397">
        <v>1363</v>
      </c>
      <c r="J397">
        <v>9.33</v>
      </c>
      <c r="K397">
        <v>6.92</v>
      </c>
      <c r="L397">
        <v>12716.79</v>
      </c>
      <c r="M397">
        <v>9431.9599999999991</v>
      </c>
      <c r="N397">
        <v>3284.83</v>
      </c>
    </row>
    <row r="398" spans="1:14" x14ac:dyDescent="0.25">
      <c r="A398" t="s">
        <v>14</v>
      </c>
      <c r="B398" t="s">
        <v>213</v>
      </c>
      <c r="C398" t="s">
        <v>131</v>
      </c>
      <c r="D398" t="s">
        <v>22</v>
      </c>
      <c r="E398" t="s">
        <v>32</v>
      </c>
      <c r="F398" t="s">
        <v>590</v>
      </c>
      <c r="G398">
        <v>211060082</v>
      </c>
      <c r="H398" s="1">
        <v>41702</v>
      </c>
      <c r="I398">
        <v>6223</v>
      </c>
      <c r="J398">
        <v>668.27</v>
      </c>
      <c r="K398">
        <v>502.54</v>
      </c>
      <c r="L398">
        <v>4158644.21</v>
      </c>
      <c r="M398">
        <v>3127306.42</v>
      </c>
      <c r="N398">
        <v>1031337.79</v>
      </c>
    </row>
    <row r="399" spans="1:14" x14ac:dyDescent="0.25">
      <c r="A399" t="s">
        <v>25</v>
      </c>
      <c r="B399" t="s">
        <v>339</v>
      </c>
      <c r="C399" t="s">
        <v>69</v>
      </c>
      <c r="D399" t="s">
        <v>22</v>
      </c>
      <c r="E399" t="s">
        <v>45</v>
      </c>
      <c r="F399" s="1">
        <v>40545</v>
      </c>
      <c r="G399">
        <v>515773189</v>
      </c>
      <c r="H399" t="s">
        <v>591</v>
      </c>
      <c r="I399">
        <v>7603</v>
      </c>
      <c r="J399">
        <v>421.89</v>
      </c>
      <c r="K399">
        <v>364.69</v>
      </c>
      <c r="L399">
        <v>3207629.67</v>
      </c>
      <c r="M399">
        <v>2772738.07</v>
      </c>
      <c r="N399">
        <v>434891.6</v>
      </c>
    </row>
    <row r="400" spans="1:14" x14ac:dyDescent="0.25">
      <c r="A400" t="s">
        <v>29</v>
      </c>
      <c r="B400" t="s">
        <v>585</v>
      </c>
      <c r="C400" t="s">
        <v>55</v>
      </c>
      <c r="D400" t="s">
        <v>22</v>
      </c>
      <c r="E400" t="s">
        <v>45</v>
      </c>
      <c r="F400" t="s">
        <v>316</v>
      </c>
      <c r="G400">
        <v>687290799</v>
      </c>
      <c r="H400" t="s">
        <v>592</v>
      </c>
      <c r="I400">
        <v>3475</v>
      </c>
      <c r="J400">
        <v>651.21</v>
      </c>
      <c r="K400">
        <v>524.96</v>
      </c>
      <c r="L400">
        <v>2262954.75</v>
      </c>
      <c r="M400">
        <v>1824236</v>
      </c>
      <c r="N400">
        <v>438718.75</v>
      </c>
    </row>
    <row r="401" spans="1:14" x14ac:dyDescent="0.25">
      <c r="A401" t="s">
        <v>51</v>
      </c>
      <c r="B401" t="s">
        <v>593</v>
      </c>
      <c r="C401" t="s">
        <v>88</v>
      </c>
      <c r="D401" t="s">
        <v>17</v>
      </c>
      <c r="E401" t="s">
        <v>23</v>
      </c>
      <c r="F401" t="s">
        <v>594</v>
      </c>
      <c r="G401">
        <v>975661742</v>
      </c>
      <c r="H401" s="1">
        <v>42800</v>
      </c>
      <c r="I401">
        <v>8846</v>
      </c>
      <c r="J401">
        <v>9.33</v>
      </c>
      <c r="K401">
        <v>6.92</v>
      </c>
      <c r="L401">
        <v>82533.179999999993</v>
      </c>
      <c r="M401">
        <v>61214.32</v>
      </c>
      <c r="N401">
        <v>21318.86</v>
      </c>
    </row>
    <row r="402" spans="1:14" x14ac:dyDescent="0.25">
      <c r="A402" t="s">
        <v>25</v>
      </c>
      <c r="B402" t="s">
        <v>256</v>
      </c>
      <c r="C402" t="s">
        <v>40</v>
      </c>
      <c r="D402" t="s">
        <v>17</v>
      </c>
      <c r="E402" t="s">
        <v>45</v>
      </c>
      <c r="F402" t="s">
        <v>313</v>
      </c>
      <c r="G402">
        <v>351247346</v>
      </c>
      <c r="H402" s="1">
        <v>42587</v>
      </c>
      <c r="I402">
        <v>750</v>
      </c>
      <c r="J402">
        <v>81.73</v>
      </c>
      <c r="K402">
        <v>56.67</v>
      </c>
      <c r="L402">
        <v>61297.5</v>
      </c>
      <c r="M402">
        <v>42502.5</v>
      </c>
      <c r="N402">
        <v>18795</v>
      </c>
    </row>
    <row r="403" spans="1:14" x14ac:dyDescent="0.25">
      <c r="A403" t="s">
        <v>25</v>
      </c>
      <c r="B403" t="s">
        <v>211</v>
      </c>
      <c r="C403" t="s">
        <v>27</v>
      </c>
      <c r="D403" t="s">
        <v>22</v>
      </c>
      <c r="E403" t="s">
        <v>45</v>
      </c>
      <c r="F403" t="s">
        <v>546</v>
      </c>
      <c r="G403">
        <v>554721438</v>
      </c>
      <c r="H403" t="s">
        <v>595</v>
      </c>
      <c r="I403">
        <v>3256</v>
      </c>
      <c r="J403">
        <v>47.45</v>
      </c>
      <c r="K403">
        <v>31.79</v>
      </c>
      <c r="L403">
        <v>154497.20000000001</v>
      </c>
      <c r="M403">
        <v>103508.24</v>
      </c>
      <c r="N403">
        <v>50988.959999999999</v>
      </c>
    </row>
    <row r="404" spans="1:14" x14ac:dyDescent="0.25">
      <c r="A404" t="s">
        <v>29</v>
      </c>
      <c r="B404" t="s">
        <v>338</v>
      </c>
      <c r="C404" t="s">
        <v>44</v>
      </c>
      <c r="D404" t="s">
        <v>17</v>
      </c>
      <c r="E404" t="s">
        <v>18</v>
      </c>
      <c r="F404" s="1">
        <v>41823</v>
      </c>
      <c r="G404">
        <v>247070348</v>
      </c>
      <c r="H404" t="s">
        <v>596</v>
      </c>
      <c r="I404">
        <v>2461</v>
      </c>
      <c r="J404">
        <v>109.28</v>
      </c>
      <c r="K404">
        <v>35.840000000000003</v>
      </c>
      <c r="L404">
        <v>268938.08</v>
      </c>
      <c r="M404">
        <v>88202.240000000005</v>
      </c>
      <c r="N404">
        <v>180735.84</v>
      </c>
    </row>
    <row r="405" spans="1:14" x14ac:dyDescent="0.25">
      <c r="A405" t="s">
        <v>29</v>
      </c>
      <c r="B405" t="s">
        <v>271</v>
      </c>
      <c r="C405" t="s">
        <v>69</v>
      </c>
      <c r="D405" t="s">
        <v>17</v>
      </c>
      <c r="E405" t="s">
        <v>18</v>
      </c>
      <c r="F405" s="1">
        <v>40951</v>
      </c>
      <c r="G405">
        <v>859592902</v>
      </c>
      <c r="H405" t="s">
        <v>597</v>
      </c>
      <c r="I405">
        <v>1497</v>
      </c>
      <c r="J405">
        <v>421.89</v>
      </c>
      <c r="K405">
        <v>364.69</v>
      </c>
      <c r="L405">
        <v>631569.32999999996</v>
      </c>
      <c r="M405">
        <v>545940.93000000005</v>
      </c>
      <c r="N405">
        <v>85628.4</v>
      </c>
    </row>
    <row r="406" spans="1:14" x14ac:dyDescent="0.25">
      <c r="A406" t="s">
        <v>42</v>
      </c>
      <c r="B406" t="s">
        <v>103</v>
      </c>
      <c r="C406" t="s">
        <v>113</v>
      </c>
      <c r="D406" t="s">
        <v>17</v>
      </c>
      <c r="E406" t="s">
        <v>32</v>
      </c>
      <c r="F406" t="s">
        <v>598</v>
      </c>
      <c r="G406">
        <v>743900430</v>
      </c>
      <c r="H406" s="1">
        <v>42165</v>
      </c>
      <c r="I406">
        <v>5523</v>
      </c>
      <c r="J406">
        <v>154.06</v>
      </c>
      <c r="K406">
        <v>90.93</v>
      </c>
      <c r="L406">
        <v>850873.38</v>
      </c>
      <c r="M406">
        <v>502206.39</v>
      </c>
      <c r="N406">
        <v>348666.99</v>
      </c>
    </row>
    <row r="407" spans="1:14" x14ac:dyDescent="0.25">
      <c r="A407" t="s">
        <v>51</v>
      </c>
      <c r="B407" t="s">
        <v>151</v>
      </c>
      <c r="C407" t="s">
        <v>131</v>
      </c>
      <c r="D407" t="s">
        <v>17</v>
      </c>
      <c r="E407" t="s">
        <v>23</v>
      </c>
      <c r="F407" t="s">
        <v>348</v>
      </c>
      <c r="G407">
        <v>121916759</v>
      </c>
      <c r="H407" s="1">
        <v>42131</v>
      </c>
      <c r="I407">
        <v>6733</v>
      </c>
      <c r="J407">
        <v>668.27</v>
      </c>
      <c r="K407">
        <v>502.54</v>
      </c>
      <c r="L407">
        <v>4499461.91</v>
      </c>
      <c r="M407">
        <v>3383601.82</v>
      </c>
      <c r="N407">
        <v>1115860.0900000001</v>
      </c>
    </row>
    <row r="408" spans="1:14" x14ac:dyDescent="0.25">
      <c r="A408" t="s">
        <v>29</v>
      </c>
      <c r="B408" t="s">
        <v>586</v>
      </c>
      <c r="C408" t="s">
        <v>40</v>
      </c>
      <c r="D408" t="s">
        <v>17</v>
      </c>
      <c r="E408" t="s">
        <v>23</v>
      </c>
      <c r="F408" t="s">
        <v>599</v>
      </c>
      <c r="G408">
        <v>635878217</v>
      </c>
      <c r="H408" t="s">
        <v>538</v>
      </c>
      <c r="I408">
        <v>9350</v>
      </c>
      <c r="J408">
        <v>81.73</v>
      </c>
      <c r="K408">
        <v>56.67</v>
      </c>
      <c r="L408">
        <v>764175.5</v>
      </c>
      <c r="M408">
        <v>529864.5</v>
      </c>
      <c r="N408">
        <v>234311</v>
      </c>
    </row>
    <row r="409" spans="1:14" x14ac:dyDescent="0.25">
      <c r="A409" t="s">
        <v>25</v>
      </c>
      <c r="B409" t="s">
        <v>497</v>
      </c>
      <c r="C409" t="s">
        <v>31</v>
      </c>
      <c r="D409" t="s">
        <v>22</v>
      </c>
      <c r="E409" t="s">
        <v>23</v>
      </c>
      <c r="F409" t="s">
        <v>600</v>
      </c>
      <c r="G409">
        <v>398333632</v>
      </c>
      <c r="H409" s="1">
        <v>40212</v>
      </c>
      <c r="I409">
        <v>4629</v>
      </c>
      <c r="J409">
        <v>205.7</v>
      </c>
      <c r="K409">
        <v>117.11</v>
      </c>
      <c r="L409">
        <v>952185.3</v>
      </c>
      <c r="M409">
        <v>542102.18999999994</v>
      </c>
      <c r="N409">
        <v>410083.11</v>
      </c>
    </row>
    <row r="410" spans="1:14" x14ac:dyDescent="0.25">
      <c r="A410" t="s">
        <v>51</v>
      </c>
      <c r="B410" t="s">
        <v>487</v>
      </c>
      <c r="C410" t="s">
        <v>59</v>
      </c>
      <c r="D410" t="s">
        <v>17</v>
      </c>
      <c r="E410" t="s">
        <v>45</v>
      </c>
      <c r="F410" t="s">
        <v>601</v>
      </c>
      <c r="G410">
        <v>742144334</v>
      </c>
      <c r="H410" t="s">
        <v>602</v>
      </c>
      <c r="I410">
        <v>5855</v>
      </c>
      <c r="J410">
        <v>437.2</v>
      </c>
      <c r="K410">
        <v>263.33</v>
      </c>
      <c r="L410">
        <v>2559806</v>
      </c>
      <c r="M410">
        <v>1541797.15</v>
      </c>
      <c r="N410">
        <v>1018008.85</v>
      </c>
    </row>
    <row r="411" spans="1:14" x14ac:dyDescent="0.25">
      <c r="A411" t="s">
        <v>25</v>
      </c>
      <c r="B411" t="s">
        <v>603</v>
      </c>
      <c r="C411" t="s">
        <v>27</v>
      </c>
      <c r="D411" t="s">
        <v>17</v>
      </c>
      <c r="E411" t="s">
        <v>23</v>
      </c>
      <c r="F411" t="s">
        <v>604</v>
      </c>
      <c r="G411">
        <v>370484149</v>
      </c>
      <c r="H411" t="s">
        <v>524</v>
      </c>
      <c r="I411">
        <v>3348</v>
      </c>
      <c r="J411">
        <v>47.45</v>
      </c>
      <c r="K411">
        <v>31.79</v>
      </c>
      <c r="L411">
        <v>158862.6</v>
      </c>
      <c r="M411">
        <v>106432.92</v>
      </c>
      <c r="N411">
        <v>52429.68</v>
      </c>
    </row>
    <row r="412" spans="1:14" x14ac:dyDescent="0.25">
      <c r="A412" t="s">
        <v>25</v>
      </c>
      <c r="B412" t="s">
        <v>303</v>
      </c>
      <c r="C412" t="s">
        <v>16</v>
      </c>
      <c r="D412" t="s">
        <v>22</v>
      </c>
      <c r="E412" t="s">
        <v>45</v>
      </c>
      <c r="F412" t="s">
        <v>605</v>
      </c>
      <c r="G412">
        <v>306839406</v>
      </c>
      <c r="H412" s="1">
        <v>41284</v>
      </c>
      <c r="I412">
        <v>9454</v>
      </c>
      <c r="J412">
        <v>255.28</v>
      </c>
      <c r="K412">
        <v>159.41999999999999</v>
      </c>
      <c r="L412">
        <v>2413417.12</v>
      </c>
      <c r="M412">
        <v>1507156.68</v>
      </c>
      <c r="N412">
        <v>906260.44</v>
      </c>
    </row>
    <row r="413" spans="1:14" x14ac:dyDescent="0.25">
      <c r="A413" t="s">
        <v>51</v>
      </c>
      <c r="B413" t="s">
        <v>327</v>
      </c>
      <c r="C413" t="s">
        <v>88</v>
      </c>
      <c r="D413" t="s">
        <v>17</v>
      </c>
      <c r="E413" t="s">
        <v>32</v>
      </c>
      <c r="F413" t="s">
        <v>606</v>
      </c>
      <c r="G413">
        <v>745008933</v>
      </c>
      <c r="H413" s="1">
        <v>42074</v>
      </c>
      <c r="I413">
        <v>3554</v>
      </c>
      <c r="J413">
        <v>9.33</v>
      </c>
      <c r="K413">
        <v>6.92</v>
      </c>
      <c r="L413">
        <v>33158.82</v>
      </c>
      <c r="M413">
        <v>24593.68</v>
      </c>
      <c r="N413">
        <v>8565.14</v>
      </c>
    </row>
    <row r="414" spans="1:14" x14ac:dyDescent="0.25">
      <c r="A414" t="s">
        <v>51</v>
      </c>
      <c r="B414" t="s">
        <v>219</v>
      </c>
      <c r="C414" t="s">
        <v>113</v>
      </c>
      <c r="D414" t="s">
        <v>17</v>
      </c>
      <c r="E414" t="s">
        <v>18</v>
      </c>
      <c r="F414" s="1">
        <v>40882</v>
      </c>
      <c r="G414">
        <v>599104058</v>
      </c>
      <c r="H414" t="s">
        <v>607</v>
      </c>
      <c r="I414">
        <v>7059</v>
      </c>
      <c r="J414">
        <v>154.06</v>
      </c>
      <c r="K414">
        <v>90.93</v>
      </c>
      <c r="L414">
        <v>1087509.54</v>
      </c>
      <c r="M414">
        <v>641874.87</v>
      </c>
      <c r="N414">
        <v>445634.67</v>
      </c>
    </row>
    <row r="415" spans="1:14" x14ac:dyDescent="0.25">
      <c r="A415" t="s">
        <v>25</v>
      </c>
      <c r="B415" t="s">
        <v>87</v>
      </c>
      <c r="C415" t="s">
        <v>27</v>
      </c>
      <c r="D415" t="s">
        <v>22</v>
      </c>
      <c r="E415" t="s">
        <v>23</v>
      </c>
      <c r="F415" s="1">
        <v>42980</v>
      </c>
      <c r="G415">
        <v>653548610</v>
      </c>
      <c r="H415" t="s">
        <v>608</v>
      </c>
      <c r="I415">
        <v>8412</v>
      </c>
      <c r="J415">
        <v>47.45</v>
      </c>
      <c r="K415">
        <v>31.79</v>
      </c>
      <c r="L415">
        <v>399149.4</v>
      </c>
      <c r="M415">
        <v>267417.48</v>
      </c>
      <c r="N415">
        <v>131731.92000000001</v>
      </c>
    </row>
    <row r="416" spans="1:14" x14ac:dyDescent="0.25">
      <c r="A416" t="s">
        <v>25</v>
      </c>
      <c r="B416" t="s">
        <v>609</v>
      </c>
      <c r="C416" t="s">
        <v>113</v>
      </c>
      <c r="D416" t="s">
        <v>17</v>
      </c>
      <c r="E416" t="s">
        <v>32</v>
      </c>
      <c r="F416" t="s">
        <v>610</v>
      </c>
      <c r="G416">
        <v>413078916</v>
      </c>
      <c r="H416" s="1">
        <v>41579</v>
      </c>
      <c r="I416">
        <v>8086</v>
      </c>
      <c r="J416">
        <v>154.06</v>
      </c>
      <c r="K416">
        <v>90.93</v>
      </c>
      <c r="L416">
        <v>1245729.1599999999</v>
      </c>
      <c r="M416">
        <v>735259.98</v>
      </c>
      <c r="N416">
        <v>510469.18</v>
      </c>
    </row>
    <row r="417" spans="1:14" x14ac:dyDescent="0.25">
      <c r="A417" t="s">
        <v>29</v>
      </c>
      <c r="B417" t="s">
        <v>199</v>
      </c>
      <c r="C417" t="s">
        <v>113</v>
      </c>
      <c r="D417" t="s">
        <v>17</v>
      </c>
      <c r="E417" t="s">
        <v>45</v>
      </c>
      <c r="F417" s="1">
        <v>41792</v>
      </c>
      <c r="G417">
        <v>352743804</v>
      </c>
      <c r="H417" t="s">
        <v>611</v>
      </c>
      <c r="I417">
        <v>3585</v>
      </c>
      <c r="J417">
        <v>154.06</v>
      </c>
      <c r="K417">
        <v>90.93</v>
      </c>
      <c r="L417">
        <v>552305.1</v>
      </c>
      <c r="M417">
        <v>325984.05</v>
      </c>
      <c r="N417">
        <v>226321.05</v>
      </c>
    </row>
    <row r="418" spans="1:14" x14ac:dyDescent="0.25">
      <c r="A418" t="s">
        <v>42</v>
      </c>
      <c r="B418" t="s">
        <v>476</v>
      </c>
      <c r="C418" t="s">
        <v>16</v>
      </c>
      <c r="D418" t="s">
        <v>17</v>
      </c>
      <c r="E418" t="s">
        <v>32</v>
      </c>
      <c r="F418" s="1">
        <v>41316</v>
      </c>
      <c r="G418">
        <v>567904603</v>
      </c>
      <c r="H418" s="1">
        <v>41619</v>
      </c>
      <c r="I418">
        <v>4447</v>
      </c>
      <c r="J418">
        <v>255.28</v>
      </c>
      <c r="K418">
        <v>159.41999999999999</v>
      </c>
      <c r="L418">
        <v>1135230.1599999999</v>
      </c>
      <c r="M418">
        <v>708940.74</v>
      </c>
      <c r="N418">
        <v>426289.42</v>
      </c>
    </row>
    <row r="419" spans="1:14" x14ac:dyDescent="0.25">
      <c r="A419" t="s">
        <v>77</v>
      </c>
      <c r="B419" t="s">
        <v>320</v>
      </c>
      <c r="C419" t="s">
        <v>21</v>
      </c>
      <c r="D419" t="s">
        <v>17</v>
      </c>
      <c r="E419" t="s">
        <v>23</v>
      </c>
      <c r="F419" t="s">
        <v>612</v>
      </c>
      <c r="G419">
        <v>324235141</v>
      </c>
      <c r="H419" s="1">
        <v>40519</v>
      </c>
      <c r="I419">
        <v>7238</v>
      </c>
      <c r="J419">
        <v>152.58000000000001</v>
      </c>
      <c r="K419">
        <v>97.44</v>
      </c>
      <c r="L419">
        <v>1104374.04</v>
      </c>
      <c r="M419">
        <v>705270.72</v>
      </c>
      <c r="N419">
        <v>399103.32</v>
      </c>
    </row>
    <row r="420" spans="1:14" x14ac:dyDescent="0.25">
      <c r="A420" t="s">
        <v>25</v>
      </c>
      <c r="B420" t="s">
        <v>469</v>
      </c>
      <c r="C420" t="s">
        <v>21</v>
      </c>
      <c r="D420" t="s">
        <v>17</v>
      </c>
      <c r="E420" t="s">
        <v>18</v>
      </c>
      <c r="F420" t="s">
        <v>613</v>
      </c>
      <c r="G420">
        <v>307721745</v>
      </c>
      <c r="H420" s="1">
        <v>40544</v>
      </c>
      <c r="I420">
        <v>558</v>
      </c>
      <c r="J420">
        <v>152.58000000000001</v>
      </c>
      <c r="K420">
        <v>97.44</v>
      </c>
      <c r="L420">
        <v>85139.64</v>
      </c>
      <c r="M420">
        <v>54371.519999999997</v>
      </c>
      <c r="N420">
        <v>30768.12</v>
      </c>
    </row>
    <row r="421" spans="1:14" x14ac:dyDescent="0.25">
      <c r="A421" t="s">
        <v>25</v>
      </c>
      <c r="B421" t="s">
        <v>339</v>
      </c>
      <c r="C421" t="s">
        <v>55</v>
      </c>
      <c r="D421" t="s">
        <v>17</v>
      </c>
      <c r="E421" t="s">
        <v>23</v>
      </c>
      <c r="F421" s="1">
        <v>40797</v>
      </c>
      <c r="G421">
        <v>374663245</v>
      </c>
      <c r="H421" t="s">
        <v>614</v>
      </c>
      <c r="I421">
        <v>35</v>
      </c>
      <c r="J421">
        <v>651.21</v>
      </c>
      <c r="K421">
        <v>524.96</v>
      </c>
      <c r="L421">
        <v>22792.35</v>
      </c>
      <c r="M421">
        <v>18373.599999999999</v>
      </c>
      <c r="N421">
        <v>4418.75</v>
      </c>
    </row>
    <row r="422" spans="1:14" x14ac:dyDescent="0.25">
      <c r="A422" t="s">
        <v>25</v>
      </c>
      <c r="B422" t="s">
        <v>615</v>
      </c>
      <c r="C422" t="s">
        <v>113</v>
      </c>
      <c r="D422" t="s">
        <v>22</v>
      </c>
      <c r="E422" t="s">
        <v>23</v>
      </c>
      <c r="F422" t="s">
        <v>616</v>
      </c>
      <c r="G422">
        <v>901670968</v>
      </c>
      <c r="H422" s="1">
        <v>40494</v>
      </c>
      <c r="I422">
        <v>3331</v>
      </c>
      <c r="J422">
        <v>154.06</v>
      </c>
      <c r="K422">
        <v>90.93</v>
      </c>
      <c r="L422">
        <v>513173.86</v>
      </c>
      <c r="M422">
        <v>302887.83</v>
      </c>
      <c r="N422">
        <v>210286.03</v>
      </c>
    </row>
    <row r="423" spans="1:14" x14ac:dyDescent="0.25">
      <c r="A423" t="s">
        <v>14</v>
      </c>
      <c r="B423" t="s">
        <v>15</v>
      </c>
      <c r="C423" t="s">
        <v>21</v>
      </c>
      <c r="D423" t="s">
        <v>17</v>
      </c>
      <c r="E423" t="s">
        <v>45</v>
      </c>
      <c r="F423" t="s">
        <v>617</v>
      </c>
      <c r="G423">
        <v>535668742</v>
      </c>
      <c r="H423" t="s">
        <v>618</v>
      </c>
      <c r="I423">
        <v>5139</v>
      </c>
      <c r="J423">
        <v>152.58000000000001</v>
      </c>
      <c r="K423">
        <v>97.44</v>
      </c>
      <c r="L423">
        <v>784108.62</v>
      </c>
      <c r="M423">
        <v>500744.16</v>
      </c>
      <c r="N423">
        <v>283364.46000000002</v>
      </c>
    </row>
    <row r="424" spans="1:14" x14ac:dyDescent="0.25">
      <c r="A424" t="s">
        <v>29</v>
      </c>
      <c r="B424" t="s">
        <v>619</v>
      </c>
      <c r="C424" t="s">
        <v>131</v>
      </c>
      <c r="D424" t="s">
        <v>22</v>
      </c>
      <c r="E424" t="s">
        <v>23</v>
      </c>
      <c r="F424" t="s">
        <v>500</v>
      </c>
      <c r="G424">
        <v>243892896</v>
      </c>
      <c r="H424" t="s">
        <v>620</v>
      </c>
      <c r="I424">
        <v>2183</v>
      </c>
      <c r="J424">
        <v>668.27</v>
      </c>
      <c r="K424">
        <v>502.54</v>
      </c>
      <c r="L424">
        <v>1458833.41</v>
      </c>
      <c r="M424">
        <v>1097044.82</v>
      </c>
      <c r="N424">
        <v>361788.59</v>
      </c>
    </row>
    <row r="425" spans="1:14" x14ac:dyDescent="0.25">
      <c r="A425" t="s">
        <v>38</v>
      </c>
      <c r="B425" t="s">
        <v>68</v>
      </c>
      <c r="C425" t="s">
        <v>44</v>
      </c>
      <c r="D425" t="s">
        <v>22</v>
      </c>
      <c r="E425" t="s">
        <v>23</v>
      </c>
      <c r="F425" s="1">
        <v>42320</v>
      </c>
      <c r="G425">
        <v>163892257</v>
      </c>
      <c r="H425" t="s">
        <v>621</v>
      </c>
      <c r="I425">
        <v>8216</v>
      </c>
      <c r="J425">
        <v>109.28</v>
      </c>
      <c r="K425">
        <v>35.840000000000003</v>
      </c>
      <c r="L425">
        <v>897844.48</v>
      </c>
      <c r="M425">
        <v>294461.44</v>
      </c>
      <c r="N425">
        <v>603383.04000000004</v>
      </c>
    </row>
    <row r="426" spans="1:14" x14ac:dyDescent="0.25">
      <c r="A426" t="s">
        <v>77</v>
      </c>
      <c r="B426" t="s">
        <v>622</v>
      </c>
      <c r="C426" t="s">
        <v>131</v>
      </c>
      <c r="D426" t="s">
        <v>22</v>
      </c>
      <c r="E426" t="s">
        <v>45</v>
      </c>
      <c r="F426" t="s">
        <v>623</v>
      </c>
      <c r="G426">
        <v>953528153</v>
      </c>
      <c r="H426" t="s">
        <v>624</v>
      </c>
      <c r="I426">
        <v>9025</v>
      </c>
      <c r="J426">
        <v>668.27</v>
      </c>
      <c r="K426">
        <v>502.54</v>
      </c>
      <c r="L426">
        <v>6031136.75</v>
      </c>
      <c r="M426">
        <v>4535423.5</v>
      </c>
      <c r="N426">
        <v>1495713.25</v>
      </c>
    </row>
    <row r="427" spans="1:14" x14ac:dyDescent="0.25">
      <c r="A427" t="s">
        <v>51</v>
      </c>
      <c r="B427" t="s">
        <v>100</v>
      </c>
      <c r="C427" t="s">
        <v>88</v>
      </c>
      <c r="D427" t="s">
        <v>17</v>
      </c>
      <c r="E427" t="s">
        <v>18</v>
      </c>
      <c r="F427" s="1">
        <v>42437</v>
      </c>
      <c r="G427">
        <v>640974414</v>
      </c>
      <c r="H427" t="s">
        <v>625</v>
      </c>
      <c r="I427">
        <v>7428</v>
      </c>
      <c r="J427">
        <v>9.33</v>
      </c>
      <c r="K427">
        <v>6.92</v>
      </c>
      <c r="L427">
        <v>69303.240000000005</v>
      </c>
      <c r="M427">
        <v>51401.760000000002</v>
      </c>
      <c r="N427">
        <v>17901.48</v>
      </c>
    </row>
    <row r="428" spans="1:14" x14ac:dyDescent="0.25">
      <c r="A428" t="s">
        <v>77</v>
      </c>
      <c r="B428" t="s">
        <v>320</v>
      </c>
      <c r="C428" t="s">
        <v>16</v>
      </c>
      <c r="D428" t="s">
        <v>22</v>
      </c>
      <c r="E428" t="s">
        <v>23</v>
      </c>
      <c r="F428" s="1">
        <v>42220</v>
      </c>
      <c r="G428">
        <v>474717366</v>
      </c>
      <c r="H428" t="s">
        <v>626</v>
      </c>
      <c r="I428">
        <v>8273</v>
      </c>
      <c r="J428">
        <v>255.28</v>
      </c>
      <c r="K428">
        <v>159.41999999999999</v>
      </c>
      <c r="L428">
        <v>2111931.44</v>
      </c>
      <c r="M428">
        <v>1318881.6599999999</v>
      </c>
      <c r="N428">
        <v>793049.78</v>
      </c>
    </row>
    <row r="429" spans="1:14" x14ac:dyDescent="0.25">
      <c r="A429" t="s">
        <v>42</v>
      </c>
      <c r="B429" t="s">
        <v>361</v>
      </c>
      <c r="C429" t="s">
        <v>69</v>
      </c>
      <c r="D429" t="s">
        <v>17</v>
      </c>
      <c r="E429" t="s">
        <v>23</v>
      </c>
      <c r="F429" s="1">
        <v>40275</v>
      </c>
      <c r="G429">
        <v>873555839</v>
      </c>
      <c r="H429" s="1">
        <v>40276</v>
      </c>
      <c r="I429">
        <v>3440</v>
      </c>
      <c r="J429">
        <v>421.89</v>
      </c>
      <c r="K429">
        <v>364.69</v>
      </c>
      <c r="L429">
        <v>1451301.6</v>
      </c>
      <c r="M429">
        <v>1254533.6000000001</v>
      </c>
      <c r="N429">
        <v>196768</v>
      </c>
    </row>
    <row r="430" spans="1:14" x14ac:dyDescent="0.25">
      <c r="A430" t="s">
        <v>51</v>
      </c>
      <c r="B430" t="s">
        <v>578</v>
      </c>
      <c r="C430" t="s">
        <v>31</v>
      </c>
      <c r="D430" t="s">
        <v>17</v>
      </c>
      <c r="E430" t="s">
        <v>18</v>
      </c>
      <c r="F430" t="s">
        <v>328</v>
      </c>
      <c r="G430">
        <v>976601159</v>
      </c>
      <c r="H430" s="1">
        <v>42677</v>
      </c>
      <c r="I430">
        <v>6840</v>
      </c>
      <c r="J430">
        <v>205.7</v>
      </c>
      <c r="K430">
        <v>117.11</v>
      </c>
      <c r="L430">
        <v>1406988</v>
      </c>
      <c r="M430">
        <v>801032.4</v>
      </c>
      <c r="N430">
        <v>605955.6</v>
      </c>
    </row>
    <row r="431" spans="1:14" x14ac:dyDescent="0.25">
      <c r="A431" t="s">
        <v>14</v>
      </c>
      <c r="B431" t="s">
        <v>627</v>
      </c>
      <c r="C431" t="s">
        <v>88</v>
      </c>
      <c r="D431" t="s">
        <v>22</v>
      </c>
      <c r="E431" t="s">
        <v>23</v>
      </c>
      <c r="F431" s="1">
        <v>40918</v>
      </c>
      <c r="G431">
        <v>893277156</v>
      </c>
      <c r="H431" s="1">
        <v>41254</v>
      </c>
      <c r="I431">
        <v>9416</v>
      </c>
      <c r="J431">
        <v>9.33</v>
      </c>
      <c r="K431">
        <v>6.92</v>
      </c>
      <c r="L431">
        <v>87851.28</v>
      </c>
      <c r="M431">
        <v>65158.720000000001</v>
      </c>
      <c r="N431">
        <v>22692.560000000001</v>
      </c>
    </row>
    <row r="432" spans="1:14" x14ac:dyDescent="0.25">
      <c r="A432" t="s">
        <v>25</v>
      </c>
      <c r="B432" t="s">
        <v>96</v>
      </c>
      <c r="C432" t="s">
        <v>59</v>
      </c>
      <c r="D432" t="s">
        <v>22</v>
      </c>
      <c r="E432" t="s">
        <v>32</v>
      </c>
      <c r="F432" t="s">
        <v>628</v>
      </c>
      <c r="G432">
        <v>353320157</v>
      </c>
      <c r="H432" t="s">
        <v>629</v>
      </c>
      <c r="I432">
        <v>4141</v>
      </c>
      <c r="J432">
        <v>437.2</v>
      </c>
      <c r="K432">
        <v>263.33</v>
      </c>
      <c r="L432">
        <v>1810445.2</v>
      </c>
      <c r="M432">
        <v>1090449.53</v>
      </c>
      <c r="N432">
        <v>719995.67</v>
      </c>
    </row>
    <row r="433" spans="1:14" x14ac:dyDescent="0.25">
      <c r="A433" t="s">
        <v>42</v>
      </c>
      <c r="B433" t="s">
        <v>630</v>
      </c>
      <c r="C433" t="s">
        <v>16</v>
      </c>
      <c r="D433" t="s">
        <v>22</v>
      </c>
      <c r="E433" t="s">
        <v>45</v>
      </c>
      <c r="F433" t="s">
        <v>631</v>
      </c>
      <c r="G433">
        <v>956778991</v>
      </c>
      <c r="H433" t="s">
        <v>632</v>
      </c>
      <c r="I433">
        <v>1020</v>
      </c>
      <c r="J433">
        <v>255.28</v>
      </c>
      <c r="K433">
        <v>159.41999999999999</v>
      </c>
      <c r="L433">
        <v>260385.6</v>
      </c>
      <c r="M433">
        <v>162608.4</v>
      </c>
      <c r="N433">
        <v>97777.2</v>
      </c>
    </row>
    <row r="434" spans="1:14" x14ac:dyDescent="0.25">
      <c r="A434" t="s">
        <v>51</v>
      </c>
      <c r="B434" t="s">
        <v>487</v>
      </c>
      <c r="C434" t="s">
        <v>16</v>
      </c>
      <c r="D434" t="s">
        <v>22</v>
      </c>
      <c r="E434" t="s">
        <v>32</v>
      </c>
      <c r="F434" s="1">
        <v>42067</v>
      </c>
      <c r="G434">
        <v>324014985</v>
      </c>
      <c r="H434" s="1">
        <v>42281</v>
      </c>
      <c r="I434">
        <v>2089</v>
      </c>
      <c r="J434">
        <v>255.28</v>
      </c>
      <c r="K434">
        <v>159.41999999999999</v>
      </c>
      <c r="L434">
        <v>533279.92000000004</v>
      </c>
      <c r="M434">
        <v>333028.38</v>
      </c>
      <c r="N434">
        <v>200251.54</v>
      </c>
    </row>
    <row r="435" spans="1:14" x14ac:dyDescent="0.25">
      <c r="A435" t="s">
        <v>25</v>
      </c>
      <c r="B435" t="s">
        <v>266</v>
      </c>
      <c r="C435" t="s">
        <v>31</v>
      </c>
      <c r="D435" t="s">
        <v>22</v>
      </c>
      <c r="E435" t="s">
        <v>32</v>
      </c>
      <c r="F435" t="s">
        <v>633</v>
      </c>
      <c r="G435">
        <v>645701968</v>
      </c>
      <c r="H435" t="s">
        <v>634</v>
      </c>
      <c r="I435">
        <v>6416</v>
      </c>
      <c r="J435">
        <v>205.7</v>
      </c>
      <c r="K435">
        <v>117.11</v>
      </c>
      <c r="L435">
        <v>1319771.2</v>
      </c>
      <c r="M435">
        <v>751377.76</v>
      </c>
      <c r="N435">
        <v>568393.43999999994</v>
      </c>
    </row>
    <row r="436" spans="1:14" x14ac:dyDescent="0.25">
      <c r="A436" t="s">
        <v>29</v>
      </c>
      <c r="B436" t="s">
        <v>586</v>
      </c>
      <c r="C436" t="s">
        <v>88</v>
      </c>
      <c r="D436" t="s">
        <v>22</v>
      </c>
      <c r="E436" t="s">
        <v>32</v>
      </c>
      <c r="F436" s="1">
        <v>41492</v>
      </c>
      <c r="G436">
        <v>132826268</v>
      </c>
      <c r="H436" s="1">
        <v>41462</v>
      </c>
      <c r="I436">
        <v>5099</v>
      </c>
      <c r="J436">
        <v>9.33</v>
      </c>
      <c r="K436">
        <v>6.92</v>
      </c>
      <c r="L436">
        <v>47573.67</v>
      </c>
      <c r="M436">
        <v>35285.08</v>
      </c>
      <c r="N436">
        <v>12288.59</v>
      </c>
    </row>
    <row r="437" spans="1:14" x14ac:dyDescent="0.25">
      <c r="A437" t="s">
        <v>51</v>
      </c>
      <c r="B437" t="s">
        <v>424</v>
      </c>
      <c r="C437" t="s">
        <v>69</v>
      </c>
      <c r="D437" t="s">
        <v>22</v>
      </c>
      <c r="E437" t="s">
        <v>32</v>
      </c>
      <c r="F437" t="s">
        <v>635</v>
      </c>
      <c r="G437">
        <v>666686713</v>
      </c>
      <c r="H437" s="1">
        <v>41556</v>
      </c>
      <c r="I437">
        <v>6269</v>
      </c>
      <c r="J437">
        <v>421.89</v>
      </c>
      <c r="K437">
        <v>364.69</v>
      </c>
      <c r="L437">
        <v>2644828.41</v>
      </c>
      <c r="M437">
        <v>2286241.61</v>
      </c>
      <c r="N437">
        <v>358586.8</v>
      </c>
    </row>
    <row r="438" spans="1:14" x14ac:dyDescent="0.25">
      <c r="A438" t="s">
        <v>25</v>
      </c>
      <c r="B438" t="s">
        <v>218</v>
      </c>
      <c r="C438" t="s">
        <v>55</v>
      </c>
      <c r="D438" t="s">
        <v>17</v>
      </c>
      <c r="E438" t="s">
        <v>45</v>
      </c>
      <c r="F438" t="s">
        <v>636</v>
      </c>
      <c r="G438">
        <v>148894631</v>
      </c>
      <c r="H438" t="s">
        <v>56</v>
      </c>
      <c r="I438">
        <v>85</v>
      </c>
      <c r="J438">
        <v>651.21</v>
      </c>
      <c r="K438">
        <v>524.96</v>
      </c>
      <c r="L438">
        <v>55352.85</v>
      </c>
      <c r="M438">
        <v>44621.599999999999</v>
      </c>
      <c r="N438">
        <v>10731.25</v>
      </c>
    </row>
    <row r="439" spans="1:14" x14ac:dyDescent="0.25">
      <c r="A439" t="s">
        <v>51</v>
      </c>
      <c r="B439" t="s">
        <v>398</v>
      </c>
      <c r="C439" t="s">
        <v>27</v>
      </c>
      <c r="D439" t="s">
        <v>17</v>
      </c>
      <c r="E439" t="s">
        <v>32</v>
      </c>
      <c r="F439" t="s">
        <v>637</v>
      </c>
      <c r="G439">
        <v>151373851</v>
      </c>
      <c r="H439" s="1">
        <v>40519</v>
      </c>
      <c r="I439">
        <v>3741</v>
      </c>
      <c r="J439">
        <v>47.45</v>
      </c>
      <c r="K439">
        <v>31.79</v>
      </c>
      <c r="L439">
        <v>177510.45</v>
      </c>
      <c r="M439">
        <v>118926.39</v>
      </c>
      <c r="N439">
        <v>58584.06</v>
      </c>
    </row>
    <row r="440" spans="1:14" x14ac:dyDescent="0.25">
      <c r="A440" t="s">
        <v>51</v>
      </c>
      <c r="B440" t="s">
        <v>638</v>
      </c>
      <c r="C440" t="s">
        <v>40</v>
      </c>
      <c r="D440" t="s">
        <v>22</v>
      </c>
      <c r="E440" t="s">
        <v>32</v>
      </c>
      <c r="F440" t="s">
        <v>582</v>
      </c>
      <c r="G440">
        <v>966360700</v>
      </c>
      <c r="H440" t="s">
        <v>639</v>
      </c>
      <c r="I440">
        <v>6461</v>
      </c>
      <c r="J440">
        <v>81.73</v>
      </c>
      <c r="K440">
        <v>56.67</v>
      </c>
      <c r="L440">
        <v>528057.53</v>
      </c>
      <c r="M440">
        <v>366144.87</v>
      </c>
      <c r="N440">
        <v>161912.66</v>
      </c>
    </row>
    <row r="441" spans="1:14" x14ac:dyDescent="0.25">
      <c r="A441" t="s">
        <v>14</v>
      </c>
      <c r="B441" t="s">
        <v>433</v>
      </c>
      <c r="C441" t="s">
        <v>16</v>
      </c>
      <c r="D441" t="s">
        <v>17</v>
      </c>
      <c r="E441" t="s">
        <v>18</v>
      </c>
      <c r="F441" s="1">
        <v>41368</v>
      </c>
      <c r="G441">
        <v>256404006</v>
      </c>
      <c r="H441" t="s">
        <v>640</v>
      </c>
      <c r="I441">
        <v>4498</v>
      </c>
      <c r="J441">
        <v>255.28</v>
      </c>
      <c r="K441">
        <v>159.41999999999999</v>
      </c>
      <c r="L441">
        <v>1148249.44</v>
      </c>
      <c r="M441">
        <v>717071.16</v>
      </c>
      <c r="N441">
        <v>431178.28</v>
      </c>
    </row>
    <row r="442" spans="1:14" x14ac:dyDescent="0.25">
      <c r="A442" t="s">
        <v>14</v>
      </c>
      <c r="B442" t="s">
        <v>208</v>
      </c>
      <c r="C442" t="s">
        <v>131</v>
      </c>
      <c r="D442" t="s">
        <v>17</v>
      </c>
      <c r="E442" t="s">
        <v>23</v>
      </c>
      <c r="F442" s="1">
        <v>40339</v>
      </c>
      <c r="G442">
        <v>704365098</v>
      </c>
      <c r="H442" t="s">
        <v>641</v>
      </c>
      <c r="I442">
        <v>6140</v>
      </c>
      <c r="J442">
        <v>668.27</v>
      </c>
      <c r="K442">
        <v>502.54</v>
      </c>
      <c r="L442">
        <v>4103177.8</v>
      </c>
      <c r="M442">
        <v>3085595.6</v>
      </c>
      <c r="N442">
        <v>1017582.2</v>
      </c>
    </row>
    <row r="443" spans="1:14" x14ac:dyDescent="0.25">
      <c r="A443" t="s">
        <v>51</v>
      </c>
      <c r="B443" t="s">
        <v>210</v>
      </c>
      <c r="C443" t="s">
        <v>16</v>
      </c>
      <c r="D443" t="s">
        <v>17</v>
      </c>
      <c r="E443" t="s">
        <v>23</v>
      </c>
      <c r="F443" s="1">
        <v>40306</v>
      </c>
      <c r="G443">
        <v>563417804</v>
      </c>
      <c r="H443" s="1">
        <v>40246</v>
      </c>
      <c r="I443">
        <v>6703</v>
      </c>
      <c r="J443">
        <v>255.28</v>
      </c>
      <c r="K443">
        <v>159.41999999999999</v>
      </c>
      <c r="L443">
        <v>1711141.84</v>
      </c>
      <c r="M443">
        <v>1068592.26</v>
      </c>
      <c r="N443">
        <v>642549.57999999996</v>
      </c>
    </row>
    <row r="444" spans="1:14" x14ac:dyDescent="0.25">
      <c r="A444" t="s">
        <v>38</v>
      </c>
      <c r="B444" t="s">
        <v>39</v>
      </c>
      <c r="C444" t="s">
        <v>113</v>
      </c>
      <c r="D444" t="s">
        <v>22</v>
      </c>
      <c r="E444" t="s">
        <v>45</v>
      </c>
      <c r="F444" s="1">
        <v>41741</v>
      </c>
      <c r="G444">
        <v>407048451</v>
      </c>
      <c r="H444" t="s">
        <v>642</v>
      </c>
      <c r="I444">
        <v>3537</v>
      </c>
      <c r="J444">
        <v>154.06</v>
      </c>
      <c r="K444">
        <v>90.93</v>
      </c>
      <c r="L444">
        <v>544910.22</v>
      </c>
      <c r="M444">
        <v>321619.40999999997</v>
      </c>
      <c r="N444">
        <v>223290.81</v>
      </c>
    </row>
    <row r="445" spans="1:14" x14ac:dyDescent="0.25">
      <c r="A445" t="s">
        <v>29</v>
      </c>
      <c r="B445" t="s">
        <v>375</v>
      </c>
      <c r="C445" t="s">
        <v>27</v>
      </c>
      <c r="D445" t="s">
        <v>22</v>
      </c>
      <c r="E445" t="s">
        <v>18</v>
      </c>
      <c r="F445" t="s">
        <v>643</v>
      </c>
      <c r="G445">
        <v>879055869</v>
      </c>
      <c r="H445" t="s">
        <v>314</v>
      </c>
      <c r="I445">
        <v>1021</v>
      </c>
      <c r="J445">
        <v>47.45</v>
      </c>
      <c r="K445">
        <v>31.79</v>
      </c>
      <c r="L445">
        <v>48446.45</v>
      </c>
      <c r="M445">
        <v>32457.59</v>
      </c>
      <c r="N445">
        <v>15988.86</v>
      </c>
    </row>
    <row r="446" spans="1:14" x14ac:dyDescent="0.25">
      <c r="A446" t="s">
        <v>25</v>
      </c>
      <c r="B446" t="s">
        <v>434</v>
      </c>
      <c r="C446" t="s">
        <v>16</v>
      </c>
      <c r="D446" t="s">
        <v>17</v>
      </c>
      <c r="E446" t="s">
        <v>32</v>
      </c>
      <c r="F446" s="1">
        <v>41337</v>
      </c>
      <c r="G446">
        <v>443551385</v>
      </c>
      <c r="H446" s="1">
        <v>41522</v>
      </c>
      <c r="I446">
        <v>5566</v>
      </c>
      <c r="J446">
        <v>255.28</v>
      </c>
      <c r="K446">
        <v>159.41999999999999</v>
      </c>
      <c r="L446">
        <v>1420888.48</v>
      </c>
      <c r="M446">
        <v>887331.72</v>
      </c>
      <c r="N446">
        <v>533556.76</v>
      </c>
    </row>
    <row r="447" spans="1:14" x14ac:dyDescent="0.25">
      <c r="A447" t="s">
        <v>38</v>
      </c>
      <c r="B447" t="s">
        <v>177</v>
      </c>
      <c r="C447" t="s">
        <v>40</v>
      </c>
      <c r="D447" t="s">
        <v>17</v>
      </c>
      <c r="E447" t="s">
        <v>32</v>
      </c>
      <c r="F447" t="s">
        <v>644</v>
      </c>
      <c r="G447">
        <v>334958827</v>
      </c>
      <c r="H447" t="s">
        <v>645</v>
      </c>
      <c r="I447">
        <v>615</v>
      </c>
      <c r="J447">
        <v>81.73</v>
      </c>
      <c r="K447">
        <v>56.67</v>
      </c>
      <c r="L447">
        <v>50263.95</v>
      </c>
      <c r="M447">
        <v>34852.050000000003</v>
      </c>
      <c r="N447">
        <v>15411.9</v>
      </c>
    </row>
    <row r="448" spans="1:14" x14ac:dyDescent="0.25">
      <c r="A448" t="s">
        <v>25</v>
      </c>
      <c r="B448" t="s">
        <v>603</v>
      </c>
      <c r="C448" t="s">
        <v>44</v>
      </c>
      <c r="D448" t="s">
        <v>22</v>
      </c>
      <c r="E448" t="s">
        <v>45</v>
      </c>
      <c r="F448" s="1">
        <v>41946</v>
      </c>
      <c r="G448">
        <v>508014523</v>
      </c>
      <c r="H448" t="s">
        <v>646</v>
      </c>
      <c r="I448">
        <v>1642</v>
      </c>
      <c r="J448">
        <v>109.28</v>
      </c>
      <c r="K448">
        <v>35.840000000000003</v>
      </c>
      <c r="L448">
        <v>179437.76</v>
      </c>
      <c r="M448">
        <v>58849.279999999999</v>
      </c>
      <c r="N448">
        <v>120588.48</v>
      </c>
    </row>
    <row r="449" spans="1:14" x14ac:dyDescent="0.25">
      <c r="A449" t="s">
        <v>25</v>
      </c>
      <c r="B449" t="s">
        <v>363</v>
      </c>
      <c r="C449" t="s">
        <v>55</v>
      </c>
      <c r="D449" t="s">
        <v>17</v>
      </c>
      <c r="E449" t="s">
        <v>23</v>
      </c>
      <c r="F449" s="1">
        <v>41128</v>
      </c>
      <c r="G449">
        <v>987767302</v>
      </c>
      <c r="H449" s="1">
        <v>40916</v>
      </c>
      <c r="I449">
        <v>1150</v>
      </c>
      <c r="J449">
        <v>651.21</v>
      </c>
      <c r="K449">
        <v>524.96</v>
      </c>
      <c r="L449">
        <v>748891.5</v>
      </c>
      <c r="M449">
        <v>603704</v>
      </c>
      <c r="N449">
        <v>145187.5</v>
      </c>
    </row>
    <row r="450" spans="1:14" x14ac:dyDescent="0.25">
      <c r="A450" t="s">
        <v>14</v>
      </c>
      <c r="B450" t="s">
        <v>432</v>
      </c>
      <c r="C450" t="s">
        <v>69</v>
      </c>
      <c r="D450" t="s">
        <v>22</v>
      </c>
      <c r="E450" t="s">
        <v>32</v>
      </c>
      <c r="F450" t="s">
        <v>647</v>
      </c>
      <c r="G450">
        <v>519578492</v>
      </c>
      <c r="H450" t="s">
        <v>648</v>
      </c>
      <c r="I450">
        <v>3677</v>
      </c>
      <c r="J450">
        <v>421.89</v>
      </c>
      <c r="K450">
        <v>364.69</v>
      </c>
      <c r="L450">
        <v>1551289.53</v>
      </c>
      <c r="M450">
        <v>1340965.1299999999</v>
      </c>
      <c r="N450">
        <v>210324.4</v>
      </c>
    </row>
    <row r="451" spans="1:14" x14ac:dyDescent="0.25">
      <c r="A451" t="s">
        <v>38</v>
      </c>
      <c r="B451" t="s">
        <v>388</v>
      </c>
      <c r="C451" t="s">
        <v>21</v>
      </c>
      <c r="D451" t="s">
        <v>22</v>
      </c>
      <c r="E451" t="s">
        <v>18</v>
      </c>
      <c r="F451" s="1">
        <v>42892</v>
      </c>
      <c r="G451">
        <v>619121921</v>
      </c>
      <c r="H451" s="1">
        <v>43014</v>
      </c>
      <c r="I451">
        <v>789</v>
      </c>
      <c r="J451">
        <v>152.58000000000001</v>
      </c>
      <c r="K451">
        <v>97.44</v>
      </c>
      <c r="L451">
        <v>120385.62</v>
      </c>
      <c r="M451">
        <v>76880.160000000003</v>
      </c>
      <c r="N451">
        <v>43505.46</v>
      </c>
    </row>
    <row r="452" spans="1:14" x14ac:dyDescent="0.25">
      <c r="A452" t="s">
        <v>38</v>
      </c>
      <c r="B452" t="s">
        <v>83</v>
      </c>
      <c r="C452" t="s">
        <v>16</v>
      </c>
      <c r="D452" t="s">
        <v>22</v>
      </c>
      <c r="E452" t="s">
        <v>45</v>
      </c>
      <c r="F452" t="s">
        <v>649</v>
      </c>
      <c r="G452">
        <v>622383916</v>
      </c>
      <c r="H452" t="s">
        <v>482</v>
      </c>
      <c r="I452">
        <v>6086</v>
      </c>
      <c r="J452">
        <v>255.28</v>
      </c>
      <c r="K452">
        <v>159.41999999999999</v>
      </c>
      <c r="L452">
        <v>1553634.08</v>
      </c>
      <c r="M452">
        <v>970230.12</v>
      </c>
      <c r="N452">
        <v>583403.96</v>
      </c>
    </row>
    <row r="453" spans="1:14" x14ac:dyDescent="0.25">
      <c r="A453" t="s">
        <v>29</v>
      </c>
      <c r="B453" t="s">
        <v>271</v>
      </c>
      <c r="C453" t="s">
        <v>44</v>
      </c>
      <c r="D453" t="s">
        <v>22</v>
      </c>
      <c r="E453" t="s">
        <v>32</v>
      </c>
      <c r="F453" s="1">
        <v>40308</v>
      </c>
      <c r="G453">
        <v>835663306</v>
      </c>
      <c r="H453" s="1">
        <v>40248</v>
      </c>
      <c r="I453">
        <v>197</v>
      </c>
      <c r="J453">
        <v>109.28</v>
      </c>
      <c r="K453">
        <v>35.840000000000003</v>
      </c>
      <c r="L453">
        <v>21528.16</v>
      </c>
      <c r="M453">
        <v>7060.48</v>
      </c>
      <c r="N453">
        <v>14467.68</v>
      </c>
    </row>
    <row r="454" spans="1:14" x14ac:dyDescent="0.25">
      <c r="A454" t="s">
        <v>38</v>
      </c>
      <c r="B454" t="s">
        <v>346</v>
      </c>
      <c r="C454" t="s">
        <v>40</v>
      </c>
      <c r="D454" t="s">
        <v>17</v>
      </c>
      <c r="E454" t="s">
        <v>23</v>
      </c>
      <c r="F454" s="1">
        <v>42437</v>
      </c>
      <c r="G454">
        <v>285571420</v>
      </c>
      <c r="H454" t="s">
        <v>650</v>
      </c>
      <c r="I454">
        <v>5784</v>
      </c>
      <c r="J454">
        <v>81.73</v>
      </c>
      <c r="K454">
        <v>56.67</v>
      </c>
      <c r="L454">
        <v>472726.32</v>
      </c>
      <c r="M454">
        <v>327779.28000000003</v>
      </c>
      <c r="N454">
        <v>144947.04</v>
      </c>
    </row>
    <row r="455" spans="1:14" x14ac:dyDescent="0.25">
      <c r="A455" t="s">
        <v>38</v>
      </c>
      <c r="B455" t="s">
        <v>83</v>
      </c>
      <c r="C455" t="s">
        <v>16</v>
      </c>
      <c r="D455" t="s">
        <v>17</v>
      </c>
      <c r="E455" t="s">
        <v>23</v>
      </c>
      <c r="F455" t="s">
        <v>651</v>
      </c>
      <c r="G455">
        <v>769032084</v>
      </c>
      <c r="H455" s="1">
        <v>42067</v>
      </c>
      <c r="I455">
        <v>2538</v>
      </c>
      <c r="J455">
        <v>255.28</v>
      </c>
      <c r="K455">
        <v>159.41999999999999</v>
      </c>
      <c r="L455">
        <v>647900.64</v>
      </c>
      <c r="M455">
        <v>404607.96</v>
      </c>
      <c r="N455">
        <v>243292.68</v>
      </c>
    </row>
    <row r="456" spans="1:14" x14ac:dyDescent="0.25">
      <c r="A456" t="s">
        <v>51</v>
      </c>
      <c r="B456" t="s">
        <v>487</v>
      </c>
      <c r="C456" t="s">
        <v>113</v>
      </c>
      <c r="D456" t="s">
        <v>22</v>
      </c>
      <c r="E456" t="s">
        <v>32</v>
      </c>
      <c r="F456" t="s">
        <v>652</v>
      </c>
      <c r="G456">
        <v>103281629</v>
      </c>
      <c r="H456" s="1">
        <v>41405</v>
      </c>
      <c r="I456">
        <v>2184</v>
      </c>
      <c r="J456">
        <v>154.06</v>
      </c>
      <c r="K456">
        <v>90.93</v>
      </c>
      <c r="L456">
        <v>336467.04</v>
      </c>
      <c r="M456">
        <v>198591.12</v>
      </c>
      <c r="N456">
        <v>137875.92000000001</v>
      </c>
    </row>
    <row r="457" spans="1:14" x14ac:dyDescent="0.25">
      <c r="A457" t="s">
        <v>14</v>
      </c>
      <c r="B457" t="s">
        <v>627</v>
      </c>
      <c r="C457" t="s">
        <v>31</v>
      </c>
      <c r="D457" t="s">
        <v>17</v>
      </c>
      <c r="E457" t="s">
        <v>32</v>
      </c>
      <c r="F457" t="s">
        <v>123</v>
      </c>
      <c r="G457">
        <v>675868880</v>
      </c>
      <c r="H457" s="1">
        <v>43044</v>
      </c>
      <c r="I457">
        <v>3476</v>
      </c>
      <c r="J457">
        <v>205.7</v>
      </c>
      <c r="K457">
        <v>117.11</v>
      </c>
      <c r="L457">
        <v>715013.2</v>
      </c>
      <c r="M457">
        <v>407074.36</v>
      </c>
      <c r="N457">
        <v>307938.84000000003</v>
      </c>
    </row>
    <row r="458" spans="1:14" x14ac:dyDescent="0.25">
      <c r="A458" t="s">
        <v>51</v>
      </c>
      <c r="B458" t="s">
        <v>542</v>
      </c>
      <c r="C458" t="s">
        <v>88</v>
      </c>
      <c r="D458" t="s">
        <v>22</v>
      </c>
      <c r="E458" t="s">
        <v>18</v>
      </c>
      <c r="F458" s="1">
        <v>42461</v>
      </c>
      <c r="G458">
        <v>894655168</v>
      </c>
      <c r="H458" t="s">
        <v>653</v>
      </c>
      <c r="I458">
        <v>7200</v>
      </c>
      <c r="J458">
        <v>9.33</v>
      </c>
      <c r="K458">
        <v>6.92</v>
      </c>
      <c r="L458">
        <v>67176</v>
      </c>
      <c r="M458">
        <v>49824</v>
      </c>
      <c r="N458">
        <v>17352</v>
      </c>
    </row>
    <row r="459" spans="1:14" x14ac:dyDescent="0.25">
      <c r="A459" t="s">
        <v>51</v>
      </c>
      <c r="B459" t="s">
        <v>417</v>
      </c>
      <c r="C459" t="s">
        <v>88</v>
      </c>
      <c r="D459" t="s">
        <v>17</v>
      </c>
      <c r="E459" t="s">
        <v>18</v>
      </c>
      <c r="F459" t="s">
        <v>654</v>
      </c>
      <c r="G459">
        <v>137814319</v>
      </c>
      <c r="H459" t="s">
        <v>655</v>
      </c>
      <c r="I459">
        <v>1174</v>
      </c>
      <c r="J459">
        <v>9.33</v>
      </c>
      <c r="K459">
        <v>6.92</v>
      </c>
      <c r="L459">
        <v>10953.42</v>
      </c>
      <c r="M459">
        <v>8124.08</v>
      </c>
      <c r="N459">
        <v>2829.34</v>
      </c>
    </row>
    <row r="460" spans="1:14" x14ac:dyDescent="0.25">
      <c r="A460" t="s">
        <v>25</v>
      </c>
      <c r="B460" t="s">
        <v>556</v>
      </c>
      <c r="C460" t="s">
        <v>16</v>
      </c>
      <c r="D460" t="s">
        <v>22</v>
      </c>
      <c r="E460" t="s">
        <v>45</v>
      </c>
      <c r="F460" t="s">
        <v>656</v>
      </c>
      <c r="G460">
        <v>103832662</v>
      </c>
      <c r="H460" t="s">
        <v>657</v>
      </c>
      <c r="I460">
        <v>5247</v>
      </c>
      <c r="J460">
        <v>255.28</v>
      </c>
      <c r="K460">
        <v>159.41999999999999</v>
      </c>
      <c r="L460">
        <v>1339454.1599999999</v>
      </c>
      <c r="M460">
        <v>836476.74</v>
      </c>
      <c r="N460">
        <v>502977.42</v>
      </c>
    </row>
    <row r="461" spans="1:14" x14ac:dyDescent="0.25">
      <c r="A461" t="s">
        <v>38</v>
      </c>
      <c r="B461" t="s">
        <v>346</v>
      </c>
      <c r="C461" t="s">
        <v>40</v>
      </c>
      <c r="D461" t="s">
        <v>22</v>
      </c>
      <c r="E461" t="s">
        <v>45</v>
      </c>
      <c r="F461" t="s">
        <v>621</v>
      </c>
      <c r="G461">
        <v>761509025</v>
      </c>
      <c r="H461" s="1">
        <v>42432</v>
      </c>
      <c r="I461">
        <v>6298</v>
      </c>
      <c r="J461">
        <v>81.73</v>
      </c>
      <c r="K461">
        <v>56.67</v>
      </c>
      <c r="L461">
        <v>514735.54</v>
      </c>
      <c r="M461">
        <v>356907.66</v>
      </c>
      <c r="N461">
        <v>157827.88</v>
      </c>
    </row>
    <row r="462" spans="1:14" x14ac:dyDescent="0.25">
      <c r="A462" t="s">
        <v>51</v>
      </c>
      <c r="B462" t="s">
        <v>638</v>
      </c>
      <c r="C462" t="s">
        <v>27</v>
      </c>
      <c r="D462" t="s">
        <v>17</v>
      </c>
      <c r="E462" t="s">
        <v>18</v>
      </c>
      <c r="F462" t="s">
        <v>637</v>
      </c>
      <c r="G462">
        <v>799954736</v>
      </c>
      <c r="H462" t="s">
        <v>658</v>
      </c>
      <c r="I462">
        <v>3238</v>
      </c>
      <c r="J462">
        <v>47.45</v>
      </c>
      <c r="K462">
        <v>31.79</v>
      </c>
      <c r="L462">
        <v>153643.1</v>
      </c>
      <c r="M462">
        <v>102936.02</v>
      </c>
      <c r="N462">
        <v>50707.08</v>
      </c>
    </row>
    <row r="463" spans="1:14" x14ac:dyDescent="0.25">
      <c r="A463" t="s">
        <v>29</v>
      </c>
      <c r="B463" t="s">
        <v>61</v>
      </c>
      <c r="C463" t="s">
        <v>21</v>
      </c>
      <c r="D463" t="s">
        <v>22</v>
      </c>
      <c r="E463" t="s">
        <v>32</v>
      </c>
      <c r="F463" t="s">
        <v>659</v>
      </c>
      <c r="G463">
        <v>778593623</v>
      </c>
      <c r="H463" t="s">
        <v>660</v>
      </c>
      <c r="I463">
        <v>2010</v>
      </c>
      <c r="J463">
        <v>152.58000000000001</v>
      </c>
      <c r="K463">
        <v>97.44</v>
      </c>
      <c r="L463">
        <v>306685.8</v>
      </c>
      <c r="M463">
        <v>195854.4</v>
      </c>
      <c r="N463">
        <v>110831.4</v>
      </c>
    </row>
    <row r="464" spans="1:14" x14ac:dyDescent="0.25">
      <c r="A464" t="s">
        <v>14</v>
      </c>
      <c r="B464" t="s">
        <v>15</v>
      </c>
      <c r="C464" t="s">
        <v>59</v>
      </c>
      <c r="D464" t="s">
        <v>22</v>
      </c>
      <c r="E464" t="s">
        <v>18</v>
      </c>
      <c r="F464" s="1">
        <v>40331</v>
      </c>
      <c r="G464">
        <v>877162015</v>
      </c>
      <c r="H464" s="1">
        <v>40362</v>
      </c>
      <c r="I464">
        <v>588</v>
      </c>
      <c r="J464">
        <v>437.2</v>
      </c>
      <c r="K464">
        <v>263.33</v>
      </c>
      <c r="L464">
        <v>257073.6</v>
      </c>
      <c r="M464">
        <v>154838.04</v>
      </c>
      <c r="N464">
        <v>102235.56</v>
      </c>
    </row>
    <row r="465" spans="1:14" x14ac:dyDescent="0.25">
      <c r="A465" t="s">
        <v>25</v>
      </c>
      <c r="B465" t="s">
        <v>242</v>
      </c>
      <c r="C465" t="s">
        <v>40</v>
      </c>
      <c r="D465" t="s">
        <v>17</v>
      </c>
      <c r="E465" t="s">
        <v>45</v>
      </c>
      <c r="F465" t="s">
        <v>661</v>
      </c>
      <c r="G465">
        <v>445708739</v>
      </c>
      <c r="H465" t="s">
        <v>662</v>
      </c>
      <c r="I465">
        <v>3975</v>
      </c>
      <c r="J465">
        <v>81.73</v>
      </c>
      <c r="K465">
        <v>56.67</v>
      </c>
      <c r="L465">
        <v>324876.75</v>
      </c>
      <c r="M465">
        <v>225263.25</v>
      </c>
      <c r="N465">
        <v>99613.5</v>
      </c>
    </row>
    <row r="466" spans="1:14" x14ac:dyDescent="0.25">
      <c r="A466" t="s">
        <v>51</v>
      </c>
      <c r="B466" t="s">
        <v>487</v>
      </c>
      <c r="C466" t="s">
        <v>131</v>
      </c>
      <c r="D466" t="s">
        <v>22</v>
      </c>
      <c r="E466" t="s">
        <v>18</v>
      </c>
      <c r="F466" t="s">
        <v>499</v>
      </c>
      <c r="G466">
        <v>254595124</v>
      </c>
      <c r="H466" t="s">
        <v>500</v>
      </c>
      <c r="I466">
        <v>9210</v>
      </c>
      <c r="J466">
        <v>668.27</v>
      </c>
      <c r="K466">
        <v>502.54</v>
      </c>
      <c r="L466">
        <v>6154766.7000000002</v>
      </c>
      <c r="M466">
        <v>4628393.4000000004</v>
      </c>
      <c r="N466">
        <v>1526373.3</v>
      </c>
    </row>
    <row r="467" spans="1:14" x14ac:dyDescent="0.25">
      <c r="A467" t="s">
        <v>51</v>
      </c>
      <c r="B467" t="s">
        <v>360</v>
      </c>
      <c r="C467" t="s">
        <v>16</v>
      </c>
      <c r="D467" t="s">
        <v>17</v>
      </c>
      <c r="E467" t="s">
        <v>45</v>
      </c>
      <c r="F467" t="s">
        <v>133</v>
      </c>
      <c r="G467">
        <v>244494998</v>
      </c>
      <c r="H467" t="s">
        <v>663</v>
      </c>
      <c r="I467">
        <v>358</v>
      </c>
      <c r="J467">
        <v>255.28</v>
      </c>
      <c r="K467">
        <v>159.41999999999999</v>
      </c>
      <c r="L467">
        <v>91390.24</v>
      </c>
      <c r="M467">
        <v>57072.36</v>
      </c>
      <c r="N467">
        <v>34317.879999999997</v>
      </c>
    </row>
    <row r="468" spans="1:14" x14ac:dyDescent="0.25">
      <c r="A468" t="s">
        <v>51</v>
      </c>
      <c r="B468" t="s">
        <v>664</v>
      </c>
      <c r="C468" t="s">
        <v>31</v>
      </c>
      <c r="D468" t="s">
        <v>17</v>
      </c>
      <c r="E468" t="s">
        <v>18</v>
      </c>
      <c r="F468" t="s">
        <v>240</v>
      </c>
      <c r="G468">
        <v>876394689</v>
      </c>
      <c r="H468" s="1">
        <v>41163</v>
      </c>
      <c r="I468">
        <v>3519</v>
      </c>
      <c r="J468">
        <v>205.7</v>
      </c>
      <c r="K468">
        <v>117.11</v>
      </c>
      <c r="L468">
        <v>723858.3</v>
      </c>
      <c r="M468">
        <v>412110.09</v>
      </c>
      <c r="N468">
        <v>311748.21000000002</v>
      </c>
    </row>
    <row r="469" spans="1:14" x14ac:dyDescent="0.25">
      <c r="A469" t="s">
        <v>14</v>
      </c>
      <c r="B469" t="s">
        <v>488</v>
      </c>
      <c r="C469" t="s">
        <v>88</v>
      </c>
      <c r="D469" t="s">
        <v>17</v>
      </c>
      <c r="E469" t="s">
        <v>32</v>
      </c>
      <c r="F469" t="s">
        <v>665</v>
      </c>
      <c r="G469">
        <v>881593024</v>
      </c>
      <c r="H469" s="1">
        <v>40431</v>
      </c>
      <c r="I469">
        <v>1822</v>
      </c>
      <c r="J469">
        <v>9.33</v>
      </c>
      <c r="K469">
        <v>6.92</v>
      </c>
      <c r="L469">
        <v>16999.259999999998</v>
      </c>
      <c r="M469">
        <v>12608.24</v>
      </c>
      <c r="N469">
        <v>4391.0200000000004</v>
      </c>
    </row>
    <row r="470" spans="1:14" x14ac:dyDescent="0.25">
      <c r="A470" t="s">
        <v>51</v>
      </c>
      <c r="B470" t="s">
        <v>223</v>
      </c>
      <c r="C470" t="s">
        <v>44</v>
      </c>
      <c r="D470" t="s">
        <v>17</v>
      </c>
      <c r="E470" t="s">
        <v>23</v>
      </c>
      <c r="F470" s="1">
        <v>40555</v>
      </c>
      <c r="G470">
        <v>411701333</v>
      </c>
      <c r="H470" t="s">
        <v>666</v>
      </c>
      <c r="I470">
        <v>428</v>
      </c>
      <c r="J470">
        <v>109.28</v>
      </c>
      <c r="K470">
        <v>35.840000000000003</v>
      </c>
      <c r="L470">
        <v>46771.839999999997</v>
      </c>
      <c r="M470">
        <v>15339.52</v>
      </c>
      <c r="N470">
        <v>31432.32</v>
      </c>
    </row>
    <row r="471" spans="1:14" x14ac:dyDescent="0.25">
      <c r="A471" t="s">
        <v>29</v>
      </c>
      <c r="B471" t="s">
        <v>545</v>
      </c>
      <c r="C471" t="s">
        <v>16</v>
      </c>
      <c r="D471" t="s">
        <v>17</v>
      </c>
      <c r="E471" t="s">
        <v>18</v>
      </c>
      <c r="F471" s="1">
        <v>42767</v>
      </c>
      <c r="G471">
        <v>588643443</v>
      </c>
      <c r="H471" s="1">
        <v>43041</v>
      </c>
      <c r="I471">
        <v>1531</v>
      </c>
      <c r="J471">
        <v>255.28</v>
      </c>
      <c r="K471">
        <v>159.41999999999999</v>
      </c>
      <c r="L471">
        <v>390833.68</v>
      </c>
      <c r="M471">
        <v>244072.02</v>
      </c>
      <c r="N471">
        <v>146761.66</v>
      </c>
    </row>
    <row r="472" spans="1:14" x14ac:dyDescent="0.25">
      <c r="A472" t="s">
        <v>25</v>
      </c>
      <c r="B472" t="s">
        <v>458</v>
      </c>
      <c r="C472" t="s">
        <v>27</v>
      </c>
      <c r="D472" t="s">
        <v>22</v>
      </c>
      <c r="E472" t="s">
        <v>18</v>
      </c>
      <c r="F472" t="s">
        <v>200</v>
      </c>
      <c r="G472">
        <v>354655683</v>
      </c>
      <c r="H472" t="s">
        <v>667</v>
      </c>
      <c r="I472">
        <v>9353</v>
      </c>
      <c r="J472">
        <v>47.45</v>
      </c>
      <c r="K472">
        <v>31.79</v>
      </c>
      <c r="L472">
        <v>443799.85</v>
      </c>
      <c r="M472">
        <v>297331.87</v>
      </c>
      <c r="N472">
        <v>146467.98000000001</v>
      </c>
    </row>
    <row r="473" spans="1:14" x14ac:dyDescent="0.25">
      <c r="A473" t="s">
        <v>29</v>
      </c>
      <c r="B473" t="s">
        <v>153</v>
      </c>
      <c r="C473" t="s">
        <v>44</v>
      </c>
      <c r="D473" t="s">
        <v>22</v>
      </c>
      <c r="E473" t="s">
        <v>32</v>
      </c>
      <c r="F473" t="s">
        <v>446</v>
      </c>
      <c r="G473">
        <v>522286880</v>
      </c>
      <c r="H473" s="1">
        <v>40978</v>
      </c>
      <c r="I473">
        <v>5149</v>
      </c>
      <c r="J473">
        <v>109.28</v>
      </c>
      <c r="K473">
        <v>35.840000000000003</v>
      </c>
      <c r="L473">
        <v>562682.72</v>
      </c>
      <c r="M473">
        <v>184540.16</v>
      </c>
      <c r="N473">
        <v>378142.56</v>
      </c>
    </row>
    <row r="474" spans="1:14" x14ac:dyDescent="0.25">
      <c r="A474" t="s">
        <v>25</v>
      </c>
      <c r="B474" t="s">
        <v>609</v>
      </c>
      <c r="C474" t="s">
        <v>55</v>
      </c>
      <c r="D474" t="s">
        <v>22</v>
      </c>
      <c r="E474" t="s">
        <v>23</v>
      </c>
      <c r="F474" t="s">
        <v>668</v>
      </c>
      <c r="G474">
        <v>624398362</v>
      </c>
      <c r="H474" t="s">
        <v>669</v>
      </c>
      <c r="I474">
        <v>2206</v>
      </c>
      <c r="J474">
        <v>651.21</v>
      </c>
      <c r="K474">
        <v>524.96</v>
      </c>
      <c r="L474">
        <v>1436569.26</v>
      </c>
      <c r="M474">
        <v>1158061.76</v>
      </c>
      <c r="N474">
        <v>278507.5</v>
      </c>
    </row>
    <row r="475" spans="1:14" x14ac:dyDescent="0.25">
      <c r="A475" t="s">
        <v>25</v>
      </c>
      <c r="B475" t="s">
        <v>229</v>
      </c>
      <c r="C475" t="s">
        <v>27</v>
      </c>
      <c r="D475" t="s">
        <v>17</v>
      </c>
      <c r="E475" t="s">
        <v>23</v>
      </c>
      <c r="F475" s="1">
        <v>42499</v>
      </c>
      <c r="G475">
        <v>264163959</v>
      </c>
      <c r="H475" t="s">
        <v>161</v>
      </c>
      <c r="I475">
        <v>840</v>
      </c>
      <c r="J475">
        <v>47.45</v>
      </c>
      <c r="K475">
        <v>31.79</v>
      </c>
      <c r="L475">
        <v>39858</v>
      </c>
      <c r="M475">
        <v>26703.599999999999</v>
      </c>
      <c r="N475">
        <v>13154.4</v>
      </c>
    </row>
    <row r="476" spans="1:14" x14ac:dyDescent="0.25">
      <c r="A476" t="s">
        <v>51</v>
      </c>
      <c r="B476" t="s">
        <v>305</v>
      </c>
      <c r="C476" t="s">
        <v>27</v>
      </c>
      <c r="D476" t="s">
        <v>22</v>
      </c>
      <c r="E476" t="s">
        <v>18</v>
      </c>
      <c r="F476" t="s">
        <v>670</v>
      </c>
      <c r="G476">
        <v>465069997</v>
      </c>
      <c r="H476" t="s">
        <v>671</v>
      </c>
      <c r="I476">
        <v>3402</v>
      </c>
      <c r="J476">
        <v>47.45</v>
      </c>
      <c r="K476">
        <v>31.79</v>
      </c>
      <c r="L476">
        <v>161424.9</v>
      </c>
      <c r="M476">
        <v>108149.58</v>
      </c>
      <c r="N476">
        <v>53275.32</v>
      </c>
    </row>
    <row r="477" spans="1:14" x14ac:dyDescent="0.25">
      <c r="A477" t="s">
        <v>25</v>
      </c>
      <c r="B477" t="s">
        <v>185</v>
      </c>
      <c r="C477" t="s">
        <v>55</v>
      </c>
      <c r="D477" t="s">
        <v>22</v>
      </c>
      <c r="E477" t="s">
        <v>45</v>
      </c>
      <c r="F477" t="s">
        <v>672</v>
      </c>
      <c r="G477">
        <v>520915305</v>
      </c>
      <c r="H477" s="1">
        <v>40735</v>
      </c>
      <c r="I477">
        <v>9270</v>
      </c>
      <c r="J477">
        <v>651.21</v>
      </c>
      <c r="K477">
        <v>524.96</v>
      </c>
      <c r="L477">
        <v>6036716.7000000002</v>
      </c>
      <c r="M477">
        <v>4866379.2</v>
      </c>
      <c r="N477">
        <v>1170337.5</v>
      </c>
    </row>
    <row r="478" spans="1:14" x14ac:dyDescent="0.25">
      <c r="A478" t="s">
        <v>42</v>
      </c>
      <c r="B478" t="s">
        <v>107</v>
      </c>
      <c r="C478" t="s">
        <v>27</v>
      </c>
      <c r="D478" t="s">
        <v>22</v>
      </c>
      <c r="E478" t="s">
        <v>45</v>
      </c>
      <c r="F478" s="1">
        <v>42251</v>
      </c>
      <c r="G478">
        <v>245811212</v>
      </c>
      <c r="H478" s="1">
        <v>42313</v>
      </c>
      <c r="I478">
        <v>9855</v>
      </c>
      <c r="J478">
        <v>47.45</v>
      </c>
      <c r="K478">
        <v>31.79</v>
      </c>
      <c r="L478">
        <v>467619.75</v>
      </c>
      <c r="M478">
        <v>313290.45</v>
      </c>
      <c r="N478">
        <v>154329.29999999999</v>
      </c>
    </row>
    <row r="479" spans="1:14" x14ac:dyDescent="0.25">
      <c r="A479" t="s">
        <v>25</v>
      </c>
      <c r="B479" t="s">
        <v>284</v>
      </c>
      <c r="C479" t="s">
        <v>31</v>
      </c>
      <c r="D479" t="s">
        <v>17</v>
      </c>
      <c r="E479" t="s">
        <v>45</v>
      </c>
      <c r="F479" s="1">
        <v>41396</v>
      </c>
      <c r="G479">
        <v>424181544</v>
      </c>
      <c r="H479" s="1">
        <v>41367</v>
      </c>
      <c r="I479">
        <v>3600</v>
      </c>
      <c r="J479">
        <v>205.7</v>
      </c>
      <c r="K479">
        <v>117.11</v>
      </c>
      <c r="L479">
        <v>740520</v>
      </c>
      <c r="M479">
        <v>421596</v>
      </c>
      <c r="N479">
        <v>318924</v>
      </c>
    </row>
    <row r="480" spans="1:14" x14ac:dyDescent="0.25">
      <c r="A480" t="s">
        <v>25</v>
      </c>
      <c r="B480" t="s">
        <v>234</v>
      </c>
      <c r="C480" t="s">
        <v>55</v>
      </c>
      <c r="D480" t="s">
        <v>17</v>
      </c>
      <c r="E480" t="s">
        <v>45</v>
      </c>
      <c r="F480" s="1">
        <v>42070</v>
      </c>
      <c r="G480">
        <v>560762631</v>
      </c>
      <c r="H480" t="s">
        <v>65</v>
      </c>
      <c r="I480">
        <v>979</v>
      </c>
      <c r="J480">
        <v>651.21</v>
      </c>
      <c r="K480">
        <v>524.96</v>
      </c>
      <c r="L480">
        <v>637534.59</v>
      </c>
      <c r="M480">
        <v>513935.84</v>
      </c>
      <c r="N480">
        <v>123598.75</v>
      </c>
    </row>
    <row r="481" spans="1:14" x14ac:dyDescent="0.25">
      <c r="A481" t="s">
        <v>42</v>
      </c>
      <c r="B481" t="s">
        <v>103</v>
      </c>
      <c r="C481" t="s">
        <v>55</v>
      </c>
      <c r="D481" t="s">
        <v>22</v>
      </c>
      <c r="E481" t="s">
        <v>45</v>
      </c>
      <c r="F481" s="1">
        <v>41681</v>
      </c>
      <c r="G481">
        <v>230603301</v>
      </c>
      <c r="H481" s="1">
        <v>41924</v>
      </c>
      <c r="I481">
        <v>9496</v>
      </c>
      <c r="J481">
        <v>651.21</v>
      </c>
      <c r="K481">
        <v>524.96</v>
      </c>
      <c r="L481">
        <v>6183890.1600000001</v>
      </c>
      <c r="M481">
        <v>4985020.16</v>
      </c>
      <c r="N481">
        <v>1198870</v>
      </c>
    </row>
    <row r="482" spans="1:14" x14ac:dyDescent="0.25">
      <c r="A482" t="s">
        <v>42</v>
      </c>
      <c r="B482" t="s">
        <v>630</v>
      </c>
      <c r="C482" t="s">
        <v>113</v>
      </c>
      <c r="D482" t="s">
        <v>17</v>
      </c>
      <c r="E482" t="s">
        <v>45</v>
      </c>
      <c r="F482" s="1">
        <v>41062</v>
      </c>
      <c r="G482">
        <v>429064881</v>
      </c>
      <c r="H482" t="s">
        <v>673</v>
      </c>
      <c r="I482">
        <v>8688</v>
      </c>
      <c r="J482">
        <v>154.06</v>
      </c>
      <c r="K482">
        <v>90.93</v>
      </c>
      <c r="L482">
        <v>1338473.28</v>
      </c>
      <c r="M482">
        <v>789999.84</v>
      </c>
      <c r="N482">
        <v>548473.43999999994</v>
      </c>
    </row>
    <row r="483" spans="1:14" x14ac:dyDescent="0.25">
      <c r="A483" t="s">
        <v>29</v>
      </c>
      <c r="B483" t="s">
        <v>159</v>
      </c>
      <c r="C483" t="s">
        <v>131</v>
      </c>
      <c r="D483" t="s">
        <v>22</v>
      </c>
      <c r="E483" t="s">
        <v>23</v>
      </c>
      <c r="F483" t="s">
        <v>674</v>
      </c>
      <c r="G483">
        <v>421821200</v>
      </c>
      <c r="H483" t="s">
        <v>675</v>
      </c>
      <c r="I483">
        <v>5122</v>
      </c>
      <c r="J483">
        <v>668.27</v>
      </c>
      <c r="K483">
        <v>502.54</v>
      </c>
      <c r="L483">
        <v>3422878.94</v>
      </c>
      <c r="M483">
        <v>2574009.88</v>
      </c>
      <c r="N483">
        <v>848869.06</v>
      </c>
    </row>
    <row r="484" spans="1:14" x14ac:dyDescent="0.25">
      <c r="A484" t="s">
        <v>51</v>
      </c>
      <c r="B484" t="s">
        <v>108</v>
      </c>
      <c r="C484" t="s">
        <v>55</v>
      </c>
      <c r="D484" t="s">
        <v>17</v>
      </c>
      <c r="E484" t="s">
        <v>23</v>
      </c>
      <c r="F484" s="1">
        <v>43012</v>
      </c>
      <c r="G484">
        <v>894858586</v>
      </c>
      <c r="H484" t="s">
        <v>676</v>
      </c>
      <c r="I484">
        <v>7396</v>
      </c>
      <c r="J484">
        <v>651.21</v>
      </c>
      <c r="K484">
        <v>524.96</v>
      </c>
      <c r="L484">
        <v>4816349.16</v>
      </c>
      <c r="M484">
        <v>3882604.16</v>
      </c>
      <c r="N484">
        <v>933745</v>
      </c>
    </row>
    <row r="485" spans="1:14" x14ac:dyDescent="0.25">
      <c r="A485" t="s">
        <v>29</v>
      </c>
      <c r="B485" t="s">
        <v>485</v>
      </c>
      <c r="C485" t="s">
        <v>27</v>
      </c>
      <c r="D485" t="s">
        <v>22</v>
      </c>
      <c r="E485" t="s">
        <v>23</v>
      </c>
      <c r="F485" t="s">
        <v>677</v>
      </c>
      <c r="G485">
        <v>804475867</v>
      </c>
      <c r="H485" t="s">
        <v>678</v>
      </c>
      <c r="I485">
        <v>1141</v>
      </c>
      <c r="J485">
        <v>47.45</v>
      </c>
      <c r="K485">
        <v>31.79</v>
      </c>
      <c r="L485">
        <v>54140.45</v>
      </c>
      <c r="M485">
        <v>36272.39</v>
      </c>
      <c r="N485">
        <v>17868.060000000001</v>
      </c>
    </row>
    <row r="486" spans="1:14" x14ac:dyDescent="0.25">
      <c r="A486" t="s">
        <v>51</v>
      </c>
      <c r="B486" t="s">
        <v>578</v>
      </c>
      <c r="C486" t="s">
        <v>16</v>
      </c>
      <c r="D486" t="s">
        <v>22</v>
      </c>
      <c r="E486" t="s">
        <v>18</v>
      </c>
      <c r="F486" s="1">
        <v>41770</v>
      </c>
      <c r="G486">
        <v>527284371</v>
      </c>
      <c r="H486" t="s">
        <v>326</v>
      </c>
      <c r="I486">
        <v>4018</v>
      </c>
      <c r="J486">
        <v>255.28</v>
      </c>
      <c r="K486">
        <v>159.41999999999999</v>
      </c>
      <c r="L486">
        <v>1025715.04</v>
      </c>
      <c r="M486">
        <v>640549.56000000006</v>
      </c>
      <c r="N486">
        <v>385165.48</v>
      </c>
    </row>
    <row r="487" spans="1:14" x14ac:dyDescent="0.25">
      <c r="A487" t="s">
        <v>29</v>
      </c>
      <c r="B487" t="s">
        <v>338</v>
      </c>
      <c r="C487" t="s">
        <v>27</v>
      </c>
      <c r="D487" t="s">
        <v>22</v>
      </c>
      <c r="E487" t="s">
        <v>18</v>
      </c>
      <c r="F487" t="s">
        <v>679</v>
      </c>
      <c r="G487">
        <v>510207927</v>
      </c>
      <c r="H487" t="s">
        <v>489</v>
      </c>
      <c r="I487">
        <v>718</v>
      </c>
      <c r="J487">
        <v>47.45</v>
      </c>
      <c r="K487">
        <v>31.79</v>
      </c>
      <c r="L487">
        <v>34069.1</v>
      </c>
      <c r="M487">
        <v>22825.22</v>
      </c>
      <c r="N487">
        <v>11243.88</v>
      </c>
    </row>
    <row r="488" spans="1:14" x14ac:dyDescent="0.25">
      <c r="A488" t="s">
        <v>29</v>
      </c>
      <c r="B488" t="s">
        <v>35</v>
      </c>
      <c r="C488" t="s">
        <v>113</v>
      </c>
      <c r="D488" t="s">
        <v>22</v>
      </c>
      <c r="E488" t="s">
        <v>23</v>
      </c>
      <c r="F488" t="s">
        <v>680</v>
      </c>
      <c r="G488">
        <v>820482861</v>
      </c>
      <c r="H488" s="1">
        <v>41582</v>
      </c>
      <c r="I488">
        <v>7967</v>
      </c>
      <c r="J488">
        <v>154.06</v>
      </c>
      <c r="K488">
        <v>90.93</v>
      </c>
      <c r="L488">
        <v>1227396.02</v>
      </c>
      <c r="M488">
        <v>724439.31</v>
      </c>
      <c r="N488">
        <v>502956.71</v>
      </c>
    </row>
    <row r="489" spans="1:14" x14ac:dyDescent="0.25">
      <c r="A489" t="s">
        <v>38</v>
      </c>
      <c r="B489" t="s">
        <v>527</v>
      </c>
      <c r="C489" t="s">
        <v>59</v>
      </c>
      <c r="D489" t="s">
        <v>17</v>
      </c>
      <c r="E489" t="s">
        <v>18</v>
      </c>
      <c r="F489" s="1">
        <v>41770</v>
      </c>
      <c r="G489">
        <v>695658004</v>
      </c>
      <c r="H489" s="1">
        <v>41863</v>
      </c>
      <c r="I489">
        <v>9517</v>
      </c>
      <c r="J489">
        <v>437.2</v>
      </c>
      <c r="K489">
        <v>263.33</v>
      </c>
      <c r="L489">
        <v>4160832.4</v>
      </c>
      <c r="M489">
        <v>2506111.61</v>
      </c>
      <c r="N489">
        <v>1654720.79</v>
      </c>
    </row>
    <row r="490" spans="1:14" x14ac:dyDescent="0.25">
      <c r="A490" t="s">
        <v>42</v>
      </c>
      <c r="B490" t="s">
        <v>681</v>
      </c>
      <c r="C490" t="s">
        <v>59</v>
      </c>
      <c r="D490" t="s">
        <v>22</v>
      </c>
      <c r="E490" t="s">
        <v>45</v>
      </c>
      <c r="F490" t="s">
        <v>682</v>
      </c>
      <c r="G490">
        <v>793594682</v>
      </c>
      <c r="H490" t="s">
        <v>683</v>
      </c>
      <c r="I490">
        <v>1157</v>
      </c>
      <c r="J490">
        <v>437.2</v>
      </c>
      <c r="K490">
        <v>263.33</v>
      </c>
      <c r="L490">
        <v>505840.4</v>
      </c>
      <c r="M490">
        <v>304672.81</v>
      </c>
      <c r="N490">
        <v>201167.59</v>
      </c>
    </row>
    <row r="491" spans="1:14" x14ac:dyDescent="0.25">
      <c r="A491" t="s">
        <v>51</v>
      </c>
      <c r="B491" t="s">
        <v>231</v>
      </c>
      <c r="C491" t="s">
        <v>16</v>
      </c>
      <c r="D491" t="s">
        <v>17</v>
      </c>
      <c r="E491" t="s">
        <v>18</v>
      </c>
      <c r="F491" s="1">
        <v>41616</v>
      </c>
      <c r="G491">
        <v>942466723</v>
      </c>
      <c r="H491" s="1">
        <v>41373</v>
      </c>
      <c r="I491">
        <v>5702</v>
      </c>
      <c r="J491">
        <v>255.28</v>
      </c>
      <c r="K491">
        <v>159.41999999999999</v>
      </c>
      <c r="L491">
        <v>1455606.56</v>
      </c>
      <c r="M491">
        <v>909012.84</v>
      </c>
      <c r="N491">
        <v>546593.72</v>
      </c>
    </row>
    <row r="492" spans="1:14" x14ac:dyDescent="0.25">
      <c r="A492" t="s">
        <v>51</v>
      </c>
      <c r="B492" t="s">
        <v>542</v>
      </c>
      <c r="C492" t="s">
        <v>88</v>
      </c>
      <c r="D492" t="s">
        <v>22</v>
      </c>
      <c r="E492" t="s">
        <v>32</v>
      </c>
      <c r="F492" t="s">
        <v>684</v>
      </c>
      <c r="G492">
        <v>590760457</v>
      </c>
      <c r="H492" t="s">
        <v>685</v>
      </c>
      <c r="I492">
        <v>8002</v>
      </c>
      <c r="J492">
        <v>9.33</v>
      </c>
      <c r="K492">
        <v>6.92</v>
      </c>
      <c r="L492">
        <v>74658.66</v>
      </c>
      <c r="M492">
        <v>55373.84</v>
      </c>
      <c r="N492">
        <v>19284.82</v>
      </c>
    </row>
    <row r="493" spans="1:14" x14ac:dyDescent="0.25">
      <c r="A493" t="s">
        <v>51</v>
      </c>
      <c r="B493" t="s">
        <v>367</v>
      </c>
      <c r="C493" t="s">
        <v>55</v>
      </c>
      <c r="D493" t="s">
        <v>22</v>
      </c>
      <c r="E493" t="s">
        <v>18</v>
      </c>
      <c r="F493" t="s">
        <v>686</v>
      </c>
      <c r="G493">
        <v>157274711</v>
      </c>
      <c r="H493" t="s">
        <v>687</v>
      </c>
      <c r="I493">
        <v>9937</v>
      </c>
      <c r="J493">
        <v>651.21</v>
      </c>
      <c r="K493">
        <v>524.96</v>
      </c>
      <c r="L493">
        <v>6471073.7699999996</v>
      </c>
      <c r="M493">
        <v>5216527.5199999996</v>
      </c>
      <c r="N493">
        <v>1254546.25</v>
      </c>
    </row>
    <row r="494" spans="1:14" x14ac:dyDescent="0.25">
      <c r="A494" t="s">
        <v>51</v>
      </c>
      <c r="B494" t="s">
        <v>115</v>
      </c>
      <c r="C494" t="s">
        <v>27</v>
      </c>
      <c r="D494" t="s">
        <v>22</v>
      </c>
      <c r="E494" t="s">
        <v>32</v>
      </c>
      <c r="F494" t="s">
        <v>479</v>
      </c>
      <c r="G494">
        <v>581120812</v>
      </c>
      <c r="H494" t="s">
        <v>688</v>
      </c>
      <c r="I494">
        <v>5417</v>
      </c>
      <c r="J494">
        <v>47.45</v>
      </c>
      <c r="K494">
        <v>31.79</v>
      </c>
      <c r="L494">
        <v>257036.65</v>
      </c>
      <c r="M494">
        <v>172206.43</v>
      </c>
      <c r="N494">
        <v>84830.22</v>
      </c>
    </row>
    <row r="495" spans="1:14" x14ac:dyDescent="0.25">
      <c r="A495" t="s">
        <v>51</v>
      </c>
      <c r="B495" t="s">
        <v>295</v>
      </c>
      <c r="C495" t="s">
        <v>88</v>
      </c>
      <c r="D495" t="s">
        <v>22</v>
      </c>
      <c r="E495" t="s">
        <v>45</v>
      </c>
      <c r="F495" t="s">
        <v>689</v>
      </c>
      <c r="G495">
        <v>171722590</v>
      </c>
      <c r="H495" t="s">
        <v>690</v>
      </c>
      <c r="I495">
        <v>5385</v>
      </c>
      <c r="J495">
        <v>9.33</v>
      </c>
      <c r="K495">
        <v>6.92</v>
      </c>
      <c r="L495">
        <v>50242.05</v>
      </c>
      <c r="M495">
        <v>37264.199999999997</v>
      </c>
      <c r="N495">
        <v>12977.85</v>
      </c>
    </row>
    <row r="496" spans="1:14" x14ac:dyDescent="0.25">
      <c r="A496" t="s">
        <v>25</v>
      </c>
      <c r="B496" t="s">
        <v>386</v>
      </c>
      <c r="C496" t="s">
        <v>55</v>
      </c>
      <c r="D496" t="s">
        <v>22</v>
      </c>
      <c r="E496" t="s">
        <v>32</v>
      </c>
      <c r="F496" s="1">
        <v>42098</v>
      </c>
      <c r="G496">
        <v>458816373</v>
      </c>
      <c r="H496" t="s">
        <v>691</v>
      </c>
      <c r="I496">
        <v>2815</v>
      </c>
      <c r="J496">
        <v>651.21</v>
      </c>
      <c r="K496">
        <v>524.96</v>
      </c>
      <c r="L496">
        <v>1833156.15</v>
      </c>
      <c r="M496">
        <v>1477762.4</v>
      </c>
      <c r="N496">
        <v>355393.75</v>
      </c>
    </row>
    <row r="497" spans="1:14" x14ac:dyDescent="0.25">
      <c r="A497" t="s">
        <v>29</v>
      </c>
      <c r="B497" t="s">
        <v>494</v>
      </c>
      <c r="C497" t="s">
        <v>27</v>
      </c>
      <c r="D497" t="s">
        <v>22</v>
      </c>
      <c r="E497" t="s">
        <v>45</v>
      </c>
      <c r="F497" t="s">
        <v>692</v>
      </c>
      <c r="G497">
        <v>342450988</v>
      </c>
      <c r="H497" t="s">
        <v>693</v>
      </c>
      <c r="I497">
        <v>7712</v>
      </c>
      <c r="J497">
        <v>47.45</v>
      </c>
      <c r="K497">
        <v>31.79</v>
      </c>
      <c r="L497">
        <v>365934.4</v>
      </c>
      <c r="M497">
        <v>245164.48</v>
      </c>
      <c r="N497">
        <v>120769.92</v>
      </c>
    </row>
    <row r="498" spans="1:14" x14ac:dyDescent="0.25">
      <c r="A498" t="s">
        <v>25</v>
      </c>
      <c r="B498" t="s">
        <v>172</v>
      </c>
      <c r="C498" t="s">
        <v>131</v>
      </c>
      <c r="D498" t="s">
        <v>22</v>
      </c>
      <c r="E498" t="s">
        <v>32</v>
      </c>
      <c r="F498" t="s">
        <v>678</v>
      </c>
      <c r="G498">
        <v>142987763</v>
      </c>
      <c r="H498" s="1">
        <v>41283</v>
      </c>
      <c r="I498">
        <v>2112</v>
      </c>
      <c r="J498">
        <v>668.27</v>
      </c>
      <c r="K498">
        <v>502.54</v>
      </c>
      <c r="L498">
        <v>1411386.24</v>
      </c>
      <c r="M498">
        <v>1061364.48</v>
      </c>
      <c r="N498">
        <v>350021.76</v>
      </c>
    </row>
    <row r="499" spans="1:14" x14ac:dyDescent="0.25">
      <c r="A499" t="s">
        <v>38</v>
      </c>
      <c r="B499" t="s">
        <v>346</v>
      </c>
      <c r="C499" t="s">
        <v>44</v>
      </c>
      <c r="D499" t="s">
        <v>22</v>
      </c>
      <c r="E499" t="s">
        <v>32</v>
      </c>
      <c r="F499" s="1">
        <v>41249</v>
      </c>
      <c r="G499">
        <v>251100528</v>
      </c>
      <c r="H499" s="1">
        <v>41036</v>
      </c>
      <c r="I499">
        <v>5081</v>
      </c>
      <c r="J499">
        <v>109.28</v>
      </c>
      <c r="K499">
        <v>35.840000000000003</v>
      </c>
      <c r="L499">
        <v>555251.68000000005</v>
      </c>
      <c r="M499">
        <v>182103.04000000001</v>
      </c>
      <c r="N499">
        <v>373148.64</v>
      </c>
    </row>
    <row r="500" spans="1:14" x14ac:dyDescent="0.25">
      <c r="A500" t="s">
        <v>38</v>
      </c>
      <c r="B500" t="s">
        <v>54</v>
      </c>
      <c r="C500" t="s">
        <v>59</v>
      </c>
      <c r="D500" t="s">
        <v>17</v>
      </c>
      <c r="E500" t="s">
        <v>32</v>
      </c>
      <c r="F500" t="s">
        <v>694</v>
      </c>
      <c r="G500">
        <v>677775609</v>
      </c>
      <c r="H500" s="1">
        <v>41034</v>
      </c>
      <c r="I500">
        <v>7719</v>
      </c>
      <c r="J500">
        <v>437.2</v>
      </c>
      <c r="K500">
        <v>263.33</v>
      </c>
      <c r="L500">
        <v>3374746.8</v>
      </c>
      <c r="M500">
        <v>2032644.27</v>
      </c>
      <c r="N500">
        <v>1342102.53</v>
      </c>
    </row>
    <row r="501" spans="1:14" x14ac:dyDescent="0.25">
      <c r="A501" t="s">
        <v>51</v>
      </c>
      <c r="B501" t="s">
        <v>398</v>
      </c>
      <c r="C501" t="s">
        <v>21</v>
      </c>
      <c r="D501" t="s">
        <v>22</v>
      </c>
      <c r="E501" t="s">
        <v>18</v>
      </c>
      <c r="F501" t="s">
        <v>695</v>
      </c>
      <c r="G501">
        <v>604311835</v>
      </c>
      <c r="H501" s="1">
        <v>40644</v>
      </c>
      <c r="I501">
        <v>8156</v>
      </c>
      <c r="J501">
        <v>152.58000000000001</v>
      </c>
      <c r="K501">
        <v>97.44</v>
      </c>
      <c r="L501">
        <v>1244442.48</v>
      </c>
      <c r="M501">
        <v>794720.64</v>
      </c>
      <c r="N501">
        <v>449721.84</v>
      </c>
    </row>
    <row r="502" spans="1:14" x14ac:dyDescent="0.25">
      <c r="A502" t="s">
        <v>51</v>
      </c>
      <c r="B502" t="s">
        <v>487</v>
      </c>
      <c r="C502" t="s">
        <v>55</v>
      </c>
      <c r="D502" t="s">
        <v>17</v>
      </c>
      <c r="E502" t="s">
        <v>45</v>
      </c>
      <c r="F502" t="s">
        <v>531</v>
      </c>
      <c r="G502">
        <v>632320535</v>
      </c>
      <c r="H502" t="s">
        <v>696</v>
      </c>
      <c r="I502">
        <v>6553</v>
      </c>
      <c r="J502">
        <v>651.21</v>
      </c>
      <c r="K502">
        <v>524.96</v>
      </c>
      <c r="L502">
        <v>4267379.13</v>
      </c>
      <c r="M502">
        <v>3440062.88</v>
      </c>
      <c r="N502">
        <v>827316.25</v>
      </c>
    </row>
    <row r="503" spans="1:14" x14ac:dyDescent="0.25">
      <c r="A503" t="s">
        <v>14</v>
      </c>
      <c r="B503" t="s">
        <v>213</v>
      </c>
      <c r="C503" t="s">
        <v>21</v>
      </c>
      <c r="D503" t="s">
        <v>17</v>
      </c>
      <c r="E503" t="s">
        <v>32</v>
      </c>
      <c r="F503" t="s">
        <v>697</v>
      </c>
      <c r="G503">
        <v>533725535</v>
      </c>
      <c r="H503" t="s">
        <v>698</v>
      </c>
      <c r="I503">
        <v>101</v>
      </c>
      <c r="J503">
        <v>152.58000000000001</v>
      </c>
      <c r="K503">
        <v>97.44</v>
      </c>
      <c r="L503">
        <v>15410.58</v>
      </c>
      <c r="M503">
        <v>9841.44</v>
      </c>
      <c r="N503">
        <v>5569.14</v>
      </c>
    </row>
    <row r="504" spans="1:14" x14ac:dyDescent="0.25">
      <c r="A504" t="s">
        <v>51</v>
      </c>
      <c r="B504" t="s">
        <v>182</v>
      </c>
      <c r="C504" t="s">
        <v>40</v>
      </c>
      <c r="D504" t="s">
        <v>17</v>
      </c>
      <c r="E504" t="s">
        <v>32</v>
      </c>
      <c r="F504" s="1">
        <v>42258</v>
      </c>
      <c r="G504">
        <v>600763165</v>
      </c>
      <c r="H504" s="1">
        <v>42228</v>
      </c>
      <c r="I504">
        <v>8026</v>
      </c>
      <c r="J504">
        <v>81.73</v>
      </c>
      <c r="K504">
        <v>56.67</v>
      </c>
      <c r="L504">
        <v>655964.98</v>
      </c>
      <c r="M504">
        <v>454833.42</v>
      </c>
      <c r="N504">
        <v>201131.56</v>
      </c>
    </row>
    <row r="505" spans="1:14" x14ac:dyDescent="0.25">
      <c r="A505" t="s">
        <v>42</v>
      </c>
      <c r="B505" t="s">
        <v>361</v>
      </c>
      <c r="C505" t="s">
        <v>113</v>
      </c>
      <c r="D505" t="s">
        <v>22</v>
      </c>
      <c r="E505" t="s">
        <v>32</v>
      </c>
      <c r="F505" t="s">
        <v>679</v>
      </c>
      <c r="G505">
        <v>295982253</v>
      </c>
      <c r="H505" s="1">
        <v>42585</v>
      </c>
      <c r="I505">
        <v>6581</v>
      </c>
      <c r="J505">
        <v>154.06</v>
      </c>
      <c r="K505">
        <v>90.93</v>
      </c>
      <c r="L505">
        <v>1013868.86</v>
      </c>
      <c r="M505">
        <v>598410.32999999996</v>
      </c>
      <c r="N505">
        <v>415458.53</v>
      </c>
    </row>
    <row r="506" spans="1:14" x14ac:dyDescent="0.25">
      <c r="A506" t="s">
        <v>51</v>
      </c>
      <c r="B506" t="s">
        <v>276</v>
      </c>
      <c r="C506" t="s">
        <v>69</v>
      </c>
      <c r="D506" t="s">
        <v>22</v>
      </c>
      <c r="E506" t="s">
        <v>18</v>
      </c>
      <c r="F506" s="1">
        <v>42653</v>
      </c>
      <c r="G506">
        <v>502244126</v>
      </c>
      <c r="H506" t="s">
        <v>475</v>
      </c>
      <c r="I506">
        <v>4053</v>
      </c>
      <c r="J506">
        <v>421.89</v>
      </c>
      <c r="K506">
        <v>364.69</v>
      </c>
      <c r="L506">
        <v>1709920.17</v>
      </c>
      <c r="M506">
        <v>1478088.57</v>
      </c>
      <c r="N506">
        <v>231831.6</v>
      </c>
    </row>
    <row r="507" spans="1:14" x14ac:dyDescent="0.25">
      <c r="A507" t="s">
        <v>38</v>
      </c>
      <c r="B507" t="s">
        <v>117</v>
      </c>
      <c r="C507" t="s">
        <v>40</v>
      </c>
      <c r="D507" t="s">
        <v>22</v>
      </c>
      <c r="E507" t="s">
        <v>32</v>
      </c>
      <c r="F507" s="1">
        <v>40854</v>
      </c>
      <c r="G507">
        <v>372722613</v>
      </c>
      <c r="H507" t="s">
        <v>699</v>
      </c>
      <c r="I507">
        <v>5759</v>
      </c>
      <c r="J507">
        <v>81.73</v>
      </c>
      <c r="K507">
        <v>56.67</v>
      </c>
      <c r="L507">
        <v>470683.07</v>
      </c>
      <c r="M507">
        <v>326362.53000000003</v>
      </c>
      <c r="N507">
        <v>144320.54</v>
      </c>
    </row>
    <row r="508" spans="1:14" x14ac:dyDescent="0.25">
      <c r="A508" t="s">
        <v>25</v>
      </c>
      <c r="B508" t="s">
        <v>529</v>
      </c>
      <c r="C508" t="s">
        <v>21</v>
      </c>
      <c r="D508" t="s">
        <v>22</v>
      </c>
      <c r="E508" t="s">
        <v>23</v>
      </c>
      <c r="F508" t="s">
        <v>700</v>
      </c>
      <c r="G508">
        <v>480904042</v>
      </c>
      <c r="H508" s="1">
        <v>40300</v>
      </c>
      <c r="I508">
        <v>9048</v>
      </c>
      <c r="J508">
        <v>152.58000000000001</v>
      </c>
      <c r="K508">
        <v>97.44</v>
      </c>
      <c r="L508">
        <v>1380543.84</v>
      </c>
      <c r="M508">
        <v>881637.12</v>
      </c>
      <c r="N508">
        <v>498906.72</v>
      </c>
    </row>
    <row r="509" spans="1:14" x14ac:dyDescent="0.25">
      <c r="A509" t="s">
        <v>38</v>
      </c>
      <c r="B509" t="s">
        <v>388</v>
      </c>
      <c r="C509" t="s">
        <v>131</v>
      </c>
      <c r="D509" t="s">
        <v>22</v>
      </c>
      <c r="E509" t="s">
        <v>32</v>
      </c>
      <c r="F509" s="1">
        <v>40705</v>
      </c>
      <c r="G509">
        <v>570587241</v>
      </c>
      <c r="H509" s="1">
        <v>40766</v>
      </c>
      <c r="I509">
        <v>8299</v>
      </c>
      <c r="J509">
        <v>668.27</v>
      </c>
      <c r="K509">
        <v>502.54</v>
      </c>
      <c r="L509">
        <v>5545972.7300000004</v>
      </c>
      <c r="M509">
        <v>4170579.46</v>
      </c>
      <c r="N509">
        <v>1375393.27</v>
      </c>
    </row>
    <row r="510" spans="1:14" x14ac:dyDescent="0.25">
      <c r="A510" t="s">
        <v>29</v>
      </c>
      <c r="B510" t="s">
        <v>248</v>
      </c>
      <c r="C510" t="s">
        <v>31</v>
      </c>
      <c r="D510" t="s">
        <v>22</v>
      </c>
      <c r="E510" t="s">
        <v>45</v>
      </c>
      <c r="F510" t="s">
        <v>676</v>
      </c>
      <c r="G510">
        <v>905883538</v>
      </c>
      <c r="H510" s="1">
        <v>42773</v>
      </c>
      <c r="I510">
        <v>9925</v>
      </c>
      <c r="J510">
        <v>205.7</v>
      </c>
      <c r="K510">
        <v>117.11</v>
      </c>
      <c r="L510">
        <v>2041572.5</v>
      </c>
      <c r="M510">
        <v>1162316.75</v>
      </c>
      <c r="N510">
        <v>879255.75</v>
      </c>
    </row>
    <row r="511" spans="1:14" x14ac:dyDescent="0.25">
      <c r="A511" t="s">
        <v>14</v>
      </c>
      <c r="B511" t="s">
        <v>66</v>
      </c>
      <c r="C511" t="s">
        <v>113</v>
      </c>
      <c r="D511" t="s">
        <v>22</v>
      </c>
      <c r="E511" t="s">
        <v>32</v>
      </c>
      <c r="F511" t="s">
        <v>701</v>
      </c>
      <c r="G511">
        <v>921216762</v>
      </c>
      <c r="H511" t="s">
        <v>702</v>
      </c>
      <c r="I511">
        <v>7366</v>
      </c>
      <c r="J511">
        <v>154.06</v>
      </c>
      <c r="K511">
        <v>90.93</v>
      </c>
      <c r="L511">
        <v>1134805.96</v>
      </c>
      <c r="M511">
        <v>669790.38</v>
      </c>
      <c r="N511">
        <v>465015.58</v>
      </c>
    </row>
    <row r="512" spans="1:14" x14ac:dyDescent="0.25">
      <c r="A512" t="s">
        <v>25</v>
      </c>
      <c r="B512" t="s">
        <v>284</v>
      </c>
      <c r="C512" t="s">
        <v>113</v>
      </c>
      <c r="D512" t="s">
        <v>17</v>
      </c>
      <c r="E512" t="s">
        <v>18</v>
      </c>
      <c r="F512" s="1">
        <v>42563</v>
      </c>
      <c r="G512">
        <v>571323239</v>
      </c>
      <c r="H512" s="1">
        <v>42736</v>
      </c>
      <c r="I512">
        <v>6097</v>
      </c>
      <c r="J512">
        <v>154.06</v>
      </c>
      <c r="K512">
        <v>90.93</v>
      </c>
      <c r="L512">
        <v>939303.82</v>
      </c>
      <c r="M512">
        <v>554400.21</v>
      </c>
      <c r="N512">
        <v>384903.61</v>
      </c>
    </row>
    <row r="513" spans="1:14" x14ac:dyDescent="0.25">
      <c r="A513" t="s">
        <v>51</v>
      </c>
      <c r="B513" t="s">
        <v>219</v>
      </c>
      <c r="C513" t="s">
        <v>59</v>
      </c>
      <c r="D513" t="s">
        <v>17</v>
      </c>
      <c r="E513" t="s">
        <v>18</v>
      </c>
      <c r="F513" t="s">
        <v>703</v>
      </c>
      <c r="G513">
        <v>781251800</v>
      </c>
      <c r="H513" s="1">
        <v>41313</v>
      </c>
      <c r="I513">
        <v>8623</v>
      </c>
      <c r="J513">
        <v>437.2</v>
      </c>
      <c r="K513">
        <v>263.33</v>
      </c>
      <c r="L513">
        <v>3769975.6</v>
      </c>
      <c r="M513">
        <v>2270694.59</v>
      </c>
      <c r="N513">
        <v>1499281.01</v>
      </c>
    </row>
    <row r="514" spans="1:14" x14ac:dyDescent="0.25">
      <c r="A514" t="s">
        <v>29</v>
      </c>
      <c r="B514" t="s">
        <v>137</v>
      </c>
      <c r="C514" t="s">
        <v>69</v>
      </c>
      <c r="D514" t="s">
        <v>22</v>
      </c>
      <c r="E514" t="s">
        <v>23</v>
      </c>
      <c r="F514" t="s">
        <v>265</v>
      </c>
      <c r="G514">
        <v>296363770</v>
      </c>
      <c r="H514" t="s">
        <v>704</v>
      </c>
      <c r="I514">
        <v>9480</v>
      </c>
      <c r="J514">
        <v>421.89</v>
      </c>
      <c r="K514">
        <v>364.69</v>
      </c>
      <c r="L514">
        <v>3999517.2</v>
      </c>
      <c r="M514">
        <v>3457261.2</v>
      </c>
      <c r="N514">
        <v>542256</v>
      </c>
    </row>
    <row r="515" spans="1:14" x14ac:dyDescent="0.25">
      <c r="A515" t="s">
        <v>38</v>
      </c>
      <c r="B515" t="s">
        <v>83</v>
      </c>
      <c r="C515" t="s">
        <v>113</v>
      </c>
      <c r="D515" t="s">
        <v>17</v>
      </c>
      <c r="E515" t="s">
        <v>45</v>
      </c>
      <c r="F515" t="s">
        <v>705</v>
      </c>
      <c r="G515">
        <v>632332980</v>
      </c>
      <c r="H515" t="s">
        <v>706</v>
      </c>
      <c r="I515">
        <v>236</v>
      </c>
      <c r="J515">
        <v>154.06</v>
      </c>
      <c r="K515">
        <v>90.93</v>
      </c>
      <c r="L515">
        <v>36358.160000000003</v>
      </c>
      <c r="M515">
        <v>21459.48</v>
      </c>
      <c r="N515">
        <v>14898.68</v>
      </c>
    </row>
    <row r="516" spans="1:14" x14ac:dyDescent="0.25">
      <c r="A516" t="s">
        <v>38</v>
      </c>
      <c r="B516" t="s">
        <v>187</v>
      </c>
      <c r="C516" t="s">
        <v>59</v>
      </c>
      <c r="D516" t="s">
        <v>22</v>
      </c>
      <c r="E516" t="s">
        <v>45</v>
      </c>
      <c r="F516" t="s">
        <v>597</v>
      </c>
      <c r="G516">
        <v>225145757</v>
      </c>
      <c r="H516" s="1">
        <v>41396</v>
      </c>
      <c r="I516">
        <v>4487</v>
      </c>
      <c r="J516">
        <v>437.2</v>
      </c>
      <c r="K516">
        <v>263.33</v>
      </c>
      <c r="L516">
        <v>1961716.4</v>
      </c>
      <c r="M516">
        <v>1181561.71</v>
      </c>
      <c r="N516">
        <v>780154.69</v>
      </c>
    </row>
    <row r="517" spans="1:14" x14ac:dyDescent="0.25">
      <c r="A517" t="s">
        <v>25</v>
      </c>
      <c r="B517" t="s">
        <v>469</v>
      </c>
      <c r="C517" t="s">
        <v>21</v>
      </c>
      <c r="D517" t="s">
        <v>17</v>
      </c>
      <c r="E517" t="s">
        <v>45</v>
      </c>
      <c r="F517" t="s">
        <v>446</v>
      </c>
      <c r="G517">
        <v>281100928</v>
      </c>
      <c r="H517" s="1">
        <v>40979</v>
      </c>
      <c r="I517">
        <v>2866</v>
      </c>
      <c r="J517">
        <v>152.58000000000001</v>
      </c>
      <c r="K517">
        <v>97.44</v>
      </c>
      <c r="L517">
        <v>437294.28</v>
      </c>
      <c r="M517">
        <v>279263.03999999998</v>
      </c>
      <c r="N517">
        <v>158031.24</v>
      </c>
    </row>
    <row r="518" spans="1:14" x14ac:dyDescent="0.25">
      <c r="A518" t="s">
        <v>38</v>
      </c>
      <c r="B518" t="s">
        <v>83</v>
      </c>
      <c r="C518" t="s">
        <v>21</v>
      </c>
      <c r="D518" t="s">
        <v>17</v>
      </c>
      <c r="E518" t="s">
        <v>45</v>
      </c>
      <c r="F518" t="s">
        <v>332</v>
      </c>
      <c r="G518">
        <v>726809823</v>
      </c>
      <c r="H518" s="1">
        <v>41399</v>
      </c>
      <c r="I518">
        <v>8033</v>
      </c>
      <c r="J518">
        <v>152.58000000000001</v>
      </c>
      <c r="K518">
        <v>97.44</v>
      </c>
      <c r="L518">
        <v>1225675.1399999999</v>
      </c>
      <c r="M518">
        <v>782735.52</v>
      </c>
      <c r="N518">
        <v>442939.62</v>
      </c>
    </row>
    <row r="519" spans="1:14" x14ac:dyDescent="0.25">
      <c r="A519" t="s">
        <v>25</v>
      </c>
      <c r="B519" t="s">
        <v>556</v>
      </c>
      <c r="C519" t="s">
        <v>131</v>
      </c>
      <c r="D519" t="s">
        <v>17</v>
      </c>
      <c r="E519" t="s">
        <v>32</v>
      </c>
      <c r="F519" t="s">
        <v>707</v>
      </c>
      <c r="G519">
        <v>659196269</v>
      </c>
      <c r="H519" s="1">
        <v>41280</v>
      </c>
      <c r="I519">
        <v>9680</v>
      </c>
      <c r="J519">
        <v>668.27</v>
      </c>
      <c r="K519">
        <v>502.54</v>
      </c>
      <c r="L519">
        <v>6468853.5999999996</v>
      </c>
      <c r="M519">
        <v>4864587.2</v>
      </c>
      <c r="N519">
        <v>1604266.4</v>
      </c>
    </row>
    <row r="520" spans="1:14" x14ac:dyDescent="0.25">
      <c r="A520" t="s">
        <v>25</v>
      </c>
      <c r="B520" t="s">
        <v>74</v>
      </c>
      <c r="C520" t="s">
        <v>40</v>
      </c>
      <c r="D520" t="s">
        <v>22</v>
      </c>
      <c r="E520" t="s">
        <v>45</v>
      </c>
      <c r="F520" t="s">
        <v>708</v>
      </c>
      <c r="G520">
        <v>595496594</v>
      </c>
      <c r="H520" s="1">
        <v>41010</v>
      </c>
      <c r="I520">
        <v>9530</v>
      </c>
      <c r="J520">
        <v>81.73</v>
      </c>
      <c r="K520">
        <v>56.67</v>
      </c>
      <c r="L520">
        <v>778886.9</v>
      </c>
      <c r="M520">
        <v>540065.1</v>
      </c>
      <c r="N520">
        <v>238821.8</v>
      </c>
    </row>
    <row r="521" spans="1:14" x14ac:dyDescent="0.25">
      <c r="A521" t="s">
        <v>38</v>
      </c>
      <c r="B521" t="s">
        <v>388</v>
      </c>
      <c r="C521" t="s">
        <v>59</v>
      </c>
      <c r="D521" t="s">
        <v>22</v>
      </c>
      <c r="E521" t="s">
        <v>23</v>
      </c>
      <c r="F521" t="s">
        <v>709</v>
      </c>
      <c r="G521">
        <v>223259627</v>
      </c>
      <c r="H521" s="1">
        <v>42436</v>
      </c>
      <c r="I521">
        <v>6340</v>
      </c>
      <c r="J521">
        <v>437.2</v>
      </c>
      <c r="K521">
        <v>263.33</v>
      </c>
      <c r="L521">
        <v>2771848</v>
      </c>
      <c r="M521">
        <v>1669512.2</v>
      </c>
      <c r="N521">
        <v>1102335.8</v>
      </c>
    </row>
    <row r="522" spans="1:14" x14ac:dyDescent="0.25">
      <c r="A522" t="s">
        <v>51</v>
      </c>
      <c r="B522" t="s">
        <v>593</v>
      </c>
      <c r="C522" t="s">
        <v>113</v>
      </c>
      <c r="D522" t="s">
        <v>17</v>
      </c>
      <c r="E522" t="s">
        <v>45</v>
      </c>
      <c r="F522" t="s">
        <v>710</v>
      </c>
      <c r="G522">
        <v>650346696</v>
      </c>
      <c r="H522" s="1">
        <v>41707</v>
      </c>
      <c r="I522">
        <v>894</v>
      </c>
      <c r="J522">
        <v>154.06</v>
      </c>
      <c r="K522">
        <v>90.93</v>
      </c>
      <c r="L522">
        <v>137729.64000000001</v>
      </c>
      <c r="M522">
        <v>81291.42</v>
      </c>
      <c r="N522">
        <v>56438.22</v>
      </c>
    </row>
    <row r="523" spans="1:14" x14ac:dyDescent="0.25">
      <c r="A523" t="s">
        <v>25</v>
      </c>
      <c r="B523" t="s">
        <v>615</v>
      </c>
      <c r="C523" t="s">
        <v>40</v>
      </c>
      <c r="D523" t="s">
        <v>22</v>
      </c>
      <c r="E523" t="s">
        <v>45</v>
      </c>
      <c r="F523" t="s">
        <v>711</v>
      </c>
      <c r="G523">
        <v>354931628</v>
      </c>
      <c r="H523" s="1">
        <v>40396</v>
      </c>
      <c r="I523">
        <v>1011</v>
      </c>
      <c r="J523">
        <v>81.73</v>
      </c>
      <c r="K523">
        <v>56.67</v>
      </c>
      <c r="L523">
        <v>82629.03</v>
      </c>
      <c r="M523">
        <v>57293.37</v>
      </c>
      <c r="N523">
        <v>25335.66</v>
      </c>
    </row>
    <row r="524" spans="1:14" x14ac:dyDescent="0.25">
      <c r="A524" t="s">
        <v>38</v>
      </c>
      <c r="B524" t="s">
        <v>49</v>
      </c>
      <c r="C524" t="s">
        <v>21</v>
      </c>
      <c r="D524" t="s">
        <v>17</v>
      </c>
      <c r="E524" t="s">
        <v>18</v>
      </c>
      <c r="F524" t="s">
        <v>712</v>
      </c>
      <c r="G524">
        <v>135500752</v>
      </c>
      <c r="H524" t="s">
        <v>713</v>
      </c>
      <c r="I524">
        <v>6539</v>
      </c>
      <c r="J524">
        <v>152.58000000000001</v>
      </c>
      <c r="K524">
        <v>97.44</v>
      </c>
      <c r="L524">
        <v>997720.62</v>
      </c>
      <c r="M524">
        <v>637160.16</v>
      </c>
      <c r="N524">
        <v>360560.46</v>
      </c>
    </row>
    <row r="525" spans="1:14" x14ac:dyDescent="0.25">
      <c r="A525" t="s">
        <v>14</v>
      </c>
      <c r="B525" t="s">
        <v>433</v>
      </c>
      <c r="C525" t="s">
        <v>31</v>
      </c>
      <c r="D525" t="s">
        <v>17</v>
      </c>
      <c r="E525" t="s">
        <v>45</v>
      </c>
      <c r="F525" s="1">
        <v>42554</v>
      </c>
      <c r="G525">
        <v>860852897</v>
      </c>
      <c r="H525" t="s">
        <v>714</v>
      </c>
      <c r="I525">
        <v>4357</v>
      </c>
      <c r="J525">
        <v>205.7</v>
      </c>
      <c r="K525">
        <v>117.11</v>
      </c>
      <c r="L525">
        <v>896234.9</v>
      </c>
      <c r="M525">
        <v>510248.27</v>
      </c>
      <c r="N525">
        <v>385986.63</v>
      </c>
    </row>
    <row r="526" spans="1:14" x14ac:dyDescent="0.25">
      <c r="A526" t="s">
        <v>38</v>
      </c>
      <c r="B526" t="s">
        <v>156</v>
      </c>
      <c r="C526" t="s">
        <v>113</v>
      </c>
      <c r="D526" t="s">
        <v>22</v>
      </c>
      <c r="E526" t="s">
        <v>45</v>
      </c>
      <c r="F526" t="s">
        <v>715</v>
      </c>
      <c r="G526">
        <v>320099389</v>
      </c>
      <c r="H526" s="1">
        <v>41681</v>
      </c>
      <c r="I526">
        <v>3377</v>
      </c>
      <c r="J526">
        <v>154.06</v>
      </c>
      <c r="K526">
        <v>90.93</v>
      </c>
      <c r="L526">
        <v>520260.62</v>
      </c>
      <c r="M526">
        <v>307070.61</v>
      </c>
      <c r="N526">
        <v>213190.01</v>
      </c>
    </row>
    <row r="527" spans="1:14" x14ac:dyDescent="0.25">
      <c r="A527" t="s">
        <v>51</v>
      </c>
      <c r="B527" t="s">
        <v>295</v>
      </c>
      <c r="C527" t="s">
        <v>55</v>
      </c>
      <c r="D527" t="s">
        <v>22</v>
      </c>
      <c r="E527" t="s">
        <v>18</v>
      </c>
      <c r="F527" t="s">
        <v>616</v>
      </c>
      <c r="G527">
        <v>872664058</v>
      </c>
      <c r="H527" t="s">
        <v>716</v>
      </c>
      <c r="I527">
        <v>9542</v>
      </c>
      <c r="J527">
        <v>651.21</v>
      </c>
      <c r="K527">
        <v>524.96</v>
      </c>
      <c r="L527">
        <v>6213845.8200000003</v>
      </c>
      <c r="M527">
        <v>5009168.32</v>
      </c>
      <c r="N527">
        <v>1204677.5</v>
      </c>
    </row>
    <row r="528" spans="1:14" x14ac:dyDescent="0.25">
      <c r="A528" t="s">
        <v>29</v>
      </c>
      <c r="B528" t="s">
        <v>61</v>
      </c>
      <c r="C528" t="s">
        <v>31</v>
      </c>
      <c r="D528" t="s">
        <v>22</v>
      </c>
      <c r="E528" t="s">
        <v>45</v>
      </c>
      <c r="F528" t="s">
        <v>717</v>
      </c>
      <c r="G528">
        <v>898283231</v>
      </c>
      <c r="H528" t="s">
        <v>402</v>
      </c>
      <c r="I528">
        <v>825</v>
      </c>
      <c r="J528">
        <v>205.7</v>
      </c>
      <c r="K528">
        <v>117.11</v>
      </c>
      <c r="L528">
        <v>169702.5</v>
      </c>
      <c r="M528">
        <v>96615.75</v>
      </c>
      <c r="N528">
        <v>73086.75</v>
      </c>
    </row>
    <row r="529" spans="1:14" x14ac:dyDescent="0.25">
      <c r="A529" t="s">
        <v>29</v>
      </c>
      <c r="B529" t="s">
        <v>338</v>
      </c>
      <c r="C529" t="s">
        <v>31</v>
      </c>
      <c r="D529" t="s">
        <v>17</v>
      </c>
      <c r="E529" t="s">
        <v>32</v>
      </c>
      <c r="F529" s="1">
        <v>40853</v>
      </c>
      <c r="G529">
        <v>647005736</v>
      </c>
      <c r="H529" s="1">
        <v>40883</v>
      </c>
      <c r="I529">
        <v>2230</v>
      </c>
      <c r="J529">
        <v>205.7</v>
      </c>
      <c r="K529">
        <v>117.11</v>
      </c>
      <c r="L529">
        <v>458711</v>
      </c>
      <c r="M529">
        <v>261155.3</v>
      </c>
      <c r="N529">
        <v>197555.7</v>
      </c>
    </row>
    <row r="530" spans="1:14" x14ac:dyDescent="0.25">
      <c r="A530" t="s">
        <v>42</v>
      </c>
      <c r="B530" t="s">
        <v>174</v>
      </c>
      <c r="C530" t="s">
        <v>27</v>
      </c>
      <c r="D530" t="s">
        <v>17</v>
      </c>
      <c r="E530" t="s">
        <v>23</v>
      </c>
      <c r="F530" t="s">
        <v>718</v>
      </c>
      <c r="G530">
        <v>889192903</v>
      </c>
      <c r="H530" s="1">
        <v>41275</v>
      </c>
      <c r="I530">
        <v>795</v>
      </c>
      <c r="J530">
        <v>47.45</v>
      </c>
      <c r="K530">
        <v>31.79</v>
      </c>
      <c r="L530">
        <v>37722.75</v>
      </c>
      <c r="M530">
        <v>25273.05</v>
      </c>
      <c r="N530">
        <v>12449.7</v>
      </c>
    </row>
    <row r="531" spans="1:14" x14ac:dyDescent="0.25">
      <c r="A531" t="s">
        <v>29</v>
      </c>
      <c r="B531" t="s">
        <v>243</v>
      </c>
      <c r="C531" t="s">
        <v>88</v>
      </c>
      <c r="D531" t="s">
        <v>17</v>
      </c>
      <c r="E531" t="s">
        <v>32</v>
      </c>
      <c r="F531" s="1">
        <v>41671</v>
      </c>
      <c r="G531">
        <v>665518558</v>
      </c>
      <c r="H531" t="s">
        <v>719</v>
      </c>
      <c r="I531">
        <v>585</v>
      </c>
      <c r="J531">
        <v>9.33</v>
      </c>
      <c r="K531">
        <v>6.92</v>
      </c>
      <c r="L531">
        <v>5458.05</v>
      </c>
      <c r="M531">
        <v>4048.2</v>
      </c>
      <c r="N531">
        <v>1409.85</v>
      </c>
    </row>
    <row r="532" spans="1:14" x14ac:dyDescent="0.25">
      <c r="A532" t="s">
        <v>25</v>
      </c>
      <c r="B532" t="s">
        <v>426</v>
      </c>
      <c r="C532" t="s">
        <v>69</v>
      </c>
      <c r="D532" t="s">
        <v>22</v>
      </c>
      <c r="E532" t="s">
        <v>23</v>
      </c>
      <c r="F532" t="s">
        <v>720</v>
      </c>
      <c r="G532">
        <v>436969029</v>
      </c>
      <c r="H532" t="s">
        <v>721</v>
      </c>
      <c r="I532">
        <v>7701</v>
      </c>
      <c r="J532">
        <v>421.89</v>
      </c>
      <c r="K532">
        <v>364.69</v>
      </c>
      <c r="L532">
        <v>3248974.89</v>
      </c>
      <c r="M532">
        <v>2808477.69</v>
      </c>
      <c r="N532">
        <v>440497.2</v>
      </c>
    </row>
    <row r="533" spans="1:14" x14ac:dyDescent="0.25">
      <c r="A533" t="s">
        <v>29</v>
      </c>
      <c r="B533" t="s">
        <v>137</v>
      </c>
      <c r="C533" t="s">
        <v>59</v>
      </c>
      <c r="D533" t="s">
        <v>17</v>
      </c>
      <c r="E533" t="s">
        <v>45</v>
      </c>
      <c r="F533" s="1">
        <v>42377</v>
      </c>
      <c r="G533">
        <v>734843146</v>
      </c>
      <c r="H533" t="s">
        <v>722</v>
      </c>
      <c r="I533">
        <v>5272</v>
      </c>
      <c r="J533">
        <v>437.2</v>
      </c>
      <c r="K533">
        <v>263.33</v>
      </c>
      <c r="L533">
        <v>2304918.4</v>
      </c>
      <c r="M533">
        <v>1388275.76</v>
      </c>
      <c r="N533">
        <v>916642.64</v>
      </c>
    </row>
    <row r="534" spans="1:14" x14ac:dyDescent="0.25">
      <c r="A534" t="s">
        <v>25</v>
      </c>
      <c r="B534" t="s">
        <v>386</v>
      </c>
      <c r="C534" t="s">
        <v>113</v>
      </c>
      <c r="D534" t="s">
        <v>17</v>
      </c>
      <c r="E534" t="s">
        <v>32</v>
      </c>
      <c r="F534" t="s">
        <v>723</v>
      </c>
      <c r="G534">
        <v>810752236</v>
      </c>
      <c r="H534" s="1">
        <v>42465</v>
      </c>
      <c r="I534">
        <v>8458</v>
      </c>
      <c r="J534">
        <v>154.06</v>
      </c>
      <c r="K534">
        <v>90.93</v>
      </c>
      <c r="L534">
        <v>1303039.48</v>
      </c>
      <c r="M534">
        <v>769085.94</v>
      </c>
      <c r="N534">
        <v>533953.54</v>
      </c>
    </row>
    <row r="535" spans="1:14" x14ac:dyDescent="0.25">
      <c r="A535" t="s">
        <v>25</v>
      </c>
      <c r="B535" t="s">
        <v>469</v>
      </c>
      <c r="C535" t="s">
        <v>55</v>
      </c>
      <c r="D535" t="s">
        <v>22</v>
      </c>
      <c r="E535" t="s">
        <v>23</v>
      </c>
      <c r="F535" s="1">
        <v>40762</v>
      </c>
      <c r="G535">
        <v>886620128</v>
      </c>
      <c r="H535" t="s">
        <v>724</v>
      </c>
      <c r="I535">
        <v>9453</v>
      </c>
      <c r="J535">
        <v>651.21</v>
      </c>
      <c r="K535">
        <v>524.96</v>
      </c>
      <c r="L535">
        <v>6155888.1299999999</v>
      </c>
      <c r="M535">
        <v>4962446.88</v>
      </c>
      <c r="N535">
        <v>1193441.25</v>
      </c>
    </row>
    <row r="536" spans="1:14" x14ac:dyDescent="0.25">
      <c r="A536" t="s">
        <v>51</v>
      </c>
      <c r="B536" t="s">
        <v>350</v>
      </c>
      <c r="C536" t="s">
        <v>69</v>
      </c>
      <c r="D536" t="s">
        <v>17</v>
      </c>
      <c r="E536" t="s">
        <v>18</v>
      </c>
      <c r="F536" s="1">
        <v>40856</v>
      </c>
      <c r="G536">
        <v>804683148</v>
      </c>
      <c r="H536" t="s">
        <v>725</v>
      </c>
      <c r="I536">
        <v>2480</v>
      </c>
      <c r="J536">
        <v>421.89</v>
      </c>
      <c r="K536">
        <v>364.69</v>
      </c>
      <c r="L536">
        <v>1046287.2</v>
      </c>
      <c r="M536">
        <v>904431.2</v>
      </c>
      <c r="N536">
        <v>141856</v>
      </c>
    </row>
    <row r="537" spans="1:14" x14ac:dyDescent="0.25">
      <c r="A537" t="s">
        <v>42</v>
      </c>
      <c r="B537" t="s">
        <v>174</v>
      </c>
      <c r="C537" t="s">
        <v>131</v>
      </c>
      <c r="D537" t="s">
        <v>17</v>
      </c>
      <c r="E537" t="s">
        <v>32</v>
      </c>
      <c r="F537" s="1">
        <v>42045</v>
      </c>
      <c r="G537">
        <v>477490127</v>
      </c>
      <c r="H537" s="1">
        <v>42073</v>
      </c>
      <c r="I537">
        <v>8794</v>
      </c>
      <c r="J537">
        <v>668.27</v>
      </c>
      <c r="K537">
        <v>502.54</v>
      </c>
      <c r="L537">
        <v>5876766.3799999999</v>
      </c>
      <c r="M537">
        <v>4419336.76</v>
      </c>
      <c r="N537">
        <v>1457429.62</v>
      </c>
    </row>
    <row r="538" spans="1:14" x14ac:dyDescent="0.25">
      <c r="A538" t="s">
        <v>42</v>
      </c>
      <c r="B538" t="s">
        <v>290</v>
      </c>
      <c r="C538" t="s">
        <v>21</v>
      </c>
      <c r="D538" t="s">
        <v>17</v>
      </c>
      <c r="E538" t="s">
        <v>45</v>
      </c>
      <c r="F538" s="1">
        <v>42432</v>
      </c>
      <c r="G538">
        <v>337902390</v>
      </c>
      <c r="H538" t="s">
        <v>726</v>
      </c>
      <c r="I538">
        <v>1681</v>
      </c>
      <c r="J538">
        <v>152.58000000000001</v>
      </c>
      <c r="K538">
        <v>97.44</v>
      </c>
      <c r="L538">
        <v>256486.98</v>
      </c>
      <c r="M538">
        <v>163796.64000000001</v>
      </c>
      <c r="N538">
        <v>92690.34</v>
      </c>
    </row>
    <row r="539" spans="1:14" x14ac:dyDescent="0.25">
      <c r="A539" t="s">
        <v>25</v>
      </c>
      <c r="B539" t="s">
        <v>134</v>
      </c>
      <c r="C539" t="s">
        <v>31</v>
      </c>
      <c r="D539" t="s">
        <v>22</v>
      </c>
      <c r="E539" t="s">
        <v>18</v>
      </c>
      <c r="F539" s="1">
        <v>40455</v>
      </c>
      <c r="G539">
        <v>889093768</v>
      </c>
      <c r="H539" t="s">
        <v>727</v>
      </c>
      <c r="I539">
        <v>1458</v>
      </c>
      <c r="J539">
        <v>205.7</v>
      </c>
      <c r="K539">
        <v>117.11</v>
      </c>
      <c r="L539">
        <v>299910.59999999998</v>
      </c>
      <c r="M539">
        <v>170746.38</v>
      </c>
      <c r="N539">
        <v>129164.22</v>
      </c>
    </row>
    <row r="540" spans="1:14" x14ac:dyDescent="0.25">
      <c r="A540" t="s">
        <v>25</v>
      </c>
      <c r="B540" t="s">
        <v>218</v>
      </c>
      <c r="C540" t="s">
        <v>31</v>
      </c>
      <c r="D540" t="s">
        <v>17</v>
      </c>
      <c r="E540" t="s">
        <v>23</v>
      </c>
      <c r="F540" s="1">
        <v>40702</v>
      </c>
      <c r="G540">
        <v>454550588</v>
      </c>
      <c r="H540" s="1">
        <v>40703</v>
      </c>
      <c r="I540">
        <v>475</v>
      </c>
      <c r="J540">
        <v>205.7</v>
      </c>
      <c r="K540">
        <v>117.11</v>
      </c>
      <c r="L540">
        <v>97707.5</v>
      </c>
      <c r="M540">
        <v>55627.25</v>
      </c>
      <c r="N540">
        <v>42080.25</v>
      </c>
    </row>
    <row r="541" spans="1:14" x14ac:dyDescent="0.25">
      <c r="A541" t="s">
        <v>29</v>
      </c>
      <c r="B541" t="s">
        <v>338</v>
      </c>
      <c r="C541" t="s">
        <v>44</v>
      </c>
      <c r="D541" t="s">
        <v>22</v>
      </c>
      <c r="E541" t="s">
        <v>45</v>
      </c>
      <c r="F541" t="s">
        <v>728</v>
      </c>
      <c r="G541">
        <v>128071677</v>
      </c>
      <c r="H541" s="1">
        <v>42196</v>
      </c>
      <c r="I541">
        <v>8110</v>
      </c>
      <c r="J541">
        <v>109.28</v>
      </c>
      <c r="K541">
        <v>35.840000000000003</v>
      </c>
      <c r="L541">
        <v>886260.8</v>
      </c>
      <c r="M541">
        <v>290662.40000000002</v>
      </c>
      <c r="N541">
        <v>595598.4</v>
      </c>
    </row>
    <row r="542" spans="1:14" x14ac:dyDescent="0.25">
      <c r="A542" t="s">
        <v>29</v>
      </c>
      <c r="B542" t="s">
        <v>30</v>
      </c>
      <c r="C542" t="s">
        <v>40</v>
      </c>
      <c r="D542" t="s">
        <v>17</v>
      </c>
      <c r="E542" t="s">
        <v>18</v>
      </c>
      <c r="F542" t="s">
        <v>729</v>
      </c>
      <c r="G542">
        <v>623768365</v>
      </c>
      <c r="H542" t="s">
        <v>135</v>
      </c>
      <c r="I542">
        <v>5776</v>
      </c>
      <c r="J542">
        <v>81.73</v>
      </c>
      <c r="K542">
        <v>56.67</v>
      </c>
      <c r="L542">
        <v>472072.48</v>
      </c>
      <c r="M542">
        <v>327325.92</v>
      </c>
      <c r="N542">
        <v>144746.56</v>
      </c>
    </row>
    <row r="543" spans="1:14" x14ac:dyDescent="0.25">
      <c r="A543" t="s">
        <v>25</v>
      </c>
      <c r="B543" t="s">
        <v>72</v>
      </c>
      <c r="C543" t="s">
        <v>55</v>
      </c>
      <c r="D543" t="s">
        <v>17</v>
      </c>
      <c r="E543" t="s">
        <v>32</v>
      </c>
      <c r="F543" t="s">
        <v>730</v>
      </c>
      <c r="G543">
        <v>926064479</v>
      </c>
      <c r="H543" s="1">
        <v>43011</v>
      </c>
      <c r="I543">
        <v>1913</v>
      </c>
      <c r="J543">
        <v>651.21</v>
      </c>
      <c r="K543">
        <v>524.96</v>
      </c>
      <c r="L543">
        <v>1245764.73</v>
      </c>
      <c r="M543">
        <v>1004248.48</v>
      </c>
      <c r="N543">
        <v>241516.25</v>
      </c>
    </row>
    <row r="544" spans="1:14" x14ac:dyDescent="0.25">
      <c r="A544" t="s">
        <v>51</v>
      </c>
      <c r="B544" t="s">
        <v>295</v>
      </c>
      <c r="C544" t="s">
        <v>40</v>
      </c>
      <c r="D544" t="s">
        <v>17</v>
      </c>
      <c r="E544" t="s">
        <v>45</v>
      </c>
      <c r="F544" t="s">
        <v>67</v>
      </c>
      <c r="G544">
        <v>539696347</v>
      </c>
      <c r="H544" s="1">
        <v>40848</v>
      </c>
      <c r="I544">
        <v>6997</v>
      </c>
      <c r="J544">
        <v>81.73</v>
      </c>
      <c r="K544">
        <v>56.67</v>
      </c>
      <c r="L544">
        <v>571864.81000000006</v>
      </c>
      <c r="M544">
        <v>396519.99</v>
      </c>
      <c r="N544">
        <v>175344.82</v>
      </c>
    </row>
    <row r="545" spans="1:14" x14ac:dyDescent="0.25">
      <c r="A545" t="s">
        <v>42</v>
      </c>
      <c r="B545" t="s">
        <v>150</v>
      </c>
      <c r="C545" t="s">
        <v>131</v>
      </c>
      <c r="D545" t="s">
        <v>22</v>
      </c>
      <c r="E545" t="s">
        <v>32</v>
      </c>
      <c r="F545" t="s">
        <v>731</v>
      </c>
      <c r="G545">
        <v>839712798</v>
      </c>
      <c r="H545" t="s">
        <v>71</v>
      </c>
      <c r="I545">
        <v>8532</v>
      </c>
      <c r="J545">
        <v>668.27</v>
      </c>
      <c r="K545">
        <v>502.54</v>
      </c>
      <c r="L545">
        <v>5701679.6399999997</v>
      </c>
      <c r="M545">
        <v>4287671.28</v>
      </c>
      <c r="N545">
        <v>1414008.36</v>
      </c>
    </row>
    <row r="546" spans="1:14" x14ac:dyDescent="0.25">
      <c r="A546" t="s">
        <v>29</v>
      </c>
      <c r="B546" t="s">
        <v>440</v>
      </c>
      <c r="C546" t="s">
        <v>27</v>
      </c>
      <c r="D546" t="s">
        <v>22</v>
      </c>
      <c r="E546" t="s">
        <v>23</v>
      </c>
      <c r="F546" t="s">
        <v>75</v>
      </c>
      <c r="G546">
        <v>121475160</v>
      </c>
      <c r="H546" s="1">
        <v>40402</v>
      </c>
      <c r="I546">
        <v>6054</v>
      </c>
      <c r="J546">
        <v>47.45</v>
      </c>
      <c r="K546">
        <v>31.79</v>
      </c>
      <c r="L546">
        <v>287262.3</v>
      </c>
      <c r="M546">
        <v>192456.66</v>
      </c>
      <c r="N546">
        <v>94805.64</v>
      </c>
    </row>
    <row r="547" spans="1:14" x14ac:dyDescent="0.25">
      <c r="A547" t="s">
        <v>14</v>
      </c>
      <c r="B547" t="s">
        <v>372</v>
      </c>
      <c r="C547" t="s">
        <v>44</v>
      </c>
      <c r="D547" t="s">
        <v>17</v>
      </c>
      <c r="E547" t="s">
        <v>45</v>
      </c>
      <c r="F547" s="1">
        <v>42373</v>
      </c>
      <c r="G547">
        <v>350657260</v>
      </c>
      <c r="H547" t="s">
        <v>732</v>
      </c>
      <c r="I547">
        <v>6130</v>
      </c>
      <c r="J547">
        <v>109.28</v>
      </c>
      <c r="K547">
        <v>35.840000000000003</v>
      </c>
      <c r="L547">
        <v>669886.4</v>
      </c>
      <c r="M547">
        <v>219699.20000000001</v>
      </c>
      <c r="N547">
        <v>450187.2</v>
      </c>
    </row>
    <row r="548" spans="1:14" x14ac:dyDescent="0.25">
      <c r="A548" t="s">
        <v>25</v>
      </c>
      <c r="B548" t="s">
        <v>529</v>
      </c>
      <c r="C548" t="s">
        <v>88</v>
      </c>
      <c r="D548" t="s">
        <v>22</v>
      </c>
      <c r="E548" t="s">
        <v>23</v>
      </c>
      <c r="F548" t="s">
        <v>733</v>
      </c>
      <c r="G548">
        <v>413245427</v>
      </c>
      <c r="H548" s="1">
        <v>42407</v>
      </c>
      <c r="I548">
        <v>7360</v>
      </c>
      <c r="J548">
        <v>9.33</v>
      </c>
      <c r="K548">
        <v>6.92</v>
      </c>
      <c r="L548">
        <v>68668.800000000003</v>
      </c>
      <c r="M548">
        <v>50931.199999999997</v>
      </c>
      <c r="N548">
        <v>17737.599999999999</v>
      </c>
    </row>
    <row r="549" spans="1:14" x14ac:dyDescent="0.25">
      <c r="A549" t="s">
        <v>51</v>
      </c>
      <c r="B549" t="s">
        <v>734</v>
      </c>
      <c r="C549" t="s">
        <v>131</v>
      </c>
      <c r="D549" t="s">
        <v>22</v>
      </c>
      <c r="E549" t="s">
        <v>18</v>
      </c>
      <c r="F549" s="1">
        <v>42073</v>
      </c>
      <c r="G549">
        <v>165538489</v>
      </c>
      <c r="H549" s="1">
        <v>42226</v>
      </c>
      <c r="I549">
        <v>5372</v>
      </c>
      <c r="J549">
        <v>668.27</v>
      </c>
      <c r="K549">
        <v>502.54</v>
      </c>
      <c r="L549">
        <v>3589946.44</v>
      </c>
      <c r="M549">
        <v>2699644.88</v>
      </c>
      <c r="N549">
        <v>890301.56</v>
      </c>
    </row>
    <row r="550" spans="1:14" x14ac:dyDescent="0.25">
      <c r="A550" t="s">
        <v>25</v>
      </c>
      <c r="B550" t="s">
        <v>134</v>
      </c>
      <c r="C550" t="s">
        <v>27</v>
      </c>
      <c r="D550" t="s">
        <v>17</v>
      </c>
      <c r="E550" t="s">
        <v>45</v>
      </c>
      <c r="F550" t="s">
        <v>735</v>
      </c>
      <c r="G550">
        <v>884147775</v>
      </c>
      <c r="H550" t="s">
        <v>736</v>
      </c>
      <c r="I550">
        <v>7829</v>
      </c>
      <c r="J550">
        <v>47.45</v>
      </c>
      <c r="K550">
        <v>31.79</v>
      </c>
      <c r="L550">
        <v>371486.05</v>
      </c>
      <c r="M550">
        <v>248883.91</v>
      </c>
      <c r="N550">
        <v>122602.14</v>
      </c>
    </row>
    <row r="551" spans="1:14" x14ac:dyDescent="0.25">
      <c r="A551" t="s">
        <v>51</v>
      </c>
      <c r="B551" t="s">
        <v>100</v>
      </c>
      <c r="C551" t="s">
        <v>59</v>
      </c>
      <c r="D551" t="s">
        <v>17</v>
      </c>
      <c r="E551" t="s">
        <v>23</v>
      </c>
      <c r="F551" t="s">
        <v>737</v>
      </c>
      <c r="G551">
        <v>315997111</v>
      </c>
      <c r="H551" t="s">
        <v>710</v>
      </c>
      <c r="I551">
        <v>9422</v>
      </c>
      <c r="J551">
        <v>437.2</v>
      </c>
      <c r="K551">
        <v>263.33</v>
      </c>
      <c r="L551">
        <v>4119298.4</v>
      </c>
      <c r="M551">
        <v>2481095.2599999998</v>
      </c>
      <c r="N551">
        <v>1638203.14</v>
      </c>
    </row>
    <row r="552" spans="1:14" x14ac:dyDescent="0.25">
      <c r="A552" t="s">
        <v>25</v>
      </c>
      <c r="B552" t="s">
        <v>529</v>
      </c>
      <c r="C552" t="s">
        <v>59</v>
      </c>
      <c r="D552" t="s">
        <v>17</v>
      </c>
      <c r="E552" t="s">
        <v>23</v>
      </c>
      <c r="F552" t="s">
        <v>738</v>
      </c>
      <c r="G552">
        <v>328322827</v>
      </c>
      <c r="H552" t="s">
        <v>739</v>
      </c>
      <c r="I552">
        <v>6876</v>
      </c>
      <c r="J552">
        <v>437.2</v>
      </c>
      <c r="K552">
        <v>263.33</v>
      </c>
      <c r="L552">
        <v>3006187.2</v>
      </c>
      <c r="M552">
        <v>1810657.08</v>
      </c>
      <c r="N552">
        <v>1195530.1200000001</v>
      </c>
    </row>
    <row r="553" spans="1:14" x14ac:dyDescent="0.25">
      <c r="A553" t="s">
        <v>25</v>
      </c>
      <c r="B553" t="s">
        <v>497</v>
      </c>
      <c r="C553" t="s">
        <v>21</v>
      </c>
      <c r="D553" t="s">
        <v>17</v>
      </c>
      <c r="E553" t="s">
        <v>45</v>
      </c>
      <c r="F553" t="s">
        <v>740</v>
      </c>
      <c r="G553">
        <v>158673751</v>
      </c>
      <c r="H553" s="1">
        <v>41917</v>
      </c>
      <c r="I553">
        <v>3944</v>
      </c>
      <c r="J553">
        <v>152.58000000000001</v>
      </c>
      <c r="K553">
        <v>97.44</v>
      </c>
      <c r="L553">
        <v>601775.52</v>
      </c>
      <c r="M553">
        <v>384303.35999999999</v>
      </c>
      <c r="N553">
        <v>217472.16</v>
      </c>
    </row>
    <row r="554" spans="1:14" x14ac:dyDescent="0.25">
      <c r="A554" t="s">
        <v>25</v>
      </c>
      <c r="B554" t="s">
        <v>469</v>
      </c>
      <c r="C554" t="s">
        <v>21</v>
      </c>
      <c r="D554" t="s">
        <v>22</v>
      </c>
      <c r="E554" t="s">
        <v>32</v>
      </c>
      <c r="F554" s="1">
        <v>41821</v>
      </c>
      <c r="G554">
        <v>464911210</v>
      </c>
      <c r="H554" s="1">
        <v>41914</v>
      </c>
      <c r="I554">
        <v>6413</v>
      </c>
      <c r="J554">
        <v>152.58000000000001</v>
      </c>
      <c r="K554">
        <v>97.44</v>
      </c>
      <c r="L554">
        <v>978495.54</v>
      </c>
      <c r="M554">
        <v>624882.72</v>
      </c>
      <c r="N554">
        <v>353612.82</v>
      </c>
    </row>
    <row r="555" spans="1:14" x14ac:dyDescent="0.25">
      <c r="A555" t="s">
        <v>29</v>
      </c>
      <c r="B555" t="s">
        <v>137</v>
      </c>
      <c r="C555" t="s">
        <v>16</v>
      </c>
      <c r="D555" t="s">
        <v>17</v>
      </c>
      <c r="E555" t="s">
        <v>32</v>
      </c>
      <c r="F555" s="1">
        <v>40818</v>
      </c>
      <c r="G555">
        <v>175209033</v>
      </c>
      <c r="H555" s="1">
        <v>40819</v>
      </c>
      <c r="I555">
        <v>7101</v>
      </c>
      <c r="J555">
        <v>255.28</v>
      </c>
      <c r="K555">
        <v>159.41999999999999</v>
      </c>
      <c r="L555">
        <v>1812743.28</v>
      </c>
      <c r="M555">
        <v>1132041.42</v>
      </c>
      <c r="N555">
        <v>680701.86</v>
      </c>
    </row>
    <row r="556" spans="1:14" x14ac:dyDescent="0.25">
      <c r="A556" t="s">
        <v>38</v>
      </c>
      <c r="B556" t="s">
        <v>39</v>
      </c>
      <c r="C556" t="s">
        <v>131</v>
      </c>
      <c r="D556" t="s">
        <v>17</v>
      </c>
      <c r="E556" t="s">
        <v>32</v>
      </c>
      <c r="F556" s="1">
        <v>41522</v>
      </c>
      <c r="G556">
        <v>538053548</v>
      </c>
      <c r="H556" t="s">
        <v>741</v>
      </c>
      <c r="I556">
        <v>856</v>
      </c>
      <c r="J556">
        <v>668.27</v>
      </c>
      <c r="K556">
        <v>502.54</v>
      </c>
      <c r="L556">
        <v>572039.12</v>
      </c>
      <c r="M556">
        <v>430174.24</v>
      </c>
      <c r="N556">
        <v>141864.88</v>
      </c>
    </row>
    <row r="557" spans="1:14" x14ac:dyDescent="0.25">
      <c r="A557" t="s">
        <v>51</v>
      </c>
      <c r="B557" t="s">
        <v>414</v>
      </c>
      <c r="C557" t="s">
        <v>40</v>
      </c>
      <c r="D557" t="s">
        <v>17</v>
      </c>
      <c r="E557" t="s">
        <v>45</v>
      </c>
      <c r="F557" t="s">
        <v>742</v>
      </c>
      <c r="G557">
        <v>172243583</v>
      </c>
      <c r="H557" t="s">
        <v>743</v>
      </c>
      <c r="I557">
        <v>9559</v>
      </c>
      <c r="J557">
        <v>81.73</v>
      </c>
      <c r="K557">
        <v>56.67</v>
      </c>
      <c r="L557">
        <v>781257.07</v>
      </c>
      <c r="M557">
        <v>541708.53</v>
      </c>
      <c r="N557">
        <v>239548.54</v>
      </c>
    </row>
    <row r="558" spans="1:14" x14ac:dyDescent="0.25">
      <c r="A558" t="s">
        <v>14</v>
      </c>
      <c r="B558" t="s">
        <v>383</v>
      </c>
      <c r="C558" t="s">
        <v>16</v>
      </c>
      <c r="D558" t="s">
        <v>22</v>
      </c>
      <c r="E558" t="s">
        <v>45</v>
      </c>
      <c r="F558" t="s">
        <v>744</v>
      </c>
      <c r="G558">
        <v>916890466</v>
      </c>
      <c r="H558" t="s">
        <v>624</v>
      </c>
      <c r="I558">
        <v>7119</v>
      </c>
      <c r="J558">
        <v>255.28</v>
      </c>
      <c r="K558">
        <v>159.41999999999999</v>
      </c>
      <c r="L558">
        <v>1817338.32</v>
      </c>
      <c r="M558">
        <v>1134910.98</v>
      </c>
      <c r="N558">
        <v>682427.34</v>
      </c>
    </row>
    <row r="559" spans="1:14" x14ac:dyDescent="0.25">
      <c r="A559" t="s">
        <v>29</v>
      </c>
      <c r="B559" t="s">
        <v>586</v>
      </c>
      <c r="C559" t="s">
        <v>55</v>
      </c>
      <c r="D559" t="s">
        <v>17</v>
      </c>
      <c r="E559" t="s">
        <v>18</v>
      </c>
      <c r="F559" s="1">
        <v>41365</v>
      </c>
      <c r="G559">
        <v>181418025</v>
      </c>
      <c r="H559" t="s">
        <v>261</v>
      </c>
      <c r="I559">
        <v>4480</v>
      </c>
      <c r="J559">
        <v>651.21</v>
      </c>
      <c r="K559">
        <v>524.96</v>
      </c>
      <c r="L559">
        <v>2917420.8</v>
      </c>
      <c r="M559">
        <v>2351820.7999999998</v>
      </c>
      <c r="N559">
        <v>565600</v>
      </c>
    </row>
    <row r="560" spans="1:14" x14ac:dyDescent="0.25">
      <c r="A560" t="s">
        <v>25</v>
      </c>
      <c r="B560" t="s">
        <v>204</v>
      </c>
      <c r="C560" t="s">
        <v>27</v>
      </c>
      <c r="D560" t="s">
        <v>17</v>
      </c>
      <c r="E560" t="s">
        <v>23</v>
      </c>
      <c r="F560" s="1">
        <v>40522</v>
      </c>
      <c r="G560">
        <v>395562589</v>
      </c>
      <c r="H560" s="1">
        <v>40190</v>
      </c>
      <c r="I560">
        <v>4615</v>
      </c>
      <c r="J560">
        <v>47.45</v>
      </c>
      <c r="K560">
        <v>31.79</v>
      </c>
      <c r="L560">
        <v>218981.75</v>
      </c>
      <c r="M560">
        <v>146710.85</v>
      </c>
      <c r="N560">
        <v>72270.899999999994</v>
      </c>
    </row>
    <row r="561" spans="1:14" x14ac:dyDescent="0.25">
      <c r="A561" t="s">
        <v>25</v>
      </c>
      <c r="B561" t="s">
        <v>469</v>
      </c>
      <c r="C561" t="s">
        <v>16</v>
      </c>
      <c r="D561" t="s">
        <v>22</v>
      </c>
      <c r="E561" t="s">
        <v>45</v>
      </c>
      <c r="F561" s="1">
        <v>40911</v>
      </c>
      <c r="G561">
        <v>459372985</v>
      </c>
      <c r="H561" t="s">
        <v>91</v>
      </c>
      <c r="I561">
        <v>7529</v>
      </c>
      <c r="J561">
        <v>255.28</v>
      </c>
      <c r="K561">
        <v>159.41999999999999</v>
      </c>
      <c r="L561">
        <v>1922003.12</v>
      </c>
      <c r="M561">
        <v>1200273.18</v>
      </c>
      <c r="N561">
        <v>721729.94</v>
      </c>
    </row>
    <row r="562" spans="1:14" x14ac:dyDescent="0.25">
      <c r="A562" t="s">
        <v>25</v>
      </c>
      <c r="B562" t="s">
        <v>284</v>
      </c>
      <c r="C562" t="s">
        <v>69</v>
      </c>
      <c r="D562" t="s">
        <v>17</v>
      </c>
      <c r="E562" t="s">
        <v>32</v>
      </c>
      <c r="F562" t="s">
        <v>745</v>
      </c>
      <c r="G562">
        <v>693210542</v>
      </c>
      <c r="H562" t="s">
        <v>746</v>
      </c>
      <c r="I562">
        <v>5259</v>
      </c>
      <c r="J562">
        <v>421.89</v>
      </c>
      <c r="K562">
        <v>364.69</v>
      </c>
      <c r="L562">
        <v>2218719.5099999998</v>
      </c>
      <c r="M562">
        <v>1917904.71</v>
      </c>
      <c r="N562">
        <v>300814.8</v>
      </c>
    </row>
    <row r="563" spans="1:14" x14ac:dyDescent="0.25">
      <c r="A563" t="s">
        <v>29</v>
      </c>
      <c r="B563" t="s">
        <v>124</v>
      </c>
      <c r="C563" t="s">
        <v>40</v>
      </c>
      <c r="D563" t="s">
        <v>22</v>
      </c>
      <c r="E563" t="s">
        <v>32</v>
      </c>
      <c r="F563" t="s">
        <v>173</v>
      </c>
      <c r="G563">
        <v>587749087</v>
      </c>
      <c r="H563" s="1">
        <v>41091</v>
      </c>
      <c r="I563">
        <v>6871</v>
      </c>
      <c r="J563">
        <v>81.73</v>
      </c>
      <c r="K563">
        <v>56.67</v>
      </c>
      <c r="L563">
        <v>561566.82999999996</v>
      </c>
      <c r="M563">
        <v>389379.57</v>
      </c>
      <c r="N563">
        <v>172187.26</v>
      </c>
    </row>
    <row r="564" spans="1:14" x14ac:dyDescent="0.25">
      <c r="A564" t="s">
        <v>25</v>
      </c>
      <c r="B564" t="s">
        <v>434</v>
      </c>
      <c r="C564" t="s">
        <v>88</v>
      </c>
      <c r="D564" t="s">
        <v>22</v>
      </c>
      <c r="E564" t="s">
        <v>32</v>
      </c>
      <c r="F564" t="s">
        <v>747</v>
      </c>
      <c r="G564">
        <v>153974950</v>
      </c>
      <c r="H564" t="s">
        <v>748</v>
      </c>
      <c r="I564">
        <v>3464</v>
      </c>
      <c r="J564">
        <v>9.33</v>
      </c>
      <c r="K564">
        <v>6.92</v>
      </c>
      <c r="L564">
        <v>32319.119999999999</v>
      </c>
      <c r="M564">
        <v>23970.880000000001</v>
      </c>
      <c r="N564">
        <v>8348.24</v>
      </c>
    </row>
    <row r="565" spans="1:14" x14ac:dyDescent="0.25">
      <c r="A565" t="s">
        <v>51</v>
      </c>
      <c r="B565" t="s">
        <v>525</v>
      </c>
      <c r="C565" t="s">
        <v>113</v>
      </c>
      <c r="D565" t="s">
        <v>17</v>
      </c>
      <c r="E565" t="s">
        <v>32</v>
      </c>
      <c r="F565" t="s">
        <v>749</v>
      </c>
      <c r="G565">
        <v>373186957</v>
      </c>
      <c r="H565" s="1">
        <v>40363</v>
      </c>
      <c r="I565">
        <v>3169</v>
      </c>
      <c r="J565">
        <v>154.06</v>
      </c>
      <c r="K565">
        <v>90.93</v>
      </c>
      <c r="L565">
        <v>488216.14</v>
      </c>
      <c r="M565">
        <v>288157.17</v>
      </c>
      <c r="N565">
        <v>200058.97</v>
      </c>
    </row>
    <row r="566" spans="1:14" x14ac:dyDescent="0.25">
      <c r="A566" t="s">
        <v>42</v>
      </c>
      <c r="B566" t="s">
        <v>43</v>
      </c>
      <c r="C566" t="s">
        <v>40</v>
      </c>
      <c r="D566" t="s">
        <v>22</v>
      </c>
      <c r="E566" t="s">
        <v>18</v>
      </c>
      <c r="F566" t="s">
        <v>750</v>
      </c>
      <c r="G566">
        <v>946996438</v>
      </c>
      <c r="H566" t="s">
        <v>751</v>
      </c>
      <c r="I566">
        <v>6145</v>
      </c>
      <c r="J566">
        <v>81.73</v>
      </c>
      <c r="K566">
        <v>56.67</v>
      </c>
      <c r="L566">
        <v>502230.85</v>
      </c>
      <c r="M566">
        <v>348237.15</v>
      </c>
      <c r="N566">
        <v>153993.70000000001</v>
      </c>
    </row>
    <row r="567" spans="1:14" x14ac:dyDescent="0.25">
      <c r="A567" t="s">
        <v>25</v>
      </c>
      <c r="B567" t="s">
        <v>752</v>
      </c>
      <c r="C567" t="s">
        <v>21</v>
      </c>
      <c r="D567" t="s">
        <v>17</v>
      </c>
      <c r="E567" t="s">
        <v>45</v>
      </c>
      <c r="F567" t="s">
        <v>512</v>
      </c>
      <c r="G567">
        <v>747327220</v>
      </c>
      <c r="H567" t="s">
        <v>753</v>
      </c>
      <c r="I567">
        <v>9587</v>
      </c>
      <c r="J567">
        <v>152.58000000000001</v>
      </c>
      <c r="K567">
        <v>97.44</v>
      </c>
      <c r="L567">
        <v>1462784.46</v>
      </c>
      <c r="M567">
        <v>934157.28</v>
      </c>
      <c r="N567">
        <v>528627.18000000005</v>
      </c>
    </row>
    <row r="568" spans="1:14" x14ac:dyDescent="0.25">
      <c r="A568" t="s">
        <v>51</v>
      </c>
      <c r="B568" t="s">
        <v>487</v>
      </c>
      <c r="C568" t="s">
        <v>131</v>
      </c>
      <c r="D568" t="s">
        <v>22</v>
      </c>
      <c r="E568" t="s">
        <v>45</v>
      </c>
      <c r="F568" t="s">
        <v>754</v>
      </c>
      <c r="G568">
        <v>966415631</v>
      </c>
      <c r="H568" s="1">
        <v>42190</v>
      </c>
      <c r="I568">
        <v>2716</v>
      </c>
      <c r="J568">
        <v>668.27</v>
      </c>
      <c r="K568">
        <v>502.54</v>
      </c>
      <c r="L568">
        <v>1815021.32</v>
      </c>
      <c r="M568">
        <v>1364898.64</v>
      </c>
      <c r="N568">
        <v>450122.68</v>
      </c>
    </row>
    <row r="569" spans="1:14" x14ac:dyDescent="0.25">
      <c r="A569" t="s">
        <v>25</v>
      </c>
      <c r="B569" t="s">
        <v>47</v>
      </c>
      <c r="C569" t="s">
        <v>44</v>
      </c>
      <c r="D569" t="s">
        <v>17</v>
      </c>
      <c r="E569" t="s">
        <v>18</v>
      </c>
      <c r="F569" s="1">
        <v>40826</v>
      </c>
      <c r="G569">
        <v>166810500</v>
      </c>
      <c r="H569" t="s">
        <v>755</v>
      </c>
      <c r="I569">
        <v>1789</v>
      </c>
      <c r="J569">
        <v>109.28</v>
      </c>
      <c r="K569">
        <v>35.840000000000003</v>
      </c>
      <c r="L569">
        <v>195501.92</v>
      </c>
      <c r="M569">
        <v>64117.760000000002</v>
      </c>
      <c r="N569">
        <v>131384.16</v>
      </c>
    </row>
    <row r="570" spans="1:14" x14ac:dyDescent="0.25">
      <c r="A570" t="s">
        <v>42</v>
      </c>
      <c r="B570" t="s">
        <v>150</v>
      </c>
      <c r="C570" t="s">
        <v>69</v>
      </c>
      <c r="D570" t="s">
        <v>22</v>
      </c>
      <c r="E570" t="s">
        <v>45</v>
      </c>
      <c r="F570" s="1">
        <v>42225</v>
      </c>
      <c r="G570">
        <v>131373155</v>
      </c>
      <c r="H570" t="s">
        <v>728</v>
      </c>
      <c r="I570">
        <v>5091</v>
      </c>
      <c r="J570">
        <v>421.89</v>
      </c>
      <c r="K570">
        <v>364.69</v>
      </c>
      <c r="L570">
        <v>2147841.9900000002</v>
      </c>
      <c r="M570">
        <v>1856636.79</v>
      </c>
      <c r="N570">
        <v>291205.2</v>
      </c>
    </row>
    <row r="571" spans="1:14" x14ac:dyDescent="0.25">
      <c r="A571" t="s">
        <v>51</v>
      </c>
      <c r="B571" t="s">
        <v>417</v>
      </c>
      <c r="C571" t="s">
        <v>113</v>
      </c>
      <c r="D571" t="s">
        <v>17</v>
      </c>
      <c r="E571" t="s">
        <v>32</v>
      </c>
      <c r="F571" s="1">
        <v>41011</v>
      </c>
      <c r="G571">
        <v>913277423</v>
      </c>
      <c r="H571" t="s">
        <v>756</v>
      </c>
      <c r="I571">
        <v>7939</v>
      </c>
      <c r="J571">
        <v>154.06</v>
      </c>
      <c r="K571">
        <v>90.93</v>
      </c>
      <c r="L571">
        <v>1223082.3400000001</v>
      </c>
      <c r="M571">
        <v>721893.27</v>
      </c>
      <c r="N571">
        <v>501189.07</v>
      </c>
    </row>
    <row r="572" spans="1:14" x14ac:dyDescent="0.25">
      <c r="A572" t="s">
        <v>25</v>
      </c>
      <c r="B572" t="s">
        <v>363</v>
      </c>
      <c r="C572" t="s">
        <v>40</v>
      </c>
      <c r="D572" t="s">
        <v>22</v>
      </c>
      <c r="E572" t="s">
        <v>18</v>
      </c>
      <c r="F572" t="s">
        <v>680</v>
      </c>
      <c r="G572">
        <v>386009633</v>
      </c>
      <c r="H572" s="1">
        <v>41398</v>
      </c>
      <c r="I572">
        <v>7683</v>
      </c>
      <c r="J572">
        <v>81.73</v>
      </c>
      <c r="K572">
        <v>56.67</v>
      </c>
      <c r="L572">
        <v>627931.59</v>
      </c>
      <c r="M572">
        <v>435395.61</v>
      </c>
      <c r="N572">
        <v>192535.98</v>
      </c>
    </row>
    <row r="573" spans="1:14" x14ac:dyDescent="0.25">
      <c r="A573" t="s">
        <v>25</v>
      </c>
      <c r="B573" t="s">
        <v>497</v>
      </c>
      <c r="C573" t="s">
        <v>40</v>
      </c>
      <c r="D573" t="s">
        <v>22</v>
      </c>
      <c r="E573" t="s">
        <v>45</v>
      </c>
      <c r="F573" s="1">
        <v>42584</v>
      </c>
      <c r="G573">
        <v>993368613</v>
      </c>
      <c r="H573" t="s">
        <v>757</v>
      </c>
      <c r="I573">
        <v>8702</v>
      </c>
      <c r="J573">
        <v>81.73</v>
      </c>
      <c r="K573">
        <v>56.67</v>
      </c>
      <c r="L573">
        <v>711214.46</v>
      </c>
      <c r="M573">
        <v>493142.34</v>
      </c>
      <c r="N573">
        <v>218072.12</v>
      </c>
    </row>
    <row r="574" spans="1:14" x14ac:dyDescent="0.25">
      <c r="A574" t="s">
        <v>51</v>
      </c>
      <c r="B574" t="s">
        <v>575</v>
      </c>
      <c r="C574" t="s">
        <v>55</v>
      </c>
      <c r="D574" t="s">
        <v>22</v>
      </c>
      <c r="E574" t="s">
        <v>45</v>
      </c>
      <c r="F574" t="s">
        <v>139</v>
      </c>
      <c r="G574">
        <v>299465692</v>
      </c>
      <c r="H574" t="s">
        <v>758</v>
      </c>
      <c r="I574">
        <v>7408</v>
      </c>
      <c r="J574">
        <v>651.21</v>
      </c>
      <c r="K574">
        <v>524.96</v>
      </c>
      <c r="L574">
        <v>4824163.68</v>
      </c>
      <c r="M574">
        <v>3888903.68</v>
      </c>
      <c r="N574">
        <v>935260</v>
      </c>
    </row>
    <row r="575" spans="1:14" x14ac:dyDescent="0.25">
      <c r="A575" t="s">
        <v>38</v>
      </c>
      <c r="B575" t="s">
        <v>430</v>
      </c>
      <c r="C575" t="s">
        <v>113</v>
      </c>
      <c r="D575" t="s">
        <v>22</v>
      </c>
      <c r="E575" t="s">
        <v>32</v>
      </c>
      <c r="F575" t="s">
        <v>759</v>
      </c>
      <c r="G575">
        <v>438724696</v>
      </c>
      <c r="H575" s="1">
        <v>41404</v>
      </c>
      <c r="I575">
        <v>7242</v>
      </c>
      <c r="J575">
        <v>154.06</v>
      </c>
      <c r="K575">
        <v>90.93</v>
      </c>
      <c r="L575">
        <v>1115702.52</v>
      </c>
      <c r="M575">
        <v>658515.06000000006</v>
      </c>
      <c r="N575">
        <v>457187.46</v>
      </c>
    </row>
    <row r="576" spans="1:14" x14ac:dyDescent="0.25">
      <c r="A576" t="s">
        <v>29</v>
      </c>
      <c r="B576" t="s">
        <v>323</v>
      </c>
      <c r="C576" t="s">
        <v>59</v>
      </c>
      <c r="D576" t="s">
        <v>22</v>
      </c>
      <c r="E576" t="s">
        <v>45</v>
      </c>
      <c r="F576" t="s">
        <v>760</v>
      </c>
      <c r="G576">
        <v>465881955</v>
      </c>
      <c r="H576" t="s">
        <v>761</v>
      </c>
      <c r="I576">
        <v>3678</v>
      </c>
      <c r="J576">
        <v>437.2</v>
      </c>
      <c r="K576">
        <v>263.33</v>
      </c>
      <c r="L576">
        <v>1608021.6</v>
      </c>
      <c r="M576">
        <v>968527.74</v>
      </c>
      <c r="N576">
        <v>639493.86</v>
      </c>
    </row>
    <row r="577" spans="1:14" x14ac:dyDescent="0.25">
      <c r="A577" t="s">
        <v>25</v>
      </c>
      <c r="B577" t="s">
        <v>497</v>
      </c>
      <c r="C577" t="s">
        <v>16</v>
      </c>
      <c r="D577" t="s">
        <v>17</v>
      </c>
      <c r="E577" t="s">
        <v>32</v>
      </c>
      <c r="F577" s="1">
        <v>41894</v>
      </c>
      <c r="G577">
        <v>405986297</v>
      </c>
      <c r="H577" s="1">
        <v>42036</v>
      </c>
      <c r="I577">
        <v>9222</v>
      </c>
      <c r="J577">
        <v>255.28</v>
      </c>
      <c r="K577">
        <v>159.41999999999999</v>
      </c>
      <c r="L577">
        <v>2354192.16</v>
      </c>
      <c r="M577">
        <v>1470171.24</v>
      </c>
      <c r="N577">
        <v>884020.92</v>
      </c>
    </row>
    <row r="578" spans="1:14" x14ac:dyDescent="0.25">
      <c r="A578" t="s">
        <v>51</v>
      </c>
      <c r="B578" t="s">
        <v>414</v>
      </c>
      <c r="C578" t="s">
        <v>131</v>
      </c>
      <c r="D578" t="s">
        <v>17</v>
      </c>
      <c r="E578" t="s">
        <v>18</v>
      </c>
      <c r="F578" t="s">
        <v>762</v>
      </c>
      <c r="G578">
        <v>804399049</v>
      </c>
      <c r="H578" t="s">
        <v>293</v>
      </c>
      <c r="I578">
        <v>8409</v>
      </c>
      <c r="J578">
        <v>668.27</v>
      </c>
      <c r="K578">
        <v>502.54</v>
      </c>
      <c r="L578">
        <v>5619482.4299999997</v>
      </c>
      <c r="M578">
        <v>4225858.8600000003</v>
      </c>
      <c r="N578">
        <v>1393623.57</v>
      </c>
    </row>
    <row r="579" spans="1:14" x14ac:dyDescent="0.25">
      <c r="A579" t="s">
        <v>25</v>
      </c>
      <c r="B579" t="s">
        <v>74</v>
      </c>
      <c r="C579" t="s">
        <v>27</v>
      </c>
      <c r="D579" t="s">
        <v>17</v>
      </c>
      <c r="E579" t="s">
        <v>45</v>
      </c>
      <c r="F579" s="1">
        <v>42462</v>
      </c>
      <c r="G579">
        <v>476794040</v>
      </c>
      <c r="H579" s="1">
        <v>42554</v>
      </c>
      <c r="I579">
        <v>2807</v>
      </c>
      <c r="J579">
        <v>47.45</v>
      </c>
      <c r="K579">
        <v>31.79</v>
      </c>
      <c r="L579">
        <v>133192.15</v>
      </c>
      <c r="M579">
        <v>89234.53</v>
      </c>
      <c r="N579">
        <v>43957.62</v>
      </c>
    </row>
    <row r="580" spans="1:14" x14ac:dyDescent="0.25">
      <c r="A580" t="s">
        <v>38</v>
      </c>
      <c r="B580" t="s">
        <v>388</v>
      </c>
      <c r="C580" t="s">
        <v>40</v>
      </c>
      <c r="D580" t="s">
        <v>22</v>
      </c>
      <c r="E580" t="s">
        <v>32</v>
      </c>
      <c r="F580" t="s">
        <v>738</v>
      </c>
      <c r="G580">
        <v>559157598</v>
      </c>
      <c r="H580" s="1">
        <v>41251</v>
      </c>
      <c r="I580">
        <v>6014</v>
      </c>
      <c r="J580">
        <v>81.73</v>
      </c>
      <c r="K580">
        <v>56.67</v>
      </c>
      <c r="L580">
        <v>491524.22</v>
      </c>
      <c r="M580">
        <v>340813.38</v>
      </c>
      <c r="N580">
        <v>150710.84</v>
      </c>
    </row>
    <row r="581" spans="1:14" x14ac:dyDescent="0.25">
      <c r="A581" t="s">
        <v>51</v>
      </c>
      <c r="B581" t="s">
        <v>417</v>
      </c>
      <c r="C581" t="s">
        <v>59</v>
      </c>
      <c r="D581" t="s">
        <v>17</v>
      </c>
      <c r="E581" t="s">
        <v>45</v>
      </c>
      <c r="F581" t="s">
        <v>763</v>
      </c>
      <c r="G581">
        <v>457788550</v>
      </c>
      <c r="H581" s="1">
        <v>42098</v>
      </c>
      <c r="I581">
        <v>8660</v>
      </c>
      <c r="J581">
        <v>437.2</v>
      </c>
      <c r="K581">
        <v>263.33</v>
      </c>
      <c r="L581">
        <v>3786152</v>
      </c>
      <c r="M581">
        <v>2280437.7999999998</v>
      </c>
      <c r="N581">
        <v>1505714.2</v>
      </c>
    </row>
    <row r="582" spans="1:14" x14ac:dyDescent="0.25">
      <c r="A582" t="s">
        <v>38</v>
      </c>
      <c r="B582" t="s">
        <v>527</v>
      </c>
      <c r="C582" t="s">
        <v>113</v>
      </c>
      <c r="D582" t="s">
        <v>17</v>
      </c>
      <c r="E582" t="s">
        <v>32</v>
      </c>
      <c r="F582" t="s">
        <v>413</v>
      </c>
      <c r="G582">
        <v>999298226</v>
      </c>
      <c r="H582" t="s">
        <v>764</v>
      </c>
      <c r="I582">
        <v>3407</v>
      </c>
      <c r="J582">
        <v>154.06</v>
      </c>
      <c r="K582">
        <v>90.93</v>
      </c>
      <c r="L582">
        <v>524882.42000000004</v>
      </c>
      <c r="M582">
        <v>309798.51</v>
      </c>
      <c r="N582">
        <v>215083.91</v>
      </c>
    </row>
    <row r="583" spans="1:14" x14ac:dyDescent="0.25">
      <c r="A583" t="s">
        <v>25</v>
      </c>
      <c r="B583" t="s">
        <v>204</v>
      </c>
      <c r="C583" t="s">
        <v>69</v>
      </c>
      <c r="D583" t="s">
        <v>22</v>
      </c>
      <c r="E583" t="s">
        <v>23</v>
      </c>
      <c r="F583" t="s">
        <v>765</v>
      </c>
      <c r="G583">
        <v>380610454</v>
      </c>
      <c r="H583" t="s">
        <v>491</v>
      </c>
      <c r="I583">
        <v>9946</v>
      </c>
      <c r="J583">
        <v>421.89</v>
      </c>
      <c r="K583">
        <v>364.69</v>
      </c>
      <c r="L583">
        <v>4196117.9400000004</v>
      </c>
      <c r="M583">
        <v>3627206.74</v>
      </c>
      <c r="N583">
        <v>568911.19999999995</v>
      </c>
    </row>
    <row r="584" spans="1:14" x14ac:dyDescent="0.25">
      <c r="A584" t="s">
        <v>29</v>
      </c>
      <c r="B584" t="s">
        <v>545</v>
      </c>
      <c r="C584" t="s">
        <v>16</v>
      </c>
      <c r="D584" t="s">
        <v>17</v>
      </c>
      <c r="E584" t="s">
        <v>23</v>
      </c>
      <c r="F584" t="s">
        <v>766</v>
      </c>
      <c r="G584">
        <v>918961560</v>
      </c>
      <c r="H584" t="s">
        <v>572</v>
      </c>
      <c r="I584">
        <v>2</v>
      </c>
      <c r="J584">
        <v>255.28</v>
      </c>
      <c r="K584">
        <v>159.41999999999999</v>
      </c>
      <c r="L584">
        <v>510.56</v>
      </c>
      <c r="M584">
        <v>318.83999999999997</v>
      </c>
      <c r="N584">
        <v>191.72</v>
      </c>
    </row>
    <row r="585" spans="1:14" x14ac:dyDescent="0.25">
      <c r="A585" t="s">
        <v>51</v>
      </c>
      <c r="B585" t="s">
        <v>129</v>
      </c>
      <c r="C585" t="s">
        <v>55</v>
      </c>
      <c r="D585" t="s">
        <v>17</v>
      </c>
      <c r="E585" t="s">
        <v>45</v>
      </c>
      <c r="F585" t="s">
        <v>319</v>
      </c>
      <c r="G585">
        <v>501900374</v>
      </c>
      <c r="H585" t="s">
        <v>679</v>
      </c>
      <c r="I585">
        <v>2329</v>
      </c>
      <c r="J585">
        <v>651.21</v>
      </c>
      <c r="K585">
        <v>524.96</v>
      </c>
      <c r="L585">
        <v>1516668.09</v>
      </c>
      <c r="M585">
        <v>1222631.8400000001</v>
      </c>
      <c r="N585">
        <v>294036.25</v>
      </c>
    </row>
    <row r="586" spans="1:14" x14ac:dyDescent="0.25">
      <c r="A586" t="s">
        <v>51</v>
      </c>
      <c r="B586" t="s">
        <v>276</v>
      </c>
      <c r="C586" t="s">
        <v>131</v>
      </c>
      <c r="D586" t="s">
        <v>17</v>
      </c>
      <c r="E586" t="s">
        <v>18</v>
      </c>
      <c r="F586" s="1">
        <v>41402</v>
      </c>
      <c r="G586">
        <v>237288224</v>
      </c>
      <c r="H586" s="1">
        <v>41526</v>
      </c>
      <c r="I586">
        <v>7713</v>
      </c>
      <c r="J586">
        <v>668.27</v>
      </c>
      <c r="K586">
        <v>502.54</v>
      </c>
      <c r="L586">
        <v>5154366.51</v>
      </c>
      <c r="M586">
        <v>3876091.02</v>
      </c>
      <c r="N586">
        <v>1278275.49</v>
      </c>
    </row>
    <row r="587" spans="1:14" x14ac:dyDescent="0.25">
      <c r="A587" t="s">
        <v>29</v>
      </c>
      <c r="B587" t="s">
        <v>137</v>
      </c>
      <c r="C587" t="s">
        <v>59</v>
      </c>
      <c r="D587" t="s">
        <v>17</v>
      </c>
      <c r="E587" t="s">
        <v>23</v>
      </c>
      <c r="F587" t="s">
        <v>454</v>
      </c>
      <c r="G587">
        <v>403298938</v>
      </c>
      <c r="H587" t="s">
        <v>767</v>
      </c>
      <c r="I587">
        <v>3973</v>
      </c>
      <c r="J587">
        <v>437.2</v>
      </c>
      <c r="K587">
        <v>263.33</v>
      </c>
      <c r="L587">
        <v>1736995.6</v>
      </c>
      <c r="M587">
        <v>1046210.09</v>
      </c>
      <c r="N587">
        <v>690785.51</v>
      </c>
    </row>
    <row r="588" spans="1:14" x14ac:dyDescent="0.25">
      <c r="A588" t="s">
        <v>29</v>
      </c>
      <c r="B588" t="s">
        <v>375</v>
      </c>
      <c r="C588" t="s">
        <v>21</v>
      </c>
      <c r="D588" t="s">
        <v>22</v>
      </c>
      <c r="E588" t="s">
        <v>45</v>
      </c>
      <c r="F588" s="1">
        <v>40881</v>
      </c>
      <c r="G588">
        <v>898418843</v>
      </c>
      <c r="H588" t="s">
        <v>768</v>
      </c>
      <c r="I588">
        <v>955</v>
      </c>
      <c r="J588">
        <v>152.58000000000001</v>
      </c>
      <c r="K588">
        <v>97.44</v>
      </c>
      <c r="L588">
        <v>145713.9</v>
      </c>
      <c r="M588">
        <v>93055.2</v>
      </c>
      <c r="N588">
        <v>52658.7</v>
      </c>
    </row>
    <row r="589" spans="1:14" x14ac:dyDescent="0.25">
      <c r="A589" t="s">
        <v>29</v>
      </c>
      <c r="B589" t="s">
        <v>61</v>
      </c>
      <c r="C589" t="s">
        <v>21</v>
      </c>
      <c r="D589" t="s">
        <v>22</v>
      </c>
      <c r="E589" t="s">
        <v>32</v>
      </c>
      <c r="F589" s="1">
        <v>42592</v>
      </c>
      <c r="G589">
        <v>791446769</v>
      </c>
      <c r="H589" t="s">
        <v>222</v>
      </c>
      <c r="I589">
        <v>5541</v>
      </c>
      <c r="J589">
        <v>152.58000000000001</v>
      </c>
      <c r="K589">
        <v>97.44</v>
      </c>
      <c r="L589">
        <v>845445.78</v>
      </c>
      <c r="M589">
        <v>539915.04</v>
      </c>
      <c r="N589">
        <v>305530.74</v>
      </c>
    </row>
    <row r="590" spans="1:14" x14ac:dyDescent="0.25">
      <c r="A590" t="s">
        <v>14</v>
      </c>
      <c r="B590" t="s">
        <v>81</v>
      </c>
      <c r="C590" t="s">
        <v>27</v>
      </c>
      <c r="D590" t="s">
        <v>22</v>
      </c>
      <c r="E590" t="s">
        <v>18</v>
      </c>
      <c r="F590" t="s">
        <v>769</v>
      </c>
      <c r="G590">
        <v>571494042</v>
      </c>
      <c r="H590" t="s">
        <v>770</v>
      </c>
      <c r="I590">
        <v>6642</v>
      </c>
      <c r="J590">
        <v>47.45</v>
      </c>
      <c r="K590">
        <v>31.79</v>
      </c>
      <c r="L590">
        <v>315162.90000000002</v>
      </c>
      <c r="M590">
        <v>211149.18</v>
      </c>
      <c r="N590">
        <v>104013.72</v>
      </c>
    </row>
    <row r="591" spans="1:14" x14ac:dyDescent="0.25">
      <c r="A591" t="s">
        <v>14</v>
      </c>
      <c r="B591" t="s">
        <v>226</v>
      </c>
      <c r="C591" t="s">
        <v>59</v>
      </c>
      <c r="D591" t="s">
        <v>22</v>
      </c>
      <c r="E591" t="s">
        <v>18</v>
      </c>
      <c r="F591" t="s">
        <v>505</v>
      </c>
      <c r="G591">
        <v>797984492</v>
      </c>
      <c r="H591" t="s">
        <v>771</v>
      </c>
      <c r="I591">
        <v>199</v>
      </c>
      <c r="J591">
        <v>437.2</v>
      </c>
      <c r="K591">
        <v>263.33</v>
      </c>
      <c r="L591">
        <v>87002.8</v>
      </c>
      <c r="M591">
        <v>52402.67</v>
      </c>
      <c r="N591">
        <v>34600.129999999997</v>
      </c>
    </row>
    <row r="592" spans="1:14" x14ac:dyDescent="0.25">
      <c r="A592" t="s">
        <v>14</v>
      </c>
      <c r="B592" t="s">
        <v>81</v>
      </c>
      <c r="C592" t="s">
        <v>59</v>
      </c>
      <c r="D592" t="s">
        <v>22</v>
      </c>
      <c r="E592" t="s">
        <v>23</v>
      </c>
      <c r="F592" t="s">
        <v>772</v>
      </c>
      <c r="G592">
        <v>750654447</v>
      </c>
      <c r="H592" t="s">
        <v>773</v>
      </c>
      <c r="I592">
        <v>4187</v>
      </c>
      <c r="J592">
        <v>437.2</v>
      </c>
      <c r="K592">
        <v>263.33</v>
      </c>
      <c r="L592">
        <v>1830556.4</v>
      </c>
      <c r="M592">
        <v>1102562.71</v>
      </c>
      <c r="N592">
        <v>727993.69</v>
      </c>
    </row>
    <row r="593" spans="1:14" x14ac:dyDescent="0.25">
      <c r="A593" t="s">
        <v>51</v>
      </c>
      <c r="B593" t="s">
        <v>274</v>
      </c>
      <c r="C593" t="s">
        <v>44</v>
      </c>
      <c r="D593" t="s">
        <v>22</v>
      </c>
      <c r="E593" t="s">
        <v>32</v>
      </c>
      <c r="F593" t="s">
        <v>475</v>
      </c>
      <c r="G593">
        <v>679552733</v>
      </c>
      <c r="H593" s="1">
        <v>42593</v>
      </c>
      <c r="I593">
        <v>3610</v>
      </c>
      <c r="J593">
        <v>109.28</v>
      </c>
      <c r="K593">
        <v>35.840000000000003</v>
      </c>
      <c r="L593">
        <v>394500.8</v>
      </c>
      <c r="M593">
        <v>129382.39999999999</v>
      </c>
      <c r="N593">
        <v>265118.40000000002</v>
      </c>
    </row>
    <row r="594" spans="1:14" x14ac:dyDescent="0.25">
      <c r="A594" t="s">
        <v>25</v>
      </c>
      <c r="B594" t="s">
        <v>418</v>
      </c>
      <c r="C594" t="s">
        <v>113</v>
      </c>
      <c r="D594" t="s">
        <v>22</v>
      </c>
      <c r="E594" t="s">
        <v>32</v>
      </c>
      <c r="F594" s="1">
        <v>40910</v>
      </c>
      <c r="G594">
        <v>455040681</v>
      </c>
      <c r="H594" s="1">
        <v>40941</v>
      </c>
      <c r="I594">
        <v>5504</v>
      </c>
      <c r="J594">
        <v>154.06</v>
      </c>
      <c r="K594">
        <v>90.93</v>
      </c>
      <c r="L594">
        <v>847946.23999999999</v>
      </c>
      <c r="M594">
        <v>500478.71999999997</v>
      </c>
      <c r="N594">
        <v>347467.52000000002</v>
      </c>
    </row>
    <row r="595" spans="1:14" x14ac:dyDescent="0.25">
      <c r="A595" t="s">
        <v>25</v>
      </c>
      <c r="B595" t="s">
        <v>533</v>
      </c>
      <c r="C595" t="s">
        <v>44</v>
      </c>
      <c r="D595" t="s">
        <v>17</v>
      </c>
      <c r="E595" t="s">
        <v>18</v>
      </c>
      <c r="F595" s="1">
        <v>41556</v>
      </c>
      <c r="G595">
        <v>917792117</v>
      </c>
      <c r="H595" s="1">
        <v>41465</v>
      </c>
      <c r="I595">
        <v>3938</v>
      </c>
      <c r="J595">
        <v>109.28</v>
      </c>
      <c r="K595">
        <v>35.840000000000003</v>
      </c>
      <c r="L595">
        <v>430344.64</v>
      </c>
      <c r="M595">
        <v>141137.92000000001</v>
      </c>
      <c r="N595">
        <v>289206.71999999997</v>
      </c>
    </row>
    <row r="596" spans="1:14" x14ac:dyDescent="0.25">
      <c r="A596" t="s">
        <v>25</v>
      </c>
      <c r="B596" t="s">
        <v>374</v>
      </c>
      <c r="C596" t="s">
        <v>59</v>
      </c>
      <c r="D596" t="s">
        <v>22</v>
      </c>
      <c r="E596" t="s">
        <v>32</v>
      </c>
      <c r="F596" t="s">
        <v>774</v>
      </c>
      <c r="G596">
        <v>728793370</v>
      </c>
      <c r="H596" s="1">
        <v>40885</v>
      </c>
      <c r="I596">
        <v>5009</v>
      </c>
      <c r="J596">
        <v>437.2</v>
      </c>
      <c r="K596">
        <v>263.33</v>
      </c>
      <c r="L596">
        <v>2189934.7999999998</v>
      </c>
      <c r="M596">
        <v>1319019.97</v>
      </c>
      <c r="N596">
        <v>870914.83</v>
      </c>
    </row>
    <row r="597" spans="1:14" x14ac:dyDescent="0.25">
      <c r="A597" t="s">
        <v>51</v>
      </c>
      <c r="B597" t="s">
        <v>360</v>
      </c>
      <c r="C597" t="s">
        <v>88</v>
      </c>
      <c r="D597" t="s">
        <v>22</v>
      </c>
      <c r="E597" t="s">
        <v>23</v>
      </c>
      <c r="F597" s="1">
        <v>42099</v>
      </c>
      <c r="G597">
        <v>419343268</v>
      </c>
      <c r="H597" t="s">
        <v>775</v>
      </c>
      <c r="I597">
        <v>1847</v>
      </c>
      <c r="J597">
        <v>9.33</v>
      </c>
      <c r="K597">
        <v>6.92</v>
      </c>
      <c r="L597">
        <v>17232.509999999998</v>
      </c>
      <c r="M597">
        <v>12781.24</v>
      </c>
      <c r="N597">
        <v>4451.2700000000004</v>
      </c>
    </row>
    <row r="598" spans="1:14" x14ac:dyDescent="0.25">
      <c r="A598" t="s">
        <v>38</v>
      </c>
      <c r="B598" t="s">
        <v>117</v>
      </c>
      <c r="C598" t="s">
        <v>31</v>
      </c>
      <c r="D598" t="s">
        <v>17</v>
      </c>
      <c r="E598" t="s">
        <v>18</v>
      </c>
      <c r="F598" t="s">
        <v>157</v>
      </c>
      <c r="G598">
        <v>141053140</v>
      </c>
      <c r="H598" t="s">
        <v>776</v>
      </c>
      <c r="I598">
        <v>9613</v>
      </c>
      <c r="J598">
        <v>205.7</v>
      </c>
      <c r="K598">
        <v>117.11</v>
      </c>
      <c r="L598">
        <v>1977394.1</v>
      </c>
      <c r="M598">
        <v>1125778.43</v>
      </c>
      <c r="N598">
        <v>851615.67</v>
      </c>
    </row>
    <row r="599" spans="1:14" x14ac:dyDescent="0.25">
      <c r="A599" t="s">
        <v>51</v>
      </c>
      <c r="B599" t="s">
        <v>192</v>
      </c>
      <c r="C599" t="s">
        <v>31</v>
      </c>
      <c r="D599" t="s">
        <v>17</v>
      </c>
      <c r="E599" t="s">
        <v>23</v>
      </c>
      <c r="F599" t="s">
        <v>777</v>
      </c>
      <c r="G599">
        <v>115846812</v>
      </c>
      <c r="H599" t="s">
        <v>482</v>
      </c>
      <c r="I599">
        <v>501</v>
      </c>
      <c r="J599">
        <v>205.7</v>
      </c>
      <c r="K599">
        <v>117.11</v>
      </c>
      <c r="L599">
        <v>103055.7</v>
      </c>
      <c r="M599">
        <v>58672.11</v>
      </c>
      <c r="N599">
        <v>44383.59</v>
      </c>
    </row>
    <row r="600" spans="1:14" x14ac:dyDescent="0.25">
      <c r="A600" t="s">
        <v>25</v>
      </c>
      <c r="B600" t="s">
        <v>72</v>
      </c>
      <c r="C600" t="s">
        <v>88</v>
      </c>
      <c r="D600" t="s">
        <v>22</v>
      </c>
      <c r="E600" t="s">
        <v>18</v>
      </c>
      <c r="F600" t="s">
        <v>778</v>
      </c>
      <c r="G600">
        <v>185960614</v>
      </c>
      <c r="H600" t="s">
        <v>779</v>
      </c>
      <c r="I600">
        <v>8733</v>
      </c>
      <c r="J600">
        <v>9.33</v>
      </c>
      <c r="K600">
        <v>6.92</v>
      </c>
      <c r="L600">
        <v>81478.89</v>
      </c>
      <c r="M600">
        <v>60432.36</v>
      </c>
      <c r="N600">
        <v>21046.53</v>
      </c>
    </row>
    <row r="601" spans="1:14" x14ac:dyDescent="0.25">
      <c r="A601" t="s">
        <v>51</v>
      </c>
      <c r="B601" t="s">
        <v>301</v>
      </c>
      <c r="C601" t="s">
        <v>131</v>
      </c>
      <c r="D601" t="s">
        <v>22</v>
      </c>
      <c r="E601" t="s">
        <v>23</v>
      </c>
      <c r="F601" s="1">
        <v>40886</v>
      </c>
      <c r="G601">
        <v>263943374</v>
      </c>
      <c r="H601" t="s">
        <v>780</v>
      </c>
      <c r="I601">
        <v>5565</v>
      </c>
      <c r="J601">
        <v>668.27</v>
      </c>
      <c r="K601">
        <v>502.54</v>
      </c>
      <c r="L601">
        <v>3718922.55</v>
      </c>
      <c r="M601">
        <v>2796635.1</v>
      </c>
      <c r="N601">
        <v>922287.45</v>
      </c>
    </row>
    <row r="602" spans="1:14" x14ac:dyDescent="0.25">
      <c r="A602" t="s">
        <v>51</v>
      </c>
      <c r="B602" t="s">
        <v>260</v>
      </c>
      <c r="C602" t="s">
        <v>55</v>
      </c>
      <c r="D602" t="s">
        <v>22</v>
      </c>
      <c r="E602" t="s">
        <v>18</v>
      </c>
      <c r="F602" t="s">
        <v>245</v>
      </c>
      <c r="G602">
        <v>782656419</v>
      </c>
      <c r="H602" t="s">
        <v>245</v>
      </c>
      <c r="I602">
        <v>4282</v>
      </c>
      <c r="J602">
        <v>651.21</v>
      </c>
      <c r="K602">
        <v>524.96</v>
      </c>
      <c r="L602">
        <v>2788481.22</v>
      </c>
      <c r="M602">
        <v>2247878.7200000002</v>
      </c>
      <c r="N602">
        <v>540602.5</v>
      </c>
    </row>
    <row r="603" spans="1:14" x14ac:dyDescent="0.25">
      <c r="A603" t="s">
        <v>25</v>
      </c>
      <c r="B603" t="s">
        <v>134</v>
      </c>
      <c r="C603" t="s">
        <v>55</v>
      </c>
      <c r="D603" t="s">
        <v>22</v>
      </c>
      <c r="E603" t="s">
        <v>45</v>
      </c>
      <c r="F603" t="s">
        <v>720</v>
      </c>
      <c r="G603">
        <v>445273578</v>
      </c>
      <c r="H603" s="1">
        <v>41153</v>
      </c>
      <c r="I603">
        <v>5201</v>
      </c>
      <c r="J603">
        <v>651.21</v>
      </c>
      <c r="K603">
        <v>524.96</v>
      </c>
      <c r="L603">
        <v>3386943.21</v>
      </c>
      <c r="M603">
        <v>2730316.96</v>
      </c>
      <c r="N603">
        <v>656626.25</v>
      </c>
    </row>
    <row r="604" spans="1:14" x14ac:dyDescent="0.25">
      <c r="A604" t="s">
        <v>29</v>
      </c>
      <c r="B604" t="s">
        <v>137</v>
      </c>
      <c r="C604" t="s">
        <v>55</v>
      </c>
      <c r="D604" t="s">
        <v>17</v>
      </c>
      <c r="E604" t="s">
        <v>23</v>
      </c>
      <c r="F604" s="1">
        <v>42186</v>
      </c>
      <c r="G604">
        <v>275281178</v>
      </c>
      <c r="H604" t="s">
        <v>781</v>
      </c>
      <c r="I604">
        <v>673</v>
      </c>
      <c r="J604">
        <v>651.21</v>
      </c>
      <c r="K604">
        <v>524.96</v>
      </c>
      <c r="L604">
        <v>438264.33</v>
      </c>
      <c r="M604">
        <v>353298.08</v>
      </c>
      <c r="N604">
        <v>84966.25</v>
      </c>
    </row>
    <row r="605" spans="1:14" x14ac:dyDescent="0.25">
      <c r="A605" t="s">
        <v>51</v>
      </c>
      <c r="B605" t="s">
        <v>219</v>
      </c>
      <c r="C605" t="s">
        <v>88</v>
      </c>
      <c r="D605" t="s">
        <v>17</v>
      </c>
      <c r="E605" t="s">
        <v>18</v>
      </c>
      <c r="F605" t="s">
        <v>782</v>
      </c>
      <c r="G605">
        <v>466478049</v>
      </c>
      <c r="H605" t="s">
        <v>783</v>
      </c>
      <c r="I605">
        <v>76</v>
      </c>
      <c r="J605">
        <v>9.33</v>
      </c>
      <c r="K605">
        <v>6.92</v>
      </c>
      <c r="L605">
        <v>709.08</v>
      </c>
      <c r="M605">
        <v>525.91999999999996</v>
      </c>
      <c r="N605">
        <v>183.16</v>
      </c>
    </row>
    <row r="606" spans="1:14" x14ac:dyDescent="0.25">
      <c r="A606" t="s">
        <v>38</v>
      </c>
      <c r="B606" t="s">
        <v>117</v>
      </c>
      <c r="C606" t="s">
        <v>69</v>
      </c>
      <c r="D606" t="s">
        <v>22</v>
      </c>
      <c r="E606" t="s">
        <v>45</v>
      </c>
      <c r="F606" s="1">
        <v>42594</v>
      </c>
      <c r="G606">
        <v>832975518</v>
      </c>
      <c r="H606" t="s">
        <v>784</v>
      </c>
      <c r="I606">
        <v>4821</v>
      </c>
      <c r="J606">
        <v>421.89</v>
      </c>
      <c r="K606">
        <v>364.69</v>
      </c>
      <c r="L606">
        <v>2033931.69</v>
      </c>
      <c r="M606">
        <v>1758170.49</v>
      </c>
      <c r="N606">
        <v>275761.2</v>
      </c>
    </row>
    <row r="607" spans="1:14" x14ac:dyDescent="0.25">
      <c r="A607" t="s">
        <v>25</v>
      </c>
      <c r="B607" t="s">
        <v>785</v>
      </c>
      <c r="C607" t="s">
        <v>16</v>
      </c>
      <c r="D607" t="s">
        <v>17</v>
      </c>
      <c r="E607" t="s">
        <v>32</v>
      </c>
      <c r="F607" t="s">
        <v>786</v>
      </c>
      <c r="G607">
        <v>359197413</v>
      </c>
      <c r="H607" s="1">
        <v>41854</v>
      </c>
      <c r="I607">
        <v>3352</v>
      </c>
      <c r="J607">
        <v>255.28</v>
      </c>
      <c r="K607">
        <v>159.41999999999999</v>
      </c>
      <c r="L607">
        <v>855698.56</v>
      </c>
      <c r="M607">
        <v>534375.84</v>
      </c>
      <c r="N607">
        <v>321322.71999999997</v>
      </c>
    </row>
    <row r="608" spans="1:14" x14ac:dyDescent="0.25">
      <c r="A608" t="s">
        <v>38</v>
      </c>
      <c r="B608" t="s">
        <v>187</v>
      </c>
      <c r="C608" t="s">
        <v>16</v>
      </c>
      <c r="D608" t="s">
        <v>17</v>
      </c>
      <c r="E608" t="s">
        <v>18</v>
      </c>
      <c r="F608" s="1">
        <v>41948</v>
      </c>
      <c r="G608">
        <v>349880063</v>
      </c>
      <c r="H608" s="1">
        <v>41978</v>
      </c>
      <c r="I608">
        <v>6141</v>
      </c>
      <c r="J608">
        <v>255.28</v>
      </c>
      <c r="K608">
        <v>159.41999999999999</v>
      </c>
      <c r="L608">
        <v>1567674.48</v>
      </c>
      <c r="M608">
        <v>978998.22</v>
      </c>
      <c r="N608">
        <v>588676.26</v>
      </c>
    </row>
    <row r="609" spans="1:14" x14ac:dyDescent="0.25">
      <c r="A609" t="s">
        <v>29</v>
      </c>
      <c r="B609" t="s">
        <v>545</v>
      </c>
      <c r="C609" t="s">
        <v>59</v>
      </c>
      <c r="D609" t="s">
        <v>17</v>
      </c>
      <c r="E609" t="s">
        <v>18</v>
      </c>
      <c r="F609" t="s">
        <v>787</v>
      </c>
      <c r="G609">
        <v>380072295</v>
      </c>
      <c r="H609" t="s">
        <v>788</v>
      </c>
      <c r="I609">
        <v>693</v>
      </c>
      <c r="J609">
        <v>437.2</v>
      </c>
      <c r="K609">
        <v>263.33</v>
      </c>
      <c r="L609">
        <v>302979.59999999998</v>
      </c>
      <c r="M609">
        <v>182487.69</v>
      </c>
      <c r="N609">
        <v>120491.91</v>
      </c>
    </row>
    <row r="610" spans="1:14" x14ac:dyDescent="0.25">
      <c r="A610" t="s">
        <v>38</v>
      </c>
      <c r="B610" t="s">
        <v>388</v>
      </c>
      <c r="C610" t="s">
        <v>131</v>
      </c>
      <c r="D610" t="s">
        <v>17</v>
      </c>
      <c r="E610" t="s">
        <v>23</v>
      </c>
      <c r="F610" t="s">
        <v>789</v>
      </c>
      <c r="G610">
        <v>545135438</v>
      </c>
      <c r="H610" t="s">
        <v>787</v>
      </c>
      <c r="I610">
        <v>6545</v>
      </c>
      <c r="J610">
        <v>668.27</v>
      </c>
      <c r="K610">
        <v>502.54</v>
      </c>
      <c r="L610">
        <v>4373827.1500000004</v>
      </c>
      <c r="M610">
        <v>3289124.3</v>
      </c>
      <c r="N610">
        <v>1084702.8500000001</v>
      </c>
    </row>
    <row r="611" spans="1:14" x14ac:dyDescent="0.25">
      <c r="A611" t="s">
        <v>38</v>
      </c>
      <c r="B611" t="s">
        <v>105</v>
      </c>
      <c r="C611" t="s">
        <v>16</v>
      </c>
      <c r="D611" t="s">
        <v>22</v>
      </c>
      <c r="E611" t="s">
        <v>23</v>
      </c>
      <c r="F611" s="1">
        <v>41125</v>
      </c>
      <c r="G611">
        <v>110743319</v>
      </c>
      <c r="H611" s="1">
        <v>41157</v>
      </c>
      <c r="I611">
        <v>264</v>
      </c>
      <c r="J611">
        <v>255.28</v>
      </c>
      <c r="K611">
        <v>159.41999999999999</v>
      </c>
      <c r="L611">
        <v>67393.919999999998</v>
      </c>
      <c r="M611">
        <v>42086.879999999997</v>
      </c>
      <c r="N611">
        <v>25307.040000000001</v>
      </c>
    </row>
    <row r="612" spans="1:14" x14ac:dyDescent="0.25">
      <c r="A612" t="s">
        <v>51</v>
      </c>
      <c r="B612" t="s">
        <v>192</v>
      </c>
      <c r="C612" t="s">
        <v>59</v>
      </c>
      <c r="D612" t="s">
        <v>22</v>
      </c>
      <c r="E612" t="s">
        <v>23</v>
      </c>
      <c r="F612" s="1">
        <v>42616</v>
      </c>
      <c r="G612">
        <v>662882268</v>
      </c>
      <c r="H612" t="s">
        <v>790</v>
      </c>
      <c r="I612">
        <v>449</v>
      </c>
      <c r="J612">
        <v>437.2</v>
      </c>
      <c r="K612">
        <v>263.33</v>
      </c>
      <c r="L612">
        <v>196302.8</v>
      </c>
      <c r="M612">
        <v>118235.17</v>
      </c>
      <c r="N612">
        <v>78067.63</v>
      </c>
    </row>
    <row r="613" spans="1:14" x14ac:dyDescent="0.25">
      <c r="A613" t="s">
        <v>51</v>
      </c>
      <c r="B613" t="s">
        <v>100</v>
      </c>
      <c r="C613" t="s">
        <v>69</v>
      </c>
      <c r="D613" t="s">
        <v>22</v>
      </c>
      <c r="E613" t="s">
        <v>23</v>
      </c>
      <c r="F613" s="1">
        <v>40279</v>
      </c>
      <c r="G613">
        <v>257851111</v>
      </c>
      <c r="H613" t="s">
        <v>791</v>
      </c>
      <c r="I613">
        <v>2729</v>
      </c>
      <c r="J613">
        <v>421.89</v>
      </c>
      <c r="K613">
        <v>364.69</v>
      </c>
      <c r="L613">
        <v>1151337.81</v>
      </c>
      <c r="M613">
        <v>995239.01</v>
      </c>
      <c r="N613">
        <v>156098.79999999999</v>
      </c>
    </row>
    <row r="614" spans="1:14" x14ac:dyDescent="0.25">
      <c r="A614" t="s">
        <v>51</v>
      </c>
      <c r="B614" t="s">
        <v>734</v>
      </c>
      <c r="C614" t="s">
        <v>16</v>
      </c>
      <c r="D614" t="s">
        <v>22</v>
      </c>
      <c r="E614" t="s">
        <v>18</v>
      </c>
      <c r="F614" t="s">
        <v>330</v>
      </c>
      <c r="G614">
        <v>172261178</v>
      </c>
      <c r="H614" t="s">
        <v>650</v>
      </c>
      <c r="I614">
        <v>4765</v>
      </c>
      <c r="J614">
        <v>255.28</v>
      </c>
      <c r="K614">
        <v>159.41999999999999</v>
      </c>
      <c r="L614">
        <v>1216409.2</v>
      </c>
      <c r="M614">
        <v>759636.3</v>
      </c>
      <c r="N614">
        <v>456772.9</v>
      </c>
    </row>
    <row r="615" spans="1:14" x14ac:dyDescent="0.25">
      <c r="A615" t="s">
        <v>25</v>
      </c>
      <c r="B615" t="s">
        <v>752</v>
      </c>
      <c r="C615" t="s">
        <v>40</v>
      </c>
      <c r="D615" t="s">
        <v>22</v>
      </c>
      <c r="E615" t="s">
        <v>32</v>
      </c>
      <c r="F615" t="s">
        <v>792</v>
      </c>
      <c r="G615">
        <v>853036296</v>
      </c>
      <c r="H615" s="1">
        <v>41280</v>
      </c>
      <c r="I615">
        <v>1251</v>
      </c>
      <c r="J615">
        <v>81.73</v>
      </c>
      <c r="K615">
        <v>56.67</v>
      </c>
      <c r="L615">
        <v>102244.23</v>
      </c>
      <c r="M615">
        <v>70894.17</v>
      </c>
      <c r="N615">
        <v>31350.06</v>
      </c>
    </row>
    <row r="616" spans="1:14" x14ac:dyDescent="0.25">
      <c r="A616" t="s">
        <v>25</v>
      </c>
      <c r="B616" t="s">
        <v>119</v>
      </c>
      <c r="C616" t="s">
        <v>88</v>
      </c>
      <c r="D616" t="s">
        <v>22</v>
      </c>
      <c r="E616" t="s">
        <v>18</v>
      </c>
      <c r="F616" t="s">
        <v>793</v>
      </c>
      <c r="G616">
        <v>567412793</v>
      </c>
      <c r="H616" t="s">
        <v>111</v>
      </c>
      <c r="I616">
        <v>8910</v>
      </c>
      <c r="J616">
        <v>9.33</v>
      </c>
      <c r="K616">
        <v>6.92</v>
      </c>
      <c r="L616">
        <v>83130.3</v>
      </c>
      <c r="M616">
        <v>61657.2</v>
      </c>
      <c r="N616">
        <v>21473.1</v>
      </c>
    </row>
    <row r="617" spans="1:14" x14ac:dyDescent="0.25">
      <c r="A617" t="s">
        <v>77</v>
      </c>
      <c r="B617" t="s">
        <v>794</v>
      </c>
      <c r="C617" t="s">
        <v>44</v>
      </c>
      <c r="D617" t="s">
        <v>22</v>
      </c>
      <c r="E617" t="s">
        <v>45</v>
      </c>
      <c r="F617" t="s">
        <v>786</v>
      </c>
      <c r="G617">
        <v>352939498</v>
      </c>
      <c r="H617" s="1">
        <v>41915</v>
      </c>
      <c r="I617">
        <v>1495</v>
      </c>
      <c r="J617">
        <v>109.28</v>
      </c>
      <c r="K617">
        <v>35.840000000000003</v>
      </c>
      <c r="L617">
        <v>163373.6</v>
      </c>
      <c r="M617">
        <v>53580.800000000003</v>
      </c>
      <c r="N617">
        <v>109792.8</v>
      </c>
    </row>
    <row r="618" spans="1:14" x14ac:dyDescent="0.25">
      <c r="A618" t="s">
        <v>51</v>
      </c>
      <c r="B618" t="s">
        <v>502</v>
      </c>
      <c r="C618" t="s">
        <v>44</v>
      </c>
      <c r="D618" t="s">
        <v>17</v>
      </c>
      <c r="E618" t="s">
        <v>18</v>
      </c>
      <c r="F618" t="s">
        <v>795</v>
      </c>
      <c r="G618">
        <v>867477738</v>
      </c>
      <c r="H618" t="s">
        <v>796</v>
      </c>
      <c r="I618">
        <v>4795</v>
      </c>
      <c r="J618">
        <v>109.28</v>
      </c>
      <c r="K618">
        <v>35.840000000000003</v>
      </c>
      <c r="L618">
        <v>523997.6</v>
      </c>
      <c r="M618">
        <v>171852.79999999999</v>
      </c>
      <c r="N618">
        <v>352144.8</v>
      </c>
    </row>
    <row r="619" spans="1:14" x14ac:dyDescent="0.25">
      <c r="A619" t="s">
        <v>25</v>
      </c>
      <c r="B619" t="s">
        <v>615</v>
      </c>
      <c r="C619" t="s">
        <v>59</v>
      </c>
      <c r="D619" t="s">
        <v>22</v>
      </c>
      <c r="E619" t="s">
        <v>45</v>
      </c>
      <c r="F619" t="s">
        <v>50</v>
      </c>
      <c r="G619">
        <v>139201343</v>
      </c>
      <c r="H619" s="1">
        <v>42530</v>
      </c>
      <c r="I619">
        <v>1625</v>
      </c>
      <c r="J619">
        <v>437.2</v>
      </c>
      <c r="K619">
        <v>263.33</v>
      </c>
      <c r="L619">
        <v>710450</v>
      </c>
      <c r="M619">
        <v>427911.25</v>
      </c>
      <c r="N619">
        <v>282538.75</v>
      </c>
    </row>
    <row r="620" spans="1:14" x14ac:dyDescent="0.25">
      <c r="A620" t="s">
        <v>14</v>
      </c>
      <c r="B620" t="s">
        <v>20</v>
      </c>
      <c r="C620" t="s">
        <v>88</v>
      </c>
      <c r="D620" t="s">
        <v>22</v>
      </c>
      <c r="E620" t="s">
        <v>23</v>
      </c>
      <c r="F620" t="s">
        <v>797</v>
      </c>
      <c r="G620">
        <v>316596639</v>
      </c>
      <c r="H620" s="1">
        <v>42472</v>
      </c>
      <c r="I620">
        <v>6836</v>
      </c>
      <c r="J620">
        <v>9.33</v>
      </c>
      <c r="K620">
        <v>6.92</v>
      </c>
      <c r="L620">
        <v>63779.88</v>
      </c>
      <c r="M620">
        <v>47305.120000000003</v>
      </c>
      <c r="N620">
        <v>16474.759999999998</v>
      </c>
    </row>
    <row r="621" spans="1:14" x14ac:dyDescent="0.25">
      <c r="A621" t="s">
        <v>51</v>
      </c>
      <c r="B621" t="s">
        <v>151</v>
      </c>
      <c r="C621" t="s">
        <v>27</v>
      </c>
      <c r="D621" t="s">
        <v>17</v>
      </c>
      <c r="E621" t="s">
        <v>45</v>
      </c>
      <c r="F621" t="s">
        <v>724</v>
      </c>
      <c r="G621">
        <v>918462455</v>
      </c>
      <c r="H621" t="s">
        <v>495</v>
      </c>
      <c r="I621">
        <v>2305</v>
      </c>
      <c r="J621">
        <v>47.45</v>
      </c>
      <c r="K621">
        <v>31.79</v>
      </c>
      <c r="L621">
        <v>109372.25</v>
      </c>
      <c r="M621">
        <v>73275.95</v>
      </c>
      <c r="N621">
        <v>36096.300000000003</v>
      </c>
    </row>
    <row r="622" spans="1:14" x14ac:dyDescent="0.25">
      <c r="A622" t="s">
        <v>25</v>
      </c>
      <c r="B622" t="s">
        <v>196</v>
      </c>
      <c r="C622" t="s">
        <v>59</v>
      </c>
      <c r="D622" t="s">
        <v>17</v>
      </c>
      <c r="E622" t="s">
        <v>23</v>
      </c>
      <c r="F622" s="1">
        <v>41888</v>
      </c>
      <c r="G622">
        <v>183910119</v>
      </c>
      <c r="H622" s="1">
        <v>41949</v>
      </c>
      <c r="I622">
        <v>1946</v>
      </c>
      <c r="J622">
        <v>437.2</v>
      </c>
      <c r="K622">
        <v>263.33</v>
      </c>
      <c r="L622">
        <v>850791.2</v>
      </c>
      <c r="M622">
        <v>512440.18</v>
      </c>
      <c r="N622">
        <v>338351.02</v>
      </c>
    </row>
    <row r="623" spans="1:14" x14ac:dyDescent="0.25">
      <c r="A623" t="s">
        <v>25</v>
      </c>
      <c r="B623" t="s">
        <v>112</v>
      </c>
      <c r="C623" t="s">
        <v>44</v>
      </c>
      <c r="D623" t="s">
        <v>17</v>
      </c>
      <c r="E623" t="s">
        <v>45</v>
      </c>
      <c r="F623" s="1">
        <v>41466</v>
      </c>
      <c r="G623">
        <v>922363460</v>
      </c>
      <c r="H623" t="s">
        <v>798</v>
      </c>
      <c r="I623">
        <v>6700</v>
      </c>
      <c r="J623">
        <v>109.28</v>
      </c>
      <c r="K623">
        <v>35.840000000000003</v>
      </c>
      <c r="L623">
        <v>732176</v>
      </c>
      <c r="M623">
        <v>240128</v>
      </c>
      <c r="N623">
        <v>492048</v>
      </c>
    </row>
    <row r="624" spans="1:14" x14ac:dyDescent="0.25">
      <c r="A624" t="s">
        <v>14</v>
      </c>
      <c r="B624" t="s">
        <v>627</v>
      </c>
      <c r="C624" t="s">
        <v>131</v>
      </c>
      <c r="D624" t="s">
        <v>17</v>
      </c>
      <c r="E624" t="s">
        <v>18</v>
      </c>
      <c r="F624" s="1">
        <v>41856</v>
      </c>
      <c r="G624">
        <v>163558804</v>
      </c>
      <c r="H624" t="s">
        <v>799</v>
      </c>
      <c r="I624">
        <v>9540</v>
      </c>
      <c r="J624">
        <v>668.27</v>
      </c>
      <c r="K624">
        <v>502.54</v>
      </c>
      <c r="L624">
        <v>6375295.7999999998</v>
      </c>
      <c r="M624">
        <v>4794231.5999999996</v>
      </c>
      <c r="N624">
        <v>1581064.2</v>
      </c>
    </row>
    <row r="625" spans="1:14" x14ac:dyDescent="0.25">
      <c r="A625" t="s">
        <v>51</v>
      </c>
      <c r="B625" t="s">
        <v>250</v>
      </c>
      <c r="C625" t="s">
        <v>88</v>
      </c>
      <c r="D625" t="s">
        <v>22</v>
      </c>
      <c r="E625" t="s">
        <v>32</v>
      </c>
      <c r="F625" s="1">
        <v>40362</v>
      </c>
      <c r="G625">
        <v>407544982</v>
      </c>
      <c r="H625" s="1">
        <v>40515</v>
      </c>
      <c r="I625">
        <v>472</v>
      </c>
      <c r="J625">
        <v>9.33</v>
      </c>
      <c r="K625">
        <v>6.92</v>
      </c>
      <c r="L625">
        <v>4403.76</v>
      </c>
      <c r="M625">
        <v>3266.24</v>
      </c>
      <c r="N625">
        <v>1137.52</v>
      </c>
    </row>
    <row r="626" spans="1:14" x14ac:dyDescent="0.25">
      <c r="A626" t="s">
        <v>38</v>
      </c>
      <c r="B626" t="s">
        <v>190</v>
      </c>
      <c r="C626" t="s">
        <v>69</v>
      </c>
      <c r="D626" t="s">
        <v>17</v>
      </c>
      <c r="E626" t="s">
        <v>45</v>
      </c>
      <c r="F626" t="s">
        <v>427</v>
      </c>
      <c r="G626">
        <v>174683320</v>
      </c>
      <c r="H626" s="1">
        <v>40613</v>
      </c>
      <c r="I626">
        <v>1531</v>
      </c>
      <c r="J626">
        <v>421.89</v>
      </c>
      <c r="K626">
        <v>364.69</v>
      </c>
      <c r="L626">
        <v>645913.59</v>
      </c>
      <c r="M626">
        <v>558340.39</v>
      </c>
      <c r="N626">
        <v>87573.2</v>
      </c>
    </row>
    <row r="627" spans="1:14" x14ac:dyDescent="0.25">
      <c r="A627" t="s">
        <v>42</v>
      </c>
      <c r="B627" t="s">
        <v>476</v>
      </c>
      <c r="C627" t="s">
        <v>131</v>
      </c>
      <c r="D627" t="s">
        <v>22</v>
      </c>
      <c r="E627" t="s">
        <v>45</v>
      </c>
      <c r="F627" t="s">
        <v>800</v>
      </c>
      <c r="G627">
        <v>755647647</v>
      </c>
      <c r="H627" s="1">
        <v>40798</v>
      </c>
      <c r="I627">
        <v>1786</v>
      </c>
      <c r="J627">
        <v>668.27</v>
      </c>
      <c r="K627">
        <v>502.54</v>
      </c>
      <c r="L627">
        <v>1193530.22</v>
      </c>
      <c r="M627">
        <v>897536.44</v>
      </c>
      <c r="N627">
        <v>295993.78000000003</v>
      </c>
    </row>
    <row r="628" spans="1:14" x14ac:dyDescent="0.25">
      <c r="A628" t="s">
        <v>51</v>
      </c>
      <c r="B628" t="s">
        <v>295</v>
      </c>
      <c r="C628" t="s">
        <v>69</v>
      </c>
      <c r="D628" t="s">
        <v>17</v>
      </c>
      <c r="E628" t="s">
        <v>45</v>
      </c>
      <c r="F628" t="s">
        <v>480</v>
      </c>
      <c r="G628">
        <v>361424291</v>
      </c>
      <c r="H628" s="1">
        <v>40670</v>
      </c>
      <c r="I628">
        <v>2334</v>
      </c>
      <c r="J628">
        <v>421.89</v>
      </c>
      <c r="K628">
        <v>364.69</v>
      </c>
      <c r="L628">
        <v>984691.26</v>
      </c>
      <c r="M628">
        <v>851186.46</v>
      </c>
      <c r="N628">
        <v>133504.79999999999</v>
      </c>
    </row>
    <row r="629" spans="1:14" x14ac:dyDescent="0.25">
      <c r="A629" t="s">
        <v>51</v>
      </c>
      <c r="B629" t="s">
        <v>502</v>
      </c>
      <c r="C629" t="s">
        <v>16</v>
      </c>
      <c r="D629" t="s">
        <v>17</v>
      </c>
      <c r="E629" t="s">
        <v>45</v>
      </c>
      <c r="F629" t="s">
        <v>801</v>
      </c>
      <c r="G629">
        <v>873312079</v>
      </c>
      <c r="H629" t="s">
        <v>802</v>
      </c>
      <c r="I629">
        <v>1306</v>
      </c>
      <c r="J629">
        <v>255.28</v>
      </c>
      <c r="K629">
        <v>159.41999999999999</v>
      </c>
      <c r="L629">
        <v>333395.68</v>
      </c>
      <c r="M629">
        <v>208202.52</v>
      </c>
      <c r="N629">
        <v>125193.16</v>
      </c>
    </row>
    <row r="630" spans="1:14" x14ac:dyDescent="0.25">
      <c r="A630" t="s">
        <v>25</v>
      </c>
      <c r="B630" t="s">
        <v>72</v>
      </c>
      <c r="C630" t="s">
        <v>27</v>
      </c>
      <c r="D630" t="s">
        <v>22</v>
      </c>
      <c r="E630" t="s">
        <v>23</v>
      </c>
      <c r="F630" s="1">
        <v>40943</v>
      </c>
      <c r="G630">
        <v>192922341</v>
      </c>
      <c r="H630" s="1">
        <v>40913</v>
      </c>
      <c r="I630">
        <v>8863</v>
      </c>
      <c r="J630">
        <v>47.45</v>
      </c>
      <c r="K630">
        <v>31.79</v>
      </c>
      <c r="L630">
        <v>420549.35</v>
      </c>
      <c r="M630">
        <v>281754.77</v>
      </c>
      <c r="N630">
        <v>138794.57999999999</v>
      </c>
    </row>
    <row r="631" spans="1:14" x14ac:dyDescent="0.25">
      <c r="A631" t="s">
        <v>25</v>
      </c>
      <c r="B631" t="s">
        <v>256</v>
      </c>
      <c r="C631" t="s">
        <v>31</v>
      </c>
      <c r="D631" t="s">
        <v>17</v>
      </c>
      <c r="E631" t="s">
        <v>32</v>
      </c>
      <c r="F631" s="1">
        <v>42800</v>
      </c>
      <c r="G631">
        <v>792178905</v>
      </c>
      <c r="H631" t="s">
        <v>631</v>
      </c>
      <c r="I631">
        <v>2197</v>
      </c>
      <c r="J631">
        <v>205.7</v>
      </c>
      <c r="K631">
        <v>117.11</v>
      </c>
      <c r="L631">
        <v>451922.9</v>
      </c>
      <c r="M631">
        <v>257290.67</v>
      </c>
      <c r="N631">
        <v>194632.23</v>
      </c>
    </row>
    <row r="632" spans="1:14" x14ac:dyDescent="0.25">
      <c r="A632" t="s">
        <v>51</v>
      </c>
      <c r="B632" t="s">
        <v>487</v>
      </c>
      <c r="C632" t="s">
        <v>16</v>
      </c>
      <c r="D632" t="s">
        <v>17</v>
      </c>
      <c r="E632" t="s">
        <v>23</v>
      </c>
      <c r="F632" t="s">
        <v>803</v>
      </c>
      <c r="G632">
        <v>263318097</v>
      </c>
      <c r="H632" s="1">
        <v>42097</v>
      </c>
      <c r="I632">
        <v>531</v>
      </c>
      <c r="J632">
        <v>255.28</v>
      </c>
      <c r="K632">
        <v>159.41999999999999</v>
      </c>
      <c r="L632">
        <v>135553.68</v>
      </c>
      <c r="M632">
        <v>84652.02</v>
      </c>
      <c r="N632">
        <v>50901.66</v>
      </c>
    </row>
    <row r="633" spans="1:14" x14ac:dyDescent="0.25">
      <c r="A633" t="s">
        <v>51</v>
      </c>
      <c r="B633" t="s">
        <v>182</v>
      </c>
      <c r="C633" t="s">
        <v>55</v>
      </c>
      <c r="D633" t="s">
        <v>17</v>
      </c>
      <c r="E633" t="s">
        <v>45</v>
      </c>
      <c r="F633" s="1">
        <v>42345</v>
      </c>
      <c r="G633">
        <v>768888747</v>
      </c>
      <c r="H633" t="s">
        <v>804</v>
      </c>
      <c r="I633">
        <v>122</v>
      </c>
      <c r="J633">
        <v>651.21</v>
      </c>
      <c r="K633">
        <v>524.96</v>
      </c>
      <c r="L633">
        <v>79447.62</v>
      </c>
      <c r="M633">
        <v>64045.120000000003</v>
      </c>
      <c r="N633">
        <v>15402.5</v>
      </c>
    </row>
    <row r="634" spans="1:14" x14ac:dyDescent="0.25">
      <c r="A634" t="s">
        <v>38</v>
      </c>
      <c r="B634" t="s">
        <v>54</v>
      </c>
      <c r="C634" t="s">
        <v>131</v>
      </c>
      <c r="D634" t="s">
        <v>22</v>
      </c>
      <c r="E634" t="s">
        <v>45</v>
      </c>
      <c r="F634" t="s">
        <v>805</v>
      </c>
      <c r="G634">
        <v>491752183</v>
      </c>
      <c r="H634" s="1">
        <v>42157</v>
      </c>
      <c r="I634">
        <v>9254</v>
      </c>
      <c r="J634">
        <v>668.27</v>
      </c>
      <c r="K634">
        <v>502.54</v>
      </c>
      <c r="L634">
        <v>6184170.5800000001</v>
      </c>
      <c r="M634">
        <v>4650505.16</v>
      </c>
      <c r="N634">
        <v>1533665.42</v>
      </c>
    </row>
    <row r="635" spans="1:14" x14ac:dyDescent="0.25">
      <c r="A635" t="s">
        <v>38</v>
      </c>
      <c r="B635" t="s">
        <v>117</v>
      </c>
      <c r="C635" t="s">
        <v>88</v>
      </c>
      <c r="D635" t="s">
        <v>22</v>
      </c>
      <c r="E635" t="s">
        <v>45</v>
      </c>
      <c r="F635" t="s">
        <v>806</v>
      </c>
      <c r="G635">
        <v>385082232</v>
      </c>
      <c r="H635" t="s">
        <v>807</v>
      </c>
      <c r="I635">
        <v>3245</v>
      </c>
      <c r="J635">
        <v>9.33</v>
      </c>
      <c r="K635">
        <v>6.92</v>
      </c>
      <c r="L635">
        <v>30275.85</v>
      </c>
      <c r="M635">
        <v>22455.4</v>
      </c>
      <c r="N635">
        <v>7820.45</v>
      </c>
    </row>
    <row r="636" spans="1:14" x14ac:dyDescent="0.25">
      <c r="A636" t="s">
        <v>14</v>
      </c>
      <c r="B636" t="s">
        <v>627</v>
      </c>
      <c r="C636" t="s">
        <v>69</v>
      </c>
      <c r="D636" t="s">
        <v>22</v>
      </c>
      <c r="E636" t="s">
        <v>23</v>
      </c>
      <c r="F636" t="s">
        <v>808</v>
      </c>
      <c r="G636">
        <v>122365224</v>
      </c>
      <c r="H636" t="s">
        <v>809</v>
      </c>
      <c r="I636">
        <v>9444</v>
      </c>
      <c r="J636">
        <v>421.89</v>
      </c>
      <c r="K636">
        <v>364.69</v>
      </c>
      <c r="L636">
        <v>3984329.16</v>
      </c>
      <c r="M636">
        <v>3444132.36</v>
      </c>
      <c r="N636">
        <v>540196.80000000005</v>
      </c>
    </row>
    <row r="637" spans="1:14" x14ac:dyDescent="0.25">
      <c r="A637" t="s">
        <v>14</v>
      </c>
      <c r="B637" t="s">
        <v>226</v>
      </c>
      <c r="C637" t="s">
        <v>131</v>
      </c>
      <c r="D637" t="s">
        <v>17</v>
      </c>
      <c r="E637" t="s">
        <v>45</v>
      </c>
      <c r="F637" s="1">
        <v>41429</v>
      </c>
      <c r="G637">
        <v>347399985</v>
      </c>
      <c r="H637" t="s">
        <v>232</v>
      </c>
      <c r="I637">
        <v>2231</v>
      </c>
      <c r="J637">
        <v>668.27</v>
      </c>
      <c r="K637">
        <v>502.54</v>
      </c>
      <c r="L637">
        <v>1490910.37</v>
      </c>
      <c r="M637">
        <v>1121166.74</v>
      </c>
      <c r="N637">
        <v>369743.63</v>
      </c>
    </row>
    <row r="638" spans="1:14" x14ac:dyDescent="0.25">
      <c r="A638" t="s">
        <v>25</v>
      </c>
      <c r="B638" t="s">
        <v>204</v>
      </c>
      <c r="C638" t="s">
        <v>27</v>
      </c>
      <c r="D638" t="s">
        <v>17</v>
      </c>
      <c r="E638" t="s">
        <v>18</v>
      </c>
      <c r="F638" t="s">
        <v>810</v>
      </c>
      <c r="G638">
        <v>424297845</v>
      </c>
      <c r="H638" s="1">
        <v>41122</v>
      </c>
      <c r="I638">
        <v>8016</v>
      </c>
      <c r="J638">
        <v>47.45</v>
      </c>
      <c r="K638">
        <v>31.79</v>
      </c>
      <c r="L638">
        <v>380359.2</v>
      </c>
      <c r="M638">
        <v>254828.64</v>
      </c>
      <c r="N638">
        <v>125530.56</v>
      </c>
    </row>
    <row r="639" spans="1:14" x14ac:dyDescent="0.25">
      <c r="A639" t="s">
        <v>51</v>
      </c>
      <c r="B639" t="s">
        <v>664</v>
      </c>
      <c r="C639" t="s">
        <v>55</v>
      </c>
      <c r="D639" t="s">
        <v>22</v>
      </c>
      <c r="E639" t="s">
        <v>18</v>
      </c>
      <c r="F639" t="s">
        <v>811</v>
      </c>
      <c r="G639">
        <v>687482631</v>
      </c>
      <c r="H639" t="s">
        <v>812</v>
      </c>
      <c r="I639">
        <v>243</v>
      </c>
      <c r="J639">
        <v>651.21</v>
      </c>
      <c r="K639">
        <v>524.96</v>
      </c>
      <c r="L639">
        <v>158244.03</v>
      </c>
      <c r="M639">
        <v>127565.28</v>
      </c>
      <c r="N639">
        <v>30678.75</v>
      </c>
    </row>
    <row r="640" spans="1:14" x14ac:dyDescent="0.25">
      <c r="A640" t="s">
        <v>42</v>
      </c>
      <c r="B640" t="s">
        <v>174</v>
      </c>
      <c r="C640" t="s">
        <v>59</v>
      </c>
      <c r="D640" t="s">
        <v>22</v>
      </c>
      <c r="E640" t="s">
        <v>45</v>
      </c>
      <c r="F640" s="1">
        <v>42525</v>
      </c>
      <c r="G640">
        <v>191690671</v>
      </c>
      <c r="H640" t="s">
        <v>588</v>
      </c>
      <c r="I640">
        <v>4384</v>
      </c>
      <c r="J640">
        <v>437.2</v>
      </c>
      <c r="K640">
        <v>263.33</v>
      </c>
      <c r="L640">
        <v>1916684.8</v>
      </c>
      <c r="M640">
        <v>1154438.72</v>
      </c>
      <c r="N640">
        <v>762246.08</v>
      </c>
    </row>
    <row r="641" spans="1:14" x14ac:dyDescent="0.25">
      <c r="A641" t="s">
        <v>42</v>
      </c>
      <c r="B641" t="s">
        <v>681</v>
      </c>
      <c r="C641" t="s">
        <v>31</v>
      </c>
      <c r="D641" t="s">
        <v>17</v>
      </c>
      <c r="E641" t="s">
        <v>23</v>
      </c>
      <c r="F641" s="1">
        <v>42624</v>
      </c>
      <c r="G641">
        <v>761970794</v>
      </c>
      <c r="H641" t="s">
        <v>471</v>
      </c>
      <c r="I641">
        <v>2945</v>
      </c>
      <c r="J641">
        <v>205.7</v>
      </c>
      <c r="K641">
        <v>117.11</v>
      </c>
      <c r="L641">
        <v>605786.5</v>
      </c>
      <c r="M641">
        <v>344888.95</v>
      </c>
      <c r="N641">
        <v>260897.55</v>
      </c>
    </row>
    <row r="642" spans="1:14" x14ac:dyDescent="0.25">
      <c r="A642" t="s">
        <v>25</v>
      </c>
      <c r="B642" t="s">
        <v>615</v>
      </c>
      <c r="C642" t="s">
        <v>16</v>
      </c>
      <c r="D642" t="s">
        <v>17</v>
      </c>
      <c r="E642" t="s">
        <v>45</v>
      </c>
      <c r="F642" t="s">
        <v>813</v>
      </c>
      <c r="G642">
        <v>243684327</v>
      </c>
      <c r="H642" t="s">
        <v>814</v>
      </c>
      <c r="I642">
        <v>462</v>
      </c>
      <c r="J642">
        <v>255.28</v>
      </c>
      <c r="K642">
        <v>159.41999999999999</v>
      </c>
      <c r="L642">
        <v>117939.36</v>
      </c>
      <c r="M642">
        <v>73652.039999999994</v>
      </c>
      <c r="N642">
        <v>44287.32</v>
      </c>
    </row>
    <row r="643" spans="1:14" x14ac:dyDescent="0.25">
      <c r="A643" t="s">
        <v>25</v>
      </c>
      <c r="B643" t="s">
        <v>142</v>
      </c>
      <c r="C643" t="s">
        <v>44</v>
      </c>
      <c r="D643" t="s">
        <v>22</v>
      </c>
      <c r="E643" t="s">
        <v>18</v>
      </c>
      <c r="F643" s="1">
        <v>41095</v>
      </c>
      <c r="G643">
        <v>152505099</v>
      </c>
      <c r="H643" t="s">
        <v>272</v>
      </c>
      <c r="I643">
        <v>8503</v>
      </c>
      <c r="J643">
        <v>109.28</v>
      </c>
      <c r="K643">
        <v>35.840000000000003</v>
      </c>
      <c r="L643">
        <v>929207.84</v>
      </c>
      <c r="M643">
        <v>304747.52000000002</v>
      </c>
      <c r="N643">
        <v>624460.31999999995</v>
      </c>
    </row>
    <row r="644" spans="1:14" x14ac:dyDescent="0.25">
      <c r="A644" t="s">
        <v>38</v>
      </c>
      <c r="B644" t="s">
        <v>117</v>
      </c>
      <c r="C644" t="s">
        <v>31</v>
      </c>
      <c r="D644" t="s">
        <v>17</v>
      </c>
      <c r="E644" t="s">
        <v>18</v>
      </c>
      <c r="F644" s="1">
        <v>41005</v>
      </c>
      <c r="G644">
        <v>724419438</v>
      </c>
      <c r="H644" t="s">
        <v>815</v>
      </c>
      <c r="I644">
        <v>665</v>
      </c>
      <c r="J644">
        <v>205.7</v>
      </c>
      <c r="K644">
        <v>117.11</v>
      </c>
      <c r="L644">
        <v>136790.5</v>
      </c>
      <c r="M644">
        <v>77878.149999999994</v>
      </c>
      <c r="N644">
        <v>58912.35</v>
      </c>
    </row>
    <row r="645" spans="1:14" x14ac:dyDescent="0.25">
      <c r="A645" t="s">
        <v>29</v>
      </c>
      <c r="B645" t="s">
        <v>585</v>
      </c>
      <c r="C645" t="s">
        <v>131</v>
      </c>
      <c r="D645" t="s">
        <v>22</v>
      </c>
      <c r="E645" t="s">
        <v>18</v>
      </c>
      <c r="F645" t="s">
        <v>183</v>
      </c>
      <c r="G645">
        <v>465726172</v>
      </c>
      <c r="H645" s="1">
        <v>40336</v>
      </c>
      <c r="I645">
        <v>7579</v>
      </c>
      <c r="J645">
        <v>668.27</v>
      </c>
      <c r="K645">
        <v>502.54</v>
      </c>
      <c r="L645">
        <v>5064818.33</v>
      </c>
      <c r="M645">
        <v>3808750.66</v>
      </c>
      <c r="N645">
        <v>1256067.67</v>
      </c>
    </row>
    <row r="646" spans="1:14" x14ac:dyDescent="0.25">
      <c r="A646" t="s">
        <v>25</v>
      </c>
      <c r="B646" t="s">
        <v>785</v>
      </c>
      <c r="C646" t="s">
        <v>16</v>
      </c>
      <c r="D646" t="s">
        <v>17</v>
      </c>
      <c r="E646" t="s">
        <v>32</v>
      </c>
      <c r="F646" t="s">
        <v>816</v>
      </c>
      <c r="G646">
        <v>203036630</v>
      </c>
      <c r="H646" t="s">
        <v>817</v>
      </c>
      <c r="I646">
        <v>1905</v>
      </c>
      <c r="J646">
        <v>255.28</v>
      </c>
      <c r="K646">
        <v>159.41999999999999</v>
      </c>
      <c r="L646">
        <v>486308.4</v>
      </c>
      <c r="M646">
        <v>303695.09999999998</v>
      </c>
      <c r="N646">
        <v>182613.3</v>
      </c>
    </row>
    <row r="647" spans="1:14" x14ac:dyDescent="0.25">
      <c r="A647" t="s">
        <v>51</v>
      </c>
      <c r="B647" t="s">
        <v>414</v>
      </c>
      <c r="C647" t="s">
        <v>69</v>
      </c>
      <c r="D647" t="s">
        <v>17</v>
      </c>
      <c r="E647" t="s">
        <v>18</v>
      </c>
      <c r="F647" s="1">
        <v>40635</v>
      </c>
      <c r="G647">
        <v>833274638</v>
      </c>
      <c r="H647" t="s">
        <v>249</v>
      </c>
      <c r="I647">
        <v>3337</v>
      </c>
      <c r="J647">
        <v>421.89</v>
      </c>
      <c r="K647">
        <v>364.69</v>
      </c>
      <c r="L647">
        <v>1407846.93</v>
      </c>
      <c r="M647">
        <v>1216970.53</v>
      </c>
      <c r="N647">
        <v>190876.4</v>
      </c>
    </row>
    <row r="648" spans="1:14" x14ac:dyDescent="0.25">
      <c r="A648" t="s">
        <v>51</v>
      </c>
      <c r="B648" t="s">
        <v>593</v>
      </c>
      <c r="C648" t="s">
        <v>131</v>
      </c>
      <c r="D648" t="s">
        <v>22</v>
      </c>
      <c r="E648" t="s">
        <v>45</v>
      </c>
      <c r="F648" s="1">
        <v>41033</v>
      </c>
      <c r="G648">
        <v>173676526</v>
      </c>
      <c r="H648" s="1">
        <v>41187</v>
      </c>
      <c r="I648">
        <v>3598</v>
      </c>
      <c r="J648">
        <v>668.27</v>
      </c>
      <c r="K648">
        <v>502.54</v>
      </c>
      <c r="L648">
        <v>2404435.46</v>
      </c>
      <c r="M648">
        <v>1808138.92</v>
      </c>
      <c r="N648">
        <v>596296.54</v>
      </c>
    </row>
    <row r="649" spans="1:14" x14ac:dyDescent="0.25">
      <c r="A649" t="s">
        <v>25</v>
      </c>
      <c r="B649" t="s">
        <v>196</v>
      </c>
      <c r="C649" t="s">
        <v>21</v>
      </c>
      <c r="D649" t="s">
        <v>22</v>
      </c>
      <c r="E649" t="s">
        <v>23</v>
      </c>
      <c r="F649" t="s">
        <v>621</v>
      </c>
      <c r="G649">
        <v>611791121</v>
      </c>
      <c r="H649" s="1">
        <v>42432</v>
      </c>
      <c r="I649">
        <v>1443</v>
      </c>
      <c r="J649">
        <v>152.58000000000001</v>
      </c>
      <c r="K649">
        <v>97.44</v>
      </c>
      <c r="L649">
        <v>220172.94</v>
      </c>
      <c r="M649">
        <v>140605.92000000001</v>
      </c>
      <c r="N649">
        <v>79567.02</v>
      </c>
    </row>
    <row r="650" spans="1:14" x14ac:dyDescent="0.25">
      <c r="A650" t="s">
        <v>51</v>
      </c>
      <c r="B650" t="s">
        <v>295</v>
      </c>
      <c r="C650" t="s">
        <v>59</v>
      </c>
      <c r="D650" t="s">
        <v>22</v>
      </c>
      <c r="E650" t="s">
        <v>23</v>
      </c>
      <c r="F650" s="1">
        <v>41366</v>
      </c>
      <c r="G650">
        <v>555479753</v>
      </c>
      <c r="H650" s="1">
        <v>41610</v>
      </c>
      <c r="I650">
        <v>7658</v>
      </c>
      <c r="J650">
        <v>437.2</v>
      </c>
      <c r="K650">
        <v>263.33</v>
      </c>
      <c r="L650">
        <v>3348077.6</v>
      </c>
      <c r="M650">
        <v>2016581.14</v>
      </c>
      <c r="N650">
        <v>1331496.46</v>
      </c>
    </row>
    <row r="651" spans="1:14" x14ac:dyDescent="0.25">
      <c r="A651" t="s">
        <v>51</v>
      </c>
      <c r="B651" t="s">
        <v>734</v>
      </c>
      <c r="C651" t="s">
        <v>27</v>
      </c>
      <c r="D651" t="s">
        <v>22</v>
      </c>
      <c r="E651" t="s">
        <v>45</v>
      </c>
      <c r="F651" s="1">
        <v>41376</v>
      </c>
      <c r="G651">
        <v>282916247</v>
      </c>
      <c r="H651" t="s">
        <v>818</v>
      </c>
      <c r="I651">
        <v>59</v>
      </c>
      <c r="J651">
        <v>47.45</v>
      </c>
      <c r="K651">
        <v>31.79</v>
      </c>
      <c r="L651">
        <v>2799.55</v>
      </c>
      <c r="M651">
        <v>1875.61</v>
      </c>
      <c r="N651">
        <v>923.94</v>
      </c>
    </row>
    <row r="652" spans="1:14" x14ac:dyDescent="0.25">
      <c r="A652" t="s">
        <v>42</v>
      </c>
      <c r="B652" t="s">
        <v>103</v>
      </c>
      <c r="C652" t="s">
        <v>31</v>
      </c>
      <c r="D652" t="s">
        <v>17</v>
      </c>
      <c r="E652" t="s">
        <v>23</v>
      </c>
      <c r="F652" t="s">
        <v>819</v>
      </c>
      <c r="G652">
        <v>592586934</v>
      </c>
      <c r="H652" t="s">
        <v>820</v>
      </c>
      <c r="I652">
        <v>8497</v>
      </c>
      <c r="J652">
        <v>205.7</v>
      </c>
      <c r="K652">
        <v>117.11</v>
      </c>
      <c r="L652">
        <v>1747832.9</v>
      </c>
      <c r="M652">
        <v>995083.67</v>
      </c>
      <c r="N652">
        <v>752749.23</v>
      </c>
    </row>
    <row r="653" spans="1:14" x14ac:dyDescent="0.25">
      <c r="A653" t="s">
        <v>14</v>
      </c>
      <c r="B653" t="s">
        <v>488</v>
      </c>
      <c r="C653" t="s">
        <v>44</v>
      </c>
      <c r="D653" t="s">
        <v>17</v>
      </c>
      <c r="E653" t="s">
        <v>18</v>
      </c>
      <c r="F653" s="1">
        <v>40302</v>
      </c>
      <c r="G653">
        <v>553290641</v>
      </c>
      <c r="H653" s="1">
        <v>40363</v>
      </c>
      <c r="I653">
        <v>9851</v>
      </c>
      <c r="J653">
        <v>109.28</v>
      </c>
      <c r="K653">
        <v>35.840000000000003</v>
      </c>
      <c r="L653">
        <v>1076517.28</v>
      </c>
      <c r="M653">
        <v>353059.84000000003</v>
      </c>
      <c r="N653">
        <v>723457.44</v>
      </c>
    </row>
    <row r="654" spans="1:14" x14ac:dyDescent="0.25">
      <c r="A654" t="s">
        <v>29</v>
      </c>
      <c r="B654" t="s">
        <v>494</v>
      </c>
      <c r="C654" t="s">
        <v>44</v>
      </c>
      <c r="D654" t="s">
        <v>17</v>
      </c>
      <c r="E654" t="s">
        <v>23</v>
      </c>
      <c r="F654" s="1">
        <v>42888</v>
      </c>
      <c r="G654">
        <v>654138696</v>
      </c>
      <c r="H654" t="s">
        <v>821</v>
      </c>
      <c r="I654">
        <v>3031</v>
      </c>
      <c r="J654">
        <v>109.28</v>
      </c>
      <c r="K654">
        <v>35.840000000000003</v>
      </c>
      <c r="L654">
        <v>331227.68</v>
      </c>
      <c r="M654">
        <v>108631.03999999999</v>
      </c>
      <c r="N654">
        <v>222596.64</v>
      </c>
    </row>
    <row r="655" spans="1:14" x14ac:dyDescent="0.25">
      <c r="A655" t="s">
        <v>25</v>
      </c>
      <c r="B655" t="s">
        <v>142</v>
      </c>
      <c r="C655" t="s">
        <v>31</v>
      </c>
      <c r="D655" t="s">
        <v>22</v>
      </c>
      <c r="E655" t="s">
        <v>23</v>
      </c>
      <c r="F655" t="s">
        <v>822</v>
      </c>
      <c r="G655">
        <v>554554927</v>
      </c>
      <c r="H655" s="1">
        <v>41068</v>
      </c>
      <c r="I655">
        <v>3981</v>
      </c>
      <c r="J655">
        <v>205.7</v>
      </c>
      <c r="K655">
        <v>117.11</v>
      </c>
      <c r="L655">
        <v>818891.7</v>
      </c>
      <c r="M655">
        <v>466214.91</v>
      </c>
      <c r="N655">
        <v>352676.79</v>
      </c>
    </row>
    <row r="656" spans="1:14" x14ac:dyDescent="0.25">
      <c r="A656" t="s">
        <v>25</v>
      </c>
      <c r="B656" t="s">
        <v>47</v>
      </c>
      <c r="C656" t="s">
        <v>55</v>
      </c>
      <c r="D656" t="s">
        <v>22</v>
      </c>
      <c r="E656" t="s">
        <v>45</v>
      </c>
      <c r="F656" s="1">
        <v>41220</v>
      </c>
      <c r="G656">
        <v>434275662</v>
      </c>
      <c r="H656" t="s">
        <v>746</v>
      </c>
      <c r="I656">
        <v>674</v>
      </c>
      <c r="J656">
        <v>651.21</v>
      </c>
      <c r="K656">
        <v>524.96</v>
      </c>
      <c r="L656">
        <v>438915.54</v>
      </c>
      <c r="M656">
        <v>353823.04</v>
      </c>
      <c r="N656">
        <v>85092.5</v>
      </c>
    </row>
    <row r="657" spans="1:14" x14ac:dyDescent="0.25">
      <c r="A657" t="s">
        <v>51</v>
      </c>
      <c r="B657" t="s">
        <v>182</v>
      </c>
      <c r="C657" t="s">
        <v>40</v>
      </c>
      <c r="D657" t="s">
        <v>17</v>
      </c>
      <c r="E657" t="s">
        <v>32</v>
      </c>
      <c r="F657" t="s">
        <v>141</v>
      </c>
      <c r="G657">
        <v>543349730</v>
      </c>
      <c r="H657" s="1">
        <v>42187</v>
      </c>
      <c r="I657">
        <v>8115</v>
      </c>
      <c r="J657">
        <v>81.73</v>
      </c>
      <c r="K657">
        <v>56.67</v>
      </c>
      <c r="L657">
        <v>663238.94999999995</v>
      </c>
      <c r="M657">
        <v>459877.05</v>
      </c>
      <c r="N657">
        <v>203361.9</v>
      </c>
    </row>
    <row r="658" spans="1:14" x14ac:dyDescent="0.25">
      <c r="A658" t="s">
        <v>51</v>
      </c>
      <c r="B658" t="s">
        <v>593</v>
      </c>
      <c r="C658" t="s">
        <v>16</v>
      </c>
      <c r="D658" t="s">
        <v>22</v>
      </c>
      <c r="E658" t="s">
        <v>23</v>
      </c>
      <c r="F658" t="s">
        <v>823</v>
      </c>
      <c r="G658">
        <v>752138459</v>
      </c>
      <c r="H658" t="s">
        <v>601</v>
      </c>
      <c r="I658">
        <v>3339</v>
      </c>
      <c r="J658">
        <v>255.28</v>
      </c>
      <c r="K658">
        <v>159.41999999999999</v>
      </c>
      <c r="L658">
        <v>852379.92</v>
      </c>
      <c r="M658">
        <v>532303.38</v>
      </c>
      <c r="N658">
        <v>320076.53999999998</v>
      </c>
    </row>
    <row r="659" spans="1:14" x14ac:dyDescent="0.25">
      <c r="A659" t="s">
        <v>51</v>
      </c>
      <c r="B659" t="s">
        <v>295</v>
      </c>
      <c r="C659" t="s">
        <v>113</v>
      </c>
      <c r="D659" t="s">
        <v>17</v>
      </c>
      <c r="E659" t="s">
        <v>32</v>
      </c>
      <c r="F659" s="1">
        <v>41466</v>
      </c>
      <c r="G659">
        <v>101315677</v>
      </c>
      <c r="H659" t="s">
        <v>824</v>
      </c>
      <c r="I659">
        <v>415</v>
      </c>
      <c r="J659">
        <v>154.06</v>
      </c>
      <c r="K659">
        <v>90.93</v>
      </c>
      <c r="L659">
        <v>63934.9</v>
      </c>
      <c r="M659">
        <v>37735.949999999997</v>
      </c>
      <c r="N659">
        <v>26198.95</v>
      </c>
    </row>
    <row r="660" spans="1:14" x14ac:dyDescent="0.25">
      <c r="A660" t="s">
        <v>29</v>
      </c>
      <c r="B660" t="s">
        <v>35</v>
      </c>
      <c r="C660" t="s">
        <v>31</v>
      </c>
      <c r="D660" t="s">
        <v>17</v>
      </c>
      <c r="E660" t="s">
        <v>23</v>
      </c>
      <c r="F660" t="s">
        <v>825</v>
      </c>
      <c r="G660">
        <v>851867711</v>
      </c>
      <c r="H660" t="s">
        <v>826</v>
      </c>
      <c r="I660">
        <v>5441</v>
      </c>
      <c r="J660">
        <v>205.7</v>
      </c>
      <c r="K660">
        <v>117.11</v>
      </c>
      <c r="L660">
        <v>1119213.7</v>
      </c>
      <c r="M660">
        <v>637195.51</v>
      </c>
      <c r="N660">
        <v>482018.19</v>
      </c>
    </row>
    <row r="661" spans="1:14" x14ac:dyDescent="0.25">
      <c r="A661" t="s">
        <v>25</v>
      </c>
      <c r="B661" t="s">
        <v>497</v>
      </c>
      <c r="C661" t="s">
        <v>40</v>
      </c>
      <c r="D661" t="s">
        <v>22</v>
      </c>
      <c r="E661" t="s">
        <v>45</v>
      </c>
      <c r="F661" t="s">
        <v>827</v>
      </c>
      <c r="G661">
        <v>835093390</v>
      </c>
      <c r="H661" t="s">
        <v>828</v>
      </c>
      <c r="I661">
        <v>1547</v>
      </c>
      <c r="J661">
        <v>81.73</v>
      </c>
      <c r="K661">
        <v>56.67</v>
      </c>
      <c r="L661">
        <v>126436.31</v>
      </c>
      <c r="M661">
        <v>87668.49</v>
      </c>
      <c r="N661">
        <v>38767.82</v>
      </c>
    </row>
    <row r="662" spans="1:14" x14ac:dyDescent="0.25">
      <c r="A662" t="s">
        <v>29</v>
      </c>
      <c r="B662" t="s">
        <v>35</v>
      </c>
      <c r="C662" t="s">
        <v>31</v>
      </c>
      <c r="D662" t="s">
        <v>17</v>
      </c>
      <c r="E662" t="s">
        <v>32</v>
      </c>
      <c r="F662" t="s">
        <v>829</v>
      </c>
      <c r="G662">
        <v>202604043</v>
      </c>
      <c r="H662" s="1">
        <v>40820</v>
      </c>
      <c r="I662">
        <v>3893</v>
      </c>
      <c r="J662">
        <v>205.7</v>
      </c>
      <c r="K662">
        <v>117.11</v>
      </c>
      <c r="L662">
        <v>800790.1</v>
      </c>
      <c r="M662">
        <v>455909.23</v>
      </c>
      <c r="N662">
        <v>344880.87</v>
      </c>
    </row>
    <row r="663" spans="1:14" x14ac:dyDescent="0.25">
      <c r="A663" t="s">
        <v>25</v>
      </c>
      <c r="B663" t="s">
        <v>556</v>
      </c>
      <c r="C663" t="s">
        <v>27</v>
      </c>
      <c r="D663" t="s">
        <v>17</v>
      </c>
      <c r="E663" t="s">
        <v>18</v>
      </c>
      <c r="F663" s="1">
        <v>42888</v>
      </c>
      <c r="G663">
        <v>976323497</v>
      </c>
      <c r="H663" s="1">
        <v>43010</v>
      </c>
      <c r="I663">
        <v>4674</v>
      </c>
      <c r="J663">
        <v>47.45</v>
      </c>
      <c r="K663">
        <v>31.79</v>
      </c>
      <c r="L663">
        <v>221781.3</v>
      </c>
      <c r="M663">
        <v>148586.46</v>
      </c>
      <c r="N663">
        <v>73194.84</v>
      </c>
    </row>
    <row r="664" spans="1:14" x14ac:dyDescent="0.25">
      <c r="A664" t="s">
        <v>51</v>
      </c>
      <c r="B664" t="s">
        <v>192</v>
      </c>
      <c r="C664" t="s">
        <v>59</v>
      </c>
      <c r="D664" t="s">
        <v>17</v>
      </c>
      <c r="E664" t="s">
        <v>23</v>
      </c>
      <c r="F664" t="s">
        <v>830</v>
      </c>
      <c r="G664">
        <v>298488080</v>
      </c>
      <c r="H664" s="1">
        <v>40609</v>
      </c>
      <c r="I664">
        <v>8111</v>
      </c>
      <c r="J664">
        <v>437.2</v>
      </c>
      <c r="K664">
        <v>263.33</v>
      </c>
      <c r="L664">
        <v>3546129.2</v>
      </c>
      <c r="M664">
        <v>2135869.63</v>
      </c>
      <c r="N664">
        <v>1410259.57</v>
      </c>
    </row>
    <row r="665" spans="1:14" x14ac:dyDescent="0.25">
      <c r="A665" t="s">
        <v>51</v>
      </c>
      <c r="B665" t="s">
        <v>219</v>
      </c>
      <c r="C665" t="s">
        <v>27</v>
      </c>
      <c r="D665" t="s">
        <v>17</v>
      </c>
      <c r="E665" t="s">
        <v>18</v>
      </c>
      <c r="F665" s="1">
        <v>42256</v>
      </c>
      <c r="G665">
        <v>781646621</v>
      </c>
      <c r="H665" s="1">
        <v>42347</v>
      </c>
      <c r="I665">
        <v>5460</v>
      </c>
      <c r="J665">
        <v>47.45</v>
      </c>
      <c r="K665">
        <v>31.79</v>
      </c>
      <c r="L665">
        <v>259077</v>
      </c>
      <c r="M665">
        <v>173573.4</v>
      </c>
      <c r="N665">
        <v>85503.6</v>
      </c>
    </row>
    <row r="666" spans="1:14" x14ac:dyDescent="0.25">
      <c r="A666" t="s">
        <v>77</v>
      </c>
      <c r="B666" t="s">
        <v>320</v>
      </c>
      <c r="C666" t="s">
        <v>88</v>
      </c>
      <c r="D666" t="s">
        <v>17</v>
      </c>
      <c r="E666" t="s">
        <v>18</v>
      </c>
      <c r="F666" s="1">
        <v>41894</v>
      </c>
      <c r="G666">
        <v>158660447</v>
      </c>
      <c r="H666" s="1">
        <v>42248</v>
      </c>
      <c r="I666">
        <v>7</v>
      </c>
      <c r="J666">
        <v>9.33</v>
      </c>
      <c r="K666">
        <v>6.92</v>
      </c>
      <c r="L666">
        <v>65.31</v>
      </c>
      <c r="M666">
        <v>48.44</v>
      </c>
      <c r="N666">
        <v>16.87</v>
      </c>
    </row>
    <row r="667" spans="1:14" x14ac:dyDescent="0.25">
      <c r="A667" t="s">
        <v>25</v>
      </c>
      <c r="B667" t="s">
        <v>363</v>
      </c>
      <c r="C667" t="s">
        <v>27</v>
      </c>
      <c r="D667" t="s">
        <v>17</v>
      </c>
      <c r="E667" t="s">
        <v>45</v>
      </c>
      <c r="F667" s="1">
        <v>41883</v>
      </c>
      <c r="G667">
        <v>732703387</v>
      </c>
      <c r="H667" t="s">
        <v>831</v>
      </c>
      <c r="I667">
        <v>2069</v>
      </c>
      <c r="J667">
        <v>47.45</v>
      </c>
      <c r="K667">
        <v>31.79</v>
      </c>
      <c r="L667">
        <v>98174.05</v>
      </c>
      <c r="M667">
        <v>65773.509999999995</v>
      </c>
      <c r="N667">
        <v>32400.54</v>
      </c>
    </row>
    <row r="668" spans="1:14" x14ac:dyDescent="0.25">
      <c r="A668" t="s">
        <v>51</v>
      </c>
      <c r="B668" t="s">
        <v>164</v>
      </c>
      <c r="C668" t="s">
        <v>27</v>
      </c>
      <c r="D668" t="s">
        <v>22</v>
      </c>
      <c r="E668" t="s">
        <v>45</v>
      </c>
      <c r="F668" s="1">
        <v>40638</v>
      </c>
      <c r="G668">
        <v>827261769</v>
      </c>
      <c r="H668" t="s">
        <v>832</v>
      </c>
      <c r="I668">
        <v>3996</v>
      </c>
      <c r="J668">
        <v>47.45</v>
      </c>
      <c r="K668">
        <v>31.79</v>
      </c>
      <c r="L668">
        <v>189610.2</v>
      </c>
      <c r="M668">
        <v>127032.84</v>
      </c>
      <c r="N668">
        <v>62577.36</v>
      </c>
    </row>
    <row r="669" spans="1:14" x14ac:dyDescent="0.25">
      <c r="A669" t="s">
        <v>14</v>
      </c>
      <c r="B669" t="s">
        <v>370</v>
      </c>
      <c r="C669" t="s">
        <v>27</v>
      </c>
      <c r="D669" t="s">
        <v>17</v>
      </c>
      <c r="E669" t="s">
        <v>23</v>
      </c>
      <c r="F669" t="s">
        <v>833</v>
      </c>
      <c r="G669">
        <v>636134421</v>
      </c>
      <c r="H669" t="s">
        <v>163</v>
      </c>
      <c r="I669">
        <v>5166</v>
      </c>
      <c r="J669">
        <v>47.45</v>
      </c>
      <c r="K669">
        <v>31.79</v>
      </c>
      <c r="L669">
        <v>245126.7</v>
      </c>
      <c r="M669">
        <v>164227.14000000001</v>
      </c>
      <c r="N669">
        <v>80899.56</v>
      </c>
    </row>
    <row r="670" spans="1:14" x14ac:dyDescent="0.25">
      <c r="A670" t="s">
        <v>25</v>
      </c>
      <c r="B670" t="s">
        <v>239</v>
      </c>
      <c r="C670" t="s">
        <v>131</v>
      </c>
      <c r="D670" t="s">
        <v>17</v>
      </c>
      <c r="E670" t="s">
        <v>23</v>
      </c>
      <c r="F670" s="1">
        <v>41921</v>
      </c>
      <c r="G670">
        <v>873432672</v>
      </c>
      <c r="H670" t="s">
        <v>834</v>
      </c>
      <c r="I670">
        <v>6992</v>
      </c>
      <c r="J670">
        <v>668.27</v>
      </c>
      <c r="K670">
        <v>502.54</v>
      </c>
      <c r="L670">
        <v>4672543.84</v>
      </c>
      <c r="M670">
        <v>3513759.68</v>
      </c>
      <c r="N670">
        <v>1158784.1599999999</v>
      </c>
    </row>
    <row r="671" spans="1:14" x14ac:dyDescent="0.25">
      <c r="A671" t="s">
        <v>25</v>
      </c>
      <c r="B671" t="s">
        <v>204</v>
      </c>
      <c r="C671" t="s">
        <v>44</v>
      </c>
      <c r="D671" t="s">
        <v>17</v>
      </c>
      <c r="E671" t="s">
        <v>23</v>
      </c>
      <c r="F671" t="s">
        <v>505</v>
      </c>
      <c r="G671">
        <v>523580348</v>
      </c>
      <c r="H671" s="1">
        <v>40641</v>
      </c>
      <c r="I671">
        <v>7915</v>
      </c>
      <c r="J671">
        <v>109.28</v>
      </c>
      <c r="K671">
        <v>35.840000000000003</v>
      </c>
      <c r="L671">
        <v>864951.2</v>
      </c>
      <c r="M671">
        <v>283673.59999999998</v>
      </c>
      <c r="N671">
        <v>581277.6</v>
      </c>
    </row>
    <row r="672" spans="1:14" x14ac:dyDescent="0.25">
      <c r="A672" t="s">
        <v>14</v>
      </c>
      <c r="B672" t="s">
        <v>835</v>
      </c>
      <c r="C672" t="s">
        <v>40</v>
      </c>
      <c r="D672" t="s">
        <v>17</v>
      </c>
      <c r="E672" t="s">
        <v>45</v>
      </c>
      <c r="F672" t="s">
        <v>836</v>
      </c>
      <c r="G672">
        <v>891313779</v>
      </c>
      <c r="H672" t="s">
        <v>436</v>
      </c>
      <c r="I672">
        <v>8409</v>
      </c>
      <c r="J672">
        <v>81.73</v>
      </c>
      <c r="K672">
        <v>56.67</v>
      </c>
      <c r="L672">
        <v>687267.57</v>
      </c>
      <c r="M672">
        <v>476538.03</v>
      </c>
      <c r="N672">
        <v>210729.54</v>
      </c>
    </row>
    <row r="673" spans="1:14" x14ac:dyDescent="0.25">
      <c r="A673" t="s">
        <v>29</v>
      </c>
      <c r="B673" t="s">
        <v>137</v>
      </c>
      <c r="C673" t="s">
        <v>44</v>
      </c>
      <c r="D673" t="s">
        <v>22</v>
      </c>
      <c r="E673" t="s">
        <v>18</v>
      </c>
      <c r="F673" t="s">
        <v>837</v>
      </c>
      <c r="G673">
        <v>651681792</v>
      </c>
      <c r="H673" s="1">
        <v>41249</v>
      </c>
      <c r="I673">
        <v>5979</v>
      </c>
      <c r="J673">
        <v>109.28</v>
      </c>
      <c r="K673">
        <v>35.840000000000003</v>
      </c>
      <c r="L673">
        <v>653385.12</v>
      </c>
      <c r="M673">
        <v>214287.35999999999</v>
      </c>
      <c r="N673">
        <v>439097.76</v>
      </c>
    </row>
    <row r="674" spans="1:14" x14ac:dyDescent="0.25">
      <c r="A674" t="s">
        <v>25</v>
      </c>
      <c r="B674" t="s">
        <v>462</v>
      </c>
      <c r="C674" t="s">
        <v>40</v>
      </c>
      <c r="D674" t="s">
        <v>17</v>
      </c>
      <c r="E674" t="s">
        <v>18</v>
      </c>
      <c r="F674" t="s">
        <v>838</v>
      </c>
      <c r="G674">
        <v>800045716</v>
      </c>
      <c r="H674" t="s">
        <v>839</v>
      </c>
      <c r="I674">
        <v>161</v>
      </c>
      <c r="J674">
        <v>81.73</v>
      </c>
      <c r="K674">
        <v>56.67</v>
      </c>
      <c r="L674">
        <v>13158.53</v>
      </c>
      <c r="M674">
        <v>9123.8700000000008</v>
      </c>
      <c r="N674">
        <v>4034.66</v>
      </c>
    </row>
    <row r="675" spans="1:14" x14ac:dyDescent="0.25">
      <c r="A675" t="s">
        <v>42</v>
      </c>
      <c r="B675" t="s">
        <v>476</v>
      </c>
      <c r="C675" t="s">
        <v>55</v>
      </c>
      <c r="D675" t="s">
        <v>17</v>
      </c>
      <c r="E675" t="s">
        <v>32</v>
      </c>
      <c r="F675" s="1">
        <v>42374</v>
      </c>
      <c r="G675">
        <v>602079379</v>
      </c>
      <c r="H675" t="s">
        <v>840</v>
      </c>
      <c r="I675">
        <v>7523</v>
      </c>
      <c r="J675">
        <v>651.21</v>
      </c>
      <c r="K675">
        <v>524.96</v>
      </c>
      <c r="L675">
        <v>4899052.83</v>
      </c>
      <c r="M675">
        <v>3949274.08</v>
      </c>
      <c r="N675">
        <v>949778.75</v>
      </c>
    </row>
    <row r="676" spans="1:14" x14ac:dyDescent="0.25">
      <c r="A676" t="s">
        <v>25</v>
      </c>
      <c r="B676" t="s">
        <v>242</v>
      </c>
      <c r="C676" t="s">
        <v>113</v>
      </c>
      <c r="D676" t="s">
        <v>17</v>
      </c>
      <c r="E676" t="s">
        <v>18</v>
      </c>
      <c r="F676" s="1">
        <v>42648</v>
      </c>
      <c r="G676">
        <v>743769109</v>
      </c>
      <c r="H676" s="1">
        <v>42679</v>
      </c>
      <c r="I676">
        <v>6662</v>
      </c>
      <c r="J676">
        <v>154.06</v>
      </c>
      <c r="K676">
        <v>90.93</v>
      </c>
      <c r="L676">
        <v>1026347.72</v>
      </c>
      <c r="M676">
        <v>605775.66</v>
      </c>
      <c r="N676">
        <v>420572.06</v>
      </c>
    </row>
    <row r="677" spans="1:14" x14ac:dyDescent="0.25">
      <c r="A677" t="s">
        <v>51</v>
      </c>
      <c r="B677" t="s">
        <v>250</v>
      </c>
      <c r="C677" t="s">
        <v>131</v>
      </c>
      <c r="D677" t="s">
        <v>17</v>
      </c>
      <c r="E677" t="s">
        <v>23</v>
      </c>
      <c r="F677" t="s">
        <v>841</v>
      </c>
      <c r="G677">
        <v>181413733</v>
      </c>
      <c r="H677" t="s">
        <v>473</v>
      </c>
      <c r="I677">
        <v>3210</v>
      </c>
      <c r="J677">
        <v>668.27</v>
      </c>
      <c r="K677">
        <v>502.54</v>
      </c>
      <c r="L677">
        <v>2145146.7000000002</v>
      </c>
      <c r="M677">
        <v>1613153.4</v>
      </c>
      <c r="N677">
        <v>531993.30000000005</v>
      </c>
    </row>
    <row r="678" spans="1:14" x14ac:dyDescent="0.25">
      <c r="A678" t="s">
        <v>14</v>
      </c>
      <c r="B678" t="s">
        <v>15</v>
      </c>
      <c r="C678" t="s">
        <v>88</v>
      </c>
      <c r="D678" t="s">
        <v>17</v>
      </c>
      <c r="E678" t="s">
        <v>23</v>
      </c>
      <c r="F678" s="1">
        <v>41979</v>
      </c>
      <c r="G678">
        <v>191624581</v>
      </c>
      <c r="H678" s="1">
        <v>41647</v>
      </c>
      <c r="I678">
        <v>4827</v>
      </c>
      <c r="J678">
        <v>9.33</v>
      </c>
      <c r="K678">
        <v>6.92</v>
      </c>
      <c r="L678">
        <v>45035.91</v>
      </c>
      <c r="M678">
        <v>33402.839999999997</v>
      </c>
      <c r="N678">
        <v>11633.07</v>
      </c>
    </row>
    <row r="679" spans="1:14" x14ac:dyDescent="0.25">
      <c r="A679" t="s">
        <v>38</v>
      </c>
      <c r="B679" t="s">
        <v>156</v>
      </c>
      <c r="C679" t="s">
        <v>88</v>
      </c>
      <c r="D679" t="s">
        <v>22</v>
      </c>
      <c r="E679" t="s">
        <v>32</v>
      </c>
      <c r="F679" t="s">
        <v>518</v>
      </c>
      <c r="G679">
        <v>321325480</v>
      </c>
      <c r="H679" t="s">
        <v>706</v>
      </c>
      <c r="I679">
        <v>6205</v>
      </c>
      <c r="J679">
        <v>9.33</v>
      </c>
      <c r="K679">
        <v>6.92</v>
      </c>
      <c r="L679">
        <v>57892.65</v>
      </c>
      <c r="M679">
        <v>42938.6</v>
      </c>
      <c r="N679">
        <v>14954.05</v>
      </c>
    </row>
    <row r="680" spans="1:14" x14ac:dyDescent="0.25">
      <c r="A680" t="s">
        <v>51</v>
      </c>
      <c r="B680" t="s">
        <v>295</v>
      </c>
      <c r="C680" t="s">
        <v>55</v>
      </c>
      <c r="D680" t="s">
        <v>17</v>
      </c>
      <c r="E680" t="s">
        <v>45</v>
      </c>
      <c r="F680" s="1">
        <v>40914</v>
      </c>
      <c r="G680">
        <v>637752759</v>
      </c>
      <c r="H680" t="s">
        <v>523</v>
      </c>
      <c r="I680">
        <v>4069</v>
      </c>
      <c r="J680">
        <v>651.21</v>
      </c>
      <c r="K680">
        <v>524.96</v>
      </c>
      <c r="L680">
        <v>2649773.4900000002</v>
      </c>
      <c r="M680">
        <v>2136062.2400000002</v>
      </c>
      <c r="N680">
        <v>513711.25</v>
      </c>
    </row>
    <row r="681" spans="1:14" x14ac:dyDescent="0.25">
      <c r="A681" t="s">
        <v>51</v>
      </c>
      <c r="B681" t="s">
        <v>575</v>
      </c>
      <c r="C681" t="s">
        <v>44</v>
      </c>
      <c r="D681" t="s">
        <v>17</v>
      </c>
      <c r="E681" t="s">
        <v>32</v>
      </c>
      <c r="F681" t="s">
        <v>842</v>
      </c>
      <c r="G681">
        <v>378455245</v>
      </c>
      <c r="H681" s="1">
        <v>41857</v>
      </c>
      <c r="I681">
        <v>2172</v>
      </c>
      <c r="J681">
        <v>109.28</v>
      </c>
      <c r="K681">
        <v>35.840000000000003</v>
      </c>
      <c r="L681">
        <v>237356.16</v>
      </c>
      <c r="M681">
        <v>77844.479999999996</v>
      </c>
      <c r="N681">
        <v>159511.67999999999</v>
      </c>
    </row>
    <row r="682" spans="1:14" x14ac:dyDescent="0.25">
      <c r="A682" t="s">
        <v>25</v>
      </c>
      <c r="B682" t="s">
        <v>142</v>
      </c>
      <c r="C682" t="s">
        <v>21</v>
      </c>
      <c r="D682" t="s">
        <v>22</v>
      </c>
      <c r="E682" t="s">
        <v>32</v>
      </c>
      <c r="F682" s="1">
        <v>41518</v>
      </c>
      <c r="G682">
        <v>201294267</v>
      </c>
      <c r="H682" s="1">
        <v>41519</v>
      </c>
      <c r="I682">
        <v>6302</v>
      </c>
      <c r="J682">
        <v>152.58000000000001</v>
      </c>
      <c r="K682">
        <v>97.44</v>
      </c>
      <c r="L682">
        <v>961559.16</v>
      </c>
      <c r="M682">
        <v>614066.88</v>
      </c>
      <c r="N682">
        <v>347492.28</v>
      </c>
    </row>
    <row r="683" spans="1:14" x14ac:dyDescent="0.25">
      <c r="A683" t="s">
        <v>51</v>
      </c>
      <c r="B683" t="s">
        <v>417</v>
      </c>
      <c r="C683" t="s">
        <v>69</v>
      </c>
      <c r="D683" t="s">
        <v>22</v>
      </c>
      <c r="E683" t="s">
        <v>23</v>
      </c>
      <c r="F683" s="1">
        <v>42157</v>
      </c>
      <c r="G683">
        <v>834443652</v>
      </c>
      <c r="H683" t="s">
        <v>270</v>
      </c>
      <c r="I683">
        <v>9275</v>
      </c>
      <c r="J683">
        <v>421.89</v>
      </c>
      <c r="K683">
        <v>364.69</v>
      </c>
      <c r="L683">
        <v>3913029.75</v>
      </c>
      <c r="M683">
        <v>3382499.75</v>
      </c>
      <c r="N683">
        <v>530530</v>
      </c>
    </row>
    <row r="684" spans="1:14" x14ac:dyDescent="0.25">
      <c r="A684" t="s">
        <v>29</v>
      </c>
      <c r="B684" t="s">
        <v>485</v>
      </c>
      <c r="C684" t="s">
        <v>31</v>
      </c>
      <c r="D684" t="s">
        <v>17</v>
      </c>
      <c r="E684" t="s">
        <v>18</v>
      </c>
      <c r="F684" s="1">
        <v>41310</v>
      </c>
      <c r="G684">
        <v>826389729</v>
      </c>
      <c r="H684" s="1">
        <v>41399</v>
      </c>
      <c r="I684">
        <v>5940</v>
      </c>
      <c r="J684">
        <v>205.7</v>
      </c>
      <c r="K684">
        <v>117.11</v>
      </c>
      <c r="L684">
        <v>1221858</v>
      </c>
      <c r="M684">
        <v>695633.4</v>
      </c>
      <c r="N684">
        <v>526224.6</v>
      </c>
    </row>
    <row r="685" spans="1:14" x14ac:dyDescent="0.25">
      <c r="A685" t="s">
        <v>51</v>
      </c>
      <c r="B685" t="s">
        <v>258</v>
      </c>
      <c r="C685" t="s">
        <v>113</v>
      </c>
      <c r="D685" t="s">
        <v>22</v>
      </c>
      <c r="E685" t="s">
        <v>18</v>
      </c>
      <c r="F685" s="1">
        <v>41224</v>
      </c>
      <c r="G685">
        <v>595931327</v>
      </c>
      <c r="H685" t="s">
        <v>843</v>
      </c>
      <c r="I685">
        <v>8177</v>
      </c>
      <c r="J685">
        <v>154.06</v>
      </c>
      <c r="K685">
        <v>90.93</v>
      </c>
      <c r="L685">
        <v>1259748.6200000001</v>
      </c>
      <c r="M685">
        <v>743534.61</v>
      </c>
      <c r="N685">
        <v>516214.01</v>
      </c>
    </row>
    <row r="686" spans="1:14" x14ac:dyDescent="0.25">
      <c r="A686" t="s">
        <v>77</v>
      </c>
      <c r="B686" t="s">
        <v>622</v>
      </c>
      <c r="C686" t="s">
        <v>40</v>
      </c>
      <c r="D686" t="s">
        <v>22</v>
      </c>
      <c r="E686" t="s">
        <v>45</v>
      </c>
      <c r="F686" t="s">
        <v>844</v>
      </c>
      <c r="G686">
        <v>182179772</v>
      </c>
      <c r="H686" t="s">
        <v>181</v>
      </c>
      <c r="I686">
        <v>9898</v>
      </c>
      <c r="J686">
        <v>81.73</v>
      </c>
      <c r="K686">
        <v>56.67</v>
      </c>
      <c r="L686">
        <v>808963.54</v>
      </c>
      <c r="M686">
        <v>560919.66</v>
      </c>
      <c r="N686">
        <v>248043.88</v>
      </c>
    </row>
    <row r="687" spans="1:14" x14ac:dyDescent="0.25">
      <c r="A687" t="s">
        <v>51</v>
      </c>
      <c r="B687" t="s">
        <v>295</v>
      </c>
      <c r="C687" t="s">
        <v>88</v>
      </c>
      <c r="D687" t="s">
        <v>22</v>
      </c>
      <c r="E687" t="s">
        <v>18</v>
      </c>
      <c r="F687" s="1">
        <v>42038</v>
      </c>
      <c r="G687">
        <v>594558894</v>
      </c>
      <c r="H687" t="s">
        <v>845</v>
      </c>
      <c r="I687">
        <v>2044</v>
      </c>
      <c r="J687">
        <v>9.33</v>
      </c>
      <c r="K687">
        <v>6.92</v>
      </c>
      <c r="L687">
        <v>19070.52</v>
      </c>
      <c r="M687">
        <v>14144.48</v>
      </c>
      <c r="N687">
        <v>4926.04</v>
      </c>
    </row>
    <row r="688" spans="1:14" x14ac:dyDescent="0.25">
      <c r="A688" t="s">
        <v>51</v>
      </c>
      <c r="B688" t="s">
        <v>593</v>
      </c>
      <c r="C688" t="s">
        <v>69</v>
      </c>
      <c r="D688" t="s">
        <v>17</v>
      </c>
      <c r="E688" t="s">
        <v>18</v>
      </c>
      <c r="F688" t="s">
        <v>846</v>
      </c>
      <c r="G688">
        <v>662805020</v>
      </c>
      <c r="H688" s="1">
        <v>40220</v>
      </c>
      <c r="I688">
        <v>7589</v>
      </c>
      <c r="J688">
        <v>421.89</v>
      </c>
      <c r="K688">
        <v>364.69</v>
      </c>
      <c r="L688">
        <v>3201723.21</v>
      </c>
      <c r="M688">
        <v>2767632.41</v>
      </c>
      <c r="N688">
        <v>434090.8</v>
      </c>
    </row>
    <row r="689" spans="1:14" x14ac:dyDescent="0.25">
      <c r="A689" t="s">
        <v>29</v>
      </c>
      <c r="B689" t="s">
        <v>159</v>
      </c>
      <c r="C689" t="s">
        <v>131</v>
      </c>
      <c r="D689" t="s">
        <v>22</v>
      </c>
      <c r="E689" t="s">
        <v>32</v>
      </c>
      <c r="F689" t="s">
        <v>313</v>
      </c>
      <c r="G689">
        <v>186966979</v>
      </c>
      <c r="H689" t="s">
        <v>790</v>
      </c>
      <c r="I689">
        <v>6539</v>
      </c>
      <c r="J689">
        <v>668.27</v>
      </c>
      <c r="K689">
        <v>502.54</v>
      </c>
      <c r="L689">
        <v>4369817.53</v>
      </c>
      <c r="M689">
        <v>3286109.06</v>
      </c>
      <c r="N689">
        <v>1083708.47</v>
      </c>
    </row>
    <row r="690" spans="1:14" x14ac:dyDescent="0.25">
      <c r="A690" t="s">
        <v>29</v>
      </c>
      <c r="B690" t="s">
        <v>494</v>
      </c>
      <c r="C690" t="s">
        <v>44</v>
      </c>
      <c r="D690" t="s">
        <v>17</v>
      </c>
      <c r="E690" t="s">
        <v>23</v>
      </c>
      <c r="F690" s="1">
        <v>40794</v>
      </c>
      <c r="G690">
        <v>387406098</v>
      </c>
      <c r="H690" s="1">
        <v>40855</v>
      </c>
      <c r="I690">
        <v>928</v>
      </c>
      <c r="J690">
        <v>109.28</v>
      </c>
      <c r="K690">
        <v>35.840000000000003</v>
      </c>
      <c r="L690">
        <v>101411.84</v>
      </c>
      <c r="M690">
        <v>33259.519999999997</v>
      </c>
      <c r="N690">
        <v>68152.320000000007</v>
      </c>
    </row>
    <row r="691" spans="1:14" x14ac:dyDescent="0.25">
      <c r="A691" t="s">
        <v>42</v>
      </c>
      <c r="B691" t="s">
        <v>107</v>
      </c>
      <c r="C691" t="s">
        <v>27</v>
      </c>
      <c r="D691" t="s">
        <v>17</v>
      </c>
      <c r="E691" t="s">
        <v>23</v>
      </c>
      <c r="F691" t="s">
        <v>429</v>
      </c>
      <c r="G691">
        <v>754796206</v>
      </c>
      <c r="H691" s="1">
        <v>41125</v>
      </c>
      <c r="I691">
        <v>9826</v>
      </c>
      <c r="J691">
        <v>47.45</v>
      </c>
      <c r="K691">
        <v>31.79</v>
      </c>
      <c r="L691">
        <v>466243.7</v>
      </c>
      <c r="M691">
        <v>312368.53999999998</v>
      </c>
      <c r="N691">
        <v>153875.16</v>
      </c>
    </row>
    <row r="692" spans="1:14" x14ac:dyDescent="0.25">
      <c r="A692" t="s">
        <v>38</v>
      </c>
      <c r="B692" t="s">
        <v>190</v>
      </c>
      <c r="C692" t="s">
        <v>27</v>
      </c>
      <c r="D692" t="s">
        <v>22</v>
      </c>
      <c r="E692" t="s">
        <v>23</v>
      </c>
      <c r="F692" t="s">
        <v>847</v>
      </c>
      <c r="G692">
        <v>400123631</v>
      </c>
      <c r="H692" s="1">
        <v>40735</v>
      </c>
      <c r="I692">
        <v>4329</v>
      </c>
      <c r="J692">
        <v>47.45</v>
      </c>
      <c r="K692">
        <v>31.79</v>
      </c>
      <c r="L692">
        <v>205411.05</v>
      </c>
      <c r="M692">
        <v>137618.91</v>
      </c>
      <c r="N692">
        <v>67792.14</v>
      </c>
    </row>
    <row r="693" spans="1:14" x14ac:dyDescent="0.25">
      <c r="A693" t="s">
        <v>29</v>
      </c>
      <c r="B693" t="s">
        <v>206</v>
      </c>
      <c r="C693" t="s">
        <v>27</v>
      </c>
      <c r="D693" t="s">
        <v>17</v>
      </c>
      <c r="E693" t="s">
        <v>23</v>
      </c>
      <c r="F693" s="1">
        <v>42404</v>
      </c>
      <c r="G693">
        <v>304687201</v>
      </c>
      <c r="H693" s="1">
        <v>42374</v>
      </c>
      <c r="I693">
        <v>2569</v>
      </c>
      <c r="J693">
        <v>47.45</v>
      </c>
      <c r="K693">
        <v>31.79</v>
      </c>
      <c r="L693">
        <v>121899.05</v>
      </c>
      <c r="M693">
        <v>81668.509999999995</v>
      </c>
      <c r="N693">
        <v>40230.54</v>
      </c>
    </row>
    <row r="694" spans="1:14" x14ac:dyDescent="0.25">
      <c r="A694" t="s">
        <v>51</v>
      </c>
      <c r="B694" t="s">
        <v>848</v>
      </c>
      <c r="C694" t="s">
        <v>69</v>
      </c>
      <c r="D694" t="s">
        <v>22</v>
      </c>
      <c r="E694" t="s">
        <v>32</v>
      </c>
      <c r="F694" s="1">
        <v>40454</v>
      </c>
      <c r="G694">
        <v>170098245</v>
      </c>
      <c r="H694" t="s">
        <v>530</v>
      </c>
      <c r="I694">
        <v>4705</v>
      </c>
      <c r="J694">
        <v>421.89</v>
      </c>
      <c r="K694">
        <v>364.69</v>
      </c>
      <c r="L694">
        <v>1984992.45</v>
      </c>
      <c r="M694">
        <v>1715866.45</v>
      </c>
      <c r="N694">
        <v>269126</v>
      </c>
    </row>
    <row r="695" spans="1:14" x14ac:dyDescent="0.25">
      <c r="A695" t="s">
        <v>25</v>
      </c>
      <c r="B695" t="s">
        <v>211</v>
      </c>
      <c r="C695" t="s">
        <v>69</v>
      </c>
      <c r="D695" t="s">
        <v>17</v>
      </c>
      <c r="E695" t="s">
        <v>32</v>
      </c>
      <c r="F695" s="1">
        <v>41580</v>
      </c>
      <c r="G695">
        <v>668280589</v>
      </c>
      <c r="H695" t="s">
        <v>849</v>
      </c>
      <c r="I695">
        <v>7932</v>
      </c>
      <c r="J695">
        <v>421.89</v>
      </c>
      <c r="K695">
        <v>364.69</v>
      </c>
      <c r="L695">
        <v>3346431.48</v>
      </c>
      <c r="M695">
        <v>2892721.08</v>
      </c>
      <c r="N695">
        <v>453710.4</v>
      </c>
    </row>
    <row r="696" spans="1:14" x14ac:dyDescent="0.25">
      <c r="A696" t="s">
        <v>51</v>
      </c>
      <c r="B696" t="s">
        <v>260</v>
      </c>
      <c r="C696" t="s">
        <v>40</v>
      </c>
      <c r="D696" t="s">
        <v>22</v>
      </c>
      <c r="E696" t="s">
        <v>23</v>
      </c>
      <c r="F696" t="s">
        <v>317</v>
      </c>
      <c r="G696">
        <v>291470563</v>
      </c>
      <c r="H696" t="s">
        <v>850</v>
      </c>
      <c r="I696">
        <v>1472</v>
      </c>
      <c r="J696">
        <v>81.73</v>
      </c>
      <c r="K696">
        <v>56.67</v>
      </c>
      <c r="L696">
        <v>120306.56</v>
      </c>
      <c r="M696">
        <v>83418.240000000005</v>
      </c>
      <c r="N696">
        <v>36888.32</v>
      </c>
    </row>
    <row r="697" spans="1:14" x14ac:dyDescent="0.25">
      <c r="A697" t="s">
        <v>38</v>
      </c>
      <c r="B697" t="s">
        <v>117</v>
      </c>
      <c r="C697" t="s">
        <v>88</v>
      </c>
      <c r="D697" t="s">
        <v>22</v>
      </c>
      <c r="E697" t="s">
        <v>18</v>
      </c>
      <c r="F697" s="1">
        <v>41093</v>
      </c>
      <c r="G697">
        <v>302216994</v>
      </c>
      <c r="H697" t="s">
        <v>851</v>
      </c>
      <c r="I697">
        <v>1579</v>
      </c>
      <c r="J697">
        <v>9.33</v>
      </c>
      <c r="K697">
        <v>6.92</v>
      </c>
      <c r="L697">
        <v>14732.07</v>
      </c>
      <c r="M697">
        <v>10926.68</v>
      </c>
      <c r="N697">
        <v>3805.39</v>
      </c>
    </row>
    <row r="698" spans="1:14" x14ac:dyDescent="0.25">
      <c r="A698" t="s">
        <v>14</v>
      </c>
      <c r="B698" t="s">
        <v>208</v>
      </c>
      <c r="C698" t="s">
        <v>31</v>
      </c>
      <c r="D698" t="s">
        <v>22</v>
      </c>
      <c r="E698" t="s">
        <v>32</v>
      </c>
      <c r="F698" s="1">
        <v>41741</v>
      </c>
      <c r="G698">
        <v>683381211</v>
      </c>
      <c r="H698" s="1">
        <v>41955</v>
      </c>
      <c r="I698">
        <v>6542</v>
      </c>
      <c r="J698">
        <v>205.7</v>
      </c>
      <c r="K698">
        <v>117.11</v>
      </c>
      <c r="L698">
        <v>1345689.4</v>
      </c>
      <c r="M698">
        <v>766133.62</v>
      </c>
      <c r="N698">
        <v>579555.78</v>
      </c>
    </row>
    <row r="699" spans="1:14" x14ac:dyDescent="0.25">
      <c r="A699" t="s">
        <v>51</v>
      </c>
      <c r="B699" t="s">
        <v>578</v>
      </c>
      <c r="C699" t="s">
        <v>55</v>
      </c>
      <c r="D699" t="s">
        <v>17</v>
      </c>
      <c r="E699" t="s">
        <v>32</v>
      </c>
      <c r="F699" t="s">
        <v>852</v>
      </c>
      <c r="G699">
        <v>588137042</v>
      </c>
      <c r="H699" t="s">
        <v>504</v>
      </c>
      <c r="I699">
        <v>1675</v>
      </c>
      <c r="J699">
        <v>651.21</v>
      </c>
      <c r="K699">
        <v>524.96</v>
      </c>
      <c r="L699">
        <v>1090776.75</v>
      </c>
      <c r="M699">
        <v>879308</v>
      </c>
      <c r="N699">
        <v>211468.75</v>
      </c>
    </row>
    <row r="700" spans="1:14" x14ac:dyDescent="0.25">
      <c r="A700" t="s">
        <v>51</v>
      </c>
      <c r="B700" t="s">
        <v>420</v>
      </c>
      <c r="C700" t="s">
        <v>40</v>
      </c>
      <c r="D700" t="s">
        <v>22</v>
      </c>
      <c r="E700" t="s">
        <v>23</v>
      </c>
      <c r="F700" t="s">
        <v>157</v>
      </c>
      <c r="G700">
        <v>589970815</v>
      </c>
      <c r="H700" t="s">
        <v>776</v>
      </c>
      <c r="I700">
        <v>4329</v>
      </c>
      <c r="J700">
        <v>81.73</v>
      </c>
      <c r="K700">
        <v>56.67</v>
      </c>
      <c r="L700">
        <v>353809.17</v>
      </c>
      <c r="M700">
        <v>245324.43</v>
      </c>
      <c r="N700">
        <v>108484.74</v>
      </c>
    </row>
    <row r="701" spans="1:14" x14ac:dyDescent="0.25">
      <c r="A701" t="s">
        <v>42</v>
      </c>
      <c r="B701" t="s">
        <v>681</v>
      </c>
      <c r="C701" t="s">
        <v>16</v>
      </c>
      <c r="D701" t="s">
        <v>22</v>
      </c>
      <c r="E701" t="s">
        <v>18</v>
      </c>
      <c r="F701" t="s">
        <v>641</v>
      </c>
      <c r="G701">
        <v>432681357</v>
      </c>
      <c r="H701" t="s">
        <v>67</v>
      </c>
      <c r="I701">
        <v>8884</v>
      </c>
      <c r="J701">
        <v>255.28</v>
      </c>
      <c r="K701">
        <v>159.41999999999999</v>
      </c>
      <c r="L701">
        <v>2267907.52</v>
      </c>
      <c r="M701">
        <v>1416287.28</v>
      </c>
      <c r="N701">
        <v>851620.24</v>
      </c>
    </row>
    <row r="702" spans="1:14" x14ac:dyDescent="0.25">
      <c r="A702" t="s">
        <v>25</v>
      </c>
      <c r="B702" t="s">
        <v>374</v>
      </c>
      <c r="C702" t="s">
        <v>131</v>
      </c>
      <c r="D702" t="s">
        <v>17</v>
      </c>
      <c r="E702" t="s">
        <v>23</v>
      </c>
      <c r="F702" t="s">
        <v>853</v>
      </c>
      <c r="G702">
        <v>380379998</v>
      </c>
      <c r="H702" t="s">
        <v>854</v>
      </c>
      <c r="I702">
        <v>1749</v>
      </c>
      <c r="J702">
        <v>668.27</v>
      </c>
      <c r="K702">
        <v>502.54</v>
      </c>
      <c r="L702">
        <v>1168804.23</v>
      </c>
      <c r="M702">
        <v>878942.46</v>
      </c>
      <c r="N702">
        <v>289861.77</v>
      </c>
    </row>
    <row r="703" spans="1:14" x14ac:dyDescent="0.25">
      <c r="A703" t="s">
        <v>25</v>
      </c>
      <c r="B703" t="s">
        <v>172</v>
      </c>
      <c r="C703" t="s">
        <v>44</v>
      </c>
      <c r="D703" t="s">
        <v>17</v>
      </c>
      <c r="E703" t="s">
        <v>45</v>
      </c>
      <c r="F703" t="s">
        <v>855</v>
      </c>
      <c r="G703">
        <v>767490565</v>
      </c>
      <c r="H703" t="s">
        <v>856</v>
      </c>
      <c r="I703">
        <v>6368</v>
      </c>
      <c r="J703">
        <v>109.28</v>
      </c>
      <c r="K703">
        <v>35.840000000000003</v>
      </c>
      <c r="L703">
        <v>695895.04000000004</v>
      </c>
      <c r="M703">
        <v>228229.12</v>
      </c>
      <c r="N703">
        <v>467665.91999999998</v>
      </c>
    </row>
    <row r="704" spans="1:14" x14ac:dyDescent="0.25">
      <c r="A704" t="s">
        <v>42</v>
      </c>
      <c r="B704" t="s">
        <v>361</v>
      </c>
      <c r="C704" t="s">
        <v>113</v>
      </c>
      <c r="D704" t="s">
        <v>17</v>
      </c>
      <c r="E704" t="s">
        <v>18</v>
      </c>
      <c r="F704" s="1">
        <v>41071</v>
      </c>
      <c r="G704">
        <v>648749387</v>
      </c>
      <c r="H704" t="s">
        <v>402</v>
      </c>
      <c r="I704">
        <v>8215</v>
      </c>
      <c r="J704">
        <v>154.06</v>
      </c>
      <c r="K704">
        <v>90.93</v>
      </c>
      <c r="L704">
        <v>1265602.8999999999</v>
      </c>
      <c r="M704">
        <v>746989.95</v>
      </c>
      <c r="N704">
        <v>518612.95</v>
      </c>
    </row>
    <row r="705" spans="1:14" x14ac:dyDescent="0.25">
      <c r="A705" t="s">
        <v>14</v>
      </c>
      <c r="B705" t="s">
        <v>213</v>
      </c>
      <c r="C705" t="s">
        <v>88</v>
      </c>
      <c r="D705" t="s">
        <v>17</v>
      </c>
      <c r="E705" t="s">
        <v>32</v>
      </c>
      <c r="F705" s="1">
        <v>40672</v>
      </c>
      <c r="G705">
        <v>949205291</v>
      </c>
      <c r="H705" s="1">
        <v>40857</v>
      </c>
      <c r="I705">
        <v>9794</v>
      </c>
      <c r="J705">
        <v>9.33</v>
      </c>
      <c r="K705">
        <v>6.92</v>
      </c>
      <c r="L705">
        <v>91378.02</v>
      </c>
      <c r="M705">
        <v>67774.48</v>
      </c>
      <c r="N705">
        <v>23603.54</v>
      </c>
    </row>
    <row r="706" spans="1:14" x14ac:dyDescent="0.25">
      <c r="A706" t="s">
        <v>29</v>
      </c>
      <c r="B706" t="s">
        <v>35</v>
      </c>
      <c r="C706" t="s">
        <v>69</v>
      </c>
      <c r="D706" t="s">
        <v>22</v>
      </c>
      <c r="E706" t="s">
        <v>45</v>
      </c>
      <c r="F706" t="s">
        <v>857</v>
      </c>
      <c r="G706">
        <v>414219605</v>
      </c>
      <c r="H706" t="s">
        <v>858</v>
      </c>
      <c r="I706">
        <v>5641</v>
      </c>
      <c r="J706">
        <v>421.89</v>
      </c>
      <c r="K706">
        <v>364.69</v>
      </c>
      <c r="L706">
        <v>2379881.4900000002</v>
      </c>
      <c r="M706">
        <v>2057216.29</v>
      </c>
      <c r="N706">
        <v>322665.2</v>
      </c>
    </row>
    <row r="707" spans="1:14" x14ac:dyDescent="0.25">
      <c r="A707" t="s">
        <v>51</v>
      </c>
      <c r="B707" t="s">
        <v>360</v>
      </c>
      <c r="C707" t="s">
        <v>21</v>
      </c>
      <c r="D707" t="s">
        <v>22</v>
      </c>
      <c r="E707" t="s">
        <v>23</v>
      </c>
      <c r="F707" t="s">
        <v>63</v>
      </c>
      <c r="G707">
        <v>559466159</v>
      </c>
      <c r="H707" t="s">
        <v>116</v>
      </c>
      <c r="I707">
        <v>7324</v>
      </c>
      <c r="J707">
        <v>152.58000000000001</v>
      </c>
      <c r="K707">
        <v>97.44</v>
      </c>
      <c r="L707">
        <v>1117495.92</v>
      </c>
      <c r="M707">
        <v>713650.56</v>
      </c>
      <c r="N707">
        <v>403845.36</v>
      </c>
    </row>
    <row r="708" spans="1:14" x14ac:dyDescent="0.25">
      <c r="A708" t="s">
        <v>25</v>
      </c>
      <c r="B708" t="s">
        <v>533</v>
      </c>
      <c r="C708" t="s">
        <v>21</v>
      </c>
      <c r="D708" t="s">
        <v>22</v>
      </c>
      <c r="E708" t="s">
        <v>32</v>
      </c>
      <c r="F708" t="s">
        <v>859</v>
      </c>
      <c r="G708">
        <v>720931279</v>
      </c>
      <c r="H708" t="s">
        <v>860</v>
      </c>
      <c r="I708">
        <v>8441</v>
      </c>
      <c r="J708">
        <v>152.58000000000001</v>
      </c>
      <c r="K708">
        <v>97.44</v>
      </c>
      <c r="L708">
        <v>1287927.78</v>
      </c>
      <c r="M708">
        <v>822491.04</v>
      </c>
      <c r="N708">
        <v>465436.74</v>
      </c>
    </row>
    <row r="709" spans="1:14" x14ac:dyDescent="0.25">
      <c r="A709" t="s">
        <v>77</v>
      </c>
      <c r="B709" t="s">
        <v>78</v>
      </c>
      <c r="C709" t="s">
        <v>55</v>
      </c>
      <c r="D709" t="s">
        <v>22</v>
      </c>
      <c r="E709" t="s">
        <v>45</v>
      </c>
      <c r="F709" t="s">
        <v>861</v>
      </c>
      <c r="G709">
        <v>304913794</v>
      </c>
      <c r="H709" t="s">
        <v>257</v>
      </c>
      <c r="I709">
        <v>9623</v>
      </c>
      <c r="J709">
        <v>651.21</v>
      </c>
      <c r="K709">
        <v>524.96</v>
      </c>
      <c r="L709">
        <v>6266593.8300000001</v>
      </c>
      <c r="M709">
        <v>5051690.08</v>
      </c>
      <c r="N709">
        <v>1214903.75</v>
      </c>
    </row>
    <row r="710" spans="1:14" x14ac:dyDescent="0.25">
      <c r="A710" t="s">
        <v>25</v>
      </c>
      <c r="B710" t="s">
        <v>234</v>
      </c>
      <c r="C710" t="s">
        <v>21</v>
      </c>
      <c r="D710" t="s">
        <v>17</v>
      </c>
      <c r="E710" t="s">
        <v>32</v>
      </c>
      <c r="F710" t="s">
        <v>776</v>
      </c>
      <c r="G710">
        <v>138025033</v>
      </c>
      <c r="H710" s="1">
        <v>41341</v>
      </c>
      <c r="I710">
        <v>3529</v>
      </c>
      <c r="J710">
        <v>152.58000000000001</v>
      </c>
      <c r="K710">
        <v>97.44</v>
      </c>
      <c r="L710">
        <v>538454.81999999995</v>
      </c>
      <c r="M710">
        <v>343865.76</v>
      </c>
      <c r="N710">
        <v>194589.06</v>
      </c>
    </row>
    <row r="711" spans="1:14" x14ac:dyDescent="0.25">
      <c r="A711" t="s">
        <v>29</v>
      </c>
      <c r="B711" t="s">
        <v>545</v>
      </c>
      <c r="C711" t="s">
        <v>44</v>
      </c>
      <c r="D711" t="s">
        <v>22</v>
      </c>
      <c r="E711" t="s">
        <v>45</v>
      </c>
      <c r="F711" s="1">
        <v>40460</v>
      </c>
      <c r="G711">
        <v>217188823</v>
      </c>
      <c r="H711" t="s">
        <v>862</v>
      </c>
      <c r="I711">
        <v>9854</v>
      </c>
      <c r="J711">
        <v>109.28</v>
      </c>
      <c r="K711">
        <v>35.840000000000003</v>
      </c>
      <c r="L711">
        <v>1076845.1200000001</v>
      </c>
      <c r="M711">
        <v>353167.35999999999</v>
      </c>
      <c r="N711">
        <v>723677.76</v>
      </c>
    </row>
    <row r="712" spans="1:14" x14ac:dyDescent="0.25">
      <c r="A712" t="s">
        <v>14</v>
      </c>
      <c r="B712" t="s">
        <v>208</v>
      </c>
      <c r="C712" t="s">
        <v>69</v>
      </c>
      <c r="D712" t="s">
        <v>17</v>
      </c>
      <c r="E712" t="s">
        <v>18</v>
      </c>
      <c r="F712" s="1">
        <v>41191</v>
      </c>
      <c r="G712">
        <v>159641492</v>
      </c>
      <c r="H712" t="s">
        <v>782</v>
      </c>
      <c r="I712">
        <v>320</v>
      </c>
      <c r="J712">
        <v>421.89</v>
      </c>
      <c r="K712">
        <v>364.69</v>
      </c>
      <c r="L712">
        <v>135004.79999999999</v>
      </c>
      <c r="M712">
        <v>116700.8</v>
      </c>
      <c r="N712">
        <v>18304</v>
      </c>
    </row>
    <row r="713" spans="1:14" x14ac:dyDescent="0.25">
      <c r="A713" t="s">
        <v>25</v>
      </c>
      <c r="B713" t="s">
        <v>529</v>
      </c>
      <c r="C713" t="s">
        <v>69</v>
      </c>
      <c r="D713" t="s">
        <v>22</v>
      </c>
      <c r="E713" t="s">
        <v>45</v>
      </c>
      <c r="F713" t="s">
        <v>863</v>
      </c>
      <c r="G713">
        <v>552931869</v>
      </c>
      <c r="H713" s="1">
        <v>42622</v>
      </c>
      <c r="I713">
        <v>3682</v>
      </c>
      <c r="J713">
        <v>421.89</v>
      </c>
      <c r="K713">
        <v>364.69</v>
      </c>
      <c r="L713">
        <v>1553398.98</v>
      </c>
      <c r="M713">
        <v>1342788.58</v>
      </c>
      <c r="N713">
        <v>210610.4</v>
      </c>
    </row>
    <row r="714" spans="1:14" x14ac:dyDescent="0.25">
      <c r="A714" t="s">
        <v>51</v>
      </c>
      <c r="B714" t="s">
        <v>734</v>
      </c>
      <c r="C714" t="s">
        <v>21</v>
      </c>
      <c r="D714" t="s">
        <v>22</v>
      </c>
      <c r="E714" t="s">
        <v>32</v>
      </c>
      <c r="F714" t="s">
        <v>262</v>
      </c>
      <c r="G714">
        <v>704921281</v>
      </c>
      <c r="H714" s="1">
        <v>41396</v>
      </c>
      <c r="I714">
        <v>727</v>
      </c>
      <c r="J714">
        <v>152.58000000000001</v>
      </c>
      <c r="K714">
        <v>97.44</v>
      </c>
      <c r="L714">
        <v>110925.66</v>
      </c>
      <c r="M714">
        <v>70838.880000000005</v>
      </c>
      <c r="N714">
        <v>40086.78</v>
      </c>
    </row>
    <row r="715" spans="1:14" x14ac:dyDescent="0.25">
      <c r="A715" t="s">
        <v>51</v>
      </c>
      <c r="B715" t="s">
        <v>593</v>
      </c>
      <c r="C715" t="s">
        <v>21</v>
      </c>
      <c r="D715" t="s">
        <v>17</v>
      </c>
      <c r="E715" t="s">
        <v>32</v>
      </c>
      <c r="F715" s="1">
        <v>41160</v>
      </c>
      <c r="G715">
        <v>893783557</v>
      </c>
      <c r="H715" t="s">
        <v>541</v>
      </c>
      <c r="I715">
        <v>9271</v>
      </c>
      <c r="J715">
        <v>152.58000000000001</v>
      </c>
      <c r="K715">
        <v>97.44</v>
      </c>
      <c r="L715">
        <v>1414569.18</v>
      </c>
      <c r="M715">
        <v>903366.24</v>
      </c>
      <c r="N715">
        <v>511202.94</v>
      </c>
    </row>
    <row r="716" spans="1:14" x14ac:dyDescent="0.25">
      <c r="A716" t="s">
        <v>29</v>
      </c>
      <c r="B716" t="s">
        <v>545</v>
      </c>
      <c r="C716" t="s">
        <v>55</v>
      </c>
      <c r="D716" t="s">
        <v>17</v>
      </c>
      <c r="E716" t="s">
        <v>45</v>
      </c>
      <c r="F716" t="s">
        <v>780</v>
      </c>
      <c r="G716">
        <v>118005025</v>
      </c>
      <c r="H716" t="s">
        <v>540</v>
      </c>
      <c r="I716">
        <v>9164</v>
      </c>
      <c r="J716">
        <v>651.21</v>
      </c>
      <c r="K716">
        <v>524.96</v>
      </c>
      <c r="L716">
        <v>5967688.4400000004</v>
      </c>
      <c r="M716">
        <v>4810733.4400000004</v>
      </c>
      <c r="N716">
        <v>1156955</v>
      </c>
    </row>
    <row r="717" spans="1:14" x14ac:dyDescent="0.25">
      <c r="A717" t="s">
        <v>38</v>
      </c>
      <c r="B717" t="s">
        <v>177</v>
      </c>
      <c r="C717" t="s">
        <v>21</v>
      </c>
      <c r="D717" t="s">
        <v>22</v>
      </c>
      <c r="E717" t="s">
        <v>18</v>
      </c>
      <c r="F717" t="s">
        <v>864</v>
      </c>
      <c r="G717">
        <v>146384513</v>
      </c>
      <c r="H717" s="1">
        <v>40645</v>
      </c>
      <c r="I717">
        <v>7285</v>
      </c>
      <c r="J717">
        <v>152.58000000000001</v>
      </c>
      <c r="K717">
        <v>97.44</v>
      </c>
      <c r="L717">
        <v>1111545.3</v>
      </c>
      <c r="M717">
        <v>709850.4</v>
      </c>
      <c r="N717">
        <v>401694.9</v>
      </c>
    </row>
    <row r="718" spans="1:14" x14ac:dyDescent="0.25">
      <c r="A718" t="s">
        <v>51</v>
      </c>
      <c r="B718" t="s">
        <v>848</v>
      </c>
      <c r="C718" t="s">
        <v>44</v>
      </c>
      <c r="D718" t="s">
        <v>17</v>
      </c>
      <c r="E718" t="s">
        <v>23</v>
      </c>
      <c r="F718" t="s">
        <v>217</v>
      </c>
      <c r="G718">
        <v>568033349</v>
      </c>
      <c r="H718" t="s">
        <v>865</v>
      </c>
      <c r="I718">
        <v>2546</v>
      </c>
      <c r="J718">
        <v>109.28</v>
      </c>
      <c r="K718">
        <v>35.840000000000003</v>
      </c>
      <c r="L718">
        <v>278226.88</v>
      </c>
      <c r="M718">
        <v>91248.639999999999</v>
      </c>
      <c r="N718">
        <v>186978.24</v>
      </c>
    </row>
    <row r="719" spans="1:14" x14ac:dyDescent="0.25">
      <c r="A719" t="s">
        <v>25</v>
      </c>
      <c r="B719" t="s">
        <v>229</v>
      </c>
      <c r="C719" t="s">
        <v>88</v>
      </c>
      <c r="D719" t="s">
        <v>17</v>
      </c>
      <c r="E719" t="s">
        <v>32</v>
      </c>
      <c r="F719" s="1">
        <v>41853</v>
      </c>
      <c r="G719">
        <v>142375361</v>
      </c>
      <c r="H719" t="s">
        <v>661</v>
      </c>
      <c r="I719">
        <v>888</v>
      </c>
      <c r="J719">
        <v>9.33</v>
      </c>
      <c r="K719">
        <v>6.92</v>
      </c>
      <c r="L719">
        <v>8285.0400000000009</v>
      </c>
      <c r="M719">
        <v>6144.96</v>
      </c>
      <c r="N719">
        <v>2140.08</v>
      </c>
    </row>
    <row r="720" spans="1:14" x14ac:dyDescent="0.25">
      <c r="A720" t="s">
        <v>29</v>
      </c>
      <c r="B720" t="s">
        <v>545</v>
      </c>
      <c r="C720" t="s">
        <v>27</v>
      </c>
      <c r="D720" t="s">
        <v>17</v>
      </c>
      <c r="E720" t="s">
        <v>23</v>
      </c>
      <c r="F720" t="s">
        <v>866</v>
      </c>
      <c r="G720">
        <v>849146878</v>
      </c>
      <c r="H720" t="s">
        <v>867</v>
      </c>
      <c r="I720">
        <v>286</v>
      </c>
      <c r="J720">
        <v>47.45</v>
      </c>
      <c r="K720">
        <v>31.79</v>
      </c>
      <c r="L720">
        <v>13570.7</v>
      </c>
      <c r="M720">
        <v>9091.94</v>
      </c>
      <c r="N720">
        <v>4478.76</v>
      </c>
    </row>
    <row r="721" spans="1:14" x14ac:dyDescent="0.25">
      <c r="A721" t="s">
        <v>14</v>
      </c>
      <c r="B721" t="s">
        <v>20</v>
      </c>
      <c r="C721" t="s">
        <v>40</v>
      </c>
      <c r="D721" t="s">
        <v>17</v>
      </c>
      <c r="E721" t="s">
        <v>45</v>
      </c>
      <c r="F721" s="1">
        <v>41527</v>
      </c>
      <c r="G721">
        <v>238396728</v>
      </c>
      <c r="H721" t="s">
        <v>868</v>
      </c>
      <c r="I721">
        <v>5744</v>
      </c>
      <c r="J721">
        <v>81.73</v>
      </c>
      <c r="K721">
        <v>56.67</v>
      </c>
      <c r="L721">
        <v>469457.12</v>
      </c>
      <c r="M721">
        <v>325512.48</v>
      </c>
      <c r="N721">
        <v>143944.64000000001</v>
      </c>
    </row>
    <row r="722" spans="1:14" x14ac:dyDescent="0.25">
      <c r="A722" t="s">
        <v>38</v>
      </c>
      <c r="B722" t="s">
        <v>451</v>
      </c>
      <c r="C722" t="s">
        <v>21</v>
      </c>
      <c r="D722" t="s">
        <v>17</v>
      </c>
      <c r="E722" t="s">
        <v>45</v>
      </c>
      <c r="F722" s="1">
        <v>40703</v>
      </c>
      <c r="G722">
        <v>880486238</v>
      </c>
      <c r="H722" s="1">
        <v>40826</v>
      </c>
      <c r="I722">
        <v>4299</v>
      </c>
      <c r="J722">
        <v>152.58000000000001</v>
      </c>
      <c r="K722">
        <v>97.44</v>
      </c>
      <c r="L722">
        <v>655941.42000000004</v>
      </c>
      <c r="M722">
        <v>418894.56</v>
      </c>
      <c r="N722">
        <v>237046.86</v>
      </c>
    </row>
    <row r="723" spans="1:14" x14ac:dyDescent="0.25">
      <c r="A723" t="s">
        <v>25</v>
      </c>
      <c r="B723" t="s">
        <v>140</v>
      </c>
      <c r="C723" t="s">
        <v>59</v>
      </c>
      <c r="D723" t="s">
        <v>22</v>
      </c>
      <c r="E723" t="s">
        <v>23</v>
      </c>
      <c r="F723" t="s">
        <v>869</v>
      </c>
      <c r="G723">
        <v>916089236</v>
      </c>
      <c r="H723" t="s">
        <v>870</v>
      </c>
      <c r="I723">
        <v>17</v>
      </c>
      <c r="J723">
        <v>437.2</v>
      </c>
      <c r="K723">
        <v>263.33</v>
      </c>
      <c r="L723">
        <v>7432.4</v>
      </c>
      <c r="M723">
        <v>4476.6099999999997</v>
      </c>
      <c r="N723">
        <v>2955.79</v>
      </c>
    </row>
    <row r="724" spans="1:14" x14ac:dyDescent="0.25">
      <c r="A724" t="s">
        <v>29</v>
      </c>
      <c r="B724" t="s">
        <v>545</v>
      </c>
      <c r="C724" t="s">
        <v>31</v>
      </c>
      <c r="D724" t="s">
        <v>17</v>
      </c>
      <c r="E724" t="s">
        <v>45</v>
      </c>
      <c r="F724" t="s">
        <v>871</v>
      </c>
      <c r="G724">
        <v>806192052</v>
      </c>
      <c r="H724" t="s">
        <v>306</v>
      </c>
      <c r="I724">
        <v>8998</v>
      </c>
      <c r="J724">
        <v>205.7</v>
      </c>
      <c r="K724">
        <v>117.11</v>
      </c>
      <c r="L724">
        <v>1850888.6</v>
      </c>
      <c r="M724">
        <v>1053755.78</v>
      </c>
      <c r="N724">
        <v>797132.82</v>
      </c>
    </row>
    <row r="725" spans="1:14" x14ac:dyDescent="0.25">
      <c r="A725" t="s">
        <v>29</v>
      </c>
      <c r="B725" t="s">
        <v>61</v>
      </c>
      <c r="C725" t="s">
        <v>31</v>
      </c>
      <c r="D725" t="s">
        <v>17</v>
      </c>
      <c r="E725" t="s">
        <v>18</v>
      </c>
      <c r="F725" s="1">
        <v>41886</v>
      </c>
      <c r="G725">
        <v>182093513</v>
      </c>
      <c r="H725" t="s">
        <v>872</v>
      </c>
      <c r="I725">
        <v>4372</v>
      </c>
      <c r="J725">
        <v>205.7</v>
      </c>
      <c r="K725">
        <v>117.11</v>
      </c>
      <c r="L725">
        <v>899320.4</v>
      </c>
      <c r="M725">
        <v>512004.92</v>
      </c>
      <c r="N725">
        <v>387315.48</v>
      </c>
    </row>
    <row r="726" spans="1:14" x14ac:dyDescent="0.25">
      <c r="A726" t="s">
        <v>29</v>
      </c>
      <c r="B726" t="s">
        <v>375</v>
      </c>
      <c r="C726" t="s">
        <v>88</v>
      </c>
      <c r="D726" t="s">
        <v>22</v>
      </c>
      <c r="E726" t="s">
        <v>45</v>
      </c>
      <c r="F726" t="s">
        <v>808</v>
      </c>
      <c r="G726">
        <v>995404946</v>
      </c>
      <c r="H726" t="s">
        <v>145</v>
      </c>
      <c r="I726">
        <v>1299</v>
      </c>
      <c r="J726">
        <v>9.33</v>
      </c>
      <c r="K726">
        <v>6.92</v>
      </c>
      <c r="L726">
        <v>12119.67</v>
      </c>
      <c r="M726">
        <v>8989.08</v>
      </c>
      <c r="N726">
        <v>3130.59</v>
      </c>
    </row>
    <row r="727" spans="1:14" x14ac:dyDescent="0.25">
      <c r="A727" t="s">
        <v>51</v>
      </c>
      <c r="B727" t="s">
        <v>327</v>
      </c>
      <c r="C727" t="s">
        <v>27</v>
      </c>
      <c r="D727" t="s">
        <v>17</v>
      </c>
      <c r="E727" t="s">
        <v>23</v>
      </c>
      <c r="F727" s="1">
        <v>41609</v>
      </c>
      <c r="G727">
        <v>768050181</v>
      </c>
      <c r="H727" t="s">
        <v>873</v>
      </c>
      <c r="I727">
        <v>1971</v>
      </c>
      <c r="J727">
        <v>47.45</v>
      </c>
      <c r="K727">
        <v>31.79</v>
      </c>
      <c r="L727">
        <v>93523.95</v>
      </c>
      <c r="M727">
        <v>62658.09</v>
      </c>
      <c r="N727">
        <v>30865.86</v>
      </c>
    </row>
    <row r="728" spans="1:14" x14ac:dyDescent="0.25">
      <c r="A728" t="s">
        <v>25</v>
      </c>
      <c r="B728" t="s">
        <v>112</v>
      </c>
      <c r="C728" t="s">
        <v>88</v>
      </c>
      <c r="D728" t="s">
        <v>22</v>
      </c>
      <c r="E728" t="s">
        <v>32</v>
      </c>
      <c r="F728" s="1">
        <v>40706</v>
      </c>
      <c r="G728">
        <v>242265546</v>
      </c>
      <c r="H728" s="1">
        <v>41091</v>
      </c>
      <c r="I728">
        <v>614</v>
      </c>
      <c r="J728">
        <v>9.33</v>
      </c>
      <c r="K728">
        <v>6.92</v>
      </c>
      <c r="L728">
        <v>5728.62</v>
      </c>
      <c r="M728">
        <v>4248.88</v>
      </c>
      <c r="N728">
        <v>1479.74</v>
      </c>
    </row>
    <row r="729" spans="1:14" x14ac:dyDescent="0.25">
      <c r="A729" t="s">
        <v>51</v>
      </c>
      <c r="B729" t="s">
        <v>301</v>
      </c>
      <c r="C729" t="s">
        <v>55</v>
      </c>
      <c r="D729" t="s">
        <v>22</v>
      </c>
      <c r="E729" t="s">
        <v>18</v>
      </c>
      <c r="F729" t="s">
        <v>667</v>
      </c>
      <c r="G729">
        <v>230599868</v>
      </c>
      <c r="H729" t="s">
        <v>629</v>
      </c>
      <c r="I729">
        <v>8480</v>
      </c>
      <c r="J729">
        <v>651.21</v>
      </c>
      <c r="K729">
        <v>524.96</v>
      </c>
      <c r="L729">
        <v>5522260.7999999998</v>
      </c>
      <c r="M729">
        <v>4451660.8</v>
      </c>
      <c r="N729">
        <v>1070600</v>
      </c>
    </row>
    <row r="730" spans="1:14" x14ac:dyDescent="0.25">
      <c r="A730" t="s">
        <v>25</v>
      </c>
      <c r="B730" t="s">
        <v>242</v>
      </c>
      <c r="C730" t="s">
        <v>59</v>
      </c>
      <c r="D730" t="s">
        <v>17</v>
      </c>
      <c r="E730" t="s">
        <v>18</v>
      </c>
      <c r="F730" s="1">
        <v>42339</v>
      </c>
      <c r="G730">
        <v>265914475</v>
      </c>
      <c r="H730" t="s">
        <v>651</v>
      </c>
      <c r="I730">
        <v>8857</v>
      </c>
      <c r="J730">
        <v>437.2</v>
      </c>
      <c r="K730">
        <v>263.33</v>
      </c>
      <c r="L730">
        <v>3872280.4</v>
      </c>
      <c r="M730">
        <v>2332313.81</v>
      </c>
      <c r="N730">
        <v>1539966.59</v>
      </c>
    </row>
    <row r="731" spans="1:14" x14ac:dyDescent="0.25">
      <c r="A731" t="s">
        <v>77</v>
      </c>
      <c r="B731" t="s">
        <v>794</v>
      </c>
      <c r="C731" t="s">
        <v>131</v>
      </c>
      <c r="D731" t="s">
        <v>22</v>
      </c>
      <c r="E731" t="s">
        <v>18</v>
      </c>
      <c r="F731" s="1">
        <v>42651</v>
      </c>
      <c r="G731">
        <v>851383197</v>
      </c>
      <c r="H731" s="1">
        <v>42499</v>
      </c>
      <c r="I731">
        <v>2062</v>
      </c>
      <c r="J731">
        <v>668.27</v>
      </c>
      <c r="K731">
        <v>502.54</v>
      </c>
      <c r="L731">
        <v>1377972.74</v>
      </c>
      <c r="M731">
        <v>1036237.48</v>
      </c>
      <c r="N731">
        <v>341735.26</v>
      </c>
    </row>
    <row r="732" spans="1:14" x14ac:dyDescent="0.25">
      <c r="A732" t="s">
        <v>14</v>
      </c>
      <c r="B732" t="s">
        <v>372</v>
      </c>
      <c r="C732" t="s">
        <v>40</v>
      </c>
      <c r="D732" t="s">
        <v>22</v>
      </c>
      <c r="E732" t="s">
        <v>32</v>
      </c>
      <c r="F732" t="s">
        <v>874</v>
      </c>
      <c r="G732">
        <v>310492360</v>
      </c>
      <c r="H732" t="s">
        <v>875</v>
      </c>
      <c r="I732">
        <v>444</v>
      </c>
      <c r="J732">
        <v>81.73</v>
      </c>
      <c r="K732">
        <v>56.67</v>
      </c>
      <c r="L732">
        <v>36288.120000000003</v>
      </c>
      <c r="M732">
        <v>25161.48</v>
      </c>
      <c r="N732">
        <v>11126.64</v>
      </c>
    </row>
    <row r="733" spans="1:14" x14ac:dyDescent="0.25">
      <c r="A733" t="s">
        <v>25</v>
      </c>
      <c r="B733" t="s">
        <v>569</v>
      </c>
      <c r="C733" t="s">
        <v>21</v>
      </c>
      <c r="D733" t="s">
        <v>17</v>
      </c>
      <c r="E733" t="s">
        <v>32</v>
      </c>
      <c r="F733" t="s">
        <v>876</v>
      </c>
      <c r="G733">
        <v>637040793</v>
      </c>
      <c r="H733" s="1">
        <v>42102</v>
      </c>
      <c r="I733">
        <v>3382</v>
      </c>
      <c r="J733">
        <v>152.58000000000001</v>
      </c>
      <c r="K733">
        <v>97.44</v>
      </c>
      <c r="L733">
        <v>516025.56</v>
      </c>
      <c r="M733">
        <v>329542.08</v>
      </c>
      <c r="N733">
        <v>186483.48</v>
      </c>
    </row>
    <row r="734" spans="1:14" x14ac:dyDescent="0.25">
      <c r="A734" t="s">
        <v>51</v>
      </c>
      <c r="B734" t="s">
        <v>129</v>
      </c>
      <c r="C734" t="s">
        <v>27</v>
      </c>
      <c r="D734" t="s">
        <v>17</v>
      </c>
      <c r="E734" t="s">
        <v>45</v>
      </c>
      <c r="F734" s="1">
        <v>40980</v>
      </c>
      <c r="G734">
        <v>745139825</v>
      </c>
      <c r="H734" s="1">
        <v>41133</v>
      </c>
      <c r="I734">
        <v>2288</v>
      </c>
      <c r="J734">
        <v>47.45</v>
      </c>
      <c r="K734">
        <v>31.79</v>
      </c>
      <c r="L734">
        <v>108565.6</v>
      </c>
      <c r="M734">
        <v>72735.520000000004</v>
      </c>
      <c r="N734">
        <v>35830.080000000002</v>
      </c>
    </row>
    <row r="735" spans="1:14" x14ac:dyDescent="0.25">
      <c r="A735" t="s">
        <v>51</v>
      </c>
      <c r="B735" t="s">
        <v>877</v>
      </c>
      <c r="C735" t="s">
        <v>131</v>
      </c>
      <c r="D735" t="s">
        <v>17</v>
      </c>
      <c r="E735" t="s">
        <v>18</v>
      </c>
      <c r="F735" s="1">
        <v>42563</v>
      </c>
      <c r="G735">
        <v>519213283</v>
      </c>
      <c r="H735" t="s">
        <v>878</v>
      </c>
      <c r="I735">
        <v>5603</v>
      </c>
      <c r="J735">
        <v>668.27</v>
      </c>
      <c r="K735">
        <v>502.54</v>
      </c>
      <c r="L735">
        <v>3744316.81</v>
      </c>
      <c r="M735">
        <v>2815731.62</v>
      </c>
      <c r="N735">
        <v>928585.19</v>
      </c>
    </row>
    <row r="736" spans="1:14" x14ac:dyDescent="0.25">
      <c r="A736" t="s">
        <v>29</v>
      </c>
      <c r="B736" t="s">
        <v>356</v>
      </c>
      <c r="C736" t="s">
        <v>113</v>
      </c>
      <c r="D736" t="s">
        <v>17</v>
      </c>
      <c r="E736" t="s">
        <v>23</v>
      </c>
      <c r="F736" s="1">
        <v>42249</v>
      </c>
      <c r="G736">
        <v>363997495</v>
      </c>
      <c r="H736" s="1">
        <v>42310</v>
      </c>
      <c r="I736">
        <v>3802</v>
      </c>
      <c r="J736">
        <v>154.06</v>
      </c>
      <c r="K736">
        <v>90.93</v>
      </c>
      <c r="L736">
        <v>585736.12</v>
      </c>
      <c r="M736">
        <v>345715.86</v>
      </c>
      <c r="N736">
        <v>240020.26</v>
      </c>
    </row>
    <row r="737" spans="1:14" x14ac:dyDescent="0.25">
      <c r="A737" t="s">
        <v>25</v>
      </c>
      <c r="B737" t="s">
        <v>529</v>
      </c>
      <c r="C737" t="s">
        <v>40</v>
      </c>
      <c r="D737" t="s">
        <v>22</v>
      </c>
      <c r="E737" t="s">
        <v>32</v>
      </c>
      <c r="F737" s="1">
        <v>41985</v>
      </c>
      <c r="G737">
        <v>754541289</v>
      </c>
      <c r="H737" t="s">
        <v>562</v>
      </c>
      <c r="I737">
        <v>4390</v>
      </c>
      <c r="J737">
        <v>81.73</v>
      </c>
      <c r="K737">
        <v>56.67</v>
      </c>
      <c r="L737">
        <v>358794.7</v>
      </c>
      <c r="M737">
        <v>248781.3</v>
      </c>
      <c r="N737">
        <v>110013.4</v>
      </c>
    </row>
    <row r="738" spans="1:14" x14ac:dyDescent="0.25">
      <c r="A738" t="s">
        <v>14</v>
      </c>
      <c r="B738" t="s">
        <v>372</v>
      </c>
      <c r="C738" t="s">
        <v>131</v>
      </c>
      <c r="D738" t="s">
        <v>17</v>
      </c>
      <c r="E738" t="s">
        <v>45</v>
      </c>
      <c r="F738" s="1">
        <v>43045</v>
      </c>
      <c r="G738">
        <v>886205995</v>
      </c>
      <c r="H738" t="s">
        <v>631</v>
      </c>
      <c r="I738">
        <v>6902</v>
      </c>
      <c r="J738">
        <v>668.27</v>
      </c>
      <c r="K738">
        <v>502.54</v>
      </c>
      <c r="L738">
        <v>4612399.54</v>
      </c>
      <c r="M738">
        <v>3468531.08</v>
      </c>
      <c r="N738">
        <v>1143868.46</v>
      </c>
    </row>
    <row r="739" spans="1:14" x14ac:dyDescent="0.25">
      <c r="A739" t="s">
        <v>51</v>
      </c>
      <c r="B739" t="s">
        <v>414</v>
      </c>
      <c r="C739" t="s">
        <v>16</v>
      </c>
      <c r="D739" t="s">
        <v>17</v>
      </c>
      <c r="E739" t="s">
        <v>23</v>
      </c>
      <c r="F739" t="s">
        <v>879</v>
      </c>
      <c r="G739">
        <v>924665439</v>
      </c>
      <c r="H739" s="1">
        <v>41461</v>
      </c>
      <c r="I739">
        <v>7906</v>
      </c>
      <c r="J739">
        <v>255.28</v>
      </c>
      <c r="K739">
        <v>159.41999999999999</v>
      </c>
      <c r="L739">
        <v>2018243.68</v>
      </c>
      <c r="M739">
        <v>1260374.52</v>
      </c>
      <c r="N739">
        <v>757869.16</v>
      </c>
    </row>
    <row r="740" spans="1:14" x14ac:dyDescent="0.25">
      <c r="A740" t="s">
        <v>29</v>
      </c>
      <c r="B740" t="s">
        <v>199</v>
      </c>
      <c r="C740" t="s">
        <v>131</v>
      </c>
      <c r="D740" t="s">
        <v>17</v>
      </c>
      <c r="E740" t="s">
        <v>45</v>
      </c>
      <c r="F740" t="s">
        <v>126</v>
      </c>
      <c r="G740">
        <v>655905950</v>
      </c>
      <c r="H740" s="1">
        <v>43041</v>
      </c>
      <c r="I740">
        <v>6001</v>
      </c>
      <c r="J740">
        <v>668.27</v>
      </c>
      <c r="K740">
        <v>502.54</v>
      </c>
      <c r="L740">
        <v>4010288.27</v>
      </c>
      <c r="M740">
        <v>3015742.54</v>
      </c>
      <c r="N740">
        <v>994545.73</v>
      </c>
    </row>
    <row r="741" spans="1:14" x14ac:dyDescent="0.25">
      <c r="A741" t="s">
        <v>51</v>
      </c>
      <c r="B741" t="s">
        <v>115</v>
      </c>
      <c r="C741" t="s">
        <v>27</v>
      </c>
      <c r="D741" t="s">
        <v>22</v>
      </c>
      <c r="E741" t="s">
        <v>45</v>
      </c>
      <c r="F741" s="1">
        <v>40238</v>
      </c>
      <c r="G741">
        <v>836226356</v>
      </c>
      <c r="H741" t="s">
        <v>880</v>
      </c>
      <c r="I741">
        <v>6816</v>
      </c>
      <c r="J741">
        <v>47.45</v>
      </c>
      <c r="K741">
        <v>31.79</v>
      </c>
      <c r="L741">
        <v>323419.2</v>
      </c>
      <c r="M741">
        <v>216680.64</v>
      </c>
      <c r="N741">
        <v>106738.56</v>
      </c>
    </row>
    <row r="742" spans="1:14" x14ac:dyDescent="0.25">
      <c r="A742" t="s">
        <v>38</v>
      </c>
      <c r="B742" t="s">
        <v>54</v>
      </c>
      <c r="C742" t="s">
        <v>131</v>
      </c>
      <c r="D742" t="s">
        <v>22</v>
      </c>
      <c r="E742" t="s">
        <v>23</v>
      </c>
      <c r="F742" t="s">
        <v>881</v>
      </c>
      <c r="G742">
        <v>942237985</v>
      </c>
      <c r="H742" t="s">
        <v>881</v>
      </c>
      <c r="I742">
        <v>8013</v>
      </c>
      <c r="J742">
        <v>668.27</v>
      </c>
      <c r="K742">
        <v>502.54</v>
      </c>
      <c r="L742">
        <v>5354847.51</v>
      </c>
      <c r="M742">
        <v>4026853.02</v>
      </c>
      <c r="N742">
        <v>1327994.49</v>
      </c>
    </row>
    <row r="743" spans="1:14" x14ac:dyDescent="0.25">
      <c r="A743" t="s">
        <v>29</v>
      </c>
      <c r="B743" t="s">
        <v>159</v>
      </c>
      <c r="C743" t="s">
        <v>31</v>
      </c>
      <c r="D743" t="s">
        <v>17</v>
      </c>
      <c r="E743" t="s">
        <v>45</v>
      </c>
      <c r="F743" t="s">
        <v>200</v>
      </c>
      <c r="G743">
        <v>520864665</v>
      </c>
      <c r="H743" t="s">
        <v>882</v>
      </c>
      <c r="I743">
        <v>4284</v>
      </c>
      <c r="J743">
        <v>205.7</v>
      </c>
      <c r="K743">
        <v>117.11</v>
      </c>
      <c r="L743">
        <v>881218.8</v>
      </c>
      <c r="M743">
        <v>501699.24</v>
      </c>
      <c r="N743">
        <v>379519.56</v>
      </c>
    </row>
    <row r="744" spans="1:14" x14ac:dyDescent="0.25">
      <c r="A744" t="s">
        <v>38</v>
      </c>
      <c r="B744" t="s">
        <v>584</v>
      </c>
      <c r="C744" t="s">
        <v>21</v>
      </c>
      <c r="D744" t="s">
        <v>22</v>
      </c>
      <c r="E744" t="s">
        <v>45</v>
      </c>
      <c r="F744" s="1">
        <v>41276</v>
      </c>
      <c r="G744">
        <v>539342725</v>
      </c>
      <c r="H744" t="s">
        <v>883</v>
      </c>
      <c r="I744">
        <v>2353</v>
      </c>
      <c r="J744">
        <v>152.58000000000001</v>
      </c>
      <c r="K744">
        <v>97.44</v>
      </c>
      <c r="L744">
        <v>359020.74</v>
      </c>
      <c r="M744">
        <v>229276.32</v>
      </c>
      <c r="N744">
        <v>129744.42</v>
      </c>
    </row>
    <row r="745" spans="1:14" x14ac:dyDescent="0.25">
      <c r="A745" t="s">
        <v>29</v>
      </c>
      <c r="B745" t="s">
        <v>124</v>
      </c>
      <c r="C745" t="s">
        <v>16</v>
      </c>
      <c r="D745" t="s">
        <v>22</v>
      </c>
      <c r="E745" t="s">
        <v>18</v>
      </c>
      <c r="F745" s="1">
        <v>42311</v>
      </c>
      <c r="G745">
        <v>235220992</v>
      </c>
      <c r="H745" t="s">
        <v>884</v>
      </c>
      <c r="I745">
        <v>5974</v>
      </c>
      <c r="J745">
        <v>255.28</v>
      </c>
      <c r="K745">
        <v>159.41999999999999</v>
      </c>
      <c r="L745">
        <v>1525042.72</v>
      </c>
      <c r="M745">
        <v>952375.08</v>
      </c>
      <c r="N745">
        <v>572667.64</v>
      </c>
    </row>
    <row r="746" spans="1:14" x14ac:dyDescent="0.25">
      <c r="A746" t="s">
        <v>29</v>
      </c>
      <c r="B746" t="s">
        <v>485</v>
      </c>
      <c r="C746" t="s">
        <v>31</v>
      </c>
      <c r="D746" t="s">
        <v>17</v>
      </c>
      <c r="E746" t="s">
        <v>23</v>
      </c>
      <c r="F746" t="s">
        <v>885</v>
      </c>
      <c r="G746">
        <v>266360795</v>
      </c>
      <c r="H746" t="s">
        <v>886</v>
      </c>
      <c r="I746">
        <v>933</v>
      </c>
      <c r="J746">
        <v>205.7</v>
      </c>
      <c r="K746">
        <v>117.11</v>
      </c>
      <c r="L746">
        <v>191918.1</v>
      </c>
      <c r="M746">
        <v>109263.63</v>
      </c>
      <c r="N746">
        <v>82654.47</v>
      </c>
    </row>
    <row r="747" spans="1:14" x14ac:dyDescent="0.25">
      <c r="A747" t="s">
        <v>29</v>
      </c>
      <c r="B747" t="s">
        <v>248</v>
      </c>
      <c r="C747" t="s">
        <v>16</v>
      </c>
      <c r="D747" t="s">
        <v>17</v>
      </c>
      <c r="E747" t="s">
        <v>45</v>
      </c>
      <c r="F747" s="1">
        <v>41791</v>
      </c>
      <c r="G747">
        <v>460935962</v>
      </c>
      <c r="H747" t="s">
        <v>887</v>
      </c>
      <c r="I747">
        <v>49</v>
      </c>
      <c r="J747">
        <v>255.28</v>
      </c>
      <c r="K747">
        <v>159.41999999999999</v>
      </c>
      <c r="L747">
        <v>12508.72</v>
      </c>
      <c r="M747">
        <v>7811.58</v>
      </c>
      <c r="N747">
        <v>4697.1400000000003</v>
      </c>
    </row>
    <row r="748" spans="1:14" x14ac:dyDescent="0.25">
      <c r="A748" t="s">
        <v>51</v>
      </c>
      <c r="B748" t="s">
        <v>487</v>
      </c>
      <c r="C748" t="s">
        <v>31</v>
      </c>
      <c r="D748" t="s">
        <v>17</v>
      </c>
      <c r="E748" t="s">
        <v>18</v>
      </c>
      <c r="F748" t="s">
        <v>888</v>
      </c>
      <c r="G748">
        <v>267432820</v>
      </c>
      <c r="H748" t="s">
        <v>889</v>
      </c>
      <c r="I748">
        <v>8169</v>
      </c>
      <c r="J748">
        <v>205.7</v>
      </c>
      <c r="K748">
        <v>117.11</v>
      </c>
      <c r="L748">
        <v>1680363.3</v>
      </c>
      <c r="M748">
        <v>956671.59</v>
      </c>
      <c r="N748">
        <v>723691.71</v>
      </c>
    </row>
    <row r="749" spans="1:14" x14ac:dyDescent="0.25">
      <c r="A749" t="s">
        <v>51</v>
      </c>
      <c r="B749" t="s">
        <v>305</v>
      </c>
      <c r="C749" t="s">
        <v>31</v>
      </c>
      <c r="D749" t="s">
        <v>22</v>
      </c>
      <c r="E749" t="s">
        <v>45</v>
      </c>
      <c r="F749" t="s">
        <v>890</v>
      </c>
      <c r="G749">
        <v>104650199</v>
      </c>
      <c r="H749" s="1">
        <v>41649</v>
      </c>
      <c r="I749">
        <v>7174</v>
      </c>
      <c r="J749">
        <v>205.7</v>
      </c>
      <c r="K749">
        <v>117.11</v>
      </c>
      <c r="L749">
        <v>1475691.8</v>
      </c>
      <c r="M749">
        <v>840147.14</v>
      </c>
      <c r="N749">
        <v>635544.66</v>
      </c>
    </row>
    <row r="750" spans="1:14" x14ac:dyDescent="0.25">
      <c r="A750" t="s">
        <v>14</v>
      </c>
      <c r="B750" t="s">
        <v>433</v>
      </c>
      <c r="C750" t="s">
        <v>59</v>
      </c>
      <c r="D750" t="s">
        <v>17</v>
      </c>
      <c r="E750" t="s">
        <v>32</v>
      </c>
      <c r="F750" t="s">
        <v>891</v>
      </c>
      <c r="G750">
        <v>911699426</v>
      </c>
      <c r="H750" s="1">
        <v>40247</v>
      </c>
      <c r="I750">
        <v>975</v>
      </c>
      <c r="J750">
        <v>437.2</v>
      </c>
      <c r="K750">
        <v>263.33</v>
      </c>
      <c r="L750">
        <v>426270</v>
      </c>
      <c r="M750">
        <v>256746.75</v>
      </c>
      <c r="N750">
        <v>169523.25</v>
      </c>
    </row>
    <row r="751" spans="1:14" x14ac:dyDescent="0.25">
      <c r="A751" t="s">
        <v>38</v>
      </c>
      <c r="B751" t="s">
        <v>451</v>
      </c>
      <c r="C751" t="s">
        <v>16</v>
      </c>
      <c r="D751" t="s">
        <v>22</v>
      </c>
      <c r="E751" t="s">
        <v>32</v>
      </c>
      <c r="F751" t="s">
        <v>892</v>
      </c>
      <c r="G751">
        <v>998004329</v>
      </c>
      <c r="H751" t="s">
        <v>471</v>
      </c>
      <c r="I751">
        <v>514</v>
      </c>
      <c r="J751">
        <v>255.28</v>
      </c>
      <c r="K751">
        <v>159.41999999999999</v>
      </c>
      <c r="L751">
        <v>131213.92000000001</v>
      </c>
      <c r="M751">
        <v>81941.88</v>
      </c>
      <c r="N751">
        <v>49272.04</v>
      </c>
    </row>
    <row r="752" spans="1:14" x14ac:dyDescent="0.25">
      <c r="A752" t="s">
        <v>29</v>
      </c>
      <c r="B752" t="s">
        <v>467</v>
      </c>
      <c r="C752" t="s">
        <v>40</v>
      </c>
      <c r="D752" t="s">
        <v>17</v>
      </c>
      <c r="E752" t="s">
        <v>32</v>
      </c>
      <c r="F752" s="1">
        <v>42068</v>
      </c>
      <c r="G752">
        <v>993301236</v>
      </c>
      <c r="H752" s="1">
        <v>42010</v>
      </c>
      <c r="I752">
        <v>8764</v>
      </c>
      <c r="J752">
        <v>81.73</v>
      </c>
      <c r="K752">
        <v>56.67</v>
      </c>
      <c r="L752">
        <v>716281.72</v>
      </c>
      <c r="M752">
        <v>496655.88</v>
      </c>
      <c r="N752">
        <v>219625.84</v>
      </c>
    </row>
    <row r="753" spans="1:14" x14ac:dyDescent="0.25">
      <c r="A753" t="s">
        <v>25</v>
      </c>
      <c r="B753" t="s">
        <v>204</v>
      </c>
      <c r="C753" t="s">
        <v>113</v>
      </c>
      <c r="D753" t="s">
        <v>22</v>
      </c>
      <c r="E753" t="s">
        <v>32</v>
      </c>
      <c r="F753" t="s">
        <v>283</v>
      </c>
      <c r="G753">
        <v>697638976</v>
      </c>
      <c r="H753" t="s">
        <v>884</v>
      </c>
      <c r="I753">
        <v>5731</v>
      </c>
      <c r="J753">
        <v>154.06</v>
      </c>
      <c r="K753">
        <v>90.93</v>
      </c>
      <c r="L753">
        <v>882917.86</v>
      </c>
      <c r="M753">
        <v>521119.83</v>
      </c>
      <c r="N753">
        <v>361798.03</v>
      </c>
    </row>
    <row r="754" spans="1:14" x14ac:dyDescent="0.25">
      <c r="A754" t="s">
        <v>38</v>
      </c>
      <c r="B754" t="s">
        <v>584</v>
      </c>
      <c r="C754" t="s">
        <v>59</v>
      </c>
      <c r="D754" t="s">
        <v>17</v>
      </c>
      <c r="E754" t="s">
        <v>23</v>
      </c>
      <c r="F754" t="s">
        <v>893</v>
      </c>
      <c r="G754">
        <v>431378877</v>
      </c>
      <c r="H754" s="1">
        <v>40767</v>
      </c>
      <c r="I754">
        <v>3451</v>
      </c>
      <c r="J754">
        <v>437.2</v>
      </c>
      <c r="K754">
        <v>263.33</v>
      </c>
      <c r="L754">
        <v>1508777.2</v>
      </c>
      <c r="M754">
        <v>908751.83</v>
      </c>
      <c r="N754">
        <v>600025.37</v>
      </c>
    </row>
    <row r="755" spans="1:14" x14ac:dyDescent="0.25">
      <c r="A755" t="s">
        <v>42</v>
      </c>
      <c r="B755" t="s">
        <v>43</v>
      </c>
      <c r="C755" t="s">
        <v>113</v>
      </c>
      <c r="D755" t="s">
        <v>22</v>
      </c>
      <c r="E755" t="s">
        <v>23</v>
      </c>
      <c r="F755" s="1">
        <v>41276</v>
      </c>
      <c r="G755">
        <v>585194766</v>
      </c>
      <c r="H755" t="s">
        <v>644</v>
      </c>
      <c r="I755">
        <v>990</v>
      </c>
      <c r="J755">
        <v>154.06</v>
      </c>
      <c r="K755">
        <v>90.93</v>
      </c>
      <c r="L755">
        <v>152519.4</v>
      </c>
      <c r="M755">
        <v>90020.7</v>
      </c>
      <c r="N755">
        <v>62498.7</v>
      </c>
    </row>
    <row r="756" spans="1:14" x14ac:dyDescent="0.25">
      <c r="A756" t="s">
        <v>14</v>
      </c>
      <c r="B756" t="s">
        <v>226</v>
      </c>
      <c r="C756" t="s">
        <v>40</v>
      </c>
      <c r="D756" t="s">
        <v>22</v>
      </c>
      <c r="E756" t="s">
        <v>23</v>
      </c>
      <c r="F756" s="1">
        <v>40915</v>
      </c>
      <c r="G756">
        <v>270072972</v>
      </c>
      <c r="H756" s="1">
        <v>41160</v>
      </c>
      <c r="I756">
        <v>9449</v>
      </c>
      <c r="J756">
        <v>81.73</v>
      </c>
      <c r="K756">
        <v>56.67</v>
      </c>
      <c r="L756">
        <v>772266.77</v>
      </c>
      <c r="M756">
        <v>535474.82999999996</v>
      </c>
      <c r="N756">
        <v>236791.94</v>
      </c>
    </row>
    <row r="757" spans="1:14" x14ac:dyDescent="0.25">
      <c r="A757" t="s">
        <v>25</v>
      </c>
      <c r="B757" t="s">
        <v>26</v>
      </c>
      <c r="C757" t="s">
        <v>16</v>
      </c>
      <c r="D757" t="s">
        <v>17</v>
      </c>
      <c r="E757" t="s">
        <v>23</v>
      </c>
      <c r="F757" s="1">
        <v>42646</v>
      </c>
      <c r="G757">
        <v>467312324</v>
      </c>
      <c r="H757" s="1">
        <v>42586</v>
      </c>
      <c r="I757">
        <v>6956</v>
      </c>
      <c r="J757">
        <v>255.28</v>
      </c>
      <c r="K757">
        <v>159.41999999999999</v>
      </c>
      <c r="L757">
        <v>1775727.68</v>
      </c>
      <c r="M757">
        <v>1108925.52</v>
      </c>
      <c r="N757">
        <v>666802.16</v>
      </c>
    </row>
    <row r="758" spans="1:14" x14ac:dyDescent="0.25">
      <c r="A758" t="s">
        <v>38</v>
      </c>
      <c r="B758" t="s">
        <v>187</v>
      </c>
      <c r="C758" t="s">
        <v>88</v>
      </c>
      <c r="D758" t="s">
        <v>22</v>
      </c>
      <c r="E758" t="s">
        <v>23</v>
      </c>
      <c r="F758" s="1">
        <v>42403</v>
      </c>
      <c r="G758">
        <v>878524148</v>
      </c>
      <c r="H758" t="s">
        <v>894</v>
      </c>
      <c r="I758">
        <v>3673</v>
      </c>
      <c r="J758">
        <v>9.33</v>
      </c>
      <c r="K758">
        <v>6.92</v>
      </c>
      <c r="L758">
        <v>34269.089999999997</v>
      </c>
      <c r="M758">
        <v>25417.16</v>
      </c>
      <c r="N758">
        <v>8851.93</v>
      </c>
    </row>
    <row r="759" spans="1:14" x14ac:dyDescent="0.25">
      <c r="A759" t="s">
        <v>14</v>
      </c>
      <c r="B759" t="s">
        <v>15</v>
      </c>
      <c r="C759" t="s">
        <v>59</v>
      </c>
      <c r="D759" t="s">
        <v>17</v>
      </c>
      <c r="E759" t="s">
        <v>23</v>
      </c>
      <c r="F759" s="1">
        <v>42593</v>
      </c>
      <c r="G759">
        <v>375632274</v>
      </c>
      <c r="H759" t="s">
        <v>623</v>
      </c>
      <c r="I759">
        <v>6792</v>
      </c>
      <c r="J759">
        <v>437.2</v>
      </c>
      <c r="K759">
        <v>263.33</v>
      </c>
      <c r="L759">
        <v>2969462.4</v>
      </c>
      <c r="M759">
        <v>1788537.36</v>
      </c>
      <c r="N759">
        <v>1180925.04</v>
      </c>
    </row>
    <row r="760" spans="1:14" x14ac:dyDescent="0.25">
      <c r="A760" t="s">
        <v>51</v>
      </c>
      <c r="B760" t="s">
        <v>219</v>
      </c>
      <c r="C760" t="s">
        <v>88</v>
      </c>
      <c r="D760" t="s">
        <v>22</v>
      </c>
      <c r="E760" t="s">
        <v>18</v>
      </c>
      <c r="F760" s="1">
        <v>42432</v>
      </c>
      <c r="G760">
        <v>150873029</v>
      </c>
      <c r="H760" t="s">
        <v>895</v>
      </c>
      <c r="I760">
        <v>5537</v>
      </c>
      <c r="J760">
        <v>9.33</v>
      </c>
      <c r="K760">
        <v>6.92</v>
      </c>
      <c r="L760">
        <v>51660.21</v>
      </c>
      <c r="M760">
        <v>38316.04</v>
      </c>
      <c r="N760">
        <v>13344.17</v>
      </c>
    </row>
    <row r="761" spans="1:14" x14ac:dyDescent="0.25">
      <c r="A761" t="s">
        <v>51</v>
      </c>
      <c r="B761" t="s">
        <v>108</v>
      </c>
      <c r="C761" t="s">
        <v>113</v>
      </c>
      <c r="D761" t="s">
        <v>22</v>
      </c>
      <c r="E761" t="s">
        <v>23</v>
      </c>
      <c r="F761" t="s">
        <v>896</v>
      </c>
      <c r="G761">
        <v>566795241</v>
      </c>
      <c r="H761" t="s">
        <v>797</v>
      </c>
      <c r="I761">
        <v>6162</v>
      </c>
      <c r="J761">
        <v>154.06</v>
      </c>
      <c r="K761">
        <v>90.93</v>
      </c>
      <c r="L761">
        <v>949317.72</v>
      </c>
      <c r="M761">
        <v>560310.66</v>
      </c>
      <c r="N761">
        <v>389007.06</v>
      </c>
    </row>
    <row r="762" spans="1:14" x14ac:dyDescent="0.25">
      <c r="A762" t="s">
        <v>29</v>
      </c>
      <c r="B762" t="s">
        <v>243</v>
      </c>
      <c r="C762" t="s">
        <v>40</v>
      </c>
      <c r="D762" t="s">
        <v>17</v>
      </c>
      <c r="E762" t="s">
        <v>18</v>
      </c>
      <c r="F762" s="1">
        <v>42098</v>
      </c>
      <c r="G762">
        <v>706260240</v>
      </c>
      <c r="H762" s="1">
        <v>42099</v>
      </c>
      <c r="I762">
        <v>6954</v>
      </c>
      <c r="J762">
        <v>81.73</v>
      </c>
      <c r="K762">
        <v>56.67</v>
      </c>
      <c r="L762">
        <v>568350.42000000004</v>
      </c>
      <c r="M762">
        <v>394083.18</v>
      </c>
      <c r="N762">
        <v>174267.24</v>
      </c>
    </row>
    <row r="763" spans="1:14" x14ac:dyDescent="0.25">
      <c r="A763" t="s">
        <v>25</v>
      </c>
      <c r="B763" t="s">
        <v>239</v>
      </c>
      <c r="C763" t="s">
        <v>44</v>
      </c>
      <c r="D763" t="s">
        <v>17</v>
      </c>
      <c r="E763" t="s">
        <v>32</v>
      </c>
      <c r="F763" t="s">
        <v>897</v>
      </c>
      <c r="G763">
        <v>622441852</v>
      </c>
      <c r="H763" t="s">
        <v>898</v>
      </c>
      <c r="I763">
        <v>3231</v>
      </c>
      <c r="J763">
        <v>109.28</v>
      </c>
      <c r="K763">
        <v>35.840000000000003</v>
      </c>
      <c r="L763">
        <v>353083.68</v>
      </c>
      <c r="M763">
        <v>115799.03999999999</v>
      </c>
      <c r="N763">
        <v>237284.64</v>
      </c>
    </row>
    <row r="764" spans="1:14" x14ac:dyDescent="0.25">
      <c r="A764" t="s">
        <v>38</v>
      </c>
      <c r="B764" t="s">
        <v>187</v>
      </c>
      <c r="C764" t="s">
        <v>27</v>
      </c>
      <c r="D764" t="s">
        <v>22</v>
      </c>
      <c r="E764" t="s">
        <v>45</v>
      </c>
      <c r="F764" t="s">
        <v>899</v>
      </c>
      <c r="G764">
        <v>888826406</v>
      </c>
      <c r="H764" s="1">
        <v>40185</v>
      </c>
      <c r="I764">
        <v>2340</v>
      </c>
      <c r="J764">
        <v>47.45</v>
      </c>
      <c r="K764">
        <v>31.79</v>
      </c>
      <c r="L764">
        <v>111033</v>
      </c>
      <c r="M764">
        <v>74388.600000000006</v>
      </c>
      <c r="N764">
        <v>36644.400000000001</v>
      </c>
    </row>
    <row r="765" spans="1:14" x14ac:dyDescent="0.25">
      <c r="A765" t="s">
        <v>25</v>
      </c>
      <c r="B765" t="s">
        <v>74</v>
      </c>
      <c r="C765" t="s">
        <v>69</v>
      </c>
      <c r="D765" t="s">
        <v>17</v>
      </c>
      <c r="E765" t="s">
        <v>23</v>
      </c>
      <c r="F765" t="s">
        <v>900</v>
      </c>
      <c r="G765">
        <v>349212729</v>
      </c>
      <c r="H765" s="1">
        <v>42683</v>
      </c>
      <c r="I765">
        <v>8662</v>
      </c>
      <c r="J765">
        <v>421.89</v>
      </c>
      <c r="K765">
        <v>364.69</v>
      </c>
      <c r="L765">
        <v>3654411.18</v>
      </c>
      <c r="M765">
        <v>3158944.78</v>
      </c>
      <c r="N765">
        <v>495466.4</v>
      </c>
    </row>
    <row r="766" spans="1:14" x14ac:dyDescent="0.25">
      <c r="A766" t="s">
        <v>29</v>
      </c>
      <c r="B766" t="s">
        <v>485</v>
      </c>
      <c r="C766" t="s">
        <v>69</v>
      </c>
      <c r="D766" t="s">
        <v>22</v>
      </c>
      <c r="E766" t="s">
        <v>32</v>
      </c>
      <c r="F766" s="1">
        <v>42370</v>
      </c>
      <c r="G766">
        <v>167712152</v>
      </c>
      <c r="H766" t="s">
        <v>855</v>
      </c>
      <c r="I766">
        <v>8607</v>
      </c>
      <c r="J766">
        <v>421.89</v>
      </c>
      <c r="K766">
        <v>364.69</v>
      </c>
      <c r="L766">
        <v>3631207.23</v>
      </c>
      <c r="M766">
        <v>3138886.83</v>
      </c>
      <c r="N766">
        <v>492320.4</v>
      </c>
    </row>
    <row r="767" spans="1:14" x14ac:dyDescent="0.25">
      <c r="A767" t="s">
        <v>38</v>
      </c>
      <c r="B767" t="s">
        <v>388</v>
      </c>
      <c r="C767" t="s">
        <v>88</v>
      </c>
      <c r="D767" t="s">
        <v>22</v>
      </c>
      <c r="E767" t="s">
        <v>18</v>
      </c>
      <c r="F767" t="s">
        <v>901</v>
      </c>
      <c r="G767">
        <v>678748500</v>
      </c>
      <c r="H767" t="s">
        <v>902</v>
      </c>
      <c r="I767">
        <v>5619</v>
      </c>
      <c r="J767">
        <v>9.33</v>
      </c>
      <c r="K767">
        <v>6.92</v>
      </c>
      <c r="L767">
        <v>52425.27</v>
      </c>
      <c r="M767">
        <v>38883.480000000003</v>
      </c>
      <c r="N767">
        <v>13541.79</v>
      </c>
    </row>
    <row r="768" spans="1:14" x14ac:dyDescent="0.25">
      <c r="A768" t="s">
        <v>42</v>
      </c>
      <c r="B768" t="s">
        <v>681</v>
      </c>
      <c r="C768" t="s">
        <v>131</v>
      </c>
      <c r="D768" t="s">
        <v>17</v>
      </c>
      <c r="E768" t="s">
        <v>23</v>
      </c>
      <c r="F768" t="s">
        <v>903</v>
      </c>
      <c r="G768">
        <v>937058103</v>
      </c>
      <c r="H768" t="s">
        <v>854</v>
      </c>
      <c r="I768">
        <v>5171</v>
      </c>
      <c r="J768">
        <v>668.27</v>
      </c>
      <c r="K768">
        <v>502.54</v>
      </c>
      <c r="L768">
        <v>3455624.17</v>
      </c>
      <c r="M768">
        <v>2598634.34</v>
      </c>
      <c r="N768">
        <v>856989.83</v>
      </c>
    </row>
    <row r="769" spans="1:14" x14ac:dyDescent="0.25">
      <c r="A769" t="s">
        <v>38</v>
      </c>
      <c r="B769" t="s">
        <v>54</v>
      </c>
      <c r="C769" t="s">
        <v>44</v>
      </c>
      <c r="D769" t="s">
        <v>17</v>
      </c>
      <c r="E769" t="s">
        <v>18</v>
      </c>
      <c r="F769" t="s">
        <v>380</v>
      </c>
      <c r="G769">
        <v>967689788</v>
      </c>
      <c r="H769" t="s">
        <v>870</v>
      </c>
      <c r="I769">
        <v>9767</v>
      </c>
      <c r="J769">
        <v>109.28</v>
      </c>
      <c r="K769">
        <v>35.840000000000003</v>
      </c>
      <c r="L769">
        <v>1067337.76</v>
      </c>
      <c r="M769">
        <v>350049.28000000003</v>
      </c>
      <c r="N769">
        <v>717288.48</v>
      </c>
    </row>
    <row r="770" spans="1:14" x14ac:dyDescent="0.25">
      <c r="A770" t="s">
        <v>51</v>
      </c>
      <c r="B770" t="s">
        <v>502</v>
      </c>
      <c r="C770" t="s">
        <v>59</v>
      </c>
      <c r="D770" t="s">
        <v>22</v>
      </c>
      <c r="E770" t="s">
        <v>32</v>
      </c>
      <c r="F770" t="s">
        <v>904</v>
      </c>
      <c r="G770">
        <v>416004884</v>
      </c>
      <c r="H770" t="s">
        <v>905</v>
      </c>
      <c r="I770">
        <v>3945</v>
      </c>
      <c r="J770">
        <v>437.2</v>
      </c>
      <c r="K770">
        <v>263.33</v>
      </c>
      <c r="L770">
        <v>1724754</v>
      </c>
      <c r="M770">
        <v>1038836.85</v>
      </c>
      <c r="N770">
        <v>685917.15</v>
      </c>
    </row>
    <row r="771" spans="1:14" x14ac:dyDescent="0.25">
      <c r="A771" t="s">
        <v>42</v>
      </c>
      <c r="B771" t="s">
        <v>90</v>
      </c>
      <c r="C771" t="s">
        <v>16</v>
      </c>
      <c r="D771" t="s">
        <v>22</v>
      </c>
      <c r="E771" t="s">
        <v>23</v>
      </c>
      <c r="F771" s="1">
        <v>41466</v>
      </c>
      <c r="G771">
        <v>797677218</v>
      </c>
      <c r="H771" t="s">
        <v>906</v>
      </c>
      <c r="I771">
        <v>9270</v>
      </c>
      <c r="J771">
        <v>255.28</v>
      </c>
      <c r="K771">
        <v>159.41999999999999</v>
      </c>
      <c r="L771">
        <v>2366445.6</v>
      </c>
      <c r="M771">
        <v>1477823.4</v>
      </c>
      <c r="N771">
        <v>888622.2</v>
      </c>
    </row>
    <row r="772" spans="1:14" x14ac:dyDescent="0.25">
      <c r="A772" t="s">
        <v>14</v>
      </c>
      <c r="B772" t="s">
        <v>835</v>
      </c>
      <c r="C772" t="s">
        <v>21</v>
      </c>
      <c r="D772" t="s">
        <v>17</v>
      </c>
      <c r="E772" t="s">
        <v>23</v>
      </c>
      <c r="F772" t="s">
        <v>415</v>
      </c>
      <c r="G772">
        <v>548693120</v>
      </c>
      <c r="H772" s="1">
        <v>41557</v>
      </c>
      <c r="I772">
        <v>9342</v>
      </c>
      <c r="J772">
        <v>152.58000000000001</v>
      </c>
      <c r="K772">
        <v>97.44</v>
      </c>
      <c r="L772">
        <v>1425402.36</v>
      </c>
      <c r="M772">
        <v>910284.48</v>
      </c>
      <c r="N772">
        <v>515117.88</v>
      </c>
    </row>
    <row r="773" spans="1:14" x14ac:dyDescent="0.25">
      <c r="A773" t="s">
        <v>29</v>
      </c>
      <c r="B773" t="s">
        <v>159</v>
      </c>
      <c r="C773" t="s">
        <v>88</v>
      </c>
      <c r="D773" t="s">
        <v>17</v>
      </c>
      <c r="E773" t="s">
        <v>45</v>
      </c>
      <c r="F773" s="1">
        <v>40270</v>
      </c>
      <c r="G773">
        <v>875351417</v>
      </c>
      <c r="H773" s="1">
        <v>40392</v>
      </c>
      <c r="I773">
        <v>4791</v>
      </c>
      <c r="J773">
        <v>9.33</v>
      </c>
      <c r="K773">
        <v>6.92</v>
      </c>
      <c r="L773">
        <v>44700.03</v>
      </c>
      <c r="M773">
        <v>33153.72</v>
      </c>
      <c r="N773">
        <v>11546.31</v>
      </c>
    </row>
    <row r="774" spans="1:14" x14ac:dyDescent="0.25">
      <c r="A774" t="s">
        <v>51</v>
      </c>
      <c r="B774" t="s">
        <v>258</v>
      </c>
      <c r="C774" t="s">
        <v>21</v>
      </c>
      <c r="D774" t="s">
        <v>17</v>
      </c>
      <c r="E774" t="s">
        <v>45</v>
      </c>
      <c r="F774" t="s">
        <v>871</v>
      </c>
      <c r="G774">
        <v>804263436</v>
      </c>
      <c r="H774" t="s">
        <v>306</v>
      </c>
      <c r="I774">
        <v>8278</v>
      </c>
      <c r="J774">
        <v>152.58000000000001</v>
      </c>
      <c r="K774">
        <v>97.44</v>
      </c>
      <c r="L774">
        <v>1263057.24</v>
      </c>
      <c r="M774">
        <v>806608.32</v>
      </c>
      <c r="N774">
        <v>456448.92</v>
      </c>
    </row>
    <row r="775" spans="1:14" x14ac:dyDescent="0.25">
      <c r="A775" t="s">
        <v>25</v>
      </c>
      <c r="B775" t="s">
        <v>343</v>
      </c>
      <c r="C775" t="s">
        <v>59</v>
      </c>
      <c r="D775" t="s">
        <v>17</v>
      </c>
      <c r="E775" t="s">
        <v>45</v>
      </c>
      <c r="F775" s="1">
        <v>40339</v>
      </c>
      <c r="G775">
        <v>332353007</v>
      </c>
      <c r="H775" t="s">
        <v>41</v>
      </c>
      <c r="I775">
        <v>9495</v>
      </c>
      <c r="J775">
        <v>437.2</v>
      </c>
      <c r="K775">
        <v>263.33</v>
      </c>
      <c r="L775">
        <v>4151214</v>
      </c>
      <c r="M775">
        <v>2500318.35</v>
      </c>
      <c r="N775">
        <v>1650895.65</v>
      </c>
    </row>
    <row r="776" spans="1:14" x14ac:dyDescent="0.25">
      <c r="A776" t="s">
        <v>25</v>
      </c>
      <c r="B776" t="s">
        <v>569</v>
      </c>
      <c r="C776" t="s">
        <v>69</v>
      </c>
      <c r="D776" t="s">
        <v>22</v>
      </c>
      <c r="E776" t="s">
        <v>45</v>
      </c>
      <c r="F776" s="1">
        <v>41494</v>
      </c>
      <c r="G776">
        <v>876856458</v>
      </c>
      <c r="H776" t="s">
        <v>635</v>
      </c>
      <c r="I776">
        <v>166</v>
      </c>
      <c r="J776">
        <v>421.89</v>
      </c>
      <c r="K776">
        <v>364.69</v>
      </c>
      <c r="L776">
        <v>70033.740000000005</v>
      </c>
      <c r="M776">
        <v>60538.54</v>
      </c>
      <c r="N776">
        <v>9495.2000000000007</v>
      </c>
    </row>
    <row r="777" spans="1:14" x14ac:dyDescent="0.25">
      <c r="A777" t="s">
        <v>29</v>
      </c>
      <c r="B777" t="s">
        <v>248</v>
      </c>
      <c r="C777" t="s">
        <v>113</v>
      </c>
      <c r="D777" t="s">
        <v>17</v>
      </c>
      <c r="E777" t="s">
        <v>18</v>
      </c>
      <c r="F777" s="1">
        <v>40180</v>
      </c>
      <c r="G777">
        <v>325322616</v>
      </c>
      <c r="H777" s="1">
        <v>40515</v>
      </c>
      <c r="I777">
        <v>9046</v>
      </c>
      <c r="J777">
        <v>154.06</v>
      </c>
      <c r="K777">
        <v>90.93</v>
      </c>
      <c r="L777">
        <v>1393626.76</v>
      </c>
      <c r="M777">
        <v>822552.78</v>
      </c>
      <c r="N777">
        <v>571073.98</v>
      </c>
    </row>
    <row r="778" spans="1:14" x14ac:dyDescent="0.25">
      <c r="A778" t="s">
        <v>29</v>
      </c>
      <c r="B778" t="s">
        <v>199</v>
      </c>
      <c r="C778" t="s">
        <v>131</v>
      </c>
      <c r="D778" t="s">
        <v>17</v>
      </c>
      <c r="E778" t="s">
        <v>32</v>
      </c>
      <c r="F778" s="1">
        <v>41493</v>
      </c>
      <c r="G778">
        <v>685612809</v>
      </c>
      <c r="H778" t="s">
        <v>907</v>
      </c>
      <c r="I778">
        <v>6921</v>
      </c>
      <c r="J778">
        <v>668.27</v>
      </c>
      <c r="K778">
        <v>502.54</v>
      </c>
      <c r="L778">
        <v>4625096.67</v>
      </c>
      <c r="M778">
        <v>3478079.34</v>
      </c>
      <c r="N778">
        <v>1147017.33</v>
      </c>
    </row>
    <row r="779" spans="1:14" x14ac:dyDescent="0.25">
      <c r="A779" t="s">
        <v>51</v>
      </c>
      <c r="B779" t="s">
        <v>151</v>
      </c>
      <c r="C779" t="s">
        <v>27</v>
      </c>
      <c r="D779" t="s">
        <v>22</v>
      </c>
      <c r="E779" t="s">
        <v>18</v>
      </c>
      <c r="F779" s="1">
        <v>40673</v>
      </c>
      <c r="G779">
        <v>435900866</v>
      </c>
      <c r="H779" s="1">
        <v>40734</v>
      </c>
      <c r="I779">
        <v>1608</v>
      </c>
      <c r="J779">
        <v>47.45</v>
      </c>
      <c r="K779">
        <v>31.79</v>
      </c>
      <c r="L779">
        <v>76299.600000000006</v>
      </c>
      <c r="M779">
        <v>51118.32</v>
      </c>
      <c r="N779">
        <v>25181.279999999999</v>
      </c>
    </row>
    <row r="780" spans="1:14" x14ac:dyDescent="0.25">
      <c r="A780" t="s">
        <v>29</v>
      </c>
      <c r="B780" t="s">
        <v>585</v>
      </c>
      <c r="C780" t="s">
        <v>16</v>
      </c>
      <c r="D780" t="s">
        <v>17</v>
      </c>
      <c r="E780" t="s">
        <v>23</v>
      </c>
      <c r="F780" t="s">
        <v>908</v>
      </c>
      <c r="G780">
        <v>374673116</v>
      </c>
      <c r="H780" s="1">
        <v>42467</v>
      </c>
      <c r="I780">
        <v>2956</v>
      </c>
      <c r="J780">
        <v>255.28</v>
      </c>
      <c r="K780">
        <v>159.41999999999999</v>
      </c>
      <c r="L780">
        <v>754607.68</v>
      </c>
      <c r="M780">
        <v>471245.52</v>
      </c>
      <c r="N780">
        <v>283362.15999999997</v>
      </c>
    </row>
    <row r="781" spans="1:14" x14ac:dyDescent="0.25">
      <c r="A781" t="s">
        <v>51</v>
      </c>
      <c r="B781" t="s">
        <v>192</v>
      </c>
      <c r="C781" t="s">
        <v>31</v>
      </c>
      <c r="D781" t="s">
        <v>22</v>
      </c>
      <c r="E781" t="s">
        <v>32</v>
      </c>
      <c r="F781" t="s">
        <v>465</v>
      </c>
      <c r="G781">
        <v>470728385</v>
      </c>
      <c r="H781" s="1">
        <v>41528</v>
      </c>
      <c r="I781">
        <v>7845</v>
      </c>
      <c r="J781">
        <v>205.7</v>
      </c>
      <c r="K781">
        <v>117.11</v>
      </c>
      <c r="L781">
        <v>1613716.5</v>
      </c>
      <c r="M781">
        <v>918727.95</v>
      </c>
      <c r="N781">
        <v>694988.55</v>
      </c>
    </row>
    <row r="782" spans="1:14" x14ac:dyDescent="0.25">
      <c r="A782" t="s">
        <v>25</v>
      </c>
      <c r="B782" t="s">
        <v>74</v>
      </c>
      <c r="C782" t="s">
        <v>27</v>
      </c>
      <c r="D782" t="s">
        <v>22</v>
      </c>
      <c r="E782" t="s">
        <v>23</v>
      </c>
      <c r="F782" t="s">
        <v>652</v>
      </c>
      <c r="G782">
        <v>313178002</v>
      </c>
      <c r="H782" s="1">
        <v>41437</v>
      </c>
      <c r="I782">
        <v>5185</v>
      </c>
      <c r="J782">
        <v>47.45</v>
      </c>
      <c r="K782">
        <v>31.79</v>
      </c>
      <c r="L782">
        <v>246028.25</v>
      </c>
      <c r="M782">
        <v>164831.15</v>
      </c>
      <c r="N782">
        <v>81197.100000000006</v>
      </c>
    </row>
    <row r="783" spans="1:14" x14ac:dyDescent="0.25">
      <c r="A783" t="s">
        <v>25</v>
      </c>
      <c r="B783" t="s">
        <v>339</v>
      </c>
      <c r="C783" t="s">
        <v>40</v>
      </c>
      <c r="D783" t="s">
        <v>17</v>
      </c>
      <c r="E783" t="s">
        <v>32</v>
      </c>
      <c r="F783" t="s">
        <v>909</v>
      </c>
      <c r="G783">
        <v>461445796</v>
      </c>
      <c r="H783" t="s">
        <v>910</v>
      </c>
      <c r="I783">
        <v>920</v>
      </c>
      <c r="J783">
        <v>81.73</v>
      </c>
      <c r="K783">
        <v>56.67</v>
      </c>
      <c r="L783">
        <v>75191.600000000006</v>
      </c>
      <c r="M783">
        <v>52136.4</v>
      </c>
      <c r="N783">
        <v>23055.200000000001</v>
      </c>
    </row>
    <row r="784" spans="1:14" x14ac:dyDescent="0.25">
      <c r="A784" t="s">
        <v>51</v>
      </c>
      <c r="B784" t="s">
        <v>664</v>
      </c>
      <c r="C784" t="s">
        <v>40</v>
      </c>
      <c r="D784" t="s">
        <v>17</v>
      </c>
      <c r="E784" t="s">
        <v>32</v>
      </c>
      <c r="F784" t="s">
        <v>911</v>
      </c>
      <c r="G784">
        <v>195268094</v>
      </c>
      <c r="H784" t="s">
        <v>212</v>
      </c>
      <c r="I784">
        <v>3023</v>
      </c>
      <c r="J784">
        <v>81.73</v>
      </c>
      <c r="K784">
        <v>56.67</v>
      </c>
      <c r="L784">
        <v>247069.79</v>
      </c>
      <c r="M784">
        <v>171313.41</v>
      </c>
      <c r="N784">
        <v>75756.38</v>
      </c>
    </row>
    <row r="785" spans="1:14" x14ac:dyDescent="0.25">
      <c r="A785" t="s">
        <v>14</v>
      </c>
      <c r="B785" t="s">
        <v>627</v>
      </c>
      <c r="C785" t="s">
        <v>21</v>
      </c>
      <c r="D785" t="s">
        <v>22</v>
      </c>
      <c r="E785" t="s">
        <v>23</v>
      </c>
      <c r="F785" t="s">
        <v>912</v>
      </c>
      <c r="G785">
        <v>664693725</v>
      </c>
      <c r="H785" t="s">
        <v>913</v>
      </c>
      <c r="I785">
        <v>6499</v>
      </c>
      <c r="J785">
        <v>152.58000000000001</v>
      </c>
      <c r="K785">
        <v>97.44</v>
      </c>
      <c r="L785">
        <v>991617.42</v>
      </c>
      <c r="M785">
        <v>633262.56000000006</v>
      </c>
      <c r="N785">
        <v>358354.86</v>
      </c>
    </row>
    <row r="786" spans="1:14" x14ac:dyDescent="0.25">
      <c r="A786" t="s">
        <v>51</v>
      </c>
      <c r="B786" t="s">
        <v>350</v>
      </c>
      <c r="C786" t="s">
        <v>21</v>
      </c>
      <c r="D786" t="s">
        <v>17</v>
      </c>
      <c r="E786" t="s">
        <v>23</v>
      </c>
      <c r="F786" s="1">
        <v>41155</v>
      </c>
      <c r="G786">
        <v>840084016</v>
      </c>
      <c r="H786" t="s">
        <v>496</v>
      </c>
      <c r="I786">
        <v>8384</v>
      </c>
      <c r="J786">
        <v>152.58000000000001</v>
      </c>
      <c r="K786">
        <v>97.44</v>
      </c>
      <c r="L786">
        <v>1279230.72</v>
      </c>
      <c r="M786">
        <v>816936.95999999996</v>
      </c>
      <c r="N786">
        <v>462293.76000000001</v>
      </c>
    </row>
    <row r="787" spans="1:14" x14ac:dyDescent="0.25">
      <c r="A787" t="s">
        <v>51</v>
      </c>
      <c r="B787" t="s">
        <v>219</v>
      </c>
      <c r="C787" t="s">
        <v>59</v>
      </c>
      <c r="D787" t="s">
        <v>22</v>
      </c>
      <c r="E787" t="s">
        <v>32</v>
      </c>
      <c r="F787" s="1">
        <v>42132</v>
      </c>
      <c r="G787">
        <v>662112796</v>
      </c>
      <c r="H787" t="s">
        <v>914</v>
      </c>
      <c r="I787">
        <v>2745</v>
      </c>
      <c r="J787">
        <v>437.2</v>
      </c>
      <c r="K787">
        <v>263.33</v>
      </c>
      <c r="L787">
        <v>1200114</v>
      </c>
      <c r="M787">
        <v>722840.85</v>
      </c>
      <c r="N787">
        <v>477273.15</v>
      </c>
    </row>
    <row r="788" spans="1:14" x14ac:dyDescent="0.25">
      <c r="A788" t="s">
        <v>42</v>
      </c>
      <c r="B788" t="s">
        <v>150</v>
      </c>
      <c r="C788" t="s">
        <v>113</v>
      </c>
      <c r="D788" t="s">
        <v>17</v>
      </c>
      <c r="E788" t="s">
        <v>23</v>
      </c>
      <c r="F788" t="s">
        <v>915</v>
      </c>
      <c r="G788">
        <v>591766393</v>
      </c>
      <c r="H788" s="1">
        <v>41550</v>
      </c>
      <c r="I788">
        <v>5681</v>
      </c>
      <c r="J788">
        <v>154.06</v>
      </c>
      <c r="K788">
        <v>90.93</v>
      </c>
      <c r="L788">
        <v>875214.86</v>
      </c>
      <c r="M788">
        <v>516573.33</v>
      </c>
      <c r="N788">
        <v>358641.53</v>
      </c>
    </row>
    <row r="789" spans="1:14" x14ac:dyDescent="0.25">
      <c r="A789" t="s">
        <v>51</v>
      </c>
      <c r="B789" t="s">
        <v>542</v>
      </c>
      <c r="C789" t="s">
        <v>44</v>
      </c>
      <c r="D789" t="s">
        <v>17</v>
      </c>
      <c r="E789" t="s">
        <v>45</v>
      </c>
      <c r="F789" s="1">
        <v>41949</v>
      </c>
      <c r="G789">
        <v>260343635</v>
      </c>
      <c r="H789" s="1">
        <v>41979</v>
      </c>
      <c r="I789">
        <v>322</v>
      </c>
      <c r="J789">
        <v>109.28</v>
      </c>
      <c r="K789">
        <v>35.840000000000003</v>
      </c>
      <c r="L789">
        <v>35188.160000000003</v>
      </c>
      <c r="M789">
        <v>11540.48</v>
      </c>
      <c r="N789">
        <v>23647.68</v>
      </c>
    </row>
    <row r="790" spans="1:14" x14ac:dyDescent="0.25">
      <c r="A790" t="s">
        <v>29</v>
      </c>
      <c r="B790" t="s">
        <v>375</v>
      </c>
      <c r="C790" t="s">
        <v>69</v>
      </c>
      <c r="D790" t="s">
        <v>22</v>
      </c>
      <c r="E790" t="s">
        <v>23</v>
      </c>
      <c r="F790" t="s">
        <v>36</v>
      </c>
      <c r="G790">
        <v>719455850</v>
      </c>
      <c r="H790" t="s">
        <v>37</v>
      </c>
      <c r="I790">
        <v>1829</v>
      </c>
      <c r="J790">
        <v>421.89</v>
      </c>
      <c r="K790">
        <v>364.69</v>
      </c>
      <c r="L790">
        <v>771636.81</v>
      </c>
      <c r="M790">
        <v>667018.01</v>
      </c>
      <c r="N790">
        <v>104618.8</v>
      </c>
    </row>
    <row r="791" spans="1:14" x14ac:dyDescent="0.25">
      <c r="A791" t="s">
        <v>25</v>
      </c>
      <c r="B791" t="s">
        <v>426</v>
      </c>
      <c r="C791" t="s">
        <v>59</v>
      </c>
      <c r="D791" t="s">
        <v>22</v>
      </c>
      <c r="E791" t="s">
        <v>23</v>
      </c>
      <c r="F791" s="1">
        <v>42795</v>
      </c>
      <c r="G791">
        <v>391026866</v>
      </c>
      <c r="H791" s="1">
        <v>42948</v>
      </c>
      <c r="I791">
        <v>2394</v>
      </c>
      <c r="J791">
        <v>437.2</v>
      </c>
      <c r="K791">
        <v>263.33</v>
      </c>
      <c r="L791">
        <v>1046656.8</v>
      </c>
      <c r="M791">
        <v>630412.02</v>
      </c>
      <c r="N791">
        <v>416244.78</v>
      </c>
    </row>
    <row r="792" spans="1:14" x14ac:dyDescent="0.25">
      <c r="A792" t="s">
        <v>29</v>
      </c>
      <c r="B792" t="s">
        <v>121</v>
      </c>
      <c r="C792" t="s">
        <v>40</v>
      </c>
      <c r="D792" t="s">
        <v>22</v>
      </c>
      <c r="E792" t="s">
        <v>32</v>
      </c>
      <c r="F792" t="s">
        <v>843</v>
      </c>
      <c r="G792">
        <v>917293012</v>
      </c>
      <c r="H792" t="s">
        <v>916</v>
      </c>
      <c r="I792">
        <v>6241</v>
      </c>
      <c r="J792">
        <v>81.73</v>
      </c>
      <c r="K792">
        <v>56.67</v>
      </c>
      <c r="L792">
        <v>510076.93</v>
      </c>
      <c r="M792">
        <v>353677.47</v>
      </c>
      <c r="N792">
        <v>156399.46</v>
      </c>
    </row>
    <row r="793" spans="1:14" x14ac:dyDescent="0.25">
      <c r="A793" t="s">
        <v>42</v>
      </c>
      <c r="B793" t="s">
        <v>174</v>
      </c>
      <c r="C793" t="s">
        <v>16</v>
      </c>
      <c r="D793" t="s">
        <v>22</v>
      </c>
      <c r="E793" t="s">
        <v>32</v>
      </c>
      <c r="F793" s="1">
        <v>42954</v>
      </c>
      <c r="G793">
        <v>410803115</v>
      </c>
      <c r="H793" t="s">
        <v>917</v>
      </c>
      <c r="I793">
        <v>4626</v>
      </c>
      <c r="J793">
        <v>255.28</v>
      </c>
      <c r="K793">
        <v>159.41999999999999</v>
      </c>
      <c r="L793">
        <v>1180925.28</v>
      </c>
      <c r="M793">
        <v>737476.92</v>
      </c>
      <c r="N793">
        <v>443448.36</v>
      </c>
    </row>
    <row r="794" spans="1:14" x14ac:dyDescent="0.25">
      <c r="A794" t="s">
        <v>25</v>
      </c>
      <c r="B794" t="s">
        <v>497</v>
      </c>
      <c r="C794" t="s">
        <v>113</v>
      </c>
      <c r="D794" t="s">
        <v>22</v>
      </c>
      <c r="E794" t="s">
        <v>23</v>
      </c>
      <c r="F794" s="1">
        <v>42193</v>
      </c>
      <c r="G794">
        <v>204418504</v>
      </c>
      <c r="H794" s="1">
        <v>42072</v>
      </c>
      <c r="I794">
        <v>833</v>
      </c>
      <c r="J794">
        <v>154.06</v>
      </c>
      <c r="K794">
        <v>90.93</v>
      </c>
      <c r="L794">
        <v>128331.98</v>
      </c>
      <c r="M794">
        <v>75744.69</v>
      </c>
      <c r="N794">
        <v>52587.29</v>
      </c>
    </row>
    <row r="795" spans="1:14" x14ac:dyDescent="0.25">
      <c r="A795" t="s">
        <v>51</v>
      </c>
      <c r="B795" t="s">
        <v>398</v>
      </c>
      <c r="C795" t="s">
        <v>40</v>
      </c>
      <c r="D795" t="s">
        <v>17</v>
      </c>
      <c r="E795" t="s">
        <v>23</v>
      </c>
      <c r="F795" s="1">
        <v>41031</v>
      </c>
      <c r="G795">
        <v>801313006</v>
      </c>
      <c r="H795" t="s">
        <v>673</v>
      </c>
      <c r="I795">
        <v>5180</v>
      </c>
      <c r="J795">
        <v>81.73</v>
      </c>
      <c r="K795">
        <v>56.67</v>
      </c>
      <c r="L795">
        <v>423361.4</v>
      </c>
      <c r="M795">
        <v>293550.59999999998</v>
      </c>
      <c r="N795">
        <v>129810.8</v>
      </c>
    </row>
    <row r="796" spans="1:14" x14ac:dyDescent="0.25">
      <c r="A796" t="s">
        <v>25</v>
      </c>
      <c r="B796" t="s">
        <v>752</v>
      </c>
      <c r="C796" t="s">
        <v>69</v>
      </c>
      <c r="D796" t="s">
        <v>22</v>
      </c>
      <c r="E796" t="s">
        <v>32</v>
      </c>
      <c r="F796" t="s">
        <v>918</v>
      </c>
      <c r="G796">
        <v>524972951</v>
      </c>
      <c r="H796" t="s">
        <v>261</v>
      </c>
      <c r="I796">
        <v>17</v>
      </c>
      <c r="J796">
        <v>421.89</v>
      </c>
      <c r="K796">
        <v>364.69</v>
      </c>
      <c r="L796">
        <v>7172.13</v>
      </c>
      <c r="M796">
        <v>6199.73</v>
      </c>
      <c r="N796">
        <v>972.4</v>
      </c>
    </row>
    <row r="797" spans="1:14" x14ac:dyDescent="0.25">
      <c r="A797" t="s">
        <v>25</v>
      </c>
      <c r="B797" t="s">
        <v>201</v>
      </c>
      <c r="C797" t="s">
        <v>27</v>
      </c>
      <c r="D797" t="s">
        <v>17</v>
      </c>
      <c r="E797" t="s">
        <v>23</v>
      </c>
      <c r="F797" t="s">
        <v>868</v>
      </c>
      <c r="G797">
        <v>469197165</v>
      </c>
      <c r="H797" s="1">
        <v>41590</v>
      </c>
      <c r="I797">
        <v>4723</v>
      </c>
      <c r="J797">
        <v>47.45</v>
      </c>
      <c r="K797">
        <v>31.79</v>
      </c>
      <c r="L797">
        <v>224106.35</v>
      </c>
      <c r="M797">
        <v>150144.17000000001</v>
      </c>
      <c r="N797">
        <v>73962.179999999993</v>
      </c>
    </row>
    <row r="798" spans="1:14" x14ac:dyDescent="0.25">
      <c r="A798" t="s">
        <v>38</v>
      </c>
      <c r="B798" t="s">
        <v>288</v>
      </c>
      <c r="C798" t="s">
        <v>55</v>
      </c>
      <c r="D798" t="s">
        <v>22</v>
      </c>
      <c r="E798" t="s">
        <v>32</v>
      </c>
      <c r="F798" t="s">
        <v>919</v>
      </c>
      <c r="G798">
        <v>448096978</v>
      </c>
      <c r="H798" t="s">
        <v>735</v>
      </c>
      <c r="I798">
        <v>708</v>
      </c>
      <c r="J798">
        <v>651.21</v>
      </c>
      <c r="K798">
        <v>524.96</v>
      </c>
      <c r="L798">
        <v>461056.68</v>
      </c>
      <c r="M798">
        <v>371671.68</v>
      </c>
      <c r="N798">
        <v>89385</v>
      </c>
    </row>
    <row r="799" spans="1:14" x14ac:dyDescent="0.25">
      <c r="A799" t="s">
        <v>42</v>
      </c>
      <c r="B799" t="s">
        <v>681</v>
      </c>
      <c r="C799" t="s">
        <v>44</v>
      </c>
      <c r="D799" t="s">
        <v>17</v>
      </c>
      <c r="E799" t="s">
        <v>45</v>
      </c>
      <c r="F799" t="s">
        <v>865</v>
      </c>
      <c r="G799">
        <v>346096217</v>
      </c>
      <c r="H799" s="1">
        <v>42282</v>
      </c>
      <c r="I799">
        <v>6417</v>
      </c>
      <c r="J799">
        <v>109.28</v>
      </c>
      <c r="K799">
        <v>35.840000000000003</v>
      </c>
      <c r="L799">
        <v>701249.76</v>
      </c>
      <c r="M799">
        <v>229985.28</v>
      </c>
      <c r="N799">
        <v>471264.48</v>
      </c>
    </row>
    <row r="800" spans="1:14" x14ac:dyDescent="0.25">
      <c r="A800" t="s">
        <v>14</v>
      </c>
      <c r="B800" t="s">
        <v>94</v>
      </c>
      <c r="C800" t="s">
        <v>88</v>
      </c>
      <c r="D800" t="s">
        <v>17</v>
      </c>
      <c r="E800" t="s">
        <v>45</v>
      </c>
      <c r="F800" t="s">
        <v>898</v>
      </c>
      <c r="G800">
        <v>567931210</v>
      </c>
      <c r="H800" s="1">
        <v>41250</v>
      </c>
      <c r="I800">
        <v>2321</v>
      </c>
      <c r="J800">
        <v>9.33</v>
      </c>
      <c r="K800">
        <v>6.92</v>
      </c>
      <c r="L800">
        <v>21654.93</v>
      </c>
      <c r="M800">
        <v>16061.32</v>
      </c>
      <c r="N800">
        <v>5593.61</v>
      </c>
    </row>
    <row r="801" spans="1:14" x14ac:dyDescent="0.25">
      <c r="A801" t="s">
        <v>25</v>
      </c>
      <c r="B801" t="s">
        <v>434</v>
      </c>
      <c r="C801" t="s">
        <v>131</v>
      </c>
      <c r="D801" t="s">
        <v>22</v>
      </c>
      <c r="E801" t="s">
        <v>45</v>
      </c>
      <c r="F801" t="s">
        <v>293</v>
      </c>
      <c r="G801">
        <v>688650786</v>
      </c>
      <c r="H801" s="1">
        <v>40367</v>
      </c>
      <c r="I801">
        <v>5926</v>
      </c>
      <c r="J801">
        <v>668.27</v>
      </c>
      <c r="K801">
        <v>502.54</v>
      </c>
      <c r="L801">
        <v>3960168.02</v>
      </c>
      <c r="M801">
        <v>2978052.04</v>
      </c>
      <c r="N801">
        <v>982115.98</v>
      </c>
    </row>
    <row r="802" spans="1:14" x14ac:dyDescent="0.25">
      <c r="A802" t="s">
        <v>42</v>
      </c>
      <c r="B802" t="s">
        <v>565</v>
      </c>
      <c r="C802" t="s">
        <v>16</v>
      </c>
      <c r="D802" t="s">
        <v>17</v>
      </c>
      <c r="E802" t="s">
        <v>18</v>
      </c>
      <c r="F802" t="s">
        <v>899</v>
      </c>
      <c r="G802">
        <v>803616273</v>
      </c>
      <c r="H802" t="s">
        <v>155</v>
      </c>
      <c r="I802">
        <v>6768</v>
      </c>
      <c r="J802">
        <v>255.28</v>
      </c>
      <c r="K802">
        <v>159.41999999999999</v>
      </c>
      <c r="L802">
        <v>1727735.04</v>
      </c>
      <c r="M802">
        <v>1078954.56</v>
      </c>
      <c r="N802">
        <v>648780.48</v>
      </c>
    </row>
    <row r="803" spans="1:14" x14ac:dyDescent="0.25">
      <c r="A803" t="s">
        <v>77</v>
      </c>
      <c r="B803" t="s">
        <v>622</v>
      </c>
      <c r="C803" t="s">
        <v>21</v>
      </c>
      <c r="D803" t="s">
        <v>22</v>
      </c>
      <c r="E803" t="s">
        <v>18</v>
      </c>
      <c r="F803" t="s">
        <v>742</v>
      </c>
      <c r="G803">
        <v>178501498</v>
      </c>
      <c r="H803" t="s">
        <v>468</v>
      </c>
      <c r="I803">
        <v>1415</v>
      </c>
      <c r="J803">
        <v>152.58000000000001</v>
      </c>
      <c r="K803">
        <v>97.44</v>
      </c>
      <c r="L803">
        <v>215900.7</v>
      </c>
      <c r="M803">
        <v>137877.6</v>
      </c>
      <c r="N803">
        <v>78023.100000000006</v>
      </c>
    </row>
    <row r="804" spans="1:14" x14ac:dyDescent="0.25">
      <c r="A804" t="s">
        <v>51</v>
      </c>
      <c r="B804" t="s">
        <v>192</v>
      </c>
      <c r="C804" t="s">
        <v>59</v>
      </c>
      <c r="D804" t="s">
        <v>22</v>
      </c>
      <c r="E804" t="s">
        <v>45</v>
      </c>
      <c r="F804" t="s">
        <v>246</v>
      </c>
      <c r="G804">
        <v>399292790</v>
      </c>
      <c r="H804" t="s">
        <v>920</v>
      </c>
      <c r="I804">
        <v>8465</v>
      </c>
      <c r="J804">
        <v>437.2</v>
      </c>
      <c r="K804">
        <v>263.33</v>
      </c>
      <c r="L804">
        <v>3700898</v>
      </c>
      <c r="M804">
        <v>2229088.4500000002</v>
      </c>
      <c r="N804">
        <v>1471809.55</v>
      </c>
    </row>
    <row r="805" spans="1:14" x14ac:dyDescent="0.25">
      <c r="A805" t="s">
        <v>51</v>
      </c>
      <c r="B805" t="s">
        <v>417</v>
      </c>
      <c r="C805" t="s">
        <v>55</v>
      </c>
      <c r="D805" t="s">
        <v>17</v>
      </c>
      <c r="E805" t="s">
        <v>32</v>
      </c>
      <c r="F805" s="1">
        <v>41672</v>
      </c>
      <c r="G805">
        <v>422288978</v>
      </c>
      <c r="H805" t="s">
        <v>921</v>
      </c>
      <c r="I805">
        <v>3548</v>
      </c>
      <c r="J805">
        <v>651.21</v>
      </c>
      <c r="K805">
        <v>524.96</v>
      </c>
      <c r="L805">
        <v>2310493.08</v>
      </c>
      <c r="M805">
        <v>1862558.08</v>
      </c>
      <c r="N805">
        <v>447935</v>
      </c>
    </row>
    <row r="806" spans="1:14" x14ac:dyDescent="0.25">
      <c r="A806" t="s">
        <v>29</v>
      </c>
      <c r="B806" t="s">
        <v>467</v>
      </c>
      <c r="C806" t="s">
        <v>113</v>
      </c>
      <c r="D806" t="s">
        <v>22</v>
      </c>
      <c r="E806" t="s">
        <v>23</v>
      </c>
      <c r="F806" s="1">
        <v>40550</v>
      </c>
      <c r="G806">
        <v>624101388</v>
      </c>
      <c r="H806" t="s">
        <v>922</v>
      </c>
      <c r="I806">
        <v>4324</v>
      </c>
      <c r="J806">
        <v>154.06</v>
      </c>
      <c r="K806">
        <v>90.93</v>
      </c>
      <c r="L806">
        <v>666155.43999999994</v>
      </c>
      <c r="M806">
        <v>393181.32</v>
      </c>
      <c r="N806">
        <v>272974.12</v>
      </c>
    </row>
    <row r="807" spans="1:14" x14ac:dyDescent="0.25">
      <c r="A807" t="s">
        <v>42</v>
      </c>
      <c r="B807" t="s">
        <v>565</v>
      </c>
      <c r="C807" t="s">
        <v>31</v>
      </c>
      <c r="D807" t="s">
        <v>17</v>
      </c>
      <c r="E807" t="s">
        <v>23</v>
      </c>
      <c r="F807" t="s">
        <v>520</v>
      </c>
      <c r="G807">
        <v>551653850</v>
      </c>
      <c r="H807" s="1">
        <v>41275</v>
      </c>
      <c r="I807">
        <v>5488</v>
      </c>
      <c r="J807">
        <v>205.7</v>
      </c>
      <c r="K807">
        <v>117.11</v>
      </c>
      <c r="L807">
        <v>1128881.6000000001</v>
      </c>
      <c r="M807">
        <v>642699.68000000005</v>
      </c>
      <c r="N807">
        <v>486181.92</v>
      </c>
    </row>
    <row r="808" spans="1:14" x14ac:dyDescent="0.25">
      <c r="A808" t="s">
        <v>14</v>
      </c>
      <c r="B808" t="s">
        <v>154</v>
      </c>
      <c r="C808" t="s">
        <v>69</v>
      </c>
      <c r="D808" t="s">
        <v>17</v>
      </c>
      <c r="E808" t="s">
        <v>32</v>
      </c>
      <c r="F808" t="s">
        <v>923</v>
      </c>
      <c r="G808">
        <v>272182691</v>
      </c>
      <c r="H808" t="s">
        <v>401</v>
      </c>
      <c r="I808">
        <v>3762</v>
      </c>
      <c r="J808">
        <v>421.89</v>
      </c>
      <c r="K808">
        <v>364.69</v>
      </c>
      <c r="L808">
        <v>1587150.18</v>
      </c>
      <c r="M808">
        <v>1371963.78</v>
      </c>
      <c r="N808">
        <v>215186.4</v>
      </c>
    </row>
    <row r="809" spans="1:14" x14ac:dyDescent="0.25">
      <c r="A809" t="s">
        <v>25</v>
      </c>
      <c r="B809" t="s">
        <v>458</v>
      </c>
      <c r="C809" t="s">
        <v>55</v>
      </c>
      <c r="D809" t="s">
        <v>17</v>
      </c>
      <c r="E809" t="s">
        <v>18</v>
      </c>
      <c r="F809" t="s">
        <v>924</v>
      </c>
      <c r="G809">
        <v>823236739</v>
      </c>
      <c r="H809" s="1">
        <v>42377</v>
      </c>
      <c r="I809">
        <v>2900</v>
      </c>
      <c r="J809">
        <v>651.21</v>
      </c>
      <c r="K809">
        <v>524.96</v>
      </c>
      <c r="L809">
        <v>1888509</v>
      </c>
      <c r="M809">
        <v>1522384</v>
      </c>
      <c r="N809">
        <v>366125</v>
      </c>
    </row>
    <row r="810" spans="1:14" x14ac:dyDescent="0.25">
      <c r="A810" t="s">
        <v>51</v>
      </c>
      <c r="B810" t="s">
        <v>350</v>
      </c>
      <c r="C810" t="s">
        <v>40</v>
      </c>
      <c r="D810" t="s">
        <v>22</v>
      </c>
      <c r="E810" t="s">
        <v>32</v>
      </c>
      <c r="F810" s="1">
        <v>41317</v>
      </c>
      <c r="G810">
        <v>162677323</v>
      </c>
      <c r="H810" s="1">
        <v>41944</v>
      </c>
      <c r="I810">
        <v>8690</v>
      </c>
      <c r="J810">
        <v>81.73</v>
      </c>
      <c r="K810">
        <v>56.67</v>
      </c>
      <c r="L810">
        <v>710233.7</v>
      </c>
      <c r="M810">
        <v>492462.3</v>
      </c>
      <c r="N810">
        <v>217771.4</v>
      </c>
    </row>
    <row r="811" spans="1:14" x14ac:dyDescent="0.25">
      <c r="A811" t="s">
        <v>14</v>
      </c>
      <c r="B811" t="s">
        <v>383</v>
      </c>
      <c r="C811" t="s">
        <v>131</v>
      </c>
      <c r="D811" t="s">
        <v>17</v>
      </c>
      <c r="E811" t="s">
        <v>18</v>
      </c>
      <c r="F811" t="s">
        <v>385</v>
      </c>
      <c r="G811">
        <v>818678271</v>
      </c>
      <c r="H811" t="s">
        <v>925</v>
      </c>
      <c r="I811">
        <v>3948</v>
      </c>
      <c r="J811">
        <v>668.27</v>
      </c>
      <c r="K811">
        <v>502.54</v>
      </c>
      <c r="L811">
        <v>2638329.96</v>
      </c>
      <c r="M811">
        <v>1984027.92</v>
      </c>
      <c r="N811">
        <v>654302.04</v>
      </c>
    </row>
    <row r="812" spans="1:14" x14ac:dyDescent="0.25">
      <c r="A812" t="s">
        <v>25</v>
      </c>
      <c r="B812" t="s">
        <v>284</v>
      </c>
      <c r="C812" t="s">
        <v>88</v>
      </c>
      <c r="D812" t="s">
        <v>22</v>
      </c>
      <c r="E812" t="s">
        <v>32</v>
      </c>
      <c r="F812" t="s">
        <v>926</v>
      </c>
      <c r="G812">
        <v>439725911</v>
      </c>
      <c r="H812" s="1">
        <v>42189</v>
      </c>
      <c r="I812">
        <v>3524</v>
      </c>
      <c r="J812">
        <v>9.33</v>
      </c>
      <c r="K812">
        <v>6.92</v>
      </c>
      <c r="L812">
        <v>32878.92</v>
      </c>
      <c r="M812">
        <v>24386.080000000002</v>
      </c>
      <c r="N812">
        <v>8492.84</v>
      </c>
    </row>
    <row r="813" spans="1:14" x14ac:dyDescent="0.25">
      <c r="A813" t="s">
        <v>29</v>
      </c>
      <c r="B813" t="s">
        <v>375</v>
      </c>
      <c r="C813" t="s">
        <v>27</v>
      </c>
      <c r="D813" t="s">
        <v>22</v>
      </c>
      <c r="E813" t="s">
        <v>45</v>
      </c>
      <c r="F813" t="s">
        <v>927</v>
      </c>
      <c r="G813">
        <v>344619071</v>
      </c>
      <c r="H813" t="s">
        <v>582</v>
      </c>
      <c r="I813">
        <v>9296</v>
      </c>
      <c r="J813">
        <v>47.45</v>
      </c>
      <c r="K813">
        <v>31.79</v>
      </c>
      <c r="L813">
        <v>441095.2</v>
      </c>
      <c r="M813">
        <v>295519.84000000003</v>
      </c>
      <c r="N813">
        <v>145575.35999999999</v>
      </c>
    </row>
    <row r="814" spans="1:14" x14ac:dyDescent="0.25">
      <c r="A814" t="s">
        <v>51</v>
      </c>
      <c r="B814" t="s">
        <v>575</v>
      </c>
      <c r="C814" t="s">
        <v>16</v>
      </c>
      <c r="D814" t="s">
        <v>22</v>
      </c>
      <c r="E814" t="s">
        <v>18</v>
      </c>
      <c r="F814" t="s">
        <v>928</v>
      </c>
      <c r="G814">
        <v>572469079</v>
      </c>
      <c r="H814" s="1">
        <v>42888</v>
      </c>
      <c r="I814">
        <v>5177</v>
      </c>
      <c r="J814">
        <v>255.28</v>
      </c>
      <c r="K814">
        <v>159.41999999999999</v>
      </c>
      <c r="L814">
        <v>1321584.56</v>
      </c>
      <c r="M814">
        <v>825317.34</v>
      </c>
      <c r="N814">
        <v>496267.22</v>
      </c>
    </row>
    <row r="815" spans="1:14" x14ac:dyDescent="0.25">
      <c r="A815" t="s">
        <v>51</v>
      </c>
      <c r="B815" t="s">
        <v>664</v>
      </c>
      <c r="C815" t="s">
        <v>27</v>
      </c>
      <c r="D815" t="s">
        <v>22</v>
      </c>
      <c r="E815" t="s">
        <v>18</v>
      </c>
      <c r="F815" t="s">
        <v>747</v>
      </c>
      <c r="G815">
        <v>332699763</v>
      </c>
      <c r="H815" s="1">
        <v>40673</v>
      </c>
      <c r="I815">
        <v>2108</v>
      </c>
      <c r="J815">
        <v>47.45</v>
      </c>
      <c r="K815">
        <v>31.79</v>
      </c>
      <c r="L815">
        <v>100024.6</v>
      </c>
      <c r="M815">
        <v>67013.320000000007</v>
      </c>
      <c r="N815">
        <v>33011.279999999999</v>
      </c>
    </row>
    <row r="816" spans="1:14" x14ac:dyDescent="0.25">
      <c r="A816" t="s">
        <v>25</v>
      </c>
      <c r="B816" t="s">
        <v>252</v>
      </c>
      <c r="C816" t="s">
        <v>21</v>
      </c>
      <c r="D816" t="s">
        <v>17</v>
      </c>
      <c r="E816" t="s">
        <v>45</v>
      </c>
      <c r="F816" s="1">
        <v>40918</v>
      </c>
      <c r="G816">
        <v>255047452</v>
      </c>
      <c r="H816" t="s">
        <v>859</v>
      </c>
      <c r="I816">
        <v>3064</v>
      </c>
      <c r="J816">
        <v>152.58000000000001</v>
      </c>
      <c r="K816">
        <v>97.44</v>
      </c>
      <c r="L816">
        <v>467505.12</v>
      </c>
      <c r="M816">
        <v>298556.15999999997</v>
      </c>
      <c r="N816">
        <v>168948.96</v>
      </c>
    </row>
    <row r="817" spans="1:14" x14ac:dyDescent="0.25">
      <c r="A817" t="s">
        <v>42</v>
      </c>
      <c r="B817" t="s">
        <v>150</v>
      </c>
      <c r="C817" t="s">
        <v>59</v>
      </c>
      <c r="D817" t="s">
        <v>17</v>
      </c>
      <c r="E817" t="s">
        <v>45</v>
      </c>
      <c r="F817" t="s">
        <v>456</v>
      </c>
      <c r="G817">
        <v>139560973</v>
      </c>
      <c r="H817" t="s">
        <v>341</v>
      </c>
      <c r="I817">
        <v>8048</v>
      </c>
      <c r="J817">
        <v>437.2</v>
      </c>
      <c r="K817">
        <v>263.33</v>
      </c>
      <c r="L817">
        <v>3518585.6</v>
      </c>
      <c r="M817">
        <v>2119279.84</v>
      </c>
      <c r="N817">
        <v>1399305.76</v>
      </c>
    </row>
    <row r="818" spans="1:14" x14ac:dyDescent="0.25">
      <c r="A818" t="s">
        <v>38</v>
      </c>
      <c r="B818" t="s">
        <v>527</v>
      </c>
      <c r="C818" t="s">
        <v>44</v>
      </c>
      <c r="D818" t="s">
        <v>17</v>
      </c>
      <c r="E818" t="s">
        <v>18</v>
      </c>
      <c r="F818" t="s">
        <v>929</v>
      </c>
      <c r="G818">
        <v>306601655</v>
      </c>
      <c r="H818" s="1">
        <v>40948</v>
      </c>
      <c r="I818">
        <v>9098</v>
      </c>
      <c r="J818">
        <v>109.28</v>
      </c>
      <c r="K818">
        <v>35.840000000000003</v>
      </c>
      <c r="L818">
        <v>994229.44</v>
      </c>
      <c r="M818">
        <v>326072.32000000001</v>
      </c>
      <c r="N818">
        <v>668157.12</v>
      </c>
    </row>
    <row r="819" spans="1:14" x14ac:dyDescent="0.25">
      <c r="A819" t="s">
        <v>29</v>
      </c>
      <c r="B819" t="s">
        <v>440</v>
      </c>
      <c r="C819" t="s">
        <v>27</v>
      </c>
      <c r="D819" t="s">
        <v>22</v>
      </c>
      <c r="E819" t="s">
        <v>18</v>
      </c>
      <c r="F819" s="1">
        <v>41796</v>
      </c>
      <c r="G819">
        <v>246843326</v>
      </c>
      <c r="H819" s="1">
        <v>41979</v>
      </c>
      <c r="I819">
        <v>5280</v>
      </c>
      <c r="J819">
        <v>47.45</v>
      </c>
      <c r="K819">
        <v>31.79</v>
      </c>
      <c r="L819">
        <v>250536</v>
      </c>
      <c r="M819">
        <v>167851.2</v>
      </c>
      <c r="N819">
        <v>82684.800000000003</v>
      </c>
    </row>
    <row r="820" spans="1:14" x14ac:dyDescent="0.25">
      <c r="A820" t="s">
        <v>29</v>
      </c>
      <c r="B820" t="s">
        <v>248</v>
      </c>
      <c r="C820" t="s">
        <v>55</v>
      </c>
      <c r="D820" t="s">
        <v>17</v>
      </c>
      <c r="E820" t="s">
        <v>18</v>
      </c>
      <c r="F820" t="s">
        <v>930</v>
      </c>
      <c r="G820">
        <v>871272313</v>
      </c>
      <c r="H820" s="1">
        <v>41527</v>
      </c>
      <c r="I820">
        <v>7694</v>
      </c>
      <c r="J820">
        <v>651.21</v>
      </c>
      <c r="K820">
        <v>524.96</v>
      </c>
      <c r="L820">
        <v>5010409.74</v>
      </c>
      <c r="M820">
        <v>4039042.24</v>
      </c>
      <c r="N820">
        <v>971367.5</v>
      </c>
    </row>
    <row r="821" spans="1:14" x14ac:dyDescent="0.25">
      <c r="A821" t="s">
        <v>14</v>
      </c>
      <c r="B821" t="s">
        <v>20</v>
      </c>
      <c r="C821" t="s">
        <v>88</v>
      </c>
      <c r="D821" t="s">
        <v>17</v>
      </c>
      <c r="E821" t="s">
        <v>18</v>
      </c>
      <c r="F821" s="1">
        <v>42590</v>
      </c>
      <c r="G821">
        <v>461187446</v>
      </c>
      <c r="H821" t="s">
        <v>244</v>
      </c>
      <c r="I821">
        <v>4469</v>
      </c>
      <c r="J821">
        <v>9.33</v>
      </c>
      <c r="K821">
        <v>6.92</v>
      </c>
      <c r="L821">
        <v>41695.769999999997</v>
      </c>
      <c r="M821">
        <v>30925.48</v>
      </c>
      <c r="N821">
        <v>10770.29</v>
      </c>
    </row>
    <row r="822" spans="1:14" x14ac:dyDescent="0.25">
      <c r="A822" t="s">
        <v>51</v>
      </c>
      <c r="B822" t="s">
        <v>223</v>
      </c>
      <c r="C822" t="s">
        <v>59</v>
      </c>
      <c r="D822" t="s">
        <v>22</v>
      </c>
      <c r="E822" t="s">
        <v>18</v>
      </c>
      <c r="F822" t="s">
        <v>931</v>
      </c>
      <c r="G822">
        <v>518200051</v>
      </c>
      <c r="H822" t="s">
        <v>932</v>
      </c>
      <c r="I822">
        <v>5766</v>
      </c>
      <c r="J822">
        <v>437.2</v>
      </c>
      <c r="K822">
        <v>263.33</v>
      </c>
      <c r="L822">
        <v>2520895.2000000002</v>
      </c>
      <c r="M822">
        <v>1518360.78</v>
      </c>
      <c r="N822">
        <v>1002534.42</v>
      </c>
    </row>
    <row r="823" spans="1:14" x14ac:dyDescent="0.25">
      <c r="A823" t="s">
        <v>51</v>
      </c>
      <c r="B823" t="s">
        <v>360</v>
      </c>
      <c r="C823" t="s">
        <v>27</v>
      </c>
      <c r="D823" t="s">
        <v>22</v>
      </c>
      <c r="E823" t="s">
        <v>18</v>
      </c>
      <c r="F823" t="s">
        <v>933</v>
      </c>
      <c r="G823">
        <v>814233958</v>
      </c>
      <c r="H823" t="s">
        <v>384</v>
      </c>
      <c r="I823">
        <v>8777</v>
      </c>
      <c r="J823">
        <v>47.45</v>
      </c>
      <c r="K823">
        <v>31.79</v>
      </c>
      <c r="L823">
        <v>416468.65</v>
      </c>
      <c r="M823">
        <v>279020.83</v>
      </c>
      <c r="N823">
        <v>137447.82</v>
      </c>
    </row>
    <row r="824" spans="1:14" x14ac:dyDescent="0.25">
      <c r="A824" t="s">
        <v>29</v>
      </c>
      <c r="B824" t="s">
        <v>375</v>
      </c>
      <c r="C824" t="s">
        <v>59</v>
      </c>
      <c r="D824" t="s">
        <v>22</v>
      </c>
      <c r="E824" t="s">
        <v>45</v>
      </c>
      <c r="F824" s="1">
        <v>42922</v>
      </c>
      <c r="G824">
        <v>741525495</v>
      </c>
      <c r="H824" t="s">
        <v>854</v>
      </c>
      <c r="I824">
        <v>2727</v>
      </c>
      <c r="J824">
        <v>437.2</v>
      </c>
      <c r="K824">
        <v>263.33</v>
      </c>
      <c r="L824">
        <v>1192244.3999999999</v>
      </c>
      <c r="M824">
        <v>718100.91</v>
      </c>
      <c r="N824">
        <v>474143.49</v>
      </c>
    </row>
    <row r="825" spans="1:14" x14ac:dyDescent="0.25">
      <c r="A825" t="s">
        <v>25</v>
      </c>
      <c r="B825" t="s">
        <v>242</v>
      </c>
      <c r="C825" t="s">
        <v>69</v>
      </c>
      <c r="D825" t="s">
        <v>22</v>
      </c>
      <c r="E825" t="s">
        <v>23</v>
      </c>
      <c r="F825" t="s">
        <v>758</v>
      </c>
      <c r="G825">
        <v>662623488</v>
      </c>
      <c r="H825" s="1">
        <v>41950</v>
      </c>
      <c r="I825">
        <v>3870</v>
      </c>
      <c r="J825">
        <v>421.89</v>
      </c>
      <c r="K825">
        <v>364.69</v>
      </c>
      <c r="L825">
        <v>1632714.3</v>
      </c>
      <c r="M825">
        <v>1411350.3</v>
      </c>
      <c r="N825">
        <v>221364</v>
      </c>
    </row>
    <row r="826" spans="1:14" x14ac:dyDescent="0.25">
      <c r="A826" t="s">
        <v>25</v>
      </c>
      <c r="B826" t="s">
        <v>142</v>
      </c>
      <c r="C826" t="s">
        <v>113</v>
      </c>
      <c r="D826" t="s">
        <v>22</v>
      </c>
      <c r="E826" t="s">
        <v>18</v>
      </c>
      <c r="F826" t="s">
        <v>934</v>
      </c>
      <c r="G826">
        <v>560389268</v>
      </c>
      <c r="H826" t="s">
        <v>935</v>
      </c>
      <c r="I826">
        <v>492</v>
      </c>
      <c r="J826">
        <v>154.06</v>
      </c>
      <c r="K826">
        <v>90.93</v>
      </c>
      <c r="L826">
        <v>75797.52</v>
      </c>
      <c r="M826">
        <v>44737.56</v>
      </c>
      <c r="N826">
        <v>31059.96</v>
      </c>
    </row>
    <row r="827" spans="1:14" x14ac:dyDescent="0.25">
      <c r="A827" t="s">
        <v>38</v>
      </c>
      <c r="B827" t="s">
        <v>39</v>
      </c>
      <c r="C827" t="s">
        <v>88</v>
      </c>
      <c r="D827" t="s">
        <v>22</v>
      </c>
      <c r="E827" t="s">
        <v>23</v>
      </c>
      <c r="F827" s="1">
        <v>42347</v>
      </c>
      <c r="G827">
        <v>487996661</v>
      </c>
      <c r="H827" t="s">
        <v>936</v>
      </c>
      <c r="I827">
        <v>7911</v>
      </c>
      <c r="J827">
        <v>9.33</v>
      </c>
      <c r="K827">
        <v>6.92</v>
      </c>
      <c r="L827">
        <v>73809.63</v>
      </c>
      <c r="M827">
        <v>54744.12</v>
      </c>
      <c r="N827">
        <v>19065.509999999998</v>
      </c>
    </row>
    <row r="828" spans="1:14" x14ac:dyDescent="0.25">
      <c r="A828" t="s">
        <v>77</v>
      </c>
      <c r="B828" t="s">
        <v>622</v>
      </c>
      <c r="C828" t="s">
        <v>113</v>
      </c>
      <c r="D828" t="s">
        <v>17</v>
      </c>
      <c r="E828" t="s">
        <v>32</v>
      </c>
      <c r="F828" t="s">
        <v>804</v>
      </c>
      <c r="G828">
        <v>118931996</v>
      </c>
      <c r="H828" s="1">
        <v>42102</v>
      </c>
      <c r="I828">
        <v>3475</v>
      </c>
      <c r="J828">
        <v>154.06</v>
      </c>
      <c r="K828">
        <v>90.93</v>
      </c>
      <c r="L828">
        <v>535358.5</v>
      </c>
      <c r="M828">
        <v>315981.75</v>
      </c>
      <c r="N828">
        <v>219376.75</v>
      </c>
    </row>
    <row r="829" spans="1:14" x14ac:dyDescent="0.25">
      <c r="A829" t="s">
        <v>51</v>
      </c>
      <c r="B829" t="s">
        <v>52</v>
      </c>
      <c r="C829" t="s">
        <v>59</v>
      </c>
      <c r="D829" t="s">
        <v>17</v>
      </c>
      <c r="E829" t="s">
        <v>32</v>
      </c>
      <c r="F829" t="s">
        <v>216</v>
      </c>
      <c r="G829">
        <v>996994102</v>
      </c>
      <c r="H829" s="1">
        <v>42280</v>
      </c>
      <c r="I829">
        <v>1565</v>
      </c>
      <c r="J829">
        <v>437.2</v>
      </c>
      <c r="K829">
        <v>263.33</v>
      </c>
      <c r="L829">
        <v>684218</v>
      </c>
      <c r="M829">
        <v>412111.45</v>
      </c>
      <c r="N829">
        <v>272106.55</v>
      </c>
    </row>
    <row r="830" spans="1:14" x14ac:dyDescent="0.25">
      <c r="A830" t="s">
        <v>29</v>
      </c>
      <c r="B830" t="s">
        <v>393</v>
      </c>
      <c r="C830" t="s">
        <v>40</v>
      </c>
      <c r="D830" t="s">
        <v>17</v>
      </c>
      <c r="E830" t="s">
        <v>23</v>
      </c>
      <c r="F830" s="1">
        <v>41924</v>
      </c>
      <c r="G830">
        <v>686294305</v>
      </c>
      <c r="H830" t="s">
        <v>377</v>
      </c>
      <c r="I830">
        <v>8591</v>
      </c>
      <c r="J830">
        <v>81.73</v>
      </c>
      <c r="K830">
        <v>56.67</v>
      </c>
      <c r="L830">
        <v>702142.43</v>
      </c>
      <c r="M830">
        <v>486851.97</v>
      </c>
      <c r="N830">
        <v>215290.46</v>
      </c>
    </row>
    <row r="831" spans="1:14" x14ac:dyDescent="0.25">
      <c r="A831" t="s">
        <v>42</v>
      </c>
      <c r="B831" t="s">
        <v>476</v>
      </c>
      <c r="C831" t="s">
        <v>16</v>
      </c>
      <c r="D831" t="s">
        <v>22</v>
      </c>
      <c r="E831" t="s">
        <v>23</v>
      </c>
      <c r="F831" s="1">
        <v>40949</v>
      </c>
      <c r="G831">
        <v>421256434</v>
      </c>
      <c r="H831" t="s">
        <v>241</v>
      </c>
      <c r="I831">
        <v>7995</v>
      </c>
      <c r="J831">
        <v>255.28</v>
      </c>
      <c r="K831">
        <v>159.41999999999999</v>
      </c>
      <c r="L831">
        <v>2040963.6</v>
      </c>
      <c r="M831">
        <v>1274562.8999999999</v>
      </c>
      <c r="N831">
        <v>766400.7</v>
      </c>
    </row>
    <row r="832" spans="1:14" x14ac:dyDescent="0.25">
      <c r="A832" t="s">
        <v>29</v>
      </c>
      <c r="B832" t="s">
        <v>619</v>
      </c>
      <c r="C832" t="s">
        <v>88</v>
      </c>
      <c r="D832" t="s">
        <v>17</v>
      </c>
      <c r="E832" t="s">
        <v>32</v>
      </c>
      <c r="F832" s="1">
        <v>42217</v>
      </c>
      <c r="G832">
        <v>156616818</v>
      </c>
      <c r="H832" s="1">
        <v>42096</v>
      </c>
      <c r="I832">
        <v>5252</v>
      </c>
      <c r="J832">
        <v>9.33</v>
      </c>
      <c r="K832">
        <v>6.92</v>
      </c>
      <c r="L832">
        <v>49001.16</v>
      </c>
      <c r="M832">
        <v>36343.839999999997</v>
      </c>
      <c r="N832">
        <v>12657.32</v>
      </c>
    </row>
    <row r="833" spans="1:14" x14ac:dyDescent="0.25">
      <c r="A833" t="s">
        <v>29</v>
      </c>
      <c r="B833" t="s">
        <v>545</v>
      </c>
      <c r="C833" t="s">
        <v>113</v>
      </c>
      <c r="D833" t="s">
        <v>17</v>
      </c>
      <c r="E833" t="s">
        <v>23</v>
      </c>
      <c r="F833" t="s">
        <v>366</v>
      </c>
      <c r="G833">
        <v>817424285</v>
      </c>
      <c r="H833" s="1">
        <v>40334</v>
      </c>
      <c r="I833">
        <v>2866</v>
      </c>
      <c r="J833">
        <v>154.06</v>
      </c>
      <c r="K833">
        <v>90.93</v>
      </c>
      <c r="L833">
        <v>441535.96</v>
      </c>
      <c r="M833">
        <v>260605.38</v>
      </c>
      <c r="N833">
        <v>180930.58</v>
      </c>
    </row>
    <row r="834" spans="1:14" x14ac:dyDescent="0.25">
      <c r="A834" t="s">
        <v>51</v>
      </c>
      <c r="B834" t="s">
        <v>52</v>
      </c>
      <c r="C834" t="s">
        <v>31</v>
      </c>
      <c r="D834" t="s">
        <v>22</v>
      </c>
      <c r="E834" t="s">
        <v>18</v>
      </c>
      <c r="F834" t="s">
        <v>587</v>
      </c>
      <c r="G834">
        <v>249040162</v>
      </c>
      <c r="H834" s="1">
        <v>40545</v>
      </c>
      <c r="I834">
        <v>5373</v>
      </c>
      <c r="J834">
        <v>205.7</v>
      </c>
      <c r="K834">
        <v>117.11</v>
      </c>
      <c r="L834">
        <v>1105226.1000000001</v>
      </c>
      <c r="M834">
        <v>629232.03</v>
      </c>
      <c r="N834">
        <v>475994.07</v>
      </c>
    </row>
    <row r="835" spans="1:14" x14ac:dyDescent="0.25">
      <c r="A835" t="s">
        <v>25</v>
      </c>
      <c r="B835" t="s">
        <v>418</v>
      </c>
      <c r="C835" t="s">
        <v>55</v>
      </c>
      <c r="D835" t="s">
        <v>22</v>
      </c>
      <c r="E835" t="s">
        <v>23</v>
      </c>
      <c r="F835" s="1">
        <v>40884</v>
      </c>
      <c r="G835">
        <v>867138278</v>
      </c>
      <c r="H835" s="1">
        <v>40641</v>
      </c>
      <c r="I835">
        <v>4341</v>
      </c>
      <c r="J835">
        <v>651.21</v>
      </c>
      <c r="K835">
        <v>524.96</v>
      </c>
      <c r="L835">
        <v>2826902.61</v>
      </c>
      <c r="M835">
        <v>2278851.36</v>
      </c>
      <c r="N835">
        <v>548051.25</v>
      </c>
    </row>
    <row r="836" spans="1:14" x14ac:dyDescent="0.25">
      <c r="A836" t="s">
        <v>51</v>
      </c>
      <c r="B836" t="s">
        <v>578</v>
      </c>
      <c r="C836" t="s">
        <v>27</v>
      </c>
      <c r="D836" t="s">
        <v>22</v>
      </c>
      <c r="E836" t="s">
        <v>32</v>
      </c>
      <c r="F836" t="s">
        <v>932</v>
      </c>
      <c r="G836">
        <v>207704961</v>
      </c>
      <c r="H836" t="s">
        <v>937</v>
      </c>
      <c r="I836">
        <v>3368</v>
      </c>
      <c r="J836">
        <v>47.45</v>
      </c>
      <c r="K836">
        <v>31.79</v>
      </c>
      <c r="L836">
        <v>159811.6</v>
      </c>
      <c r="M836">
        <v>107068.72</v>
      </c>
      <c r="N836">
        <v>52742.879999999997</v>
      </c>
    </row>
    <row r="837" spans="1:14" x14ac:dyDescent="0.25">
      <c r="A837" t="s">
        <v>14</v>
      </c>
      <c r="B837" t="s">
        <v>357</v>
      </c>
      <c r="C837" t="s">
        <v>113</v>
      </c>
      <c r="D837" t="s">
        <v>22</v>
      </c>
      <c r="E837" t="s">
        <v>45</v>
      </c>
      <c r="F837" t="s">
        <v>938</v>
      </c>
      <c r="G837">
        <v>377039039</v>
      </c>
      <c r="H837" t="s">
        <v>939</v>
      </c>
      <c r="I837">
        <v>3085</v>
      </c>
      <c r="J837">
        <v>154.06</v>
      </c>
      <c r="K837">
        <v>90.93</v>
      </c>
      <c r="L837">
        <v>475275.1</v>
      </c>
      <c r="M837">
        <v>280519.05</v>
      </c>
      <c r="N837">
        <v>194756.05</v>
      </c>
    </row>
    <row r="838" spans="1:14" x14ac:dyDescent="0.25">
      <c r="A838" t="s">
        <v>29</v>
      </c>
      <c r="B838" t="s">
        <v>356</v>
      </c>
      <c r="C838" t="s">
        <v>31</v>
      </c>
      <c r="D838" t="s">
        <v>22</v>
      </c>
      <c r="E838" t="s">
        <v>45</v>
      </c>
      <c r="F838" t="s">
        <v>940</v>
      </c>
      <c r="G838">
        <v>401751840</v>
      </c>
      <c r="H838" t="s">
        <v>941</v>
      </c>
      <c r="I838">
        <v>6152</v>
      </c>
      <c r="J838">
        <v>205.7</v>
      </c>
      <c r="K838">
        <v>117.11</v>
      </c>
      <c r="L838">
        <v>1265466.3999999999</v>
      </c>
      <c r="M838">
        <v>720460.72</v>
      </c>
      <c r="N838">
        <v>545005.68000000005</v>
      </c>
    </row>
    <row r="839" spans="1:14" x14ac:dyDescent="0.25">
      <c r="A839" t="s">
        <v>51</v>
      </c>
      <c r="B839" t="s">
        <v>664</v>
      </c>
      <c r="C839" t="s">
        <v>44</v>
      </c>
      <c r="D839" t="s">
        <v>22</v>
      </c>
      <c r="E839" t="s">
        <v>32</v>
      </c>
      <c r="F839" t="s">
        <v>942</v>
      </c>
      <c r="G839">
        <v>278767192</v>
      </c>
      <c r="H839" t="s">
        <v>943</v>
      </c>
      <c r="I839">
        <v>2262</v>
      </c>
      <c r="J839">
        <v>109.28</v>
      </c>
      <c r="K839">
        <v>35.840000000000003</v>
      </c>
      <c r="L839">
        <v>247191.36</v>
      </c>
      <c r="M839">
        <v>81070.080000000002</v>
      </c>
      <c r="N839">
        <v>166121.28</v>
      </c>
    </row>
    <row r="840" spans="1:14" x14ac:dyDescent="0.25">
      <c r="A840" t="s">
        <v>25</v>
      </c>
      <c r="B840" t="s">
        <v>96</v>
      </c>
      <c r="C840" t="s">
        <v>131</v>
      </c>
      <c r="D840" t="s">
        <v>17</v>
      </c>
      <c r="E840" t="s">
        <v>45</v>
      </c>
      <c r="F840" t="s">
        <v>944</v>
      </c>
      <c r="G840">
        <v>525321424</v>
      </c>
      <c r="H840" t="s">
        <v>945</v>
      </c>
      <c r="I840">
        <v>3138</v>
      </c>
      <c r="J840">
        <v>668.27</v>
      </c>
      <c r="K840">
        <v>502.54</v>
      </c>
      <c r="L840">
        <v>2097031.26</v>
      </c>
      <c r="M840">
        <v>1576970.52</v>
      </c>
      <c r="N840">
        <v>520060.74</v>
      </c>
    </row>
    <row r="841" spans="1:14" x14ac:dyDescent="0.25">
      <c r="A841" t="s">
        <v>42</v>
      </c>
      <c r="B841" t="s">
        <v>103</v>
      </c>
      <c r="C841" t="s">
        <v>113</v>
      </c>
      <c r="D841" t="s">
        <v>17</v>
      </c>
      <c r="E841" t="s">
        <v>45</v>
      </c>
      <c r="F841" s="1">
        <v>40671</v>
      </c>
      <c r="G841">
        <v>828963363</v>
      </c>
      <c r="H841" s="1">
        <v>40703</v>
      </c>
      <c r="I841">
        <v>7535</v>
      </c>
      <c r="J841">
        <v>154.06</v>
      </c>
      <c r="K841">
        <v>90.93</v>
      </c>
      <c r="L841">
        <v>1160842.1000000001</v>
      </c>
      <c r="M841">
        <v>685157.55</v>
      </c>
      <c r="N841">
        <v>475684.55</v>
      </c>
    </row>
    <row r="842" spans="1:14" x14ac:dyDescent="0.25">
      <c r="A842" t="s">
        <v>25</v>
      </c>
      <c r="B842" t="s">
        <v>252</v>
      </c>
      <c r="C842" t="s">
        <v>44</v>
      </c>
      <c r="D842" t="s">
        <v>17</v>
      </c>
      <c r="E842" t="s">
        <v>45</v>
      </c>
      <c r="F842" s="1">
        <v>41918</v>
      </c>
      <c r="G842">
        <v>497554337</v>
      </c>
      <c r="H842" t="s">
        <v>870</v>
      </c>
      <c r="I842">
        <v>6240</v>
      </c>
      <c r="J842">
        <v>109.28</v>
      </c>
      <c r="K842">
        <v>35.840000000000003</v>
      </c>
      <c r="L842">
        <v>681907.19999999995</v>
      </c>
      <c r="M842">
        <v>223641.60000000001</v>
      </c>
      <c r="N842">
        <v>458265.59999999998</v>
      </c>
    </row>
    <row r="843" spans="1:14" x14ac:dyDescent="0.25">
      <c r="A843" t="s">
        <v>51</v>
      </c>
      <c r="B843" t="s">
        <v>223</v>
      </c>
      <c r="C843" t="s">
        <v>88</v>
      </c>
      <c r="D843" t="s">
        <v>22</v>
      </c>
      <c r="E843" t="s">
        <v>18</v>
      </c>
      <c r="F843" t="s">
        <v>946</v>
      </c>
      <c r="G843">
        <v>709268176</v>
      </c>
      <c r="H843" t="s">
        <v>505</v>
      </c>
      <c r="I843">
        <v>7070</v>
      </c>
      <c r="J843">
        <v>9.33</v>
      </c>
      <c r="K843">
        <v>6.92</v>
      </c>
      <c r="L843">
        <v>65963.100000000006</v>
      </c>
      <c r="M843">
        <v>48924.4</v>
      </c>
      <c r="N843">
        <v>17038.7</v>
      </c>
    </row>
    <row r="844" spans="1:14" x14ac:dyDescent="0.25">
      <c r="A844" t="s">
        <v>38</v>
      </c>
      <c r="B844" t="s">
        <v>92</v>
      </c>
      <c r="C844" t="s">
        <v>21</v>
      </c>
      <c r="D844" t="s">
        <v>22</v>
      </c>
      <c r="E844" t="s">
        <v>32</v>
      </c>
      <c r="F844" t="s">
        <v>947</v>
      </c>
      <c r="G844">
        <v>462591207</v>
      </c>
      <c r="H844" s="1">
        <v>41642</v>
      </c>
      <c r="I844">
        <v>9873</v>
      </c>
      <c r="J844">
        <v>152.58000000000001</v>
      </c>
      <c r="K844">
        <v>97.44</v>
      </c>
      <c r="L844">
        <v>1506422.34</v>
      </c>
      <c r="M844">
        <v>962025.12</v>
      </c>
      <c r="N844">
        <v>544397.22</v>
      </c>
    </row>
    <row r="845" spans="1:14" x14ac:dyDescent="0.25">
      <c r="A845" t="s">
        <v>25</v>
      </c>
      <c r="B845" t="s">
        <v>603</v>
      </c>
      <c r="C845" t="s">
        <v>40</v>
      </c>
      <c r="D845" t="s">
        <v>22</v>
      </c>
      <c r="E845" t="s">
        <v>18</v>
      </c>
      <c r="F845" t="s">
        <v>732</v>
      </c>
      <c r="G845">
        <v>626322257</v>
      </c>
      <c r="H845" s="1">
        <v>42495</v>
      </c>
      <c r="I845">
        <v>1529</v>
      </c>
      <c r="J845">
        <v>81.73</v>
      </c>
      <c r="K845">
        <v>56.67</v>
      </c>
      <c r="L845">
        <v>124965.17</v>
      </c>
      <c r="M845">
        <v>86648.43</v>
      </c>
      <c r="N845">
        <v>38316.74</v>
      </c>
    </row>
    <row r="846" spans="1:14" x14ac:dyDescent="0.25">
      <c r="A846" t="s">
        <v>42</v>
      </c>
      <c r="B846" t="s">
        <v>290</v>
      </c>
      <c r="C846" t="s">
        <v>113</v>
      </c>
      <c r="D846" t="s">
        <v>22</v>
      </c>
      <c r="E846" t="s">
        <v>18</v>
      </c>
      <c r="F846" s="1">
        <v>41163</v>
      </c>
      <c r="G846">
        <v>789572656</v>
      </c>
      <c r="H846" t="s">
        <v>913</v>
      </c>
      <c r="I846">
        <v>950</v>
      </c>
      <c r="J846">
        <v>154.06</v>
      </c>
      <c r="K846">
        <v>90.93</v>
      </c>
      <c r="L846">
        <v>146357</v>
      </c>
      <c r="M846">
        <v>86383.5</v>
      </c>
      <c r="N846">
        <v>59973.5</v>
      </c>
    </row>
    <row r="847" spans="1:14" x14ac:dyDescent="0.25">
      <c r="A847" t="s">
        <v>25</v>
      </c>
      <c r="B847" t="s">
        <v>172</v>
      </c>
      <c r="C847" t="s">
        <v>16</v>
      </c>
      <c r="D847" t="s">
        <v>22</v>
      </c>
      <c r="E847" t="s">
        <v>23</v>
      </c>
      <c r="F847" t="s">
        <v>940</v>
      </c>
      <c r="G847">
        <v>611766231</v>
      </c>
      <c r="H847" t="s">
        <v>948</v>
      </c>
      <c r="I847">
        <v>4077</v>
      </c>
      <c r="J847">
        <v>255.28</v>
      </c>
      <c r="K847">
        <v>159.41999999999999</v>
      </c>
      <c r="L847">
        <v>1040776.56</v>
      </c>
      <c r="M847">
        <v>649955.34</v>
      </c>
      <c r="N847">
        <v>390821.22</v>
      </c>
    </row>
    <row r="848" spans="1:14" x14ac:dyDescent="0.25">
      <c r="A848" t="s">
        <v>14</v>
      </c>
      <c r="B848" t="s">
        <v>433</v>
      </c>
      <c r="C848" t="s">
        <v>55</v>
      </c>
      <c r="D848" t="s">
        <v>22</v>
      </c>
      <c r="E848" t="s">
        <v>23</v>
      </c>
      <c r="F848" t="s">
        <v>949</v>
      </c>
      <c r="G848">
        <v>272639310</v>
      </c>
      <c r="H848" t="s">
        <v>28</v>
      </c>
      <c r="I848">
        <v>8885</v>
      </c>
      <c r="J848">
        <v>651.21</v>
      </c>
      <c r="K848">
        <v>524.96</v>
      </c>
      <c r="L848">
        <v>5786000.8499999996</v>
      </c>
      <c r="M848">
        <v>4664269.5999999996</v>
      </c>
      <c r="N848">
        <v>1121731.25</v>
      </c>
    </row>
    <row r="849" spans="1:14" x14ac:dyDescent="0.25">
      <c r="A849" t="s">
        <v>14</v>
      </c>
      <c r="B849" t="s">
        <v>433</v>
      </c>
      <c r="C849" t="s">
        <v>88</v>
      </c>
      <c r="D849" t="s">
        <v>17</v>
      </c>
      <c r="E849" t="s">
        <v>45</v>
      </c>
      <c r="F849" t="s">
        <v>629</v>
      </c>
      <c r="G849">
        <v>922240722</v>
      </c>
      <c r="H849" t="s">
        <v>521</v>
      </c>
      <c r="I849">
        <v>379</v>
      </c>
      <c r="J849">
        <v>9.33</v>
      </c>
      <c r="K849">
        <v>6.92</v>
      </c>
      <c r="L849">
        <v>3536.07</v>
      </c>
      <c r="M849">
        <v>2622.68</v>
      </c>
      <c r="N849">
        <v>913.39</v>
      </c>
    </row>
    <row r="850" spans="1:14" x14ac:dyDescent="0.25">
      <c r="A850" t="s">
        <v>25</v>
      </c>
      <c r="B850" t="s">
        <v>96</v>
      </c>
      <c r="C850" t="s">
        <v>16</v>
      </c>
      <c r="D850" t="s">
        <v>22</v>
      </c>
      <c r="E850" t="s">
        <v>45</v>
      </c>
      <c r="F850" s="1">
        <v>41336</v>
      </c>
      <c r="G850">
        <v>630931794</v>
      </c>
      <c r="H850" s="1">
        <v>41278</v>
      </c>
      <c r="I850">
        <v>5593</v>
      </c>
      <c r="J850">
        <v>255.28</v>
      </c>
      <c r="K850">
        <v>159.41999999999999</v>
      </c>
      <c r="L850">
        <v>1427781.04</v>
      </c>
      <c r="M850">
        <v>891636.06</v>
      </c>
      <c r="N850">
        <v>536144.98</v>
      </c>
    </row>
    <row r="851" spans="1:14" x14ac:dyDescent="0.25">
      <c r="A851" t="s">
        <v>25</v>
      </c>
      <c r="B851" t="s">
        <v>142</v>
      </c>
      <c r="C851" t="s">
        <v>55</v>
      </c>
      <c r="D851" t="s">
        <v>22</v>
      </c>
      <c r="E851" t="s">
        <v>32</v>
      </c>
      <c r="F851" s="1">
        <v>42828</v>
      </c>
      <c r="G851">
        <v>239386355</v>
      </c>
      <c r="H851" t="s">
        <v>950</v>
      </c>
      <c r="I851">
        <v>8597</v>
      </c>
      <c r="J851">
        <v>651.21</v>
      </c>
      <c r="K851">
        <v>524.96</v>
      </c>
      <c r="L851">
        <v>5598452.3700000001</v>
      </c>
      <c r="M851">
        <v>4513081.12</v>
      </c>
      <c r="N851">
        <v>1085371.25</v>
      </c>
    </row>
    <row r="852" spans="1:14" x14ac:dyDescent="0.25">
      <c r="A852" t="s">
        <v>29</v>
      </c>
      <c r="B852" t="s">
        <v>619</v>
      </c>
      <c r="C852" t="s">
        <v>44</v>
      </c>
      <c r="D852" t="s">
        <v>17</v>
      </c>
      <c r="E852" t="s">
        <v>23</v>
      </c>
      <c r="F852" s="1">
        <v>41950</v>
      </c>
      <c r="G852">
        <v>208590734</v>
      </c>
      <c r="H852" t="s">
        <v>951</v>
      </c>
      <c r="I852">
        <v>5488</v>
      </c>
      <c r="J852">
        <v>109.28</v>
      </c>
      <c r="K852">
        <v>35.840000000000003</v>
      </c>
      <c r="L852">
        <v>599728.64000000001</v>
      </c>
      <c r="M852">
        <v>196689.92000000001</v>
      </c>
      <c r="N852">
        <v>403038.71999999997</v>
      </c>
    </row>
    <row r="853" spans="1:14" x14ac:dyDescent="0.25">
      <c r="A853" t="s">
        <v>51</v>
      </c>
      <c r="B853" t="s">
        <v>250</v>
      </c>
      <c r="C853" t="s">
        <v>40</v>
      </c>
      <c r="D853" t="s">
        <v>22</v>
      </c>
      <c r="E853" t="s">
        <v>18</v>
      </c>
      <c r="F853" s="1">
        <v>42065</v>
      </c>
      <c r="G853">
        <v>169843757</v>
      </c>
      <c r="H853" t="s">
        <v>382</v>
      </c>
      <c r="I853">
        <v>9397</v>
      </c>
      <c r="J853">
        <v>81.73</v>
      </c>
      <c r="K853">
        <v>56.67</v>
      </c>
      <c r="L853">
        <v>768016.81</v>
      </c>
      <c r="M853">
        <v>532527.99</v>
      </c>
      <c r="N853">
        <v>235488.82</v>
      </c>
    </row>
    <row r="854" spans="1:14" x14ac:dyDescent="0.25">
      <c r="A854" t="s">
        <v>29</v>
      </c>
      <c r="B854" t="s">
        <v>323</v>
      </c>
      <c r="C854" t="s">
        <v>31</v>
      </c>
      <c r="D854" t="s">
        <v>17</v>
      </c>
      <c r="E854" t="s">
        <v>45</v>
      </c>
      <c r="F854" s="1">
        <v>41648</v>
      </c>
      <c r="G854">
        <v>274756753</v>
      </c>
      <c r="H854" s="1">
        <v>41891</v>
      </c>
      <c r="I854">
        <v>5484</v>
      </c>
      <c r="J854">
        <v>205.7</v>
      </c>
      <c r="K854">
        <v>117.11</v>
      </c>
      <c r="L854">
        <v>1128058.8</v>
      </c>
      <c r="M854">
        <v>642231.24</v>
      </c>
      <c r="N854">
        <v>485827.56</v>
      </c>
    </row>
    <row r="855" spans="1:14" x14ac:dyDescent="0.25">
      <c r="A855" t="s">
        <v>38</v>
      </c>
      <c r="B855" t="s">
        <v>190</v>
      </c>
      <c r="C855" t="s">
        <v>40</v>
      </c>
      <c r="D855" t="s">
        <v>17</v>
      </c>
      <c r="E855" t="s">
        <v>45</v>
      </c>
      <c r="F855" t="s">
        <v>952</v>
      </c>
      <c r="G855">
        <v>745253551</v>
      </c>
      <c r="H855" s="1">
        <v>41620</v>
      </c>
      <c r="I855">
        <v>5942</v>
      </c>
      <c r="J855">
        <v>81.73</v>
      </c>
      <c r="K855">
        <v>56.67</v>
      </c>
      <c r="L855">
        <v>485639.66</v>
      </c>
      <c r="M855">
        <v>336733.14</v>
      </c>
      <c r="N855">
        <v>148906.51999999999</v>
      </c>
    </row>
    <row r="856" spans="1:14" x14ac:dyDescent="0.25">
      <c r="A856" t="s">
        <v>51</v>
      </c>
      <c r="B856" t="s">
        <v>664</v>
      </c>
      <c r="C856" t="s">
        <v>31</v>
      </c>
      <c r="D856" t="s">
        <v>17</v>
      </c>
      <c r="E856" t="s">
        <v>23</v>
      </c>
      <c r="F856" t="s">
        <v>953</v>
      </c>
      <c r="G856">
        <v>523570477</v>
      </c>
      <c r="H856" t="s">
        <v>954</v>
      </c>
      <c r="I856">
        <v>4994</v>
      </c>
      <c r="J856">
        <v>205.7</v>
      </c>
      <c r="K856">
        <v>117.11</v>
      </c>
      <c r="L856">
        <v>1027265.8</v>
      </c>
      <c r="M856">
        <v>584847.34</v>
      </c>
      <c r="N856">
        <v>442418.46</v>
      </c>
    </row>
    <row r="857" spans="1:14" x14ac:dyDescent="0.25">
      <c r="A857" t="s">
        <v>29</v>
      </c>
      <c r="B857" t="s">
        <v>153</v>
      </c>
      <c r="C857" t="s">
        <v>21</v>
      </c>
      <c r="D857" t="s">
        <v>17</v>
      </c>
      <c r="E857" t="s">
        <v>45</v>
      </c>
      <c r="F857" s="1">
        <v>42282</v>
      </c>
      <c r="G857">
        <v>422256362</v>
      </c>
      <c r="H857" t="s">
        <v>955</v>
      </c>
      <c r="I857">
        <v>3896</v>
      </c>
      <c r="J857">
        <v>152.58000000000001</v>
      </c>
      <c r="K857">
        <v>97.44</v>
      </c>
      <c r="L857">
        <v>594451.68000000005</v>
      </c>
      <c r="M857">
        <v>379626.23999999999</v>
      </c>
      <c r="N857">
        <v>214825.44</v>
      </c>
    </row>
    <row r="858" spans="1:14" x14ac:dyDescent="0.25">
      <c r="A858" t="s">
        <v>25</v>
      </c>
      <c r="B858" t="s">
        <v>497</v>
      </c>
      <c r="C858" t="s">
        <v>131</v>
      </c>
      <c r="D858" t="s">
        <v>22</v>
      </c>
      <c r="E858" t="s">
        <v>18</v>
      </c>
      <c r="F858" t="s">
        <v>956</v>
      </c>
      <c r="G858">
        <v>874172532</v>
      </c>
      <c r="H858" s="1">
        <v>42410</v>
      </c>
      <c r="I858">
        <v>5933</v>
      </c>
      <c r="J858">
        <v>668.27</v>
      </c>
      <c r="K858">
        <v>502.54</v>
      </c>
      <c r="L858">
        <v>3964845.91</v>
      </c>
      <c r="M858">
        <v>2981569.82</v>
      </c>
      <c r="N858">
        <v>983276.09</v>
      </c>
    </row>
    <row r="859" spans="1:14" x14ac:dyDescent="0.25">
      <c r="A859" t="s">
        <v>42</v>
      </c>
      <c r="B859" t="s">
        <v>573</v>
      </c>
      <c r="C859" t="s">
        <v>131</v>
      </c>
      <c r="D859" t="s">
        <v>22</v>
      </c>
      <c r="E859" t="s">
        <v>23</v>
      </c>
      <c r="F859" t="s">
        <v>957</v>
      </c>
      <c r="G859">
        <v>582492816</v>
      </c>
      <c r="H859" s="1">
        <v>42317</v>
      </c>
      <c r="I859">
        <v>1423</v>
      </c>
      <c r="J859">
        <v>668.27</v>
      </c>
      <c r="K859">
        <v>502.54</v>
      </c>
      <c r="L859">
        <v>950948.21</v>
      </c>
      <c r="M859">
        <v>715114.42</v>
      </c>
      <c r="N859">
        <v>235833.79</v>
      </c>
    </row>
    <row r="860" spans="1:14" x14ac:dyDescent="0.25">
      <c r="A860" t="s">
        <v>25</v>
      </c>
      <c r="B860" t="s">
        <v>533</v>
      </c>
      <c r="C860" t="s">
        <v>40</v>
      </c>
      <c r="D860" t="s">
        <v>22</v>
      </c>
      <c r="E860" t="s">
        <v>23</v>
      </c>
      <c r="F860" t="s">
        <v>958</v>
      </c>
      <c r="G860">
        <v>570703542</v>
      </c>
      <c r="H860" s="1">
        <v>40248</v>
      </c>
      <c r="I860">
        <v>2715</v>
      </c>
      <c r="J860">
        <v>81.73</v>
      </c>
      <c r="K860">
        <v>56.67</v>
      </c>
      <c r="L860">
        <v>221896.95</v>
      </c>
      <c r="M860">
        <v>153859.04999999999</v>
      </c>
      <c r="N860">
        <v>68037.899999999994</v>
      </c>
    </row>
    <row r="861" spans="1:14" x14ac:dyDescent="0.25">
      <c r="A861" t="s">
        <v>25</v>
      </c>
      <c r="B861" t="s">
        <v>343</v>
      </c>
      <c r="C861" t="s">
        <v>59</v>
      </c>
      <c r="D861" t="s">
        <v>17</v>
      </c>
      <c r="E861" t="s">
        <v>18</v>
      </c>
      <c r="F861" t="s">
        <v>571</v>
      </c>
      <c r="G861">
        <v>132603538</v>
      </c>
      <c r="H861" s="1">
        <v>41071</v>
      </c>
      <c r="I861">
        <v>9188</v>
      </c>
      <c r="J861">
        <v>437.2</v>
      </c>
      <c r="K861">
        <v>263.33</v>
      </c>
      <c r="L861">
        <v>4016993.6</v>
      </c>
      <c r="M861">
        <v>2419476.04</v>
      </c>
      <c r="N861">
        <v>1597517.56</v>
      </c>
    </row>
    <row r="862" spans="1:14" x14ac:dyDescent="0.25">
      <c r="A862" t="s">
        <v>14</v>
      </c>
      <c r="B862" t="s">
        <v>20</v>
      </c>
      <c r="C862" t="s">
        <v>31</v>
      </c>
      <c r="D862" t="s">
        <v>22</v>
      </c>
      <c r="E862" t="s">
        <v>18</v>
      </c>
      <c r="F862" t="s">
        <v>959</v>
      </c>
      <c r="G862">
        <v>882304131</v>
      </c>
      <c r="H862" t="s">
        <v>716</v>
      </c>
      <c r="I862">
        <v>2254</v>
      </c>
      <c r="J862">
        <v>205.7</v>
      </c>
      <c r="K862">
        <v>117.11</v>
      </c>
      <c r="L862">
        <v>463647.8</v>
      </c>
      <c r="M862">
        <v>263965.94</v>
      </c>
      <c r="N862">
        <v>199681.86</v>
      </c>
    </row>
    <row r="863" spans="1:14" x14ac:dyDescent="0.25">
      <c r="A863" t="s">
        <v>38</v>
      </c>
      <c r="B863" t="s">
        <v>527</v>
      </c>
      <c r="C863" t="s">
        <v>16</v>
      </c>
      <c r="D863" t="s">
        <v>17</v>
      </c>
      <c r="E863" t="s">
        <v>18</v>
      </c>
      <c r="F863" t="s">
        <v>960</v>
      </c>
      <c r="G863">
        <v>904229152</v>
      </c>
      <c r="H863" t="s">
        <v>661</v>
      </c>
      <c r="I863">
        <v>355</v>
      </c>
      <c r="J863">
        <v>255.28</v>
      </c>
      <c r="K863">
        <v>159.41999999999999</v>
      </c>
      <c r="L863">
        <v>90624.4</v>
      </c>
      <c r="M863">
        <v>56594.1</v>
      </c>
      <c r="N863">
        <v>34030.300000000003</v>
      </c>
    </row>
    <row r="864" spans="1:14" x14ac:dyDescent="0.25">
      <c r="A864" t="s">
        <v>38</v>
      </c>
      <c r="B864" t="s">
        <v>190</v>
      </c>
      <c r="C864" t="s">
        <v>55</v>
      </c>
      <c r="D864" t="s">
        <v>22</v>
      </c>
      <c r="E864" t="s">
        <v>32</v>
      </c>
      <c r="F864" s="1">
        <v>40332</v>
      </c>
      <c r="G864">
        <v>603114926</v>
      </c>
      <c r="H864" t="s">
        <v>961</v>
      </c>
      <c r="I864">
        <v>3964</v>
      </c>
      <c r="J864">
        <v>651.21</v>
      </c>
      <c r="K864">
        <v>524.96</v>
      </c>
      <c r="L864">
        <v>2581396.44</v>
      </c>
      <c r="M864">
        <v>2080941.44</v>
      </c>
      <c r="N864">
        <v>500455</v>
      </c>
    </row>
    <row r="865" spans="1:14" x14ac:dyDescent="0.25">
      <c r="A865" t="s">
        <v>51</v>
      </c>
      <c r="B865" t="s">
        <v>367</v>
      </c>
      <c r="C865" t="s">
        <v>21</v>
      </c>
      <c r="D865" t="s">
        <v>17</v>
      </c>
      <c r="E865" t="s">
        <v>45</v>
      </c>
      <c r="F865" t="s">
        <v>649</v>
      </c>
      <c r="G865">
        <v>454010283</v>
      </c>
      <c r="H865" t="s">
        <v>474</v>
      </c>
      <c r="I865">
        <v>587</v>
      </c>
      <c r="J865">
        <v>152.58000000000001</v>
      </c>
      <c r="K865">
        <v>97.44</v>
      </c>
      <c r="L865">
        <v>89564.46</v>
      </c>
      <c r="M865">
        <v>57197.279999999999</v>
      </c>
      <c r="N865">
        <v>32367.18</v>
      </c>
    </row>
    <row r="866" spans="1:14" x14ac:dyDescent="0.25">
      <c r="A866" t="s">
        <v>25</v>
      </c>
      <c r="B866" t="s">
        <v>26</v>
      </c>
      <c r="C866" t="s">
        <v>69</v>
      </c>
      <c r="D866" t="s">
        <v>22</v>
      </c>
      <c r="E866" t="s">
        <v>32</v>
      </c>
      <c r="F866" s="1">
        <v>40702</v>
      </c>
      <c r="G866">
        <v>552276551</v>
      </c>
      <c r="H866" t="s">
        <v>962</v>
      </c>
      <c r="I866">
        <v>9759</v>
      </c>
      <c r="J866">
        <v>421.89</v>
      </c>
      <c r="K866">
        <v>364.69</v>
      </c>
      <c r="L866">
        <v>4117224.51</v>
      </c>
      <c r="M866">
        <v>3559009.71</v>
      </c>
      <c r="N866">
        <v>558214.80000000005</v>
      </c>
    </row>
    <row r="867" spans="1:14" x14ac:dyDescent="0.25">
      <c r="A867" t="s">
        <v>25</v>
      </c>
      <c r="B867" t="s">
        <v>458</v>
      </c>
      <c r="C867" t="s">
        <v>21</v>
      </c>
      <c r="D867" t="s">
        <v>22</v>
      </c>
      <c r="E867" t="s">
        <v>18</v>
      </c>
      <c r="F867" t="s">
        <v>910</v>
      </c>
      <c r="G867">
        <v>163587558</v>
      </c>
      <c r="H867" t="s">
        <v>773</v>
      </c>
      <c r="I867">
        <v>8048</v>
      </c>
      <c r="J867">
        <v>152.58000000000001</v>
      </c>
      <c r="K867">
        <v>97.44</v>
      </c>
      <c r="L867">
        <v>1227963.8400000001</v>
      </c>
      <c r="M867">
        <v>784197.12</v>
      </c>
      <c r="N867">
        <v>443766.72</v>
      </c>
    </row>
    <row r="868" spans="1:14" x14ac:dyDescent="0.25">
      <c r="A868" t="s">
        <v>14</v>
      </c>
      <c r="B868" t="s">
        <v>226</v>
      </c>
      <c r="C868" t="s">
        <v>27</v>
      </c>
      <c r="D868" t="s">
        <v>22</v>
      </c>
      <c r="E868" t="s">
        <v>18</v>
      </c>
      <c r="F868" t="s">
        <v>963</v>
      </c>
      <c r="G868">
        <v>873929631</v>
      </c>
      <c r="H868" t="s">
        <v>964</v>
      </c>
      <c r="I868">
        <v>4053</v>
      </c>
      <c r="J868">
        <v>47.45</v>
      </c>
      <c r="K868">
        <v>31.79</v>
      </c>
      <c r="L868">
        <v>192314.85</v>
      </c>
      <c r="M868">
        <v>128844.87</v>
      </c>
      <c r="N868">
        <v>63469.98</v>
      </c>
    </row>
    <row r="869" spans="1:14" x14ac:dyDescent="0.25">
      <c r="A869" t="s">
        <v>51</v>
      </c>
      <c r="B869" t="s">
        <v>129</v>
      </c>
      <c r="C869" t="s">
        <v>31</v>
      </c>
      <c r="D869" t="s">
        <v>17</v>
      </c>
      <c r="E869" t="s">
        <v>32</v>
      </c>
      <c r="F869" t="s">
        <v>528</v>
      </c>
      <c r="G869">
        <v>739601600</v>
      </c>
      <c r="H869" s="1">
        <v>40819</v>
      </c>
      <c r="I869">
        <v>3404</v>
      </c>
      <c r="J869">
        <v>205.7</v>
      </c>
      <c r="K869">
        <v>117.11</v>
      </c>
      <c r="L869">
        <v>700202.8</v>
      </c>
      <c r="M869">
        <v>398642.44</v>
      </c>
      <c r="N869">
        <v>301560.36</v>
      </c>
    </row>
    <row r="870" spans="1:14" x14ac:dyDescent="0.25">
      <c r="A870" t="s">
        <v>51</v>
      </c>
      <c r="B870" t="s">
        <v>164</v>
      </c>
      <c r="C870" t="s">
        <v>59</v>
      </c>
      <c r="D870" t="s">
        <v>17</v>
      </c>
      <c r="E870" t="s">
        <v>18</v>
      </c>
      <c r="F870" t="s">
        <v>965</v>
      </c>
      <c r="G870">
        <v>137214791</v>
      </c>
      <c r="H870" s="1">
        <v>40220</v>
      </c>
      <c r="I870">
        <v>3761</v>
      </c>
      <c r="J870">
        <v>437.2</v>
      </c>
      <c r="K870">
        <v>263.33</v>
      </c>
      <c r="L870">
        <v>1644309.2</v>
      </c>
      <c r="M870">
        <v>990384.13</v>
      </c>
      <c r="N870">
        <v>653925.06999999995</v>
      </c>
    </row>
    <row r="871" spans="1:14" x14ac:dyDescent="0.25">
      <c r="A871" t="s">
        <v>51</v>
      </c>
      <c r="B871" t="s">
        <v>299</v>
      </c>
      <c r="C871" t="s">
        <v>88</v>
      </c>
      <c r="D871" t="s">
        <v>22</v>
      </c>
      <c r="E871" t="s">
        <v>23</v>
      </c>
      <c r="F871" t="s">
        <v>759</v>
      </c>
      <c r="G871">
        <v>413693034</v>
      </c>
      <c r="H871" t="s">
        <v>966</v>
      </c>
      <c r="I871">
        <v>9817</v>
      </c>
      <c r="J871">
        <v>9.33</v>
      </c>
      <c r="K871">
        <v>6.92</v>
      </c>
      <c r="L871">
        <v>91592.61</v>
      </c>
      <c r="M871">
        <v>67933.64</v>
      </c>
      <c r="N871">
        <v>23658.97</v>
      </c>
    </row>
    <row r="872" spans="1:14" x14ac:dyDescent="0.25">
      <c r="A872" t="s">
        <v>29</v>
      </c>
      <c r="B872" t="s">
        <v>121</v>
      </c>
      <c r="C872" t="s">
        <v>88</v>
      </c>
      <c r="D872" t="s">
        <v>22</v>
      </c>
      <c r="E872" t="s">
        <v>45</v>
      </c>
      <c r="F872" s="1">
        <v>42196</v>
      </c>
      <c r="G872">
        <v>736272656</v>
      </c>
      <c r="H872" s="1">
        <v>42350</v>
      </c>
      <c r="I872">
        <v>8296</v>
      </c>
      <c r="J872">
        <v>9.33</v>
      </c>
      <c r="K872">
        <v>6.92</v>
      </c>
      <c r="L872">
        <v>77401.679999999993</v>
      </c>
      <c r="M872">
        <v>57408.32</v>
      </c>
      <c r="N872">
        <v>19993.36</v>
      </c>
    </row>
    <row r="873" spans="1:14" x14ac:dyDescent="0.25">
      <c r="A873" t="s">
        <v>51</v>
      </c>
      <c r="B873" t="s">
        <v>164</v>
      </c>
      <c r="C873" t="s">
        <v>16</v>
      </c>
      <c r="D873" t="s">
        <v>22</v>
      </c>
      <c r="E873" t="s">
        <v>32</v>
      </c>
      <c r="F873" t="s">
        <v>967</v>
      </c>
      <c r="G873">
        <v>342502486</v>
      </c>
      <c r="H873" t="s">
        <v>967</v>
      </c>
      <c r="I873">
        <v>2952</v>
      </c>
      <c r="J873">
        <v>255.28</v>
      </c>
      <c r="K873">
        <v>159.41999999999999</v>
      </c>
      <c r="L873">
        <v>753586.56</v>
      </c>
      <c r="M873">
        <v>470607.84</v>
      </c>
      <c r="N873">
        <v>282978.71999999997</v>
      </c>
    </row>
    <row r="874" spans="1:14" x14ac:dyDescent="0.25">
      <c r="A874" t="s">
        <v>14</v>
      </c>
      <c r="B874" t="s">
        <v>154</v>
      </c>
      <c r="C874" t="s">
        <v>59</v>
      </c>
      <c r="D874" t="s">
        <v>22</v>
      </c>
      <c r="E874" t="s">
        <v>32</v>
      </c>
      <c r="F874" t="s">
        <v>937</v>
      </c>
      <c r="G874">
        <v>790243852</v>
      </c>
      <c r="H874" s="1">
        <v>42279</v>
      </c>
      <c r="I874">
        <v>9572</v>
      </c>
      <c r="J874">
        <v>437.2</v>
      </c>
      <c r="K874">
        <v>263.33</v>
      </c>
      <c r="L874">
        <v>4184878.4</v>
      </c>
      <c r="M874">
        <v>2520594.7599999998</v>
      </c>
      <c r="N874">
        <v>1664283.64</v>
      </c>
    </row>
    <row r="875" spans="1:14" x14ac:dyDescent="0.25">
      <c r="A875" t="s">
        <v>29</v>
      </c>
      <c r="B875" t="s">
        <v>61</v>
      </c>
      <c r="C875" t="s">
        <v>40</v>
      </c>
      <c r="D875" t="s">
        <v>17</v>
      </c>
      <c r="E875" t="s">
        <v>18</v>
      </c>
      <c r="F875" s="1">
        <v>41521</v>
      </c>
      <c r="G875">
        <v>107670581</v>
      </c>
      <c r="H875" s="1">
        <v>41279</v>
      </c>
      <c r="I875">
        <v>972</v>
      </c>
      <c r="J875">
        <v>81.73</v>
      </c>
      <c r="K875">
        <v>56.67</v>
      </c>
      <c r="L875">
        <v>79441.56</v>
      </c>
      <c r="M875">
        <v>55083.24</v>
      </c>
      <c r="N875">
        <v>24358.32</v>
      </c>
    </row>
    <row r="876" spans="1:14" x14ac:dyDescent="0.25">
      <c r="A876" t="s">
        <v>42</v>
      </c>
      <c r="B876" t="s">
        <v>552</v>
      </c>
      <c r="C876" t="s">
        <v>131</v>
      </c>
      <c r="D876" t="s">
        <v>17</v>
      </c>
      <c r="E876" t="s">
        <v>45</v>
      </c>
      <c r="F876" t="s">
        <v>968</v>
      </c>
      <c r="G876">
        <v>443269002</v>
      </c>
      <c r="H876" t="s">
        <v>515</v>
      </c>
      <c r="I876">
        <v>2003</v>
      </c>
      <c r="J876">
        <v>668.27</v>
      </c>
      <c r="K876">
        <v>502.54</v>
      </c>
      <c r="L876">
        <v>1338544.81</v>
      </c>
      <c r="M876">
        <v>1006587.62</v>
      </c>
      <c r="N876">
        <v>331957.19</v>
      </c>
    </row>
    <row r="877" spans="1:14" x14ac:dyDescent="0.25">
      <c r="A877" t="s">
        <v>25</v>
      </c>
      <c r="B877" t="s">
        <v>529</v>
      </c>
      <c r="C877" t="s">
        <v>16</v>
      </c>
      <c r="D877" t="s">
        <v>22</v>
      </c>
      <c r="E877" t="s">
        <v>18</v>
      </c>
      <c r="F877" s="1">
        <v>41183</v>
      </c>
      <c r="G877">
        <v>415837943</v>
      </c>
      <c r="H877" t="s">
        <v>969</v>
      </c>
      <c r="I877">
        <v>4543</v>
      </c>
      <c r="J877">
        <v>255.28</v>
      </c>
      <c r="K877">
        <v>159.41999999999999</v>
      </c>
      <c r="L877">
        <v>1159737.04</v>
      </c>
      <c r="M877">
        <v>724245.06</v>
      </c>
      <c r="N877">
        <v>435491.98</v>
      </c>
    </row>
    <row r="878" spans="1:14" x14ac:dyDescent="0.25">
      <c r="A878" t="s">
        <v>42</v>
      </c>
      <c r="B878" t="s">
        <v>573</v>
      </c>
      <c r="C878" t="s">
        <v>27</v>
      </c>
      <c r="D878" t="s">
        <v>22</v>
      </c>
      <c r="E878" t="s">
        <v>32</v>
      </c>
      <c r="F878" s="1">
        <v>42587</v>
      </c>
      <c r="G878">
        <v>964488732</v>
      </c>
      <c r="H878" s="1">
        <v>42527</v>
      </c>
      <c r="I878">
        <v>2504</v>
      </c>
      <c r="J878">
        <v>47.45</v>
      </c>
      <c r="K878">
        <v>31.79</v>
      </c>
      <c r="L878">
        <v>118814.8</v>
      </c>
      <c r="M878">
        <v>79602.16</v>
      </c>
      <c r="N878">
        <v>39212.639999999999</v>
      </c>
    </row>
    <row r="879" spans="1:14" x14ac:dyDescent="0.25">
      <c r="A879" t="s">
        <v>25</v>
      </c>
      <c r="B879" t="s">
        <v>343</v>
      </c>
      <c r="C879" t="s">
        <v>16</v>
      </c>
      <c r="D879" t="s">
        <v>22</v>
      </c>
      <c r="E879" t="s">
        <v>45</v>
      </c>
      <c r="F879" t="s">
        <v>872</v>
      </c>
      <c r="G879">
        <v>398645198</v>
      </c>
      <c r="H879" t="s">
        <v>970</v>
      </c>
      <c r="I879">
        <v>6828</v>
      </c>
      <c r="J879">
        <v>255.28</v>
      </c>
      <c r="K879">
        <v>159.41999999999999</v>
      </c>
      <c r="L879">
        <v>1743051.84</v>
      </c>
      <c r="M879">
        <v>1088519.76</v>
      </c>
      <c r="N879">
        <v>654532.07999999996</v>
      </c>
    </row>
    <row r="880" spans="1:14" x14ac:dyDescent="0.25">
      <c r="A880" t="s">
        <v>51</v>
      </c>
      <c r="B880" t="s">
        <v>223</v>
      </c>
      <c r="C880" t="s">
        <v>88</v>
      </c>
      <c r="D880" t="s">
        <v>17</v>
      </c>
      <c r="E880" t="s">
        <v>23</v>
      </c>
      <c r="F880" t="s">
        <v>971</v>
      </c>
      <c r="G880">
        <v>248043668</v>
      </c>
      <c r="H880" t="s">
        <v>972</v>
      </c>
      <c r="I880">
        <v>488</v>
      </c>
      <c r="J880">
        <v>9.33</v>
      </c>
      <c r="K880">
        <v>6.92</v>
      </c>
      <c r="L880">
        <v>4553.04</v>
      </c>
      <c r="M880">
        <v>3376.96</v>
      </c>
      <c r="N880">
        <v>1176.08</v>
      </c>
    </row>
    <row r="881" spans="1:14" x14ac:dyDescent="0.25">
      <c r="A881" t="s">
        <v>77</v>
      </c>
      <c r="B881" t="s">
        <v>794</v>
      </c>
      <c r="C881" t="s">
        <v>59</v>
      </c>
      <c r="D881" t="s">
        <v>17</v>
      </c>
      <c r="E881" t="s">
        <v>23</v>
      </c>
      <c r="F881" t="s">
        <v>973</v>
      </c>
      <c r="G881">
        <v>312732970</v>
      </c>
      <c r="H881" t="s">
        <v>974</v>
      </c>
      <c r="I881">
        <v>3490</v>
      </c>
      <c r="J881">
        <v>437.2</v>
      </c>
      <c r="K881">
        <v>263.33</v>
      </c>
      <c r="L881">
        <v>1525828</v>
      </c>
      <c r="M881">
        <v>919021.7</v>
      </c>
      <c r="N881">
        <v>606806.30000000005</v>
      </c>
    </row>
    <row r="882" spans="1:14" x14ac:dyDescent="0.25">
      <c r="A882" t="s">
        <v>25</v>
      </c>
      <c r="B882" t="s">
        <v>201</v>
      </c>
      <c r="C882" t="s">
        <v>40</v>
      </c>
      <c r="D882" t="s">
        <v>22</v>
      </c>
      <c r="E882" t="s">
        <v>45</v>
      </c>
      <c r="F882" s="1">
        <v>41316</v>
      </c>
      <c r="G882">
        <v>913074433</v>
      </c>
      <c r="H882" t="s">
        <v>824</v>
      </c>
      <c r="I882">
        <v>7870</v>
      </c>
      <c r="J882">
        <v>81.73</v>
      </c>
      <c r="K882">
        <v>56.67</v>
      </c>
      <c r="L882">
        <v>643215.1</v>
      </c>
      <c r="M882">
        <v>445992.9</v>
      </c>
      <c r="N882">
        <v>197222.2</v>
      </c>
    </row>
    <row r="883" spans="1:14" x14ac:dyDescent="0.25">
      <c r="A883" t="s">
        <v>38</v>
      </c>
      <c r="B883" t="s">
        <v>190</v>
      </c>
      <c r="C883" t="s">
        <v>131</v>
      </c>
      <c r="D883" t="s">
        <v>22</v>
      </c>
      <c r="E883" t="s">
        <v>23</v>
      </c>
      <c r="F883" t="s">
        <v>975</v>
      </c>
      <c r="G883">
        <v>639741885</v>
      </c>
      <c r="H883" t="s">
        <v>976</v>
      </c>
      <c r="I883">
        <v>2695</v>
      </c>
      <c r="J883">
        <v>668.27</v>
      </c>
      <c r="K883">
        <v>502.54</v>
      </c>
      <c r="L883">
        <v>1800987.65</v>
      </c>
      <c r="M883">
        <v>1354345.3</v>
      </c>
      <c r="N883">
        <v>446642.35</v>
      </c>
    </row>
    <row r="884" spans="1:14" x14ac:dyDescent="0.25">
      <c r="A884" t="s">
        <v>51</v>
      </c>
      <c r="B884" t="s">
        <v>128</v>
      </c>
      <c r="C884" t="s">
        <v>55</v>
      </c>
      <c r="D884" t="s">
        <v>17</v>
      </c>
      <c r="E884" t="s">
        <v>23</v>
      </c>
      <c r="F884" s="1">
        <v>42253</v>
      </c>
      <c r="G884">
        <v>403721654</v>
      </c>
      <c r="H884" t="s">
        <v>977</v>
      </c>
      <c r="I884">
        <v>9064</v>
      </c>
      <c r="J884">
        <v>651.21</v>
      </c>
      <c r="K884">
        <v>524.96</v>
      </c>
      <c r="L884">
        <v>5902567.4400000004</v>
      </c>
      <c r="M884">
        <v>4758237.4400000004</v>
      </c>
      <c r="N884">
        <v>1144330</v>
      </c>
    </row>
    <row r="885" spans="1:14" x14ac:dyDescent="0.25">
      <c r="A885" t="s">
        <v>29</v>
      </c>
      <c r="B885" t="s">
        <v>243</v>
      </c>
      <c r="C885" t="s">
        <v>44</v>
      </c>
      <c r="D885" t="s">
        <v>22</v>
      </c>
      <c r="E885" t="s">
        <v>45</v>
      </c>
      <c r="F885" t="s">
        <v>463</v>
      </c>
      <c r="G885">
        <v>286312568</v>
      </c>
      <c r="H885" s="1">
        <v>42985</v>
      </c>
      <c r="I885">
        <v>5106</v>
      </c>
      <c r="J885">
        <v>109.28</v>
      </c>
      <c r="K885">
        <v>35.840000000000003</v>
      </c>
      <c r="L885">
        <v>557983.68000000005</v>
      </c>
      <c r="M885">
        <v>182999.04000000001</v>
      </c>
      <c r="N885">
        <v>374984.64</v>
      </c>
    </row>
    <row r="886" spans="1:14" x14ac:dyDescent="0.25">
      <c r="A886" t="s">
        <v>25</v>
      </c>
      <c r="B886" t="s">
        <v>529</v>
      </c>
      <c r="C886" t="s">
        <v>88</v>
      </c>
      <c r="D886" t="s">
        <v>22</v>
      </c>
      <c r="E886" t="s">
        <v>45</v>
      </c>
      <c r="F886" t="s">
        <v>138</v>
      </c>
      <c r="G886">
        <v>889125955</v>
      </c>
      <c r="H886" t="s">
        <v>953</v>
      </c>
      <c r="I886">
        <v>983</v>
      </c>
      <c r="J886">
        <v>9.33</v>
      </c>
      <c r="K886">
        <v>6.92</v>
      </c>
      <c r="L886">
        <v>9171.39</v>
      </c>
      <c r="M886">
        <v>6802.36</v>
      </c>
      <c r="N886">
        <v>2369.0300000000002</v>
      </c>
    </row>
    <row r="887" spans="1:14" x14ac:dyDescent="0.25">
      <c r="A887" t="s">
        <v>42</v>
      </c>
      <c r="B887" t="s">
        <v>107</v>
      </c>
      <c r="C887" t="s">
        <v>27</v>
      </c>
      <c r="D887" t="s">
        <v>22</v>
      </c>
      <c r="E887" t="s">
        <v>18</v>
      </c>
      <c r="F887" s="1">
        <v>40459</v>
      </c>
      <c r="G887">
        <v>184085643</v>
      </c>
      <c r="H887" t="s">
        <v>978</v>
      </c>
      <c r="I887">
        <v>3887</v>
      </c>
      <c r="J887">
        <v>47.45</v>
      </c>
      <c r="K887">
        <v>31.79</v>
      </c>
      <c r="L887">
        <v>184438.15</v>
      </c>
      <c r="M887">
        <v>123567.73</v>
      </c>
      <c r="N887">
        <v>60870.42</v>
      </c>
    </row>
    <row r="888" spans="1:14" x14ac:dyDescent="0.25">
      <c r="A888" t="s">
        <v>25</v>
      </c>
      <c r="B888" t="s">
        <v>72</v>
      </c>
      <c r="C888" t="s">
        <v>88</v>
      </c>
      <c r="D888" t="s">
        <v>22</v>
      </c>
      <c r="E888" t="s">
        <v>45</v>
      </c>
      <c r="F888" s="1">
        <v>40702</v>
      </c>
      <c r="G888">
        <v>263427960</v>
      </c>
      <c r="H888" t="s">
        <v>748</v>
      </c>
      <c r="I888">
        <v>3042</v>
      </c>
      <c r="J888">
        <v>9.33</v>
      </c>
      <c r="K888">
        <v>6.92</v>
      </c>
      <c r="L888">
        <v>28381.86</v>
      </c>
      <c r="M888">
        <v>21050.639999999999</v>
      </c>
      <c r="N888">
        <v>7331.22</v>
      </c>
    </row>
    <row r="889" spans="1:14" x14ac:dyDescent="0.25">
      <c r="A889" t="s">
        <v>29</v>
      </c>
      <c r="B889" t="s">
        <v>35</v>
      </c>
      <c r="C889" t="s">
        <v>27</v>
      </c>
      <c r="D889" t="s">
        <v>22</v>
      </c>
      <c r="E889" t="s">
        <v>45</v>
      </c>
      <c r="F889" t="s">
        <v>979</v>
      </c>
      <c r="G889">
        <v>589701735</v>
      </c>
      <c r="H889" t="s">
        <v>980</v>
      </c>
      <c r="I889">
        <v>4703</v>
      </c>
      <c r="J889">
        <v>47.45</v>
      </c>
      <c r="K889">
        <v>31.79</v>
      </c>
      <c r="L889">
        <v>223157.35</v>
      </c>
      <c r="M889">
        <v>149508.37</v>
      </c>
      <c r="N889">
        <v>73648.98</v>
      </c>
    </row>
    <row r="890" spans="1:14" x14ac:dyDescent="0.25">
      <c r="A890" t="s">
        <v>29</v>
      </c>
      <c r="B890" t="s">
        <v>243</v>
      </c>
      <c r="C890" t="s">
        <v>113</v>
      </c>
      <c r="D890" t="s">
        <v>22</v>
      </c>
      <c r="E890" t="s">
        <v>23</v>
      </c>
      <c r="F890" s="1">
        <v>42799</v>
      </c>
      <c r="G890">
        <v>245768296</v>
      </c>
      <c r="H890" s="1">
        <v>43074</v>
      </c>
      <c r="I890">
        <v>7155</v>
      </c>
      <c r="J890">
        <v>154.06</v>
      </c>
      <c r="K890">
        <v>90.93</v>
      </c>
      <c r="L890">
        <v>1102299.3</v>
      </c>
      <c r="M890">
        <v>650604.15</v>
      </c>
      <c r="N890">
        <v>451695.15</v>
      </c>
    </row>
    <row r="891" spans="1:14" x14ac:dyDescent="0.25">
      <c r="A891" t="s">
        <v>42</v>
      </c>
      <c r="B891" t="s">
        <v>103</v>
      </c>
      <c r="C891" t="s">
        <v>27</v>
      </c>
      <c r="D891" t="s">
        <v>22</v>
      </c>
      <c r="E891" t="s">
        <v>32</v>
      </c>
      <c r="F891" t="s">
        <v>769</v>
      </c>
      <c r="G891">
        <v>184801471</v>
      </c>
      <c r="H891" t="s">
        <v>810</v>
      </c>
      <c r="I891">
        <v>5717</v>
      </c>
      <c r="J891">
        <v>47.45</v>
      </c>
      <c r="K891">
        <v>31.79</v>
      </c>
      <c r="L891">
        <v>271271.65000000002</v>
      </c>
      <c r="M891">
        <v>181743.43</v>
      </c>
      <c r="N891">
        <v>89528.22</v>
      </c>
    </row>
    <row r="892" spans="1:14" x14ac:dyDescent="0.25">
      <c r="A892" t="s">
        <v>42</v>
      </c>
      <c r="B892" t="s">
        <v>174</v>
      </c>
      <c r="C892" t="s">
        <v>16</v>
      </c>
      <c r="D892" t="s">
        <v>17</v>
      </c>
      <c r="E892" t="s">
        <v>18</v>
      </c>
      <c r="F892" t="s">
        <v>634</v>
      </c>
      <c r="G892">
        <v>980287587</v>
      </c>
      <c r="H892" t="s">
        <v>981</v>
      </c>
      <c r="I892">
        <v>7736</v>
      </c>
      <c r="J892">
        <v>255.28</v>
      </c>
      <c r="K892">
        <v>159.41999999999999</v>
      </c>
      <c r="L892">
        <v>1974846.08</v>
      </c>
      <c r="M892">
        <v>1233273.1200000001</v>
      </c>
      <c r="N892">
        <v>741572.96</v>
      </c>
    </row>
    <row r="893" spans="1:14" x14ac:dyDescent="0.25">
      <c r="A893" t="s">
        <v>38</v>
      </c>
      <c r="B893" t="s">
        <v>527</v>
      </c>
      <c r="C893" t="s">
        <v>16</v>
      </c>
      <c r="D893" t="s">
        <v>17</v>
      </c>
      <c r="E893" t="s">
        <v>23</v>
      </c>
      <c r="F893" t="s">
        <v>982</v>
      </c>
      <c r="G893">
        <v>576025474</v>
      </c>
      <c r="H893" t="s">
        <v>983</v>
      </c>
      <c r="I893">
        <v>7593</v>
      </c>
      <c r="J893">
        <v>255.28</v>
      </c>
      <c r="K893">
        <v>159.41999999999999</v>
      </c>
      <c r="L893">
        <v>1938341.04</v>
      </c>
      <c r="M893">
        <v>1210476.06</v>
      </c>
      <c r="N893">
        <v>727864.98</v>
      </c>
    </row>
    <row r="894" spans="1:14" x14ac:dyDescent="0.25">
      <c r="A894" t="s">
        <v>29</v>
      </c>
      <c r="B894" t="s">
        <v>619</v>
      </c>
      <c r="C894" t="s">
        <v>21</v>
      </c>
      <c r="D894" t="s">
        <v>17</v>
      </c>
      <c r="E894" t="s">
        <v>45</v>
      </c>
      <c r="F894" s="1">
        <v>41917</v>
      </c>
      <c r="G894">
        <v>136126458</v>
      </c>
      <c r="H894" s="1">
        <v>41676</v>
      </c>
      <c r="I894">
        <v>1699</v>
      </c>
      <c r="J894">
        <v>152.58000000000001</v>
      </c>
      <c r="K894">
        <v>97.44</v>
      </c>
      <c r="L894">
        <v>259233.42</v>
      </c>
      <c r="M894">
        <v>165550.56</v>
      </c>
      <c r="N894">
        <v>93682.86</v>
      </c>
    </row>
    <row r="895" spans="1:14" x14ac:dyDescent="0.25">
      <c r="A895" t="s">
        <v>51</v>
      </c>
      <c r="B895" t="s">
        <v>295</v>
      </c>
      <c r="C895" t="s">
        <v>27</v>
      </c>
      <c r="D895" t="s">
        <v>17</v>
      </c>
      <c r="E895" t="s">
        <v>32</v>
      </c>
      <c r="F895" t="s">
        <v>984</v>
      </c>
      <c r="G895">
        <v>895014369</v>
      </c>
      <c r="H895" s="1">
        <v>40859</v>
      </c>
      <c r="I895">
        <v>3496</v>
      </c>
      <c r="J895">
        <v>47.45</v>
      </c>
      <c r="K895">
        <v>31.79</v>
      </c>
      <c r="L895">
        <v>165885.20000000001</v>
      </c>
      <c r="M895">
        <v>111137.84</v>
      </c>
      <c r="N895">
        <v>54747.360000000001</v>
      </c>
    </row>
    <row r="896" spans="1:14" x14ac:dyDescent="0.25">
      <c r="A896" t="s">
        <v>29</v>
      </c>
      <c r="B896" t="s">
        <v>338</v>
      </c>
      <c r="C896" t="s">
        <v>27</v>
      </c>
      <c r="D896" t="s">
        <v>17</v>
      </c>
      <c r="E896" t="s">
        <v>23</v>
      </c>
      <c r="F896" s="1">
        <v>41548</v>
      </c>
      <c r="G896">
        <v>107425534</v>
      </c>
      <c r="H896" t="s">
        <v>102</v>
      </c>
      <c r="I896">
        <v>8458</v>
      </c>
      <c r="J896">
        <v>47.45</v>
      </c>
      <c r="K896">
        <v>31.79</v>
      </c>
      <c r="L896">
        <v>401332.1</v>
      </c>
      <c r="M896">
        <v>268879.82</v>
      </c>
      <c r="N896">
        <v>132452.28</v>
      </c>
    </row>
    <row r="897" spans="1:14" x14ac:dyDescent="0.25">
      <c r="A897" t="s">
        <v>51</v>
      </c>
      <c r="B897" t="s">
        <v>578</v>
      </c>
      <c r="C897" t="s">
        <v>59</v>
      </c>
      <c r="D897" t="s">
        <v>22</v>
      </c>
      <c r="E897" t="s">
        <v>18</v>
      </c>
      <c r="F897" t="s">
        <v>985</v>
      </c>
      <c r="G897">
        <v>498408782</v>
      </c>
      <c r="H897" t="s">
        <v>986</v>
      </c>
      <c r="I897">
        <v>9089</v>
      </c>
      <c r="J897">
        <v>437.2</v>
      </c>
      <c r="K897">
        <v>263.33</v>
      </c>
      <c r="L897">
        <v>3973710.8</v>
      </c>
      <c r="M897">
        <v>2393406.37</v>
      </c>
      <c r="N897">
        <v>1580304.43</v>
      </c>
    </row>
    <row r="898" spans="1:14" x14ac:dyDescent="0.25">
      <c r="A898" t="s">
        <v>51</v>
      </c>
      <c r="B898" t="s">
        <v>115</v>
      </c>
      <c r="C898" t="s">
        <v>59</v>
      </c>
      <c r="D898" t="s">
        <v>17</v>
      </c>
      <c r="E898" t="s">
        <v>18</v>
      </c>
      <c r="F898" t="s">
        <v>987</v>
      </c>
      <c r="G898">
        <v>813325440</v>
      </c>
      <c r="H898" t="s">
        <v>988</v>
      </c>
      <c r="I898">
        <v>9927</v>
      </c>
      <c r="J898">
        <v>437.2</v>
      </c>
      <c r="K898">
        <v>263.33</v>
      </c>
      <c r="L898">
        <v>4340084.4000000004</v>
      </c>
      <c r="M898">
        <v>2614076.91</v>
      </c>
      <c r="N898">
        <v>1726007.49</v>
      </c>
    </row>
    <row r="899" spans="1:14" x14ac:dyDescent="0.25">
      <c r="A899" t="s">
        <v>51</v>
      </c>
      <c r="B899" t="s">
        <v>276</v>
      </c>
      <c r="C899" t="s">
        <v>16</v>
      </c>
      <c r="D899" t="s">
        <v>22</v>
      </c>
      <c r="E899" t="s">
        <v>18</v>
      </c>
      <c r="F899" s="1">
        <v>42739</v>
      </c>
      <c r="G899">
        <v>767849338</v>
      </c>
      <c r="H899" t="s">
        <v>501</v>
      </c>
      <c r="I899">
        <v>2537</v>
      </c>
      <c r="J899">
        <v>255.28</v>
      </c>
      <c r="K899">
        <v>159.41999999999999</v>
      </c>
      <c r="L899">
        <v>647645.36</v>
      </c>
      <c r="M899">
        <v>404448.54</v>
      </c>
      <c r="N899">
        <v>243196.82</v>
      </c>
    </row>
    <row r="900" spans="1:14" x14ac:dyDescent="0.25">
      <c r="A900" t="s">
        <v>38</v>
      </c>
      <c r="B900" t="s">
        <v>85</v>
      </c>
      <c r="C900" t="s">
        <v>88</v>
      </c>
      <c r="D900" t="s">
        <v>22</v>
      </c>
      <c r="E900" t="s">
        <v>32</v>
      </c>
      <c r="F900" t="s">
        <v>896</v>
      </c>
      <c r="G900">
        <v>597966802</v>
      </c>
      <c r="H900" s="1">
        <v>42563</v>
      </c>
      <c r="I900">
        <v>520</v>
      </c>
      <c r="J900">
        <v>9.33</v>
      </c>
      <c r="K900">
        <v>6.92</v>
      </c>
      <c r="L900">
        <v>4851.6000000000004</v>
      </c>
      <c r="M900">
        <v>3598.4</v>
      </c>
      <c r="N900">
        <v>1253.2</v>
      </c>
    </row>
    <row r="901" spans="1:14" x14ac:dyDescent="0.25">
      <c r="A901" t="s">
        <v>38</v>
      </c>
      <c r="B901" t="s">
        <v>105</v>
      </c>
      <c r="C901" t="s">
        <v>40</v>
      </c>
      <c r="D901" t="s">
        <v>17</v>
      </c>
      <c r="E901" t="s">
        <v>23</v>
      </c>
      <c r="F901" t="s">
        <v>699</v>
      </c>
      <c r="G901">
        <v>609976661</v>
      </c>
      <c r="H901" t="s">
        <v>989</v>
      </c>
      <c r="I901">
        <v>4504</v>
      </c>
      <c r="J901">
        <v>81.73</v>
      </c>
      <c r="K901">
        <v>56.67</v>
      </c>
      <c r="L901">
        <v>368111.92</v>
      </c>
      <c r="M901">
        <v>255241.68</v>
      </c>
      <c r="N901">
        <v>112870.24</v>
      </c>
    </row>
    <row r="902" spans="1:14" x14ac:dyDescent="0.25">
      <c r="A902" t="s">
        <v>25</v>
      </c>
      <c r="B902" t="s">
        <v>229</v>
      </c>
      <c r="C902" t="s">
        <v>69</v>
      </c>
      <c r="D902" t="s">
        <v>17</v>
      </c>
      <c r="E902" t="s">
        <v>45</v>
      </c>
      <c r="F902" s="1">
        <v>40519</v>
      </c>
      <c r="G902">
        <v>730490243</v>
      </c>
      <c r="H902" t="s">
        <v>259</v>
      </c>
      <c r="I902">
        <v>7151</v>
      </c>
      <c r="J902">
        <v>421.89</v>
      </c>
      <c r="K902">
        <v>364.69</v>
      </c>
      <c r="L902">
        <v>3016935.39</v>
      </c>
      <c r="M902">
        <v>2607898.19</v>
      </c>
      <c r="N902">
        <v>409037.2</v>
      </c>
    </row>
    <row r="903" spans="1:14" x14ac:dyDescent="0.25">
      <c r="A903" t="s">
        <v>38</v>
      </c>
      <c r="B903" t="s">
        <v>451</v>
      </c>
      <c r="C903" t="s">
        <v>40</v>
      </c>
      <c r="D903" t="s">
        <v>17</v>
      </c>
      <c r="E903" t="s">
        <v>45</v>
      </c>
      <c r="F903" t="s">
        <v>180</v>
      </c>
      <c r="G903">
        <v>956431376</v>
      </c>
      <c r="H903" t="s">
        <v>990</v>
      </c>
      <c r="I903">
        <v>8153</v>
      </c>
      <c r="J903">
        <v>81.73</v>
      </c>
      <c r="K903">
        <v>56.67</v>
      </c>
      <c r="L903">
        <v>666344.68999999994</v>
      </c>
      <c r="M903">
        <v>462030.51</v>
      </c>
      <c r="N903">
        <v>204314.18</v>
      </c>
    </row>
    <row r="904" spans="1:14" x14ac:dyDescent="0.25">
      <c r="A904" t="s">
        <v>25</v>
      </c>
      <c r="B904" t="s">
        <v>218</v>
      </c>
      <c r="C904" t="s">
        <v>31</v>
      </c>
      <c r="D904" t="s">
        <v>17</v>
      </c>
      <c r="E904" t="s">
        <v>32</v>
      </c>
      <c r="F904" s="1">
        <v>42380</v>
      </c>
      <c r="G904">
        <v>905036389</v>
      </c>
      <c r="H904" t="s">
        <v>991</v>
      </c>
      <c r="I904">
        <v>9234</v>
      </c>
      <c r="J904">
        <v>205.7</v>
      </c>
      <c r="K904">
        <v>117.11</v>
      </c>
      <c r="L904">
        <v>1899433.8</v>
      </c>
      <c r="M904">
        <v>1081393.74</v>
      </c>
      <c r="N904">
        <v>818040.06</v>
      </c>
    </row>
    <row r="905" spans="1:14" x14ac:dyDescent="0.25">
      <c r="A905" t="s">
        <v>42</v>
      </c>
      <c r="B905" t="s">
        <v>43</v>
      </c>
      <c r="C905" t="s">
        <v>69</v>
      </c>
      <c r="D905" t="s">
        <v>22</v>
      </c>
      <c r="E905" t="s">
        <v>45</v>
      </c>
      <c r="F905" t="s">
        <v>992</v>
      </c>
      <c r="G905">
        <v>263854110</v>
      </c>
      <c r="H905" t="s">
        <v>993</v>
      </c>
      <c r="I905">
        <v>9149</v>
      </c>
      <c r="J905">
        <v>421.89</v>
      </c>
      <c r="K905">
        <v>364.69</v>
      </c>
      <c r="L905">
        <v>3859871.61</v>
      </c>
      <c r="M905">
        <v>3336548.81</v>
      </c>
      <c r="N905">
        <v>523322.8</v>
      </c>
    </row>
    <row r="906" spans="1:14" x14ac:dyDescent="0.25">
      <c r="A906" t="s">
        <v>14</v>
      </c>
      <c r="B906" t="s">
        <v>433</v>
      </c>
      <c r="C906" t="s">
        <v>16</v>
      </c>
      <c r="D906" t="s">
        <v>17</v>
      </c>
      <c r="E906" t="s">
        <v>23</v>
      </c>
      <c r="F906" s="1">
        <v>42046</v>
      </c>
      <c r="G906">
        <v>140745866</v>
      </c>
      <c r="H906" s="1">
        <v>42167</v>
      </c>
      <c r="I906">
        <v>8684</v>
      </c>
      <c r="J906">
        <v>255.28</v>
      </c>
      <c r="K906">
        <v>159.41999999999999</v>
      </c>
      <c r="L906">
        <v>2216851.52</v>
      </c>
      <c r="M906">
        <v>1384403.28</v>
      </c>
      <c r="N906">
        <v>832448.24</v>
      </c>
    </row>
    <row r="907" spans="1:14" x14ac:dyDescent="0.25">
      <c r="A907" t="s">
        <v>51</v>
      </c>
      <c r="B907" t="s">
        <v>260</v>
      </c>
      <c r="C907" t="s">
        <v>44</v>
      </c>
      <c r="D907" t="s">
        <v>17</v>
      </c>
      <c r="E907" t="s">
        <v>23</v>
      </c>
      <c r="F907" t="s">
        <v>607</v>
      </c>
      <c r="G907">
        <v>813885486</v>
      </c>
      <c r="H907" s="1">
        <v>40824</v>
      </c>
      <c r="I907">
        <v>5656</v>
      </c>
      <c r="J907">
        <v>109.28</v>
      </c>
      <c r="K907">
        <v>35.840000000000003</v>
      </c>
      <c r="L907">
        <v>618087.68000000005</v>
      </c>
      <c r="M907">
        <v>202711.04000000001</v>
      </c>
      <c r="N907">
        <v>415376.64000000001</v>
      </c>
    </row>
    <row r="908" spans="1:14" x14ac:dyDescent="0.25">
      <c r="A908" t="s">
        <v>25</v>
      </c>
      <c r="B908" t="s">
        <v>96</v>
      </c>
      <c r="C908" t="s">
        <v>44</v>
      </c>
      <c r="D908" t="s">
        <v>17</v>
      </c>
      <c r="E908" t="s">
        <v>23</v>
      </c>
      <c r="F908" s="1">
        <v>41002</v>
      </c>
      <c r="G908">
        <v>381759297</v>
      </c>
      <c r="H908" t="s">
        <v>994</v>
      </c>
      <c r="I908">
        <v>9914</v>
      </c>
      <c r="J908">
        <v>109.28</v>
      </c>
      <c r="K908">
        <v>35.840000000000003</v>
      </c>
      <c r="L908">
        <v>1083401.92</v>
      </c>
      <c r="M908">
        <v>355317.76000000001</v>
      </c>
      <c r="N908">
        <v>728084.16</v>
      </c>
    </row>
    <row r="909" spans="1:14" x14ac:dyDescent="0.25">
      <c r="A909" t="s">
        <v>25</v>
      </c>
      <c r="B909" t="s">
        <v>609</v>
      </c>
      <c r="C909" t="s">
        <v>59</v>
      </c>
      <c r="D909" t="s">
        <v>22</v>
      </c>
      <c r="E909" t="s">
        <v>18</v>
      </c>
      <c r="F909" s="1">
        <v>40583</v>
      </c>
      <c r="G909">
        <v>613166129</v>
      </c>
      <c r="H909" t="s">
        <v>995</v>
      </c>
      <c r="I909">
        <v>8338</v>
      </c>
      <c r="J909">
        <v>437.2</v>
      </c>
      <c r="K909">
        <v>263.33</v>
      </c>
      <c r="L909">
        <v>3645373.6</v>
      </c>
      <c r="M909">
        <v>2195645.54</v>
      </c>
      <c r="N909">
        <v>1449728.06</v>
      </c>
    </row>
    <row r="910" spans="1:14" x14ac:dyDescent="0.25">
      <c r="A910" t="s">
        <v>51</v>
      </c>
      <c r="B910" t="s">
        <v>398</v>
      </c>
      <c r="C910" t="s">
        <v>21</v>
      </c>
      <c r="D910" t="s">
        <v>22</v>
      </c>
      <c r="E910" t="s">
        <v>45</v>
      </c>
      <c r="F910" t="s">
        <v>389</v>
      </c>
      <c r="G910">
        <v>197217309</v>
      </c>
      <c r="H910" s="1">
        <v>41219</v>
      </c>
      <c r="I910">
        <v>9839</v>
      </c>
      <c r="J910">
        <v>152.58000000000001</v>
      </c>
      <c r="K910">
        <v>97.44</v>
      </c>
      <c r="L910">
        <v>1501234.62</v>
      </c>
      <c r="M910">
        <v>958712.16</v>
      </c>
      <c r="N910">
        <v>542522.46</v>
      </c>
    </row>
    <row r="911" spans="1:14" x14ac:dyDescent="0.25">
      <c r="A911" t="s">
        <v>14</v>
      </c>
      <c r="B911" t="s">
        <v>383</v>
      </c>
      <c r="C911" t="s">
        <v>44</v>
      </c>
      <c r="D911" t="s">
        <v>22</v>
      </c>
      <c r="E911" t="s">
        <v>18</v>
      </c>
      <c r="F911" s="1">
        <v>41883</v>
      </c>
      <c r="G911">
        <v>593336665</v>
      </c>
      <c r="H911" t="s">
        <v>996</v>
      </c>
      <c r="I911">
        <v>359</v>
      </c>
      <c r="J911">
        <v>109.28</v>
      </c>
      <c r="K911">
        <v>35.840000000000003</v>
      </c>
      <c r="L911">
        <v>39231.519999999997</v>
      </c>
      <c r="M911">
        <v>12866.56</v>
      </c>
      <c r="N911">
        <v>26364.959999999999</v>
      </c>
    </row>
    <row r="912" spans="1:14" x14ac:dyDescent="0.25">
      <c r="A912" t="s">
        <v>25</v>
      </c>
      <c r="B912" t="s">
        <v>196</v>
      </c>
      <c r="C912" t="s">
        <v>55</v>
      </c>
      <c r="D912" t="s">
        <v>22</v>
      </c>
      <c r="E912" t="s">
        <v>18</v>
      </c>
      <c r="F912" s="1">
        <v>42799</v>
      </c>
      <c r="G912">
        <v>181260526</v>
      </c>
      <c r="H912" s="1">
        <v>42800</v>
      </c>
      <c r="I912">
        <v>7872</v>
      </c>
      <c r="J912">
        <v>651.21</v>
      </c>
      <c r="K912">
        <v>524.96</v>
      </c>
      <c r="L912">
        <v>5126325.12</v>
      </c>
      <c r="M912">
        <v>4132485.1200000001</v>
      </c>
      <c r="N912">
        <v>993840</v>
      </c>
    </row>
    <row r="913" spans="1:14" x14ac:dyDescent="0.25">
      <c r="A913" t="s">
        <v>51</v>
      </c>
      <c r="B913" t="s">
        <v>360</v>
      </c>
      <c r="C913" t="s">
        <v>21</v>
      </c>
      <c r="D913" t="s">
        <v>17</v>
      </c>
      <c r="E913" t="s">
        <v>32</v>
      </c>
      <c r="F913" t="s">
        <v>997</v>
      </c>
      <c r="G913">
        <v>111037719</v>
      </c>
      <c r="H913" s="1">
        <v>40980</v>
      </c>
      <c r="I913">
        <v>7383</v>
      </c>
      <c r="J913">
        <v>152.58000000000001</v>
      </c>
      <c r="K913">
        <v>97.44</v>
      </c>
      <c r="L913">
        <v>1126498.1399999999</v>
      </c>
      <c r="M913">
        <v>719399.52</v>
      </c>
      <c r="N913">
        <v>407098.62</v>
      </c>
    </row>
    <row r="914" spans="1:14" x14ac:dyDescent="0.25">
      <c r="A914" t="s">
        <v>29</v>
      </c>
      <c r="B914" t="s">
        <v>485</v>
      </c>
      <c r="C914" t="s">
        <v>55</v>
      </c>
      <c r="D914" t="s">
        <v>17</v>
      </c>
      <c r="E914" t="s">
        <v>18</v>
      </c>
      <c r="F914" t="s">
        <v>692</v>
      </c>
      <c r="G914">
        <v>253029572</v>
      </c>
      <c r="H914" s="1">
        <v>41707</v>
      </c>
      <c r="I914">
        <v>5928</v>
      </c>
      <c r="J914">
        <v>651.21</v>
      </c>
      <c r="K914">
        <v>524.96</v>
      </c>
      <c r="L914">
        <v>3860372.88</v>
      </c>
      <c r="M914">
        <v>3111962.88</v>
      </c>
      <c r="N914">
        <v>748410</v>
      </c>
    </row>
    <row r="915" spans="1:14" x14ac:dyDescent="0.25">
      <c r="A915" t="s">
        <v>38</v>
      </c>
      <c r="B915" t="s">
        <v>85</v>
      </c>
      <c r="C915" t="s">
        <v>44</v>
      </c>
      <c r="D915" t="s">
        <v>22</v>
      </c>
      <c r="E915" t="s">
        <v>45</v>
      </c>
      <c r="F915" t="s">
        <v>998</v>
      </c>
      <c r="G915">
        <v>547909915</v>
      </c>
      <c r="H915" t="s">
        <v>999</v>
      </c>
      <c r="I915">
        <v>7574</v>
      </c>
      <c r="J915">
        <v>109.28</v>
      </c>
      <c r="K915">
        <v>35.840000000000003</v>
      </c>
      <c r="L915">
        <v>827686.72</v>
      </c>
      <c r="M915">
        <v>271452.15999999997</v>
      </c>
      <c r="N915">
        <v>556234.56000000006</v>
      </c>
    </row>
    <row r="916" spans="1:14" x14ac:dyDescent="0.25">
      <c r="A916" t="s">
        <v>29</v>
      </c>
      <c r="B916" t="s">
        <v>199</v>
      </c>
      <c r="C916" t="s">
        <v>113</v>
      </c>
      <c r="D916" t="s">
        <v>17</v>
      </c>
      <c r="E916" t="s">
        <v>18</v>
      </c>
      <c r="F916" t="s">
        <v>493</v>
      </c>
      <c r="G916">
        <v>556665074</v>
      </c>
      <c r="H916" t="s">
        <v>304</v>
      </c>
      <c r="I916">
        <v>8421</v>
      </c>
      <c r="J916">
        <v>154.06</v>
      </c>
      <c r="K916">
        <v>90.93</v>
      </c>
      <c r="L916">
        <v>1297339.26</v>
      </c>
      <c r="M916">
        <v>765721.53</v>
      </c>
      <c r="N916">
        <v>531617.73</v>
      </c>
    </row>
    <row r="917" spans="1:14" x14ac:dyDescent="0.25">
      <c r="A917" t="s">
        <v>14</v>
      </c>
      <c r="B917" t="s">
        <v>488</v>
      </c>
      <c r="C917" t="s">
        <v>131</v>
      </c>
      <c r="D917" t="s">
        <v>22</v>
      </c>
      <c r="E917" t="s">
        <v>32</v>
      </c>
      <c r="F917" t="s">
        <v>1000</v>
      </c>
      <c r="G917">
        <v>810593879</v>
      </c>
      <c r="H917" s="1">
        <v>42373</v>
      </c>
      <c r="I917">
        <v>1597</v>
      </c>
      <c r="J917">
        <v>668.27</v>
      </c>
      <c r="K917">
        <v>502.54</v>
      </c>
      <c r="L917">
        <v>1067227.19</v>
      </c>
      <c r="M917">
        <v>802556.38</v>
      </c>
      <c r="N917">
        <v>264670.81</v>
      </c>
    </row>
    <row r="918" spans="1:14" x14ac:dyDescent="0.25">
      <c r="A918" t="s">
        <v>38</v>
      </c>
      <c r="B918" t="s">
        <v>58</v>
      </c>
      <c r="C918" t="s">
        <v>44</v>
      </c>
      <c r="D918" t="s">
        <v>22</v>
      </c>
      <c r="E918" t="s">
        <v>32</v>
      </c>
      <c r="F918" s="1">
        <v>41733</v>
      </c>
      <c r="G918">
        <v>561307656</v>
      </c>
      <c r="H918" s="1">
        <v>41978</v>
      </c>
      <c r="I918">
        <v>2264</v>
      </c>
      <c r="J918">
        <v>109.28</v>
      </c>
      <c r="K918">
        <v>35.840000000000003</v>
      </c>
      <c r="L918">
        <v>247409.92000000001</v>
      </c>
      <c r="M918">
        <v>81141.759999999995</v>
      </c>
      <c r="N918">
        <v>166268.16</v>
      </c>
    </row>
    <row r="919" spans="1:14" x14ac:dyDescent="0.25">
      <c r="A919" t="s">
        <v>42</v>
      </c>
      <c r="B919" t="s">
        <v>681</v>
      </c>
      <c r="C919" t="s">
        <v>59</v>
      </c>
      <c r="D919" t="s">
        <v>22</v>
      </c>
      <c r="E919" t="s">
        <v>32</v>
      </c>
      <c r="F919" t="s">
        <v>1001</v>
      </c>
      <c r="G919">
        <v>930730235</v>
      </c>
      <c r="H919" t="s">
        <v>1002</v>
      </c>
      <c r="I919">
        <v>2614</v>
      </c>
      <c r="J919">
        <v>437.2</v>
      </c>
      <c r="K919">
        <v>263.33</v>
      </c>
      <c r="L919">
        <v>1142840.8</v>
      </c>
      <c r="M919">
        <v>688344.62</v>
      </c>
      <c r="N919">
        <v>454496.18</v>
      </c>
    </row>
    <row r="920" spans="1:14" x14ac:dyDescent="0.25">
      <c r="A920" t="s">
        <v>14</v>
      </c>
      <c r="B920" t="s">
        <v>213</v>
      </c>
      <c r="C920" t="s">
        <v>44</v>
      </c>
      <c r="D920" t="s">
        <v>17</v>
      </c>
      <c r="E920" t="s">
        <v>32</v>
      </c>
      <c r="F920" s="1">
        <v>42466</v>
      </c>
      <c r="G920">
        <v>861097943</v>
      </c>
      <c r="H920" s="1">
        <v>42710</v>
      </c>
      <c r="I920">
        <v>6872</v>
      </c>
      <c r="J920">
        <v>109.28</v>
      </c>
      <c r="K920">
        <v>35.840000000000003</v>
      </c>
      <c r="L920">
        <v>750972.16</v>
      </c>
      <c r="M920">
        <v>246292.48000000001</v>
      </c>
      <c r="N920">
        <v>504679.67999999999</v>
      </c>
    </row>
    <row r="921" spans="1:14" x14ac:dyDescent="0.25">
      <c r="A921" t="s">
        <v>25</v>
      </c>
      <c r="B921" t="s">
        <v>785</v>
      </c>
      <c r="C921" t="s">
        <v>21</v>
      </c>
      <c r="D921" t="s">
        <v>17</v>
      </c>
      <c r="E921" t="s">
        <v>23</v>
      </c>
      <c r="F921" s="1">
        <v>41283</v>
      </c>
      <c r="G921">
        <v>264959609</v>
      </c>
      <c r="H921" t="s">
        <v>371</v>
      </c>
      <c r="I921">
        <v>6291</v>
      </c>
      <c r="J921">
        <v>152.58000000000001</v>
      </c>
      <c r="K921">
        <v>97.44</v>
      </c>
      <c r="L921">
        <v>959880.78</v>
      </c>
      <c r="M921">
        <v>612995.04</v>
      </c>
      <c r="N921">
        <v>346885.74</v>
      </c>
    </row>
    <row r="922" spans="1:14" x14ac:dyDescent="0.25">
      <c r="A922" t="s">
        <v>25</v>
      </c>
      <c r="B922" t="s">
        <v>242</v>
      </c>
      <c r="C922" t="s">
        <v>88</v>
      </c>
      <c r="D922" t="s">
        <v>17</v>
      </c>
      <c r="E922" t="s">
        <v>32</v>
      </c>
      <c r="F922" t="s">
        <v>1003</v>
      </c>
      <c r="G922">
        <v>475176560</v>
      </c>
      <c r="H922" s="1">
        <v>40277</v>
      </c>
      <c r="I922">
        <v>4159</v>
      </c>
      <c r="J922">
        <v>9.33</v>
      </c>
      <c r="K922">
        <v>6.92</v>
      </c>
      <c r="L922">
        <v>38803.47</v>
      </c>
      <c r="M922">
        <v>28780.28</v>
      </c>
      <c r="N922">
        <v>10023.19</v>
      </c>
    </row>
    <row r="923" spans="1:14" x14ac:dyDescent="0.25">
      <c r="A923" t="s">
        <v>25</v>
      </c>
      <c r="B923" t="s">
        <v>284</v>
      </c>
      <c r="C923" t="s">
        <v>16</v>
      </c>
      <c r="D923" t="s">
        <v>22</v>
      </c>
      <c r="E923" t="s">
        <v>45</v>
      </c>
      <c r="F923" t="s">
        <v>1004</v>
      </c>
      <c r="G923">
        <v>194922626</v>
      </c>
      <c r="H923" s="1">
        <v>41092</v>
      </c>
      <c r="I923">
        <v>791</v>
      </c>
      <c r="J923">
        <v>255.28</v>
      </c>
      <c r="K923">
        <v>159.41999999999999</v>
      </c>
      <c r="L923">
        <v>201926.48</v>
      </c>
      <c r="M923">
        <v>126101.22</v>
      </c>
      <c r="N923">
        <v>75825.259999999995</v>
      </c>
    </row>
    <row r="924" spans="1:14" x14ac:dyDescent="0.25">
      <c r="A924" t="s">
        <v>25</v>
      </c>
      <c r="B924" t="s">
        <v>418</v>
      </c>
      <c r="C924" t="s">
        <v>21</v>
      </c>
      <c r="D924" t="s">
        <v>22</v>
      </c>
      <c r="E924" t="s">
        <v>18</v>
      </c>
      <c r="F924" s="1">
        <v>42436</v>
      </c>
      <c r="G924">
        <v>447684133</v>
      </c>
      <c r="H924" t="s">
        <v>244</v>
      </c>
      <c r="I924">
        <v>8538</v>
      </c>
      <c r="J924">
        <v>152.58000000000001</v>
      </c>
      <c r="K924">
        <v>97.44</v>
      </c>
      <c r="L924">
        <v>1302728.04</v>
      </c>
      <c r="M924">
        <v>831942.72</v>
      </c>
      <c r="N924">
        <v>470785.32</v>
      </c>
    </row>
    <row r="925" spans="1:14" x14ac:dyDescent="0.25">
      <c r="A925" t="s">
        <v>25</v>
      </c>
      <c r="B925" t="s">
        <v>229</v>
      </c>
      <c r="C925" t="s">
        <v>40</v>
      </c>
      <c r="D925" t="s">
        <v>17</v>
      </c>
      <c r="E925" t="s">
        <v>45</v>
      </c>
      <c r="F925" s="1">
        <v>41000</v>
      </c>
      <c r="G925">
        <v>527259910</v>
      </c>
      <c r="H925" s="1">
        <v>41214</v>
      </c>
      <c r="I925">
        <v>6779</v>
      </c>
      <c r="J925">
        <v>81.73</v>
      </c>
      <c r="K925">
        <v>56.67</v>
      </c>
      <c r="L925">
        <v>554047.67000000004</v>
      </c>
      <c r="M925">
        <v>384165.93</v>
      </c>
      <c r="N925">
        <v>169881.74</v>
      </c>
    </row>
    <row r="926" spans="1:14" x14ac:dyDescent="0.25">
      <c r="A926" t="s">
        <v>29</v>
      </c>
      <c r="B926" t="s">
        <v>153</v>
      </c>
      <c r="C926" t="s">
        <v>27</v>
      </c>
      <c r="D926" t="s">
        <v>17</v>
      </c>
      <c r="E926" t="s">
        <v>18</v>
      </c>
      <c r="F926" t="s">
        <v>34</v>
      </c>
      <c r="G926">
        <v>247761285</v>
      </c>
      <c r="H926" s="1">
        <v>40244</v>
      </c>
      <c r="I926">
        <v>6925</v>
      </c>
      <c r="J926">
        <v>47.45</v>
      </c>
      <c r="K926">
        <v>31.79</v>
      </c>
      <c r="L926">
        <v>328591.25</v>
      </c>
      <c r="M926">
        <v>220145.75</v>
      </c>
      <c r="N926">
        <v>108445.5</v>
      </c>
    </row>
    <row r="927" spans="1:14" x14ac:dyDescent="0.25">
      <c r="A927" t="s">
        <v>14</v>
      </c>
      <c r="B927" t="s">
        <v>357</v>
      </c>
      <c r="C927" t="s">
        <v>69</v>
      </c>
      <c r="D927" t="s">
        <v>22</v>
      </c>
      <c r="E927" t="s">
        <v>23</v>
      </c>
      <c r="F927" s="1">
        <v>41339</v>
      </c>
      <c r="G927">
        <v>393612086</v>
      </c>
      <c r="H927" t="s">
        <v>1005</v>
      </c>
      <c r="I927">
        <v>7418</v>
      </c>
      <c r="J927">
        <v>421.89</v>
      </c>
      <c r="K927">
        <v>364.69</v>
      </c>
      <c r="L927">
        <v>3129580.02</v>
      </c>
      <c r="M927">
        <v>2705270.42</v>
      </c>
      <c r="N927">
        <v>424309.6</v>
      </c>
    </row>
    <row r="928" spans="1:14" x14ac:dyDescent="0.25">
      <c r="A928" t="s">
        <v>51</v>
      </c>
      <c r="B928" t="s">
        <v>420</v>
      </c>
      <c r="C928" t="s">
        <v>44</v>
      </c>
      <c r="D928" t="s">
        <v>22</v>
      </c>
      <c r="E928" t="s">
        <v>18</v>
      </c>
      <c r="F928" t="s">
        <v>1006</v>
      </c>
      <c r="G928">
        <v>469548642</v>
      </c>
      <c r="H928" t="s">
        <v>1007</v>
      </c>
      <c r="I928">
        <v>8732</v>
      </c>
      <c r="J928">
        <v>109.28</v>
      </c>
      <c r="K928">
        <v>35.840000000000003</v>
      </c>
      <c r="L928">
        <v>954232.96</v>
      </c>
      <c r="M928">
        <v>312954.88</v>
      </c>
      <c r="N928">
        <v>641278.07999999996</v>
      </c>
    </row>
    <row r="929" spans="1:14" x14ac:dyDescent="0.25">
      <c r="A929" t="s">
        <v>29</v>
      </c>
      <c r="B929" t="s">
        <v>494</v>
      </c>
      <c r="C929" t="s">
        <v>88</v>
      </c>
      <c r="D929" t="s">
        <v>17</v>
      </c>
      <c r="E929" t="s">
        <v>18</v>
      </c>
      <c r="F929" t="s">
        <v>1008</v>
      </c>
      <c r="G929">
        <v>950619781</v>
      </c>
      <c r="H929" t="s">
        <v>1009</v>
      </c>
      <c r="I929">
        <v>8373</v>
      </c>
      <c r="J929">
        <v>9.33</v>
      </c>
      <c r="K929">
        <v>6.92</v>
      </c>
      <c r="L929">
        <v>78120.09</v>
      </c>
      <c r="M929">
        <v>57941.16</v>
      </c>
      <c r="N929">
        <v>20178.93</v>
      </c>
    </row>
    <row r="930" spans="1:14" x14ac:dyDescent="0.25">
      <c r="A930" t="s">
        <v>51</v>
      </c>
      <c r="B930" t="s">
        <v>100</v>
      </c>
      <c r="C930" t="s">
        <v>59</v>
      </c>
      <c r="D930" t="s">
        <v>22</v>
      </c>
      <c r="E930" t="s">
        <v>18</v>
      </c>
      <c r="F930" s="1">
        <v>41308</v>
      </c>
      <c r="G930">
        <v>132186830</v>
      </c>
      <c r="H930" t="s">
        <v>82</v>
      </c>
      <c r="I930">
        <v>5875</v>
      </c>
      <c r="J930">
        <v>437.2</v>
      </c>
      <c r="K930">
        <v>263.33</v>
      </c>
      <c r="L930">
        <v>2568550</v>
      </c>
      <c r="M930">
        <v>1547063.75</v>
      </c>
      <c r="N930">
        <v>1021486.25</v>
      </c>
    </row>
    <row r="931" spans="1:14" x14ac:dyDescent="0.25">
      <c r="A931" t="s">
        <v>25</v>
      </c>
      <c r="B931" t="s">
        <v>343</v>
      </c>
      <c r="C931" t="s">
        <v>16</v>
      </c>
      <c r="D931" t="s">
        <v>17</v>
      </c>
      <c r="E931" t="s">
        <v>18</v>
      </c>
      <c r="F931" s="1">
        <v>41920</v>
      </c>
      <c r="G931">
        <v>879923617</v>
      </c>
      <c r="H931" t="s">
        <v>753</v>
      </c>
      <c r="I931">
        <v>7807</v>
      </c>
      <c r="J931">
        <v>255.28</v>
      </c>
      <c r="K931">
        <v>159.41999999999999</v>
      </c>
      <c r="L931">
        <v>1992970.96</v>
      </c>
      <c r="M931">
        <v>1244591.94</v>
      </c>
      <c r="N931">
        <v>748379.02</v>
      </c>
    </row>
    <row r="932" spans="1:14" x14ac:dyDescent="0.25">
      <c r="A932" t="s">
        <v>25</v>
      </c>
      <c r="B932" t="s">
        <v>211</v>
      </c>
      <c r="C932" t="s">
        <v>21</v>
      </c>
      <c r="D932" t="s">
        <v>22</v>
      </c>
      <c r="E932" t="s">
        <v>45</v>
      </c>
      <c r="F932" s="1">
        <v>41885</v>
      </c>
      <c r="G932">
        <v>279816472</v>
      </c>
      <c r="H932" t="s">
        <v>1010</v>
      </c>
      <c r="I932">
        <v>2767</v>
      </c>
      <c r="J932">
        <v>152.58000000000001</v>
      </c>
      <c r="K932">
        <v>97.44</v>
      </c>
      <c r="L932">
        <v>422188.86</v>
      </c>
      <c r="M932">
        <v>269616.48</v>
      </c>
      <c r="N932">
        <v>152572.38</v>
      </c>
    </row>
    <row r="933" spans="1:14" x14ac:dyDescent="0.25">
      <c r="A933" t="s">
        <v>42</v>
      </c>
      <c r="B933" t="s">
        <v>174</v>
      </c>
      <c r="C933" t="s">
        <v>27</v>
      </c>
      <c r="D933" t="s">
        <v>22</v>
      </c>
      <c r="E933" t="s">
        <v>23</v>
      </c>
      <c r="F933" s="1">
        <v>42462</v>
      </c>
      <c r="G933">
        <v>888164222</v>
      </c>
      <c r="H933" t="s">
        <v>894</v>
      </c>
      <c r="I933">
        <v>6385</v>
      </c>
      <c r="J933">
        <v>47.45</v>
      </c>
      <c r="K933">
        <v>31.79</v>
      </c>
      <c r="L933">
        <v>302968.25</v>
      </c>
      <c r="M933">
        <v>202979.15</v>
      </c>
      <c r="N933">
        <v>99989.1</v>
      </c>
    </row>
    <row r="934" spans="1:14" x14ac:dyDescent="0.25">
      <c r="A934" t="s">
        <v>51</v>
      </c>
      <c r="B934" t="s">
        <v>424</v>
      </c>
      <c r="C934" t="s">
        <v>59</v>
      </c>
      <c r="D934" t="s">
        <v>17</v>
      </c>
      <c r="E934" t="s">
        <v>45</v>
      </c>
      <c r="F934" s="1">
        <v>40488</v>
      </c>
      <c r="G934">
        <v>381578195</v>
      </c>
      <c r="H934" s="1">
        <v>40305</v>
      </c>
      <c r="I934">
        <v>6322</v>
      </c>
      <c r="J934">
        <v>437.2</v>
      </c>
      <c r="K934">
        <v>263.33</v>
      </c>
      <c r="L934">
        <v>2763978.4</v>
      </c>
      <c r="M934">
        <v>1664772.26</v>
      </c>
      <c r="N934">
        <v>1099206.1399999999</v>
      </c>
    </row>
    <row r="935" spans="1:14" x14ac:dyDescent="0.25">
      <c r="A935" t="s">
        <v>51</v>
      </c>
      <c r="B935" t="s">
        <v>274</v>
      </c>
      <c r="C935" t="s">
        <v>131</v>
      </c>
      <c r="D935" t="s">
        <v>17</v>
      </c>
      <c r="E935" t="s">
        <v>18</v>
      </c>
      <c r="F935" t="s">
        <v>1011</v>
      </c>
      <c r="G935">
        <v>106982219</v>
      </c>
      <c r="H935" t="s">
        <v>1012</v>
      </c>
      <c r="I935">
        <v>7271</v>
      </c>
      <c r="J935">
        <v>668.27</v>
      </c>
      <c r="K935">
        <v>502.54</v>
      </c>
      <c r="L935">
        <v>4858991.17</v>
      </c>
      <c r="M935">
        <v>3653968.34</v>
      </c>
      <c r="N935">
        <v>1205022.83</v>
      </c>
    </row>
    <row r="936" spans="1:14" x14ac:dyDescent="0.25">
      <c r="A936" t="s">
        <v>14</v>
      </c>
      <c r="B936" t="s">
        <v>226</v>
      </c>
      <c r="C936" t="s">
        <v>88</v>
      </c>
      <c r="D936" t="s">
        <v>22</v>
      </c>
      <c r="E936" t="s">
        <v>45</v>
      </c>
      <c r="F936" t="s">
        <v>278</v>
      </c>
      <c r="G936">
        <v>131612622</v>
      </c>
      <c r="H936" t="s">
        <v>764</v>
      </c>
      <c r="I936">
        <v>5954</v>
      </c>
      <c r="J936">
        <v>9.33</v>
      </c>
      <c r="K936">
        <v>6.92</v>
      </c>
      <c r="L936">
        <v>55550.82</v>
      </c>
      <c r="M936">
        <v>41201.68</v>
      </c>
      <c r="N936">
        <v>14349.14</v>
      </c>
    </row>
    <row r="937" spans="1:14" x14ac:dyDescent="0.25">
      <c r="A937" t="s">
        <v>25</v>
      </c>
      <c r="B937" t="s">
        <v>252</v>
      </c>
      <c r="C937" t="s">
        <v>21</v>
      </c>
      <c r="D937" t="s">
        <v>17</v>
      </c>
      <c r="E937" t="s">
        <v>18</v>
      </c>
      <c r="F937" s="1">
        <v>41040</v>
      </c>
      <c r="G937">
        <v>593018233</v>
      </c>
      <c r="H937" s="1">
        <v>41225</v>
      </c>
      <c r="I937">
        <v>6128</v>
      </c>
      <c r="J937">
        <v>152.58000000000001</v>
      </c>
      <c r="K937">
        <v>97.44</v>
      </c>
      <c r="L937">
        <v>935010.24</v>
      </c>
      <c r="M937">
        <v>597112.31999999995</v>
      </c>
      <c r="N937">
        <v>337897.92</v>
      </c>
    </row>
    <row r="938" spans="1:14" x14ac:dyDescent="0.25">
      <c r="A938" t="s">
        <v>25</v>
      </c>
      <c r="B938" t="s">
        <v>458</v>
      </c>
      <c r="C938" t="s">
        <v>16</v>
      </c>
      <c r="D938" t="s">
        <v>17</v>
      </c>
      <c r="E938" t="s">
        <v>45</v>
      </c>
      <c r="F938" t="s">
        <v>1013</v>
      </c>
      <c r="G938">
        <v>349060380</v>
      </c>
      <c r="H938" t="s">
        <v>89</v>
      </c>
      <c r="I938">
        <v>3578</v>
      </c>
      <c r="J938">
        <v>255.28</v>
      </c>
      <c r="K938">
        <v>159.41999999999999</v>
      </c>
      <c r="L938">
        <v>913391.84</v>
      </c>
      <c r="M938">
        <v>570404.76</v>
      </c>
      <c r="N938">
        <v>342987.08</v>
      </c>
    </row>
    <row r="939" spans="1:14" x14ac:dyDescent="0.25">
      <c r="A939" t="s">
        <v>14</v>
      </c>
      <c r="B939" t="s">
        <v>81</v>
      </c>
      <c r="C939" t="s">
        <v>131</v>
      </c>
      <c r="D939" t="s">
        <v>17</v>
      </c>
      <c r="E939" t="s">
        <v>18</v>
      </c>
      <c r="F939" s="1">
        <v>41586</v>
      </c>
      <c r="G939">
        <v>127912890</v>
      </c>
      <c r="H939" t="s">
        <v>1014</v>
      </c>
      <c r="I939">
        <v>1122</v>
      </c>
      <c r="J939">
        <v>668.27</v>
      </c>
      <c r="K939">
        <v>502.54</v>
      </c>
      <c r="L939">
        <v>749798.94</v>
      </c>
      <c r="M939">
        <v>563849.88</v>
      </c>
      <c r="N939">
        <v>185949.06</v>
      </c>
    </row>
    <row r="940" spans="1:14" x14ac:dyDescent="0.25">
      <c r="A940" t="s">
        <v>51</v>
      </c>
      <c r="B940" t="s">
        <v>848</v>
      </c>
      <c r="C940" t="s">
        <v>59</v>
      </c>
      <c r="D940" t="s">
        <v>22</v>
      </c>
      <c r="E940" t="s">
        <v>23</v>
      </c>
      <c r="F940" t="s">
        <v>1015</v>
      </c>
      <c r="G940">
        <v>278062093</v>
      </c>
      <c r="H940" t="s">
        <v>779</v>
      </c>
      <c r="I940">
        <v>3607</v>
      </c>
      <c r="J940">
        <v>437.2</v>
      </c>
      <c r="K940">
        <v>263.33</v>
      </c>
      <c r="L940">
        <v>1576980.4</v>
      </c>
      <c r="M940">
        <v>949831.31</v>
      </c>
      <c r="N940">
        <v>627149.09</v>
      </c>
    </row>
    <row r="941" spans="1:14" x14ac:dyDescent="0.25">
      <c r="A941" t="s">
        <v>14</v>
      </c>
      <c r="B941" t="s">
        <v>432</v>
      </c>
      <c r="C941" t="s">
        <v>88</v>
      </c>
      <c r="D941" t="s">
        <v>22</v>
      </c>
      <c r="E941" t="s">
        <v>45</v>
      </c>
      <c r="F941" t="s">
        <v>1016</v>
      </c>
      <c r="G941">
        <v>318306815</v>
      </c>
      <c r="H941" t="s">
        <v>245</v>
      </c>
      <c r="I941">
        <v>2915</v>
      </c>
      <c r="J941">
        <v>9.33</v>
      </c>
      <c r="K941">
        <v>6.92</v>
      </c>
      <c r="L941">
        <v>27196.95</v>
      </c>
      <c r="M941">
        <v>20171.8</v>
      </c>
      <c r="N941">
        <v>7025.15</v>
      </c>
    </row>
    <row r="942" spans="1:14" x14ac:dyDescent="0.25">
      <c r="A942" t="s">
        <v>38</v>
      </c>
      <c r="B942" t="s">
        <v>117</v>
      </c>
      <c r="C942" t="s">
        <v>31</v>
      </c>
      <c r="D942" t="s">
        <v>17</v>
      </c>
      <c r="E942" t="s">
        <v>45</v>
      </c>
      <c r="F942" t="s">
        <v>1017</v>
      </c>
      <c r="G942">
        <v>287758386</v>
      </c>
      <c r="H942" s="1">
        <v>42403</v>
      </c>
      <c r="I942">
        <v>2956</v>
      </c>
      <c r="J942">
        <v>205.7</v>
      </c>
      <c r="K942">
        <v>117.11</v>
      </c>
      <c r="L942">
        <v>608049.19999999995</v>
      </c>
      <c r="M942">
        <v>346177.16</v>
      </c>
      <c r="N942">
        <v>261872.04</v>
      </c>
    </row>
    <row r="943" spans="1:14" x14ac:dyDescent="0.25">
      <c r="A943" t="s">
        <v>29</v>
      </c>
      <c r="B943" t="s">
        <v>545</v>
      </c>
      <c r="C943" t="s">
        <v>88</v>
      </c>
      <c r="D943" t="s">
        <v>22</v>
      </c>
      <c r="E943" t="s">
        <v>32</v>
      </c>
      <c r="F943" s="1">
        <v>40238</v>
      </c>
      <c r="G943">
        <v>295840632</v>
      </c>
      <c r="H943" s="1">
        <v>40330</v>
      </c>
      <c r="I943">
        <v>4672</v>
      </c>
      <c r="J943">
        <v>9.33</v>
      </c>
      <c r="K943">
        <v>6.92</v>
      </c>
      <c r="L943">
        <v>43589.760000000002</v>
      </c>
      <c r="M943">
        <v>32330.240000000002</v>
      </c>
      <c r="N943">
        <v>11259.52</v>
      </c>
    </row>
    <row r="944" spans="1:14" x14ac:dyDescent="0.25">
      <c r="A944" t="s">
        <v>29</v>
      </c>
      <c r="B944" t="s">
        <v>137</v>
      </c>
      <c r="C944" t="s">
        <v>27</v>
      </c>
      <c r="D944" t="s">
        <v>17</v>
      </c>
      <c r="E944" t="s">
        <v>45</v>
      </c>
      <c r="F944" t="s">
        <v>1018</v>
      </c>
      <c r="G944">
        <v>972289884</v>
      </c>
      <c r="H944" s="1">
        <v>42682</v>
      </c>
      <c r="I944">
        <v>1038</v>
      </c>
      <c r="J944">
        <v>47.45</v>
      </c>
      <c r="K944">
        <v>31.79</v>
      </c>
      <c r="L944">
        <v>49253.1</v>
      </c>
      <c r="M944">
        <v>32998.019999999997</v>
      </c>
      <c r="N944">
        <v>16255.08</v>
      </c>
    </row>
    <row r="945" spans="1:14" x14ac:dyDescent="0.25">
      <c r="A945" t="s">
        <v>38</v>
      </c>
      <c r="B945" t="s">
        <v>49</v>
      </c>
      <c r="C945" t="s">
        <v>113</v>
      </c>
      <c r="D945" t="s">
        <v>17</v>
      </c>
      <c r="E945" t="s">
        <v>23</v>
      </c>
      <c r="F945" s="1">
        <v>41802</v>
      </c>
      <c r="G945">
        <v>317154967</v>
      </c>
      <c r="H945" s="1">
        <v>41894</v>
      </c>
      <c r="I945">
        <v>2058</v>
      </c>
      <c r="J945">
        <v>154.06</v>
      </c>
      <c r="K945">
        <v>90.93</v>
      </c>
      <c r="L945">
        <v>317055.48</v>
      </c>
      <c r="M945">
        <v>187133.94</v>
      </c>
      <c r="N945">
        <v>129921.54</v>
      </c>
    </row>
    <row r="946" spans="1:14" x14ac:dyDescent="0.25">
      <c r="A946" t="s">
        <v>14</v>
      </c>
      <c r="B946" t="s">
        <v>98</v>
      </c>
      <c r="C946" t="s">
        <v>69</v>
      </c>
      <c r="D946" t="s">
        <v>22</v>
      </c>
      <c r="E946" t="s">
        <v>45</v>
      </c>
      <c r="F946" s="1">
        <v>42345</v>
      </c>
      <c r="G946">
        <v>450797212</v>
      </c>
      <c r="H946" t="s">
        <v>253</v>
      </c>
      <c r="I946">
        <v>9767</v>
      </c>
      <c r="J946">
        <v>421.89</v>
      </c>
      <c r="K946">
        <v>364.69</v>
      </c>
      <c r="L946">
        <v>4120599.63</v>
      </c>
      <c r="M946">
        <v>3561927.23</v>
      </c>
      <c r="N946">
        <v>558672.4</v>
      </c>
    </row>
    <row r="947" spans="1:14" x14ac:dyDescent="0.25">
      <c r="A947" t="s">
        <v>25</v>
      </c>
      <c r="B947" t="s">
        <v>201</v>
      </c>
      <c r="C947" t="s">
        <v>131</v>
      </c>
      <c r="D947" t="s">
        <v>22</v>
      </c>
      <c r="E947" t="s">
        <v>23</v>
      </c>
      <c r="F947" t="s">
        <v>349</v>
      </c>
      <c r="G947">
        <v>863890445</v>
      </c>
      <c r="H947" t="s">
        <v>1019</v>
      </c>
      <c r="I947">
        <v>3235</v>
      </c>
      <c r="J947">
        <v>668.27</v>
      </c>
      <c r="K947">
        <v>502.54</v>
      </c>
      <c r="L947">
        <v>2161853.4500000002</v>
      </c>
      <c r="M947">
        <v>1625716.9</v>
      </c>
      <c r="N947">
        <v>536136.55000000005</v>
      </c>
    </row>
    <row r="948" spans="1:14" x14ac:dyDescent="0.25">
      <c r="A948" t="s">
        <v>25</v>
      </c>
      <c r="B948" t="s">
        <v>284</v>
      </c>
      <c r="C948" t="s">
        <v>40</v>
      </c>
      <c r="D948" t="s">
        <v>17</v>
      </c>
      <c r="E948" t="s">
        <v>23</v>
      </c>
      <c r="F948" t="s">
        <v>394</v>
      </c>
      <c r="G948">
        <v>667420995</v>
      </c>
      <c r="H948" t="s">
        <v>84</v>
      </c>
      <c r="I948">
        <v>3559</v>
      </c>
      <c r="J948">
        <v>81.73</v>
      </c>
      <c r="K948">
        <v>56.67</v>
      </c>
      <c r="L948">
        <v>290877.07</v>
      </c>
      <c r="M948">
        <v>201688.53</v>
      </c>
      <c r="N948">
        <v>89188.54</v>
      </c>
    </row>
    <row r="949" spans="1:14" x14ac:dyDescent="0.25">
      <c r="A949" t="s">
        <v>25</v>
      </c>
      <c r="B949" t="s">
        <v>96</v>
      </c>
      <c r="C949" t="s">
        <v>113</v>
      </c>
      <c r="D949" t="s">
        <v>22</v>
      </c>
      <c r="E949" t="s">
        <v>45</v>
      </c>
      <c r="F949" s="1">
        <v>40820</v>
      </c>
      <c r="G949">
        <v>842687690</v>
      </c>
      <c r="H949" t="s">
        <v>832</v>
      </c>
      <c r="I949">
        <v>8869</v>
      </c>
      <c r="J949">
        <v>154.06</v>
      </c>
      <c r="K949">
        <v>90.93</v>
      </c>
      <c r="L949">
        <v>1366358.14</v>
      </c>
      <c r="M949">
        <v>806458.17</v>
      </c>
      <c r="N949">
        <v>559899.97</v>
      </c>
    </row>
    <row r="950" spans="1:14" x14ac:dyDescent="0.25">
      <c r="A950" t="s">
        <v>42</v>
      </c>
      <c r="B950" t="s">
        <v>361</v>
      </c>
      <c r="C950" t="s">
        <v>40</v>
      </c>
      <c r="D950" t="s">
        <v>22</v>
      </c>
      <c r="E950" t="s">
        <v>45</v>
      </c>
      <c r="F950" t="s">
        <v>983</v>
      </c>
      <c r="G950">
        <v>191301858</v>
      </c>
      <c r="H950" s="1">
        <v>41794</v>
      </c>
      <c r="I950">
        <v>9326</v>
      </c>
      <c r="J950">
        <v>81.73</v>
      </c>
      <c r="K950">
        <v>56.67</v>
      </c>
      <c r="L950">
        <v>762213.98</v>
      </c>
      <c r="M950">
        <v>528504.42000000004</v>
      </c>
      <c r="N950">
        <v>233709.56</v>
      </c>
    </row>
    <row r="951" spans="1:14" x14ac:dyDescent="0.25">
      <c r="A951" t="s">
        <v>38</v>
      </c>
      <c r="B951" t="s">
        <v>68</v>
      </c>
      <c r="C951" t="s">
        <v>31</v>
      </c>
      <c r="D951" t="s">
        <v>17</v>
      </c>
      <c r="E951" t="s">
        <v>32</v>
      </c>
      <c r="F951" s="1">
        <v>42226</v>
      </c>
      <c r="G951">
        <v>285187327</v>
      </c>
      <c r="H951" t="s">
        <v>1020</v>
      </c>
      <c r="I951">
        <v>2123</v>
      </c>
      <c r="J951">
        <v>205.7</v>
      </c>
      <c r="K951">
        <v>117.11</v>
      </c>
      <c r="L951">
        <v>436701.1</v>
      </c>
      <c r="M951">
        <v>248624.53</v>
      </c>
      <c r="N951">
        <v>188076.57</v>
      </c>
    </row>
    <row r="952" spans="1:14" x14ac:dyDescent="0.25">
      <c r="A952" t="s">
        <v>14</v>
      </c>
      <c r="B952" t="s">
        <v>208</v>
      </c>
      <c r="C952" t="s">
        <v>69</v>
      </c>
      <c r="D952" t="s">
        <v>22</v>
      </c>
      <c r="E952" t="s">
        <v>18</v>
      </c>
      <c r="F952" t="s">
        <v>1021</v>
      </c>
      <c r="G952">
        <v>516580426</v>
      </c>
      <c r="H952" t="s">
        <v>1022</v>
      </c>
      <c r="I952">
        <v>6483</v>
      </c>
      <c r="J952">
        <v>421.89</v>
      </c>
      <c r="K952">
        <v>364.69</v>
      </c>
      <c r="L952">
        <v>2735112.87</v>
      </c>
      <c r="M952">
        <v>2364285.27</v>
      </c>
      <c r="N952">
        <v>370827.6</v>
      </c>
    </row>
    <row r="953" spans="1:14" x14ac:dyDescent="0.25">
      <c r="A953" t="s">
        <v>51</v>
      </c>
      <c r="B953" t="s">
        <v>305</v>
      </c>
      <c r="C953" t="s">
        <v>69</v>
      </c>
      <c r="D953" t="s">
        <v>22</v>
      </c>
      <c r="E953" t="s">
        <v>32</v>
      </c>
      <c r="F953" s="1">
        <v>40788</v>
      </c>
      <c r="G953">
        <v>348029983</v>
      </c>
      <c r="H953" s="1">
        <v>40577</v>
      </c>
      <c r="I953">
        <v>8661</v>
      </c>
      <c r="J953">
        <v>421.89</v>
      </c>
      <c r="K953">
        <v>364.69</v>
      </c>
      <c r="L953">
        <v>3653989.29</v>
      </c>
      <c r="M953">
        <v>3158580.09</v>
      </c>
      <c r="N953">
        <v>495409.2</v>
      </c>
    </row>
    <row r="954" spans="1:14" x14ac:dyDescent="0.25">
      <c r="A954" t="s">
        <v>14</v>
      </c>
      <c r="B954" t="s">
        <v>208</v>
      </c>
      <c r="C954" t="s">
        <v>55</v>
      </c>
      <c r="D954" t="s">
        <v>22</v>
      </c>
      <c r="E954" t="s">
        <v>32</v>
      </c>
      <c r="F954" s="1">
        <v>40731</v>
      </c>
      <c r="G954">
        <v>662397325</v>
      </c>
      <c r="H954" t="s">
        <v>554</v>
      </c>
      <c r="I954">
        <v>6943</v>
      </c>
      <c r="J954">
        <v>651.21</v>
      </c>
      <c r="K954">
        <v>524.96</v>
      </c>
      <c r="L954">
        <v>4521351.03</v>
      </c>
      <c r="M954">
        <v>3644797.28</v>
      </c>
      <c r="N954">
        <v>876553.75</v>
      </c>
    </row>
    <row r="955" spans="1:14" x14ac:dyDescent="0.25">
      <c r="A955" t="s">
        <v>51</v>
      </c>
      <c r="B955" t="s">
        <v>164</v>
      </c>
      <c r="C955" t="s">
        <v>21</v>
      </c>
      <c r="D955" t="s">
        <v>22</v>
      </c>
      <c r="E955" t="s">
        <v>32</v>
      </c>
      <c r="F955" t="s">
        <v>1023</v>
      </c>
      <c r="G955">
        <v>612856280</v>
      </c>
      <c r="H955" t="s">
        <v>1024</v>
      </c>
      <c r="I955">
        <v>6647</v>
      </c>
      <c r="J955">
        <v>152.58000000000001</v>
      </c>
      <c r="K955">
        <v>97.44</v>
      </c>
      <c r="L955">
        <v>1014199.26</v>
      </c>
      <c r="M955">
        <v>647683.68000000005</v>
      </c>
      <c r="N955">
        <v>366515.58</v>
      </c>
    </row>
    <row r="956" spans="1:14" x14ac:dyDescent="0.25">
      <c r="A956" t="s">
        <v>25</v>
      </c>
      <c r="B956" t="s">
        <v>142</v>
      </c>
      <c r="C956" t="s">
        <v>27</v>
      </c>
      <c r="D956" t="s">
        <v>22</v>
      </c>
      <c r="E956" t="s">
        <v>32</v>
      </c>
      <c r="F956" s="1">
        <v>40940</v>
      </c>
      <c r="G956">
        <v>772893178</v>
      </c>
      <c r="H956" s="1">
        <v>40940</v>
      </c>
      <c r="I956">
        <v>5122</v>
      </c>
      <c r="J956">
        <v>47.45</v>
      </c>
      <c r="K956">
        <v>31.79</v>
      </c>
      <c r="L956">
        <v>243038.9</v>
      </c>
      <c r="M956">
        <v>162828.38</v>
      </c>
      <c r="N956">
        <v>80210.52</v>
      </c>
    </row>
    <row r="957" spans="1:14" x14ac:dyDescent="0.25">
      <c r="A957" t="s">
        <v>51</v>
      </c>
      <c r="B957" t="s">
        <v>192</v>
      </c>
      <c r="C957" t="s">
        <v>16</v>
      </c>
      <c r="D957" t="s">
        <v>17</v>
      </c>
      <c r="E957" t="s">
        <v>45</v>
      </c>
      <c r="F957" t="s">
        <v>1025</v>
      </c>
      <c r="G957">
        <v>886306846</v>
      </c>
      <c r="H957" t="s">
        <v>1026</v>
      </c>
      <c r="I957">
        <v>6746</v>
      </c>
      <c r="J957">
        <v>255.28</v>
      </c>
      <c r="K957">
        <v>159.41999999999999</v>
      </c>
      <c r="L957">
        <v>1722118.88</v>
      </c>
      <c r="M957">
        <v>1075447.32</v>
      </c>
      <c r="N957">
        <v>646671.56000000006</v>
      </c>
    </row>
    <row r="958" spans="1:14" x14ac:dyDescent="0.25">
      <c r="A958" t="s">
        <v>29</v>
      </c>
      <c r="B958" t="s">
        <v>440</v>
      </c>
      <c r="C958" t="s">
        <v>113</v>
      </c>
      <c r="D958" t="s">
        <v>17</v>
      </c>
      <c r="E958" t="s">
        <v>23</v>
      </c>
      <c r="F958" t="s">
        <v>902</v>
      </c>
      <c r="G958">
        <v>317208611</v>
      </c>
      <c r="H958" t="s">
        <v>1027</v>
      </c>
      <c r="I958">
        <v>7932</v>
      </c>
      <c r="J958">
        <v>154.06</v>
      </c>
      <c r="K958">
        <v>90.93</v>
      </c>
      <c r="L958">
        <v>1222003.92</v>
      </c>
      <c r="M958">
        <v>721256.76</v>
      </c>
      <c r="N958">
        <v>500747.16</v>
      </c>
    </row>
    <row r="959" spans="1:14" x14ac:dyDescent="0.25">
      <c r="A959" t="s">
        <v>51</v>
      </c>
      <c r="B959" t="s">
        <v>414</v>
      </c>
      <c r="C959" t="s">
        <v>16</v>
      </c>
      <c r="D959" t="s">
        <v>22</v>
      </c>
      <c r="E959" t="s">
        <v>32</v>
      </c>
      <c r="F959" s="1">
        <v>40852</v>
      </c>
      <c r="G959">
        <v>300022304</v>
      </c>
      <c r="H959" s="1">
        <v>40580</v>
      </c>
      <c r="I959">
        <v>2122</v>
      </c>
      <c r="J959">
        <v>255.28</v>
      </c>
      <c r="K959">
        <v>159.41999999999999</v>
      </c>
      <c r="L959">
        <v>541704.16</v>
      </c>
      <c r="M959">
        <v>338289.24</v>
      </c>
      <c r="N959">
        <v>203414.92</v>
      </c>
    </row>
    <row r="960" spans="1:14" x14ac:dyDescent="0.25">
      <c r="A960" t="s">
        <v>25</v>
      </c>
      <c r="B960" t="s">
        <v>26</v>
      </c>
      <c r="C960" t="s">
        <v>21</v>
      </c>
      <c r="D960" t="s">
        <v>17</v>
      </c>
      <c r="E960" t="s">
        <v>18</v>
      </c>
      <c r="F960" s="1">
        <v>40670</v>
      </c>
      <c r="G960">
        <v>789484250</v>
      </c>
      <c r="H960" t="s">
        <v>1028</v>
      </c>
      <c r="I960">
        <v>4789</v>
      </c>
      <c r="J960">
        <v>152.58000000000001</v>
      </c>
      <c r="K960">
        <v>97.44</v>
      </c>
      <c r="L960">
        <v>730705.62</v>
      </c>
      <c r="M960">
        <v>466640.16</v>
      </c>
      <c r="N960">
        <v>264065.46000000002</v>
      </c>
    </row>
    <row r="961" spans="1:14" x14ac:dyDescent="0.25">
      <c r="A961" t="s">
        <v>51</v>
      </c>
      <c r="B961" t="s">
        <v>414</v>
      </c>
      <c r="C961" t="s">
        <v>31</v>
      </c>
      <c r="D961" t="s">
        <v>22</v>
      </c>
      <c r="E961" t="s">
        <v>18</v>
      </c>
      <c r="F961" s="1">
        <v>40248</v>
      </c>
      <c r="G961">
        <v>910643279</v>
      </c>
      <c r="H961" t="s">
        <v>1029</v>
      </c>
      <c r="I961">
        <v>8438</v>
      </c>
      <c r="J961">
        <v>205.7</v>
      </c>
      <c r="K961">
        <v>117.11</v>
      </c>
      <c r="L961">
        <v>1735696.6</v>
      </c>
      <c r="M961">
        <v>988174.18</v>
      </c>
      <c r="N961">
        <v>747522.42</v>
      </c>
    </row>
    <row r="962" spans="1:14" x14ac:dyDescent="0.25">
      <c r="A962" t="s">
        <v>14</v>
      </c>
      <c r="B962" t="s">
        <v>370</v>
      </c>
      <c r="C962" t="s">
        <v>69</v>
      </c>
      <c r="D962" t="s">
        <v>22</v>
      </c>
      <c r="E962" t="s">
        <v>32</v>
      </c>
      <c r="F962" t="s">
        <v>1030</v>
      </c>
      <c r="G962">
        <v>308860719</v>
      </c>
      <c r="H962" t="s">
        <v>1031</v>
      </c>
      <c r="I962">
        <v>7605</v>
      </c>
      <c r="J962">
        <v>421.89</v>
      </c>
      <c r="K962">
        <v>364.69</v>
      </c>
      <c r="L962">
        <v>3208473.45</v>
      </c>
      <c r="M962">
        <v>2773467.45</v>
      </c>
      <c r="N962">
        <v>435006</v>
      </c>
    </row>
    <row r="963" spans="1:14" x14ac:dyDescent="0.25">
      <c r="A963" t="s">
        <v>38</v>
      </c>
      <c r="B963" t="s">
        <v>117</v>
      </c>
      <c r="C963" t="s">
        <v>21</v>
      </c>
      <c r="D963" t="s">
        <v>17</v>
      </c>
      <c r="E963" t="s">
        <v>18</v>
      </c>
      <c r="F963" t="s">
        <v>1032</v>
      </c>
      <c r="G963">
        <v>499810397</v>
      </c>
      <c r="H963" t="s">
        <v>195</v>
      </c>
      <c r="I963">
        <v>3858</v>
      </c>
      <c r="J963">
        <v>152.58000000000001</v>
      </c>
      <c r="K963">
        <v>97.44</v>
      </c>
      <c r="L963">
        <v>588653.64</v>
      </c>
      <c r="M963">
        <v>375923.52</v>
      </c>
      <c r="N963">
        <v>212730.12</v>
      </c>
    </row>
    <row r="964" spans="1:14" x14ac:dyDescent="0.25">
      <c r="A964" t="s">
        <v>77</v>
      </c>
      <c r="B964" t="s">
        <v>622</v>
      </c>
      <c r="C964" t="s">
        <v>44</v>
      </c>
      <c r="D964" t="s">
        <v>17</v>
      </c>
      <c r="E964" t="s">
        <v>23</v>
      </c>
      <c r="F964" s="1">
        <v>40824</v>
      </c>
      <c r="G964">
        <v>819478642</v>
      </c>
      <c r="H964" t="s">
        <v>699</v>
      </c>
      <c r="I964">
        <v>796</v>
      </c>
      <c r="J964">
        <v>109.28</v>
      </c>
      <c r="K964">
        <v>35.840000000000003</v>
      </c>
      <c r="L964">
        <v>86986.880000000005</v>
      </c>
      <c r="M964">
        <v>28528.639999999999</v>
      </c>
      <c r="N964">
        <v>58458.239999999998</v>
      </c>
    </row>
    <row r="965" spans="1:14" x14ac:dyDescent="0.25">
      <c r="A965" t="s">
        <v>42</v>
      </c>
      <c r="B965" t="s">
        <v>630</v>
      </c>
      <c r="C965" t="s">
        <v>16</v>
      </c>
      <c r="D965" t="s">
        <v>22</v>
      </c>
      <c r="E965" t="s">
        <v>32</v>
      </c>
      <c r="F965" t="s">
        <v>797</v>
      </c>
      <c r="G965">
        <v>674164283</v>
      </c>
      <c r="H965" s="1">
        <v>42655</v>
      </c>
      <c r="I965">
        <v>9048</v>
      </c>
      <c r="J965">
        <v>255.28</v>
      </c>
      <c r="K965">
        <v>159.41999999999999</v>
      </c>
      <c r="L965">
        <v>2309773.44</v>
      </c>
      <c r="M965">
        <v>1442432.16</v>
      </c>
      <c r="N965">
        <v>867341.28</v>
      </c>
    </row>
    <row r="966" spans="1:14" x14ac:dyDescent="0.25">
      <c r="A966" t="s">
        <v>51</v>
      </c>
      <c r="B966" t="s">
        <v>192</v>
      </c>
      <c r="C966" t="s">
        <v>31</v>
      </c>
      <c r="D966" t="s">
        <v>22</v>
      </c>
      <c r="E966" t="s">
        <v>32</v>
      </c>
      <c r="F966" t="s">
        <v>1033</v>
      </c>
      <c r="G966">
        <v>890478646</v>
      </c>
      <c r="H966" t="s">
        <v>1034</v>
      </c>
      <c r="I966">
        <v>1275</v>
      </c>
      <c r="J966">
        <v>205.7</v>
      </c>
      <c r="K966">
        <v>117.11</v>
      </c>
      <c r="L966">
        <v>262267.5</v>
      </c>
      <c r="M966">
        <v>149315.25</v>
      </c>
      <c r="N966">
        <v>112952.25</v>
      </c>
    </row>
    <row r="967" spans="1:14" x14ac:dyDescent="0.25">
      <c r="A967" t="s">
        <v>51</v>
      </c>
      <c r="B967" t="s">
        <v>129</v>
      </c>
      <c r="C967" t="s">
        <v>69</v>
      </c>
      <c r="D967" t="s">
        <v>17</v>
      </c>
      <c r="E967" t="s">
        <v>18</v>
      </c>
      <c r="F967" t="s">
        <v>1035</v>
      </c>
      <c r="G967">
        <v>565345561</v>
      </c>
      <c r="H967" s="1">
        <v>41317</v>
      </c>
      <c r="I967">
        <v>7170</v>
      </c>
      <c r="J967">
        <v>421.89</v>
      </c>
      <c r="K967">
        <v>364.69</v>
      </c>
      <c r="L967">
        <v>3024951.3</v>
      </c>
      <c r="M967">
        <v>2614827.2999999998</v>
      </c>
      <c r="N967">
        <v>410124</v>
      </c>
    </row>
    <row r="968" spans="1:14" x14ac:dyDescent="0.25">
      <c r="A968" t="s">
        <v>77</v>
      </c>
      <c r="B968" t="s">
        <v>794</v>
      </c>
      <c r="C968" t="s">
        <v>131</v>
      </c>
      <c r="D968" t="s">
        <v>17</v>
      </c>
      <c r="E968" t="s">
        <v>45</v>
      </c>
      <c r="F968" s="1">
        <v>40641</v>
      </c>
      <c r="G968">
        <v>216001355</v>
      </c>
      <c r="H968" t="s">
        <v>1036</v>
      </c>
      <c r="I968">
        <v>8456</v>
      </c>
      <c r="J968">
        <v>668.27</v>
      </c>
      <c r="K968">
        <v>502.54</v>
      </c>
      <c r="L968">
        <v>5650891.1200000001</v>
      </c>
      <c r="M968">
        <v>4249478.24</v>
      </c>
      <c r="N968">
        <v>1401412.88</v>
      </c>
    </row>
    <row r="969" spans="1:14" x14ac:dyDescent="0.25">
      <c r="A969" t="s">
        <v>42</v>
      </c>
      <c r="B969" t="s">
        <v>630</v>
      </c>
      <c r="C969" t="s">
        <v>27</v>
      </c>
      <c r="D969" t="s">
        <v>17</v>
      </c>
      <c r="E969" t="s">
        <v>18</v>
      </c>
      <c r="F969" s="1">
        <v>42644</v>
      </c>
      <c r="G969">
        <v>429994857</v>
      </c>
      <c r="H969" s="1">
        <v>42675</v>
      </c>
      <c r="I969">
        <v>3888</v>
      </c>
      <c r="J969">
        <v>47.45</v>
      </c>
      <c r="K969">
        <v>31.79</v>
      </c>
      <c r="L969">
        <v>184485.6</v>
      </c>
      <c r="M969">
        <v>123599.52</v>
      </c>
      <c r="N969">
        <v>60886.080000000002</v>
      </c>
    </row>
    <row r="970" spans="1:14" x14ac:dyDescent="0.25">
      <c r="A970" t="s">
        <v>42</v>
      </c>
      <c r="B970" t="s">
        <v>174</v>
      </c>
      <c r="C970" t="s">
        <v>55</v>
      </c>
      <c r="D970" t="s">
        <v>17</v>
      </c>
      <c r="E970" t="s">
        <v>23</v>
      </c>
      <c r="F970" t="s">
        <v>275</v>
      </c>
      <c r="G970">
        <v>515187394</v>
      </c>
      <c r="H970" s="1">
        <v>40333</v>
      </c>
      <c r="I970">
        <v>4253</v>
      </c>
      <c r="J970">
        <v>651.21</v>
      </c>
      <c r="K970">
        <v>524.96</v>
      </c>
      <c r="L970">
        <v>2769596.13</v>
      </c>
      <c r="M970">
        <v>2232654.88</v>
      </c>
      <c r="N970">
        <v>536941.25</v>
      </c>
    </row>
    <row r="971" spans="1:14" x14ac:dyDescent="0.25">
      <c r="A971" t="s">
        <v>51</v>
      </c>
      <c r="B971" t="s">
        <v>164</v>
      </c>
      <c r="C971" t="s">
        <v>55</v>
      </c>
      <c r="D971" t="s">
        <v>17</v>
      </c>
      <c r="E971" t="s">
        <v>32</v>
      </c>
      <c r="F971" t="s">
        <v>1037</v>
      </c>
      <c r="G971">
        <v>749752795</v>
      </c>
      <c r="H971" t="s">
        <v>969</v>
      </c>
      <c r="I971">
        <v>7368</v>
      </c>
      <c r="J971">
        <v>651.21</v>
      </c>
      <c r="K971">
        <v>524.96</v>
      </c>
      <c r="L971">
        <v>4798115.28</v>
      </c>
      <c r="M971">
        <v>3867905.28</v>
      </c>
      <c r="N971">
        <v>930210</v>
      </c>
    </row>
    <row r="972" spans="1:14" x14ac:dyDescent="0.25">
      <c r="A972" t="s">
        <v>51</v>
      </c>
      <c r="B972" t="s">
        <v>417</v>
      </c>
      <c r="C972" t="s">
        <v>27</v>
      </c>
      <c r="D972" t="s">
        <v>22</v>
      </c>
      <c r="E972" t="s">
        <v>18</v>
      </c>
      <c r="F972" t="s">
        <v>659</v>
      </c>
      <c r="G972">
        <v>132177388</v>
      </c>
      <c r="H972" s="1">
        <v>40370</v>
      </c>
      <c r="I972">
        <v>3081</v>
      </c>
      <c r="J972">
        <v>47.45</v>
      </c>
      <c r="K972">
        <v>31.79</v>
      </c>
      <c r="L972">
        <v>146193.45000000001</v>
      </c>
      <c r="M972">
        <v>97944.99</v>
      </c>
      <c r="N972">
        <v>48248.46</v>
      </c>
    </row>
    <row r="973" spans="1:14" x14ac:dyDescent="0.25">
      <c r="A973" t="s">
        <v>29</v>
      </c>
      <c r="B973" t="s">
        <v>271</v>
      </c>
      <c r="C973" t="s">
        <v>16</v>
      </c>
      <c r="D973" t="s">
        <v>17</v>
      </c>
      <c r="E973" t="s">
        <v>32</v>
      </c>
      <c r="F973" s="1">
        <v>42157</v>
      </c>
      <c r="G973">
        <v>431260001</v>
      </c>
      <c r="H973" s="1">
        <v>42310</v>
      </c>
      <c r="I973">
        <v>8273</v>
      </c>
      <c r="J973">
        <v>255.28</v>
      </c>
      <c r="K973">
        <v>159.41999999999999</v>
      </c>
      <c r="L973">
        <v>2111931.44</v>
      </c>
      <c r="M973">
        <v>1318881.6599999999</v>
      </c>
      <c r="N973">
        <v>793049.78</v>
      </c>
    </row>
    <row r="974" spans="1:14" x14ac:dyDescent="0.25">
      <c r="A974" t="s">
        <v>25</v>
      </c>
      <c r="B974" t="s">
        <v>603</v>
      </c>
      <c r="C974" t="s">
        <v>40</v>
      </c>
      <c r="D974" t="s">
        <v>22</v>
      </c>
      <c r="E974" t="s">
        <v>18</v>
      </c>
      <c r="F974" t="s">
        <v>572</v>
      </c>
      <c r="G974">
        <v>336111962</v>
      </c>
      <c r="H974" t="s">
        <v>1038</v>
      </c>
      <c r="I974">
        <v>1854</v>
      </c>
      <c r="J974">
        <v>81.73</v>
      </c>
      <c r="K974">
        <v>56.67</v>
      </c>
      <c r="L974">
        <v>151527.42000000001</v>
      </c>
      <c r="M974">
        <v>105066.18</v>
      </c>
      <c r="N974">
        <v>46461.24</v>
      </c>
    </row>
    <row r="975" spans="1:14" x14ac:dyDescent="0.25">
      <c r="A975" t="s">
        <v>51</v>
      </c>
      <c r="B975" t="s">
        <v>182</v>
      </c>
      <c r="C975" t="s">
        <v>40</v>
      </c>
      <c r="D975" t="s">
        <v>17</v>
      </c>
      <c r="E975" t="s">
        <v>18</v>
      </c>
      <c r="F975" t="s">
        <v>1039</v>
      </c>
      <c r="G975">
        <v>406157100</v>
      </c>
      <c r="H975" t="s">
        <v>178</v>
      </c>
      <c r="I975">
        <v>9766</v>
      </c>
      <c r="J975">
        <v>81.73</v>
      </c>
      <c r="K975">
        <v>56.67</v>
      </c>
      <c r="L975">
        <v>798175.18</v>
      </c>
      <c r="M975">
        <v>553439.22</v>
      </c>
      <c r="N975">
        <v>244735.96</v>
      </c>
    </row>
    <row r="976" spans="1:14" x14ac:dyDescent="0.25">
      <c r="A976" t="s">
        <v>25</v>
      </c>
      <c r="B976" t="s">
        <v>142</v>
      </c>
      <c r="C976" t="s">
        <v>131</v>
      </c>
      <c r="D976" t="s">
        <v>22</v>
      </c>
      <c r="E976" t="s">
        <v>45</v>
      </c>
      <c r="F976" s="1">
        <v>42259</v>
      </c>
      <c r="G976">
        <v>821131742</v>
      </c>
      <c r="H976" s="1">
        <v>42259</v>
      </c>
      <c r="I976">
        <v>9985</v>
      </c>
      <c r="J976">
        <v>668.27</v>
      </c>
      <c r="K976">
        <v>502.54</v>
      </c>
      <c r="L976">
        <v>6672675.9500000002</v>
      </c>
      <c r="M976">
        <v>5017861.9000000004</v>
      </c>
      <c r="N976">
        <v>1654814.05</v>
      </c>
    </row>
    <row r="977" spans="1:14" x14ac:dyDescent="0.25">
      <c r="A977" t="s">
        <v>51</v>
      </c>
      <c r="B977" t="s">
        <v>542</v>
      </c>
      <c r="C977" t="s">
        <v>40</v>
      </c>
      <c r="D977" t="s">
        <v>17</v>
      </c>
      <c r="E977" t="s">
        <v>18</v>
      </c>
      <c r="F977" t="s">
        <v>408</v>
      </c>
      <c r="G977">
        <v>931084716</v>
      </c>
      <c r="H977" s="1">
        <v>41462</v>
      </c>
      <c r="I977">
        <v>7513</v>
      </c>
      <c r="J977">
        <v>81.73</v>
      </c>
      <c r="K977">
        <v>56.67</v>
      </c>
      <c r="L977">
        <v>614037.49</v>
      </c>
      <c r="M977">
        <v>425761.71</v>
      </c>
      <c r="N977">
        <v>188275.78</v>
      </c>
    </row>
    <row r="978" spans="1:14" x14ac:dyDescent="0.25">
      <c r="A978" t="s">
        <v>51</v>
      </c>
      <c r="B978" t="s">
        <v>305</v>
      </c>
      <c r="C978" t="s">
        <v>16</v>
      </c>
      <c r="D978" t="s">
        <v>22</v>
      </c>
      <c r="E978" t="s">
        <v>45</v>
      </c>
      <c r="F978" t="s">
        <v>352</v>
      </c>
      <c r="G978">
        <v>606377351</v>
      </c>
      <c r="H978" t="s">
        <v>63</v>
      </c>
      <c r="I978">
        <v>9388</v>
      </c>
      <c r="J978">
        <v>255.28</v>
      </c>
      <c r="K978">
        <v>159.41999999999999</v>
      </c>
      <c r="L978">
        <v>2396568.64</v>
      </c>
      <c r="M978">
        <v>1496634.96</v>
      </c>
      <c r="N978">
        <v>899933.68</v>
      </c>
    </row>
    <row r="979" spans="1:14" x14ac:dyDescent="0.25">
      <c r="A979" t="s">
        <v>51</v>
      </c>
      <c r="B979" t="s">
        <v>502</v>
      </c>
      <c r="C979" t="s">
        <v>113</v>
      </c>
      <c r="D979" t="s">
        <v>17</v>
      </c>
      <c r="E979" t="s">
        <v>32</v>
      </c>
      <c r="F979" s="1">
        <v>41823</v>
      </c>
      <c r="G979">
        <v>687683475</v>
      </c>
      <c r="H979" s="1">
        <v>41643</v>
      </c>
      <c r="I979">
        <v>9677</v>
      </c>
      <c r="J979">
        <v>154.06</v>
      </c>
      <c r="K979">
        <v>90.93</v>
      </c>
      <c r="L979">
        <v>1490838.62</v>
      </c>
      <c r="M979">
        <v>879929.61</v>
      </c>
      <c r="N979">
        <v>610909.01</v>
      </c>
    </row>
    <row r="980" spans="1:14" x14ac:dyDescent="0.25">
      <c r="A980" t="s">
        <v>38</v>
      </c>
      <c r="B980" t="s">
        <v>117</v>
      </c>
      <c r="C980" t="s">
        <v>59</v>
      </c>
      <c r="D980" t="s">
        <v>22</v>
      </c>
      <c r="E980" t="s">
        <v>23</v>
      </c>
      <c r="F980" t="s">
        <v>942</v>
      </c>
      <c r="G980">
        <v>735989415</v>
      </c>
      <c r="H980" t="s">
        <v>1040</v>
      </c>
      <c r="I980">
        <v>4478</v>
      </c>
      <c r="J980">
        <v>437.2</v>
      </c>
      <c r="K980">
        <v>263.33</v>
      </c>
      <c r="L980">
        <v>1957781.6</v>
      </c>
      <c r="M980">
        <v>1179191.74</v>
      </c>
      <c r="N980">
        <v>778589.86</v>
      </c>
    </row>
    <row r="981" spans="1:14" x14ac:dyDescent="0.25">
      <c r="A981" t="s">
        <v>14</v>
      </c>
      <c r="B981" t="s">
        <v>15</v>
      </c>
      <c r="C981" t="s">
        <v>21</v>
      </c>
      <c r="D981" t="s">
        <v>22</v>
      </c>
      <c r="E981" t="s">
        <v>18</v>
      </c>
      <c r="F981" t="s">
        <v>277</v>
      </c>
      <c r="G981">
        <v>382594001</v>
      </c>
      <c r="H981" s="1">
        <v>40363</v>
      </c>
      <c r="I981">
        <v>6922</v>
      </c>
      <c r="J981">
        <v>152.58000000000001</v>
      </c>
      <c r="K981">
        <v>97.44</v>
      </c>
      <c r="L981">
        <v>1056158.76</v>
      </c>
      <c r="M981">
        <v>674479.68</v>
      </c>
      <c r="N981">
        <v>381679.08</v>
      </c>
    </row>
    <row r="982" spans="1:14" x14ac:dyDescent="0.25">
      <c r="A982" t="s">
        <v>25</v>
      </c>
      <c r="B982" t="s">
        <v>229</v>
      </c>
      <c r="C982" t="s">
        <v>131</v>
      </c>
      <c r="D982" t="s">
        <v>17</v>
      </c>
      <c r="E982" t="s">
        <v>18</v>
      </c>
      <c r="F982" t="s">
        <v>1041</v>
      </c>
      <c r="G982">
        <v>679108560</v>
      </c>
      <c r="H982" s="1">
        <v>41949</v>
      </c>
      <c r="I982">
        <v>2169</v>
      </c>
      <c r="J982">
        <v>668.27</v>
      </c>
      <c r="K982">
        <v>502.54</v>
      </c>
      <c r="L982">
        <v>1449477.63</v>
      </c>
      <c r="M982">
        <v>1090009.26</v>
      </c>
      <c r="N982">
        <v>359468.37</v>
      </c>
    </row>
    <row r="983" spans="1:14" x14ac:dyDescent="0.25">
      <c r="A983" t="s">
        <v>51</v>
      </c>
      <c r="B983" t="s">
        <v>182</v>
      </c>
      <c r="C983" t="s">
        <v>27</v>
      </c>
      <c r="D983" t="s">
        <v>17</v>
      </c>
      <c r="E983" t="s">
        <v>18</v>
      </c>
      <c r="F983" t="s">
        <v>330</v>
      </c>
      <c r="G983">
        <v>947456920</v>
      </c>
      <c r="H983" t="s">
        <v>160</v>
      </c>
      <c r="I983">
        <v>2412</v>
      </c>
      <c r="J983">
        <v>47.45</v>
      </c>
      <c r="K983">
        <v>31.79</v>
      </c>
      <c r="L983">
        <v>114449.4</v>
      </c>
      <c r="M983">
        <v>76677.48</v>
      </c>
      <c r="N983">
        <v>37771.919999999998</v>
      </c>
    </row>
    <row r="984" spans="1:14" x14ac:dyDescent="0.25">
      <c r="A984" t="s">
        <v>25</v>
      </c>
      <c r="B984" t="s">
        <v>363</v>
      </c>
      <c r="C984" t="s">
        <v>40</v>
      </c>
      <c r="D984" t="s">
        <v>22</v>
      </c>
      <c r="E984" t="s">
        <v>32</v>
      </c>
      <c r="F984" t="s">
        <v>1042</v>
      </c>
      <c r="G984">
        <v>129875409</v>
      </c>
      <c r="H984" t="s">
        <v>1043</v>
      </c>
      <c r="I984">
        <v>1875</v>
      </c>
      <c r="J984">
        <v>81.73</v>
      </c>
      <c r="K984">
        <v>56.67</v>
      </c>
      <c r="L984">
        <v>153243.75</v>
      </c>
      <c r="M984">
        <v>106256.25</v>
      </c>
      <c r="N984">
        <v>46987.5</v>
      </c>
    </row>
    <row r="985" spans="1:14" x14ac:dyDescent="0.25">
      <c r="A985" t="s">
        <v>14</v>
      </c>
      <c r="B985" t="s">
        <v>20</v>
      </c>
      <c r="C985" t="s">
        <v>16</v>
      </c>
      <c r="D985" t="s">
        <v>22</v>
      </c>
      <c r="E985" t="s">
        <v>45</v>
      </c>
      <c r="F985" t="s">
        <v>990</v>
      </c>
      <c r="G985">
        <v>838912856</v>
      </c>
      <c r="H985" s="1">
        <v>41220</v>
      </c>
      <c r="I985">
        <v>1811</v>
      </c>
      <c r="J985">
        <v>255.28</v>
      </c>
      <c r="K985">
        <v>159.41999999999999</v>
      </c>
      <c r="L985">
        <v>462312.08</v>
      </c>
      <c r="M985">
        <v>288709.62</v>
      </c>
      <c r="N985">
        <v>173602.46</v>
      </c>
    </row>
    <row r="986" spans="1:14" x14ac:dyDescent="0.25">
      <c r="A986" t="s">
        <v>77</v>
      </c>
      <c r="B986" t="s">
        <v>320</v>
      </c>
      <c r="C986" t="s">
        <v>27</v>
      </c>
      <c r="D986" t="s">
        <v>22</v>
      </c>
      <c r="E986" t="s">
        <v>23</v>
      </c>
      <c r="F986" t="s">
        <v>1044</v>
      </c>
      <c r="G986">
        <v>807430589</v>
      </c>
      <c r="H986" t="s">
        <v>1045</v>
      </c>
      <c r="I986">
        <v>5509</v>
      </c>
      <c r="J986">
        <v>47.45</v>
      </c>
      <c r="K986">
        <v>31.79</v>
      </c>
      <c r="L986">
        <v>261402.05</v>
      </c>
      <c r="M986">
        <v>175131.11</v>
      </c>
      <c r="N986">
        <v>86270.94</v>
      </c>
    </row>
    <row r="987" spans="1:14" x14ac:dyDescent="0.25">
      <c r="A987" t="s">
        <v>51</v>
      </c>
      <c r="B987" t="s">
        <v>128</v>
      </c>
      <c r="C987" t="s">
        <v>55</v>
      </c>
      <c r="D987" t="s">
        <v>17</v>
      </c>
      <c r="E987" t="s">
        <v>32</v>
      </c>
      <c r="F987" t="s">
        <v>1046</v>
      </c>
      <c r="G987">
        <v>538602435</v>
      </c>
      <c r="H987" t="s">
        <v>455</v>
      </c>
      <c r="I987">
        <v>3284</v>
      </c>
      <c r="J987">
        <v>651.21</v>
      </c>
      <c r="K987">
        <v>524.96</v>
      </c>
      <c r="L987">
        <v>2138573.64</v>
      </c>
      <c r="M987">
        <v>1723968.64</v>
      </c>
      <c r="N987">
        <v>414605</v>
      </c>
    </row>
    <row r="988" spans="1:14" x14ac:dyDescent="0.25">
      <c r="A988" t="s">
        <v>25</v>
      </c>
      <c r="B988" t="s">
        <v>615</v>
      </c>
      <c r="C988" t="s">
        <v>88</v>
      </c>
      <c r="D988" t="s">
        <v>22</v>
      </c>
      <c r="E988" t="s">
        <v>45</v>
      </c>
      <c r="F988" s="1">
        <v>42341</v>
      </c>
      <c r="G988">
        <v>155914723</v>
      </c>
      <c r="H988" t="s">
        <v>1047</v>
      </c>
      <c r="I988">
        <v>7486</v>
      </c>
      <c r="J988">
        <v>9.33</v>
      </c>
      <c r="K988">
        <v>6.92</v>
      </c>
      <c r="L988">
        <v>69844.38</v>
      </c>
      <c r="M988">
        <v>51803.12</v>
      </c>
      <c r="N988">
        <v>18041.259999999998</v>
      </c>
    </row>
    <row r="989" spans="1:14" x14ac:dyDescent="0.25">
      <c r="A989" t="s">
        <v>25</v>
      </c>
      <c r="B989" t="s">
        <v>426</v>
      </c>
      <c r="C989" t="s">
        <v>88</v>
      </c>
      <c r="D989" t="s">
        <v>17</v>
      </c>
      <c r="E989" t="s">
        <v>45</v>
      </c>
      <c r="F989" s="1">
        <v>40796</v>
      </c>
      <c r="G989">
        <v>753166282</v>
      </c>
      <c r="H989" t="s">
        <v>1048</v>
      </c>
      <c r="I989">
        <v>7495</v>
      </c>
      <c r="J989">
        <v>9.33</v>
      </c>
      <c r="K989">
        <v>6.92</v>
      </c>
      <c r="L989">
        <v>69928.350000000006</v>
      </c>
      <c r="M989">
        <v>51865.4</v>
      </c>
      <c r="N989">
        <v>18062.95</v>
      </c>
    </row>
    <row r="990" spans="1:14" x14ac:dyDescent="0.25">
      <c r="A990" t="s">
        <v>51</v>
      </c>
      <c r="B990" t="s">
        <v>360</v>
      </c>
      <c r="C990" t="s">
        <v>16</v>
      </c>
      <c r="D990" t="s">
        <v>17</v>
      </c>
      <c r="E990" t="s">
        <v>23</v>
      </c>
      <c r="F990" t="s">
        <v>155</v>
      </c>
      <c r="G990">
        <v>344468438</v>
      </c>
      <c r="H990" t="s">
        <v>247</v>
      </c>
      <c r="I990">
        <v>4721</v>
      </c>
      <c r="J990">
        <v>255.28</v>
      </c>
      <c r="K990">
        <v>159.41999999999999</v>
      </c>
      <c r="L990">
        <v>1205176.8799999999</v>
      </c>
      <c r="M990">
        <v>752621.82</v>
      </c>
      <c r="N990">
        <v>452555.06</v>
      </c>
    </row>
    <row r="991" spans="1:14" x14ac:dyDescent="0.25">
      <c r="A991" t="s">
        <v>29</v>
      </c>
      <c r="B991" t="s">
        <v>61</v>
      </c>
      <c r="C991" t="s">
        <v>59</v>
      </c>
      <c r="D991" t="s">
        <v>22</v>
      </c>
      <c r="E991" t="s">
        <v>32</v>
      </c>
      <c r="F991" t="s">
        <v>515</v>
      </c>
      <c r="G991">
        <v>614245021</v>
      </c>
      <c r="H991" t="s">
        <v>1049</v>
      </c>
      <c r="I991">
        <v>7606</v>
      </c>
      <c r="J991">
        <v>437.2</v>
      </c>
      <c r="K991">
        <v>263.33</v>
      </c>
      <c r="L991">
        <v>3325343.2</v>
      </c>
      <c r="M991">
        <v>2002887.98</v>
      </c>
      <c r="N991">
        <v>1322455.22</v>
      </c>
    </row>
    <row r="992" spans="1:14" x14ac:dyDescent="0.25">
      <c r="A992" t="s">
        <v>14</v>
      </c>
      <c r="B992" t="s">
        <v>835</v>
      </c>
      <c r="C992" t="s">
        <v>88</v>
      </c>
      <c r="D992" t="s">
        <v>17</v>
      </c>
      <c r="E992" t="s">
        <v>32</v>
      </c>
      <c r="F992" t="s">
        <v>1050</v>
      </c>
      <c r="G992">
        <v>167232358</v>
      </c>
      <c r="H992" t="s">
        <v>1051</v>
      </c>
      <c r="I992">
        <v>6626</v>
      </c>
      <c r="J992">
        <v>9.33</v>
      </c>
      <c r="K992">
        <v>6.92</v>
      </c>
      <c r="L992">
        <v>61820.58</v>
      </c>
      <c r="M992">
        <v>45851.92</v>
      </c>
      <c r="N992">
        <v>15968.66</v>
      </c>
    </row>
    <row r="993" spans="1:14" x14ac:dyDescent="0.25">
      <c r="A993" t="s">
        <v>14</v>
      </c>
      <c r="B993" t="s">
        <v>15</v>
      </c>
      <c r="C993" t="s">
        <v>21</v>
      </c>
      <c r="D993" t="s">
        <v>17</v>
      </c>
      <c r="E993" t="s">
        <v>23</v>
      </c>
      <c r="F993" t="s">
        <v>819</v>
      </c>
      <c r="G993">
        <v>378479278</v>
      </c>
      <c r="H993" t="s">
        <v>1052</v>
      </c>
      <c r="I993">
        <v>9284</v>
      </c>
      <c r="J993">
        <v>152.58000000000001</v>
      </c>
      <c r="K993">
        <v>97.44</v>
      </c>
      <c r="L993">
        <v>1416552.72</v>
      </c>
      <c r="M993">
        <v>904632.96</v>
      </c>
      <c r="N993">
        <v>511919.76</v>
      </c>
    </row>
    <row r="994" spans="1:14" x14ac:dyDescent="0.25">
      <c r="A994" t="s">
        <v>25</v>
      </c>
      <c r="B994" t="s">
        <v>529</v>
      </c>
      <c r="C994" t="s">
        <v>31</v>
      </c>
      <c r="D994" t="s">
        <v>22</v>
      </c>
      <c r="E994" t="s">
        <v>18</v>
      </c>
      <c r="F994" t="s">
        <v>217</v>
      </c>
      <c r="G994">
        <v>443347108</v>
      </c>
      <c r="H994" s="1">
        <v>42251</v>
      </c>
      <c r="I994">
        <v>5116</v>
      </c>
      <c r="J994">
        <v>205.7</v>
      </c>
      <c r="K994">
        <v>117.11</v>
      </c>
      <c r="L994">
        <v>1052361.2</v>
      </c>
      <c r="M994">
        <v>599134.76</v>
      </c>
      <c r="N994">
        <v>453226.44</v>
      </c>
    </row>
    <row r="995" spans="1:14" x14ac:dyDescent="0.25">
      <c r="A995" t="s">
        <v>25</v>
      </c>
      <c r="B995" t="s">
        <v>533</v>
      </c>
      <c r="C995" t="s">
        <v>55</v>
      </c>
      <c r="D995" t="s">
        <v>17</v>
      </c>
      <c r="E995" t="s">
        <v>23</v>
      </c>
      <c r="F995" t="s">
        <v>1053</v>
      </c>
      <c r="G995">
        <v>527509677</v>
      </c>
      <c r="H995" s="1">
        <v>41554</v>
      </c>
      <c r="I995">
        <v>691</v>
      </c>
      <c r="J995">
        <v>651.21</v>
      </c>
      <c r="K995">
        <v>524.96</v>
      </c>
      <c r="L995">
        <v>449986.11</v>
      </c>
      <c r="M995">
        <v>362747.36</v>
      </c>
      <c r="N995">
        <v>87238.75</v>
      </c>
    </row>
    <row r="996" spans="1:14" x14ac:dyDescent="0.25">
      <c r="A996" t="s">
        <v>25</v>
      </c>
      <c r="B996" t="s">
        <v>615</v>
      </c>
      <c r="C996" t="s">
        <v>27</v>
      </c>
      <c r="D996" t="s">
        <v>22</v>
      </c>
      <c r="E996" t="s">
        <v>45</v>
      </c>
      <c r="F996" t="s">
        <v>625</v>
      </c>
      <c r="G996">
        <v>416953313</v>
      </c>
      <c r="H996" t="s">
        <v>1054</v>
      </c>
      <c r="I996">
        <v>4606</v>
      </c>
      <c r="J996">
        <v>47.45</v>
      </c>
      <c r="K996">
        <v>31.79</v>
      </c>
      <c r="L996">
        <v>218554.7</v>
      </c>
      <c r="M996">
        <v>146424.74</v>
      </c>
      <c r="N996">
        <v>72129.960000000006</v>
      </c>
    </row>
    <row r="997" spans="1:14" x14ac:dyDescent="0.25">
      <c r="A997" t="s">
        <v>38</v>
      </c>
      <c r="B997" t="s">
        <v>83</v>
      </c>
      <c r="C997" t="s">
        <v>27</v>
      </c>
      <c r="D997" t="s">
        <v>17</v>
      </c>
      <c r="E997" t="s">
        <v>18</v>
      </c>
      <c r="F997" s="1">
        <v>41852</v>
      </c>
      <c r="G997">
        <v>867976844</v>
      </c>
      <c r="H997" s="1">
        <v>41641</v>
      </c>
      <c r="I997">
        <v>2491</v>
      </c>
      <c r="J997">
        <v>47.45</v>
      </c>
      <c r="K997">
        <v>31.79</v>
      </c>
      <c r="L997">
        <v>118197.95</v>
      </c>
      <c r="M997">
        <v>79188.89</v>
      </c>
      <c r="N997">
        <v>39009.06</v>
      </c>
    </row>
    <row r="998" spans="1:14" x14ac:dyDescent="0.25">
      <c r="A998" t="s">
        <v>51</v>
      </c>
      <c r="B998" t="s">
        <v>877</v>
      </c>
      <c r="C998" t="s">
        <v>113</v>
      </c>
      <c r="D998" t="s">
        <v>22</v>
      </c>
      <c r="E998" t="s">
        <v>18</v>
      </c>
      <c r="F998" t="s">
        <v>1055</v>
      </c>
      <c r="G998">
        <v>457191598</v>
      </c>
      <c r="H998" t="s">
        <v>281</v>
      </c>
      <c r="I998">
        <v>2008</v>
      </c>
      <c r="J998">
        <v>154.06</v>
      </c>
      <c r="K998">
        <v>90.93</v>
      </c>
      <c r="L998">
        <v>309352.48</v>
      </c>
      <c r="M998">
        <v>182587.44</v>
      </c>
      <c r="N998">
        <v>126765.04</v>
      </c>
    </row>
    <row r="999" spans="1:14" x14ac:dyDescent="0.25">
      <c r="A999" t="s">
        <v>42</v>
      </c>
      <c r="B999" t="s">
        <v>174</v>
      </c>
      <c r="C999" t="s">
        <v>88</v>
      </c>
      <c r="D999" t="s">
        <v>22</v>
      </c>
      <c r="E999" t="s">
        <v>45</v>
      </c>
      <c r="F999" t="s">
        <v>455</v>
      </c>
      <c r="G999">
        <v>531521403</v>
      </c>
      <c r="H999" t="s">
        <v>1056</v>
      </c>
      <c r="I999">
        <v>7850</v>
      </c>
      <c r="J999">
        <v>9.33</v>
      </c>
      <c r="K999">
        <v>6.92</v>
      </c>
      <c r="L999">
        <v>73240.5</v>
      </c>
      <c r="M999">
        <v>54322</v>
      </c>
      <c r="N999">
        <v>18918.5</v>
      </c>
    </row>
    <row r="1000" spans="1:14" x14ac:dyDescent="0.25">
      <c r="A1000" t="s">
        <v>38</v>
      </c>
      <c r="B1000" t="s">
        <v>58</v>
      </c>
      <c r="C1000" t="s">
        <v>55</v>
      </c>
      <c r="D1000" t="s">
        <v>17</v>
      </c>
      <c r="E1000" t="s">
        <v>32</v>
      </c>
      <c r="F1000" s="1">
        <v>41072</v>
      </c>
      <c r="G1000">
        <v>258202588</v>
      </c>
      <c r="H1000" t="s">
        <v>1057</v>
      </c>
      <c r="I1000">
        <v>6738</v>
      </c>
      <c r="J1000">
        <v>651.21</v>
      </c>
      <c r="K1000">
        <v>524.96</v>
      </c>
      <c r="L1000">
        <v>4387852.9800000004</v>
      </c>
      <c r="M1000">
        <v>3537180.48</v>
      </c>
      <c r="N1000">
        <v>850672.5</v>
      </c>
    </row>
    <row r="1001" spans="1:14" x14ac:dyDescent="0.25">
      <c r="A1001" t="s">
        <v>51</v>
      </c>
      <c r="B1001" t="s">
        <v>638</v>
      </c>
      <c r="C1001" t="s">
        <v>21</v>
      </c>
      <c r="D1001" t="s">
        <v>17</v>
      </c>
      <c r="E1001" t="s">
        <v>18</v>
      </c>
      <c r="F1001" t="s">
        <v>1058</v>
      </c>
      <c r="G1001">
        <v>674783980</v>
      </c>
      <c r="H1001" s="1">
        <v>42044</v>
      </c>
      <c r="I1001">
        <v>2430</v>
      </c>
      <c r="J1001">
        <v>152.58000000000001</v>
      </c>
      <c r="K1001">
        <v>97.44</v>
      </c>
      <c r="L1001">
        <v>370769.4</v>
      </c>
      <c r="M1001">
        <v>236779.2</v>
      </c>
      <c r="N1001">
        <v>133990.20000000001</v>
      </c>
    </row>
    <row r="1002" spans="1:14" x14ac:dyDescent="0.25">
      <c r="A1002" t="s">
        <v>25</v>
      </c>
      <c r="B1002" t="s">
        <v>47</v>
      </c>
      <c r="C1002" t="s">
        <v>31</v>
      </c>
      <c r="D1002" t="s">
        <v>17</v>
      </c>
      <c r="E1002" t="s">
        <v>23</v>
      </c>
      <c r="F1002" t="s">
        <v>1059</v>
      </c>
      <c r="G1002">
        <v>639126908</v>
      </c>
      <c r="H1002" s="1">
        <v>40821</v>
      </c>
      <c r="I1002">
        <v>710</v>
      </c>
      <c r="J1002">
        <v>205.7</v>
      </c>
      <c r="K1002">
        <v>117.11</v>
      </c>
      <c r="L1002">
        <v>146047</v>
      </c>
      <c r="M1002">
        <v>83148.100000000006</v>
      </c>
      <c r="N1002">
        <v>62898.9</v>
      </c>
    </row>
    <row r="1003" spans="1:14" x14ac:dyDescent="0.25">
      <c r="A1003" t="s">
        <v>25</v>
      </c>
      <c r="B1003" t="s">
        <v>609</v>
      </c>
      <c r="C1003" t="s">
        <v>27</v>
      </c>
      <c r="D1003" t="s">
        <v>17</v>
      </c>
      <c r="E1003" t="s">
        <v>32</v>
      </c>
      <c r="F1003" s="1">
        <v>41704</v>
      </c>
      <c r="G1003">
        <v>879405200</v>
      </c>
      <c r="H1003" t="s">
        <v>973</v>
      </c>
      <c r="I1003">
        <v>4396</v>
      </c>
      <c r="J1003">
        <v>47.45</v>
      </c>
      <c r="K1003">
        <v>31.79</v>
      </c>
      <c r="L1003">
        <v>208590.2</v>
      </c>
      <c r="M1003">
        <v>139748.84</v>
      </c>
      <c r="N1003">
        <v>68841.36</v>
      </c>
    </row>
    <row r="1004" spans="1:14" x14ac:dyDescent="0.25">
      <c r="A1004" t="s">
        <v>25</v>
      </c>
      <c r="B1004" t="s">
        <v>239</v>
      </c>
      <c r="C1004" t="s">
        <v>27</v>
      </c>
      <c r="D1004" t="s">
        <v>22</v>
      </c>
      <c r="E1004" t="s">
        <v>45</v>
      </c>
      <c r="F1004" t="s">
        <v>905</v>
      </c>
      <c r="G1004">
        <v>844105184</v>
      </c>
      <c r="H1004" t="s">
        <v>1060</v>
      </c>
      <c r="I1004">
        <v>8337</v>
      </c>
      <c r="J1004">
        <v>47.45</v>
      </c>
      <c r="K1004">
        <v>31.79</v>
      </c>
      <c r="L1004">
        <v>395590.65</v>
      </c>
      <c r="M1004">
        <v>265033.23</v>
      </c>
      <c r="N1004">
        <v>130557.42</v>
      </c>
    </row>
    <row r="1005" spans="1:14" x14ac:dyDescent="0.25">
      <c r="A1005" t="s">
        <v>42</v>
      </c>
      <c r="B1005" t="s">
        <v>146</v>
      </c>
      <c r="C1005" t="s">
        <v>131</v>
      </c>
      <c r="D1005" t="s">
        <v>22</v>
      </c>
      <c r="E1005" t="s">
        <v>23</v>
      </c>
      <c r="F1005" t="s">
        <v>1061</v>
      </c>
      <c r="G1005">
        <v>952025687</v>
      </c>
      <c r="H1005" s="1">
        <v>40548</v>
      </c>
      <c r="I1005">
        <v>4412</v>
      </c>
      <c r="J1005">
        <v>668.27</v>
      </c>
      <c r="K1005">
        <v>502.54</v>
      </c>
      <c r="L1005">
        <v>2948407.24</v>
      </c>
      <c r="M1005">
        <v>2217206.48</v>
      </c>
      <c r="N1005">
        <v>731200.76</v>
      </c>
    </row>
    <row r="1006" spans="1:14" x14ac:dyDescent="0.25">
      <c r="A1006" t="s">
        <v>14</v>
      </c>
      <c r="B1006" t="s">
        <v>432</v>
      </c>
      <c r="C1006" t="s">
        <v>55</v>
      </c>
      <c r="D1006" t="s">
        <v>17</v>
      </c>
      <c r="E1006" t="s">
        <v>23</v>
      </c>
      <c r="F1006" s="1">
        <v>42679</v>
      </c>
      <c r="G1006">
        <v>342278039</v>
      </c>
      <c r="H1006" t="s">
        <v>1062</v>
      </c>
      <c r="I1006">
        <v>6533</v>
      </c>
      <c r="J1006">
        <v>651.21</v>
      </c>
      <c r="K1006">
        <v>524.96</v>
      </c>
      <c r="L1006">
        <v>4254354.93</v>
      </c>
      <c r="M1006">
        <v>3429563.68</v>
      </c>
      <c r="N1006">
        <v>824791.25</v>
      </c>
    </row>
    <row r="1007" spans="1:14" x14ac:dyDescent="0.25">
      <c r="A1007" t="s">
        <v>51</v>
      </c>
      <c r="B1007" t="s">
        <v>398</v>
      </c>
      <c r="C1007" t="s">
        <v>44</v>
      </c>
      <c r="D1007" t="s">
        <v>17</v>
      </c>
      <c r="E1007" t="s">
        <v>45</v>
      </c>
      <c r="F1007" s="1">
        <v>41526</v>
      </c>
      <c r="G1007">
        <v>924286067</v>
      </c>
      <c r="H1007" s="1">
        <v>41374</v>
      </c>
      <c r="I1007">
        <v>5642</v>
      </c>
      <c r="J1007">
        <v>109.28</v>
      </c>
      <c r="K1007">
        <v>35.840000000000003</v>
      </c>
      <c r="L1007">
        <v>616557.76</v>
      </c>
      <c r="M1007">
        <v>202209.28</v>
      </c>
      <c r="N1007">
        <v>414348.48</v>
      </c>
    </row>
    <row r="1008" spans="1:14" x14ac:dyDescent="0.25">
      <c r="A1008" t="s">
        <v>14</v>
      </c>
      <c r="B1008" t="s">
        <v>208</v>
      </c>
      <c r="C1008" t="s">
        <v>44</v>
      </c>
      <c r="D1008" t="s">
        <v>22</v>
      </c>
      <c r="E1008" t="s">
        <v>32</v>
      </c>
      <c r="F1008" s="1">
        <v>42010</v>
      </c>
      <c r="G1008">
        <v>627786099</v>
      </c>
      <c r="H1008" t="s">
        <v>581</v>
      </c>
      <c r="I1008">
        <v>4712</v>
      </c>
      <c r="J1008">
        <v>109.28</v>
      </c>
      <c r="K1008">
        <v>35.840000000000003</v>
      </c>
      <c r="L1008">
        <v>514927.35999999999</v>
      </c>
      <c r="M1008">
        <v>168878.07999999999</v>
      </c>
      <c r="N1008">
        <v>346049.28000000003</v>
      </c>
    </row>
    <row r="1009" spans="1:14" x14ac:dyDescent="0.25">
      <c r="A1009" t="s">
        <v>51</v>
      </c>
      <c r="B1009" t="s">
        <v>350</v>
      </c>
      <c r="C1009" t="s">
        <v>131</v>
      </c>
      <c r="D1009" t="s">
        <v>17</v>
      </c>
      <c r="E1009" t="s">
        <v>18</v>
      </c>
      <c r="F1009" t="s">
        <v>539</v>
      </c>
      <c r="G1009">
        <v>152826964</v>
      </c>
      <c r="H1009" t="s">
        <v>1020</v>
      </c>
      <c r="I1009">
        <v>3750</v>
      </c>
      <c r="J1009">
        <v>668.27</v>
      </c>
      <c r="K1009">
        <v>502.54</v>
      </c>
      <c r="L1009">
        <v>2506012.5</v>
      </c>
      <c r="M1009">
        <v>1884525</v>
      </c>
      <c r="N1009">
        <v>621487.5</v>
      </c>
    </row>
    <row r="1010" spans="1:14" x14ac:dyDescent="0.25">
      <c r="A1010" t="s">
        <v>51</v>
      </c>
      <c r="B1010" t="s">
        <v>169</v>
      </c>
      <c r="C1010" t="s">
        <v>131</v>
      </c>
      <c r="D1010" t="s">
        <v>17</v>
      </c>
      <c r="E1010" t="s">
        <v>18</v>
      </c>
      <c r="F1010" t="s">
        <v>114</v>
      </c>
      <c r="G1010">
        <v>719769990</v>
      </c>
      <c r="H1010" t="s">
        <v>788</v>
      </c>
      <c r="I1010">
        <v>4790</v>
      </c>
      <c r="J1010">
        <v>668.27</v>
      </c>
      <c r="K1010">
        <v>502.54</v>
      </c>
      <c r="L1010">
        <v>3201013.3</v>
      </c>
      <c r="M1010">
        <v>2407166.6</v>
      </c>
      <c r="N1010">
        <v>793846.7</v>
      </c>
    </row>
    <row r="1011" spans="1:14" x14ac:dyDescent="0.25">
      <c r="A1011" t="s">
        <v>51</v>
      </c>
      <c r="B1011" t="s">
        <v>115</v>
      </c>
      <c r="C1011" t="s">
        <v>21</v>
      </c>
      <c r="D1011" t="s">
        <v>17</v>
      </c>
      <c r="E1011" t="s">
        <v>45</v>
      </c>
      <c r="F1011" t="s">
        <v>1063</v>
      </c>
      <c r="G1011">
        <v>919289004</v>
      </c>
      <c r="H1011" t="s">
        <v>1064</v>
      </c>
      <c r="I1011">
        <v>6900</v>
      </c>
      <c r="J1011">
        <v>152.58000000000001</v>
      </c>
      <c r="K1011">
        <v>97.44</v>
      </c>
      <c r="L1011">
        <v>1052802</v>
      </c>
      <c r="M1011">
        <v>672336</v>
      </c>
      <c r="N1011">
        <v>380466</v>
      </c>
    </row>
    <row r="1012" spans="1:14" x14ac:dyDescent="0.25">
      <c r="A1012" t="s">
        <v>42</v>
      </c>
      <c r="B1012" t="s">
        <v>630</v>
      </c>
      <c r="C1012" t="s">
        <v>16</v>
      </c>
      <c r="D1012" t="s">
        <v>17</v>
      </c>
      <c r="E1012" t="s">
        <v>18</v>
      </c>
      <c r="F1012" s="1">
        <v>41191</v>
      </c>
      <c r="G1012">
        <v>762370336</v>
      </c>
      <c r="H1012" t="s">
        <v>1065</v>
      </c>
      <c r="I1012">
        <v>1179</v>
      </c>
      <c r="J1012">
        <v>255.28</v>
      </c>
      <c r="K1012">
        <v>159.41999999999999</v>
      </c>
      <c r="L1012">
        <v>300975.12</v>
      </c>
      <c r="M1012">
        <v>187956.18</v>
      </c>
      <c r="N1012">
        <v>113018.94</v>
      </c>
    </row>
    <row r="1013" spans="1:14" x14ac:dyDescent="0.25">
      <c r="A1013" t="s">
        <v>42</v>
      </c>
      <c r="B1013" t="s">
        <v>681</v>
      </c>
      <c r="C1013" t="s">
        <v>59</v>
      </c>
      <c r="D1013" t="s">
        <v>17</v>
      </c>
      <c r="E1013" t="s">
        <v>18</v>
      </c>
      <c r="F1013" s="1">
        <v>41457</v>
      </c>
      <c r="G1013">
        <v>330312812</v>
      </c>
      <c r="H1013" t="s">
        <v>321</v>
      </c>
      <c r="I1013">
        <v>5756</v>
      </c>
      <c r="J1013">
        <v>437.2</v>
      </c>
      <c r="K1013">
        <v>263.33</v>
      </c>
      <c r="L1013">
        <v>2516523.2000000002</v>
      </c>
      <c r="M1013">
        <v>1515727.48</v>
      </c>
      <c r="N1013">
        <v>1000795.72</v>
      </c>
    </row>
    <row r="1014" spans="1:14" x14ac:dyDescent="0.25">
      <c r="A1014" t="s">
        <v>14</v>
      </c>
      <c r="B1014" t="s">
        <v>64</v>
      </c>
      <c r="C1014" t="s">
        <v>31</v>
      </c>
      <c r="D1014" t="s">
        <v>17</v>
      </c>
      <c r="E1014" t="s">
        <v>32</v>
      </c>
      <c r="F1014" t="s">
        <v>1066</v>
      </c>
      <c r="G1014">
        <v>224727761</v>
      </c>
      <c r="H1014" t="s">
        <v>171</v>
      </c>
      <c r="I1014">
        <v>793</v>
      </c>
      <c r="J1014">
        <v>205.7</v>
      </c>
      <c r="K1014">
        <v>117.11</v>
      </c>
      <c r="L1014">
        <v>163120.1</v>
      </c>
      <c r="M1014">
        <v>92868.23</v>
      </c>
      <c r="N1014">
        <v>70251.87</v>
      </c>
    </row>
    <row r="1015" spans="1:14" x14ac:dyDescent="0.25">
      <c r="A1015" t="s">
        <v>77</v>
      </c>
      <c r="B1015" t="s">
        <v>78</v>
      </c>
      <c r="C1015" t="s">
        <v>69</v>
      </c>
      <c r="D1015" t="s">
        <v>17</v>
      </c>
      <c r="E1015" t="s">
        <v>45</v>
      </c>
      <c r="F1015" t="s">
        <v>861</v>
      </c>
      <c r="G1015">
        <v>217539012</v>
      </c>
      <c r="H1015" t="s">
        <v>1067</v>
      </c>
      <c r="I1015">
        <v>3483</v>
      </c>
      <c r="J1015">
        <v>421.89</v>
      </c>
      <c r="K1015">
        <v>364.69</v>
      </c>
      <c r="L1015">
        <v>1469442.87</v>
      </c>
      <c r="M1015">
        <v>1270215.27</v>
      </c>
      <c r="N1015">
        <v>199227.6</v>
      </c>
    </row>
    <row r="1016" spans="1:14" x14ac:dyDescent="0.25">
      <c r="A1016" t="s">
        <v>42</v>
      </c>
      <c r="B1016" t="s">
        <v>150</v>
      </c>
      <c r="C1016" t="s">
        <v>16</v>
      </c>
      <c r="D1016" t="s">
        <v>17</v>
      </c>
      <c r="E1016" t="s">
        <v>45</v>
      </c>
      <c r="F1016" t="s">
        <v>304</v>
      </c>
      <c r="G1016">
        <v>600982892</v>
      </c>
      <c r="H1016" s="1">
        <v>42559</v>
      </c>
      <c r="I1016">
        <v>3048</v>
      </c>
      <c r="J1016">
        <v>255.28</v>
      </c>
      <c r="K1016">
        <v>159.41999999999999</v>
      </c>
      <c r="L1016">
        <v>778093.44</v>
      </c>
      <c r="M1016">
        <v>485912.16</v>
      </c>
      <c r="N1016">
        <v>292181.28000000003</v>
      </c>
    </row>
    <row r="1017" spans="1:14" x14ac:dyDescent="0.25">
      <c r="A1017" t="s">
        <v>51</v>
      </c>
      <c r="B1017" t="s">
        <v>487</v>
      </c>
      <c r="C1017" t="s">
        <v>113</v>
      </c>
      <c r="D1017" t="s">
        <v>17</v>
      </c>
      <c r="E1017" t="s">
        <v>18</v>
      </c>
      <c r="F1017" t="s">
        <v>1068</v>
      </c>
      <c r="G1017">
        <v>837608230</v>
      </c>
      <c r="H1017" s="1">
        <v>40240</v>
      </c>
      <c r="I1017">
        <v>5744</v>
      </c>
      <c r="J1017">
        <v>154.06</v>
      </c>
      <c r="K1017">
        <v>90.93</v>
      </c>
      <c r="L1017">
        <v>884920.64</v>
      </c>
      <c r="M1017">
        <v>522301.92</v>
      </c>
      <c r="N1017">
        <v>362618.72</v>
      </c>
    </row>
    <row r="1018" spans="1:14" x14ac:dyDescent="0.25">
      <c r="A1018" t="s">
        <v>38</v>
      </c>
      <c r="B1018" t="s">
        <v>54</v>
      </c>
      <c r="C1018" t="s">
        <v>44</v>
      </c>
      <c r="D1018" t="s">
        <v>22</v>
      </c>
      <c r="E1018" t="s">
        <v>32</v>
      </c>
      <c r="F1018" t="s">
        <v>1014</v>
      </c>
      <c r="G1018">
        <v>910276353</v>
      </c>
      <c r="H1018" t="s">
        <v>1069</v>
      </c>
      <c r="I1018">
        <v>9856</v>
      </c>
      <c r="J1018">
        <v>109.28</v>
      </c>
      <c r="K1018">
        <v>35.840000000000003</v>
      </c>
      <c r="L1018">
        <v>1077063.6799999999</v>
      </c>
      <c r="M1018">
        <v>353239.03999999998</v>
      </c>
      <c r="N1018">
        <v>723824.64000000001</v>
      </c>
    </row>
    <row r="1019" spans="1:14" x14ac:dyDescent="0.25">
      <c r="A1019" t="s">
        <v>51</v>
      </c>
      <c r="B1019" t="s">
        <v>52</v>
      </c>
      <c r="C1019" t="s">
        <v>21</v>
      </c>
      <c r="D1019" t="s">
        <v>22</v>
      </c>
      <c r="E1019" t="s">
        <v>32</v>
      </c>
      <c r="F1019" s="1">
        <v>41582</v>
      </c>
      <c r="G1019">
        <v>872161090</v>
      </c>
      <c r="H1019" t="s">
        <v>170</v>
      </c>
      <c r="I1019">
        <v>703</v>
      </c>
      <c r="J1019">
        <v>152.58000000000001</v>
      </c>
      <c r="K1019">
        <v>97.44</v>
      </c>
      <c r="L1019">
        <v>107263.74</v>
      </c>
      <c r="M1019">
        <v>68500.320000000007</v>
      </c>
      <c r="N1019">
        <v>38763.42</v>
      </c>
    </row>
    <row r="1020" spans="1:14" x14ac:dyDescent="0.25">
      <c r="A1020" t="s">
        <v>29</v>
      </c>
      <c r="B1020" t="s">
        <v>356</v>
      </c>
      <c r="C1020" t="s">
        <v>27</v>
      </c>
      <c r="D1020" t="s">
        <v>22</v>
      </c>
      <c r="E1020" t="s">
        <v>45</v>
      </c>
      <c r="F1020" s="1">
        <v>40341</v>
      </c>
      <c r="G1020">
        <v>396748769</v>
      </c>
      <c r="H1020" t="s">
        <v>1070</v>
      </c>
      <c r="I1020">
        <v>5632</v>
      </c>
      <c r="J1020">
        <v>47.45</v>
      </c>
      <c r="K1020">
        <v>31.79</v>
      </c>
      <c r="L1020">
        <v>267238.40000000002</v>
      </c>
      <c r="M1020">
        <v>179041.28</v>
      </c>
      <c r="N1020">
        <v>88197.119999999995</v>
      </c>
    </row>
    <row r="1021" spans="1:14" x14ac:dyDescent="0.25">
      <c r="A1021" t="s">
        <v>25</v>
      </c>
      <c r="B1021" t="s">
        <v>172</v>
      </c>
      <c r="C1021" t="s">
        <v>88</v>
      </c>
      <c r="D1021" t="s">
        <v>22</v>
      </c>
      <c r="E1021" t="s">
        <v>23</v>
      </c>
      <c r="F1021" t="s">
        <v>1071</v>
      </c>
      <c r="G1021">
        <v>127838218</v>
      </c>
      <c r="H1021" t="s">
        <v>861</v>
      </c>
      <c r="I1021">
        <v>9024</v>
      </c>
      <c r="J1021">
        <v>9.33</v>
      </c>
      <c r="K1021">
        <v>6.92</v>
      </c>
      <c r="L1021">
        <v>84193.919999999998</v>
      </c>
      <c r="M1021">
        <v>62446.080000000002</v>
      </c>
      <c r="N1021">
        <v>21747.84</v>
      </c>
    </row>
    <row r="1022" spans="1:14" x14ac:dyDescent="0.25">
      <c r="A1022" t="s">
        <v>29</v>
      </c>
      <c r="B1022" t="s">
        <v>153</v>
      </c>
      <c r="C1022" t="s">
        <v>27</v>
      </c>
      <c r="D1022" t="s">
        <v>17</v>
      </c>
      <c r="E1022" t="s">
        <v>45</v>
      </c>
      <c r="F1022" s="1">
        <v>41859</v>
      </c>
      <c r="G1022">
        <v>329540765</v>
      </c>
      <c r="H1022" t="s">
        <v>341</v>
      </c>
      <c r="I1022">
        <v>7290</v>
      </c>
      <c r="J1022">
        <v>47.45</v>
      </c>
      <c r="K1022">
        <v>31.79</v>
      </c>
      <c r="L1022">
        <v>345910.5</v>
      </c>
      <c r="M1022">
        <v>231749.1</v>
      </c>
      <c r="N1022">
        <v>114161.4</v>
      </c>
    </row>
    <row r="1023" spans="1:14" x14ac:dyDescent="0.25">
      <c r="A1023" t="s">
        <v>51</v>
      </c>
      <c r="B1023" t="s">
        <v>250</v>
      </c>
      <c r="C1023" t="s">
        <v>88</v>
      </c>
      <c r="D1023" t="s">
        <v>22</v>
      </c>
      <c r="E1023" t="s">
        <v>45</v>
      </c>
      <c r="F1023" t="s">
        <v>1072</v>
      </c>
      <c r="G1023">
        <v>436280238</v>
      </c>
      <c r="H1023" s="1">
        <v>40822</v>
      </c>
      <c r="I1023">
        <v>3872</v>
      </c>
      <c r="J1023">
        <v>9.33</v>
      </c>
      <c r="K1023">
        <v>6.92</v>
      </c>
      <c r="L1023">
        <v>36125.760000000002</v>
      </c>
      <c r="M1023">
        <v>26794.240000000002</v>
      </c>
      <c r="N1023">
        <v>9331.52</v>
      </c>
    </row>
    <row r="1024" spans="1:14" x14ac:dyDescent="0.25">
      <c r="A1024" t="s">
        <v>14</v>
      </c>
      <c r="B1024" t="s">
        <v>94</v>
      </c>
      <c r="C1024" t="s">
        <v>16</v>
      </c>
      <c r="D1024" t="s">
        <v>22</v>
      </c>
      <c r="E1024" t="s">
        <v>45</v>
      </c>
      <c r="F1024" t="s">
        <v>589</v>
      </c>
      <c r="G1024">
        <v>402792966</v>
      </c>
      <c r="H1024" s="1">
        <v>40275</v>
      </c>
      <c r="I1024">
        <v>4244</v>
      </c>
      <c r="J1024">
        <v>255.28</v>
      </c>
      <c r="K1024">
        <v>159.41999999999999</v>
      </c>
      <c r="L1024">
        <v>1083408.32</v>
      </c>
      <c r="M1024">
        <v>676578.48</v>
      </c>
      <c r="N1024">
        <v>406829.84</v>
      </c>
    </row>
    <row r="1025" spans="1:14" x14ac:dyDescent="0.25">
      <c r="A1025" t="s">
        <v>51</v>
      </c>
      <c r="B1025" t="s">
        <v>128</v>
      </c>
      <c r="C1025" t="s">
        <v>113</v>
      </c>
      <c r="D1025" t="s">
        <v>17</v>
      </c>
      <c r="E1025" t="s">
        <v>18</v>
      </c>
      <c r="F1025" s="1">
        <v>42224</v>
      </c>
      <c r="G1025">
        <v>254127776</v>
      </c>
      <c r="H1025" s="1">
        <v>42347</v>
      </c>
      <c r="I1025">
        <v>911</v>
      </c>
      <c r="J1025">
        <v>154.06</v>
      </c>
      <c r="K1025">
        <v>90.93</v>
      </c>
      <c r="L1025">
        <v>140348.66</v>
      </c>
      <c r="M1025">
        <v>82837.23</v>
      </c>
      <c r="N1025">
        <v>57511.43</v>
      </c>
    </row>
    <row r="1026" spans="1:14" x14ac:dyDescent="0.25">
      <c r="A1026" t="s">
        <v>51</v>
      </c>
      <c r="B1026" t="s">
        <v>877</v>
      </c>
      <c r="C1026" t="s">
        <v>27</v>
      </c>
      <c r="D1026" t="s">
        <v>17</v>
      </c>
      <c r="E1026" t="s">
        <v>18</v>
      </c>
      <c r="F1026" t="s">
        <v>1073</v>
      </c>
      <c r="G1026">
        <v>535645997</v>
      </c>
      <c r="H1026" t="s">
        <v>444</v>
      </c>
      <c r="I1026">
        <v>8409</v>
      </c>
      <c r="J1026">
        <v>47.45</v>
      </c>
      <c r="K1026">
        <v>31.79</v>
      </c>
      <c r="L1026">
        <v>399007.05</v>
      </c>
      <c r="M1026">
        <v>267322.11</v>
      </c>
      <c r="N1026">
        <v>131684.94</v>
      </c>
    </row>
    <row r="1027" spans="1:14" x14ac:dyDescent="0.25">
      <c r="A1027" t="s">
        <v>51</v>
      </c>
      <c r="B1027" t="s">
        <v>525</v>
      </c>
      <c r="C1027" t="s">
        <v>44</v>
      </c>
      <c r="D1027" t="s">
        <v>22</v>
      </c>
      <c r="E1027" t="s">
        <v>18</v>
      </c>
      <c r="F1027" t="s">
        <v>562</v>
      </c>
      <c r="G1027">
        <v>963021457</v>
      </c>
      <c r="H1027" t="s">
        <v>805</v>
      </c>
      <c r="I1027">
        <v>8304</v>
      </c>
      <c r="J1027">
        <v>109.28</v>
      </c>
      <c r="K1027">
        <v>35.840000000000003</v>
      </c>
      <c r="L1027">
        <v>907461.12</v>
      </c>
      <c r="M1027">
        <v>297615.35999999999</v>
      </c>
      <c r="N1027">
        <v>609845.76000000001</v>
      </c>
    </row>
    <row r="1028" spans="1:14" x14ac:dyDescent="0.25">
      <c r="A1028" t="s">
        <v>42</v>
      </c>
      <c r="B1028" t="s">
        <v>290</v>
      </c>
      <c r="C1028" t="s">
        <v>55</v>
      </c>
      <c r="D1028" t="s">
        <v>17</v>
      </c>
      <c r="E1028" t="s">
        <v>32</v>
      </c>
      <c r="F1028" t="s">
        <v>1074</v>
      </c>
      <c r="G1028">
        <v>872240483</v>
      </c>
      <c r="H1028" t="s">
        <v>139</v>
      </c>
      <c r="I1028">
        <v>4197</v>
      </c>
      <c r="J1028">
        <v>651.21</v>
      </c>
      <c r="K1028">
        <v>524.96</v>
      </c>
      <c r="L1028">
        <v>2733128.37</v>
      </c>
      <c r="M1028">
        <v>2203257.12</v>
      </c>
      <c r="N1028">
        <v>529871.25</v>
      </c>
    </row>
    <row r="1029" spans="1:14" x14ac:dyDescent="0.25">
      <c r="A1029" t="s">
        <v>51</v>
      </c>
      <c r="B1029" t="s">
        <v>398</v>
      </c>
      <c r="C1029" t="s">
        <v>131</v>
      </c>
      <c r="D1029" t="s">
        <v>22</v>
      </c>
      <c r="E1029" t="s">
        <v>23</v>
      </c>
      <c r="F1029" t="s">
        <v>378</v>
      </c>
      <c r="G1029">
        <v>569601905</v>
      </c>
      <c r="H1029" s="1">
        <v>42037</v>
      </c>
      <c r="I1029">
        <v>6716</v>
      </c>
      <c r="J1029">
        <v>668.27</v>
      </c>
      <c r="K1029">
        <v>502.54</v>
      </c>
      <c r="L1029">
        <v>4488101.32</v>
      </c>
      <c r="M1029">
        <v>3375058.64</v>
      </c>
      <c r="N1029">
        <v>1113042.68</v>
      </c>
    </row>
    <row r="1030" spans="1:14" x14ac:dyDescent="0.25">
      <c r="A1030" t="s">
        <v>25</v>
      </c>
      <c r="B1030" t="s">
        <v>140</v>
      </c>
      <c r="C1030" t="s">
        <v>21</v>
      </c>
      <c r="D1030" t="s">
        <v>17</v>
      </c>
      <c r="E1030" t="s">
        <v>18</v>
      </c>
      <c r="F1030" t="s">
        <v>41</v>
      </c>
      <c r="G1030">
        <v>881717050</v>
      </c>
      <c r="H1030" t="s">
        <v>1075</v>
      </c>
      <c r="I1030">
        <v>8524</v>
      </c>
      <c r="J1030">
        <v>152.58000000000001</v>
      </c>
      <c r="K1030">
        <v>97.44</v>
      </c>
      <c r="L1030">
        <v>1300591.92</v>
      </c>
      <c r="M1030">
        <v>830578.56</v>
      </c>
      <c r="N1030">
        <v>470013.36</v>
      </c>
    </row>
    <row r="1031" spans="1:14" x14ac:dyDescent="0.25">
      <c r="A1031" t="s">
        <v>25</v>
      </c>
      <c r="B1031" t="s">
        <v>458</v>
      </c>
      <c r="C1031" t="s">
        <v>131</v>
      </c>
      <c r="D1031" t="s">
        <v>22</v>
      </c>
      <c r="E1031" t="s">
        <v>32</v>
      </c>
      <c r="F1031" t="s">
        <v>1076</v>
      </c>
      <c r="G1031">
        <v>905509746</v>
      </c>
      <c r="H1031" t="s">
        <v>337</v>
      </c>
      <c r="I1031">
        <v>9311</v>
      </c>
      <c r="J1031">
        <v>668.27</v>
      </c>
      <c r="K1031">
        <v>502.54</v>
      </c>
      <c r="L1031">
        <v>6222261.9699999997</v>
      </c>
      <c r="M1031">
        <v>4679149.9400000004</v>
      </c>
      <c r="N1031">
        <v>1543112.03</v>
      </c>
    </row>
    <row r="1032" spans="1:14" x14ac:dyDescent="0.25">
      <c r="A1032" t="s">
        <v>51</v>
      </c>
      <c r="B1032" t="s">
        <v>487</v>
      </c>
      <c r="C1032" t="s">
        <v>55</v>
      </c>
      <c r="D1032" t="s">
        <v>17</v>
      </c>
      <c r="E1032" t="s">
        <v>45</v>
      </c>
      <c r="F1032" t="s">
        <v>1077</v>
      </c>
      <c r="G1032">
        <v>258216321</v>
      </c>
      <c r="H1032" t="s">
        <v>1078</v>
      </c>
      <c r="I1032">
        <v>802</v>
      </c>
      <c r="J1032">
        <v>651.21</v>
      </c>
      <c r="K1032">
        <v>524.96</v>
      </c>
      <c r="L1032">
        <v>522270.42</v>
      </c>
      <c r="M1032">
        <v>421017.92</v>
      </c>
      <c r="N1032">
        <v>101252.5</v>
      </c>
    </row>
    <row r="1033" spans="1:14" x14ac:dyDescent="0.25">
      <c r="A1033" t="s">
        <v>29</v>
      </c>
      <c r="B1033" t="s">
        <v>375</v>
      </c>
      <c r="C1033" t="s">
        <v>69</v>
      </c>
      <c r="D1033" t="s">
        <v>22</v>
      </c>
      <c r="E1033" t="s">
        <v>45</v>
      </c>
      <c r="F1033" t="s">
        <v>830</v>
      </c>
      <c r="G1033">
        <v>427385604</v>
      </c>
      <c r="H1033" t="s">
        <v>480</v>
      </c>
      <c r="I1033">
        <v>1752</v>
      </c>
      <c r="J1033">
        <v>421.89</v>
      </c>
      <c r="K1033">
        <v>364.69</v>
      </c>
      <c r="L1033">
        <v>739151.28</v>
      </c>
      <c r="M1033">
        <v>638936.88</v>
      </c>
      <c r="N1033">
        <v>100214.39999999999</v>
      </c>
    </row>
    <row r="1034" spans="1:14" x14ac:dyDescent="0.25">
      <c r="A1034" t="s">
        <v>25</v>
      </c>
      <c r="B1034" t="s">
        <v>229</v>
      </c>
      <c r="C1034" t="s">
        <v>16</v>
      </c>
      <c r="D1034" t="s">
        <v>17</v>
      </c>
      <c r="E1034" t="s">
        <v>45</v>
      </c>
      <c r="F1034" t="s">
        <v>523</v>
      </c>
      <c r="G1034">
        <v>720878922</v>
      </c>
      <c r="H1034" s="1">
        <v>40916</v>
      </c>
      <c r="I1034">
        <v>2948</v>
      </c>
      <c r="J1034">
        <v>255.28</v>
      </c>
      <c r="K1034">
        <v>159.41999999999999</v>
      </c>
      <c r="L1034">
        <v>752565.44</v>
      </c>
      <c r="M1034">
        <v>469970.16</v>
      </c>
      <c r="N1034">
        <v>282595.28000000003</v>
      </c>
    </row>
    <row r="1035" spans="1:14" x14ac:dyDescent="0.25">
      <c r="A1035" t="s">
        <v>29</v>
      </c>
      <c r="B1035" t="s">
        <v>545</v>
      </c>
      <c r="C1035" t="s">
        <v>88</v>
      </c>
      <c r="D1035" t="s">
        <v>22</v>
      </c>
      <c r="E1035" t="s">
        <v>32</v>
      </c>
      <c r="F1035" s="1">
        <v>41519</v>
      </c>
      <c r="G1035">
        <v>516870105</v>
      </c>
      <c r="H1035" t="s">
        <v>885</v>
      </c>
      <c r="I1035">
        <v>2205</v>
      </c>
      <c r="J1035">
        <v>9.33</v>
      </c>
      <c r="K1035">
        <v>6.92</v>
      </c>
      <c r="L1035">
        <v>20572.650000000001</v>
      </c>
      <c r="M1035">
        <v>15258.6</v>
      </c>
      <c r="N1035">
        <v>5314.05</v>
      </c>
    </row>
    <row r="1036" spans="1:14" x14ac:dyDescent="0.25">
      <c r="A1036" t="s">
        <v>29</v>
      </c>
      <c r="B1036" t="s">
        <v>375</v>
      </c>
      <c r="C1036" t="s">
        <v>88</v>
      </c>
      <c r="D1036" t="s">
        <v>22</v>
      </c>
      <c r="E1036" t="s">
        <v>45</v>
      </c>
      <c r="F1036" s="1">
        <v>43074</v>
      </c>
      <c r="G1036">
        <v>613845479</v>
      </c>
      <c r="H1036" t="s">
        <v>1079</v>
      </c>
      <c r="I1036">
        <v>9373</v>
      </c>
      <c r="J1036">
        <v>9.33</v>
      </c>
      <c r="K1036">
        <v>6.92</v>
      </c>
      <c r="L1036">
        <v>87450.09</v>
      </c>
      <c r="M1036">
        <v>64861.16</v>
      </c>
      <c r="N1036">
        <v>22588.93</v>
      </c>
    </row>
    <row r="1037" spans="1:14" x14ac:dyDescent="0.25">
      <c r="A1037" t="s">
        <v>29</v>
      </c>
      <c r="B1037" t="s">
        <v>467</v>
      </c>
      <c r="C1037" t="s">
        <v>31</v>
      </c>
      <c r="D1037" t="s">
        <v>22</v>
      </c>
      <c r="E1037" t="s">
        <v>45</v>
      </c>
      <c r="F1037" s="1">
        <v>40700</v>
      </c>
      <c r="G1037">
        <v>980603873</v>
      </c>
      <c r="H1037" t="s">
        <v>826</v>
      </c>
      <c r="I1037">
        <v>1332</v>
      </c>
      <c r="J1037">
        <v>205.7</v>
      </c>
      <c r="K1037">
        <v>117.11</v>
      </c>
      <c r="L1037">
        <v>273992.40000000002</v>
      </c>
      <c r="M1037">
        <v>155990.51999999999</v>
      </c>
      <c r="N1037">
        <v>118001.88</v>
      </c>
    </row>
    <row r="1038" spans="1:14" x14ac:dyDescent="0.25">
      <c r="A1038" t="s">
        <v>25</v>
      </c>
      <c r="B1038" t="s">
        <v>469</v>
      </c>
      <c r="C1038" t="s">
        <v>40</v>
      </c>
      <c r="D1038" t="s">
        <v>22</v>
      </c>
      <c r="E1038" t="s">
        <v>32</v>
      </c>
      <c r="F1038" t="s">
        <v>520</v>
      </c>
      <c r="G1038">
        <v>306256616</v>
      </c>
      <c r="H1038" t="s">
        <v>860</v>
      </c>
      <c r="I1038">
        <v>6993</v>
      </c>
      <c r="J1038">
        <v>81.73</v>
      </c>
      <c r="K1038">
        <v>56.67</v>
      </c>
      <c r="L1038">
        <v>571537.89</v>
      </c>
      <c r="M1038">
        <v>396293.31</v>
      </c>
      <c r="N1038">
        <v>175244.58</v>
      </c>
    </row>
    <row r="1039" spans="1:14" x14ac:dyDescent="0.25">
      <c r="A1039" t="s">
        <v>42</v>
      </c>
      <c r="B1039" t="s">
        <v>150</v>
      </c>
      <c r="C1039" t="s">
        <v>131</v>
      </c>
      <c r="D1039" t="s">
        <v>22</v>
      </c>
      <c r="E1039" t="s">
        <v>32</v>
      </c>
      <c r="F1039" t="s">
        <v>1080</v>
      </c>
      <c r="G1039">
        <v>950227534</v>
      </c>
      <c r="H1039" s="1">
        <v>41316</v>
      </c>
      <c r="I1039">
        <v>2298</v>
      </c>
      <c r="J1039">
        <v>668.27</v>
      </c>
      <c r="K1039">
        <v>502.54</v>
      </c>
      <c r="L1039">
        <v>1535684.46</v>
      </c>
      <c r="M1039">
        <v>1154836.92</v>
      </c>
      <c r="N1039">
        <v>380847.54</v>
      </c>
    </row>
    <row r="1040" spans="1:14" x14ac:dyDescent="0.25">
      <c r="A1040" t="s">
        <v>25</v>
      </c>
      <c r="B1040" t="s">
        <v>426</v>
      </c>
      <c r="C1040" t="s">
        <v>31</v>
      </c>
      <c r="D1040" t="s">
        <v>22</v>
      </c>
      <c r="E1040" t="s">
        <v>18</v>
      </c>
      <c r="F1040" s="1">
        <v>42095</v>
      </c>
      <c r="G1040">
        <v>392252957</v>
      </c>
      <c r="H1040" t="s">
        <v>1081</v>
      </c>
      <c r="I1040">
        <v>5222</v>
      </c>
      <c r="J1040">
        <v>205.7</v>
      </c>
      <c r="K1040">
        <v>117.11</v>
      </c>
      <c r="L1040">
        <v>1074165.3999999999</v>
      </c>
      <c r="M1040">
        <v>611548.42000000004</v>
      </c>
      <c r="N1040">
        <v>462616.98</v>
      </c>
    </row>
    <row r="1041" spans="1:14" x14ac:dyDescent="0.25">
      <c r="A1041" t="s">
        <v>29</v>
      </c>
      <c r="B1041" t="s">
        <v>124</v>
      </c>
      <c r="C1041" t="s">
        <v>40</v>
      </c>
      <c r="D1041" t="s">
        <v>17</v>
      </c>
      <c r="E1041" t="s">
        <v>18</v>
      </c>
      <c r="F1041" s="1">
        <v>41646</v>
      </c>
      <c r="G1041">
        <v>682381713</v>
      </c>
      <c r="H1041" s="1">
        <v>41858</v>
      </c>
      <c r="I1041">
        <v>768</v>
      </c>
      <c r="J1041">
        <v>81.73</v>
      </c>
      <c r="K1041">
        <v>56.67</v>
      </c>
      <c r="L1041">
        <v>62768.639999999999</v>
      </c>
      <c r="M1041">
        <v>43522.559999999998</v>
      </c>
      <c r="N1041">
        <v>19246.080000000002</v>
      </c>
    </row>
    <row r="1042" spans="1:14" x14ac:dyDescent="0.25">
      <c r="A1042" t="s">
        <v>51</v>
      </c>
      <c r="B1042" t="s">
        <v>115</v>
      </c>
      <c r="C1042" t="s">
        <v>44</v>
      </c>
      <c r="D1042" t="s">
        <v>17</v>
      </c>
      <c r="E1042" t="s">
        <v>45</v>
      </c>
      <c r="F1042" t="s">
        <v>1082</v>
      </c>
      <c r="G1042">
        <v>790975129</v>
      </c>
      <c r="H1042" t="s">
        <v>369</v>
      </c>
      <c r="I1042">
        <v>5973</v>
      </c>
      <c r="J1042">
        <v>109.28</v>
      </c>
      <c r="K1042">
        <v>35.840000000000003</v>
      </c>
      <c r="L1042">
        <v>652729.43999999994</v>
      </c>
      <c r="M1042">
        <v>214072.32000000001</v>
      </c>
      <c r="N1042">
        <v>438657.12</v>
      </c>
    </row>
    <row r="1043" spans="1:14" x14ac:dyDescent="0.25">
      <c r="A1043" t="s">
        <v>51</v>
      </c>
      <c r="B1043" t="s">
        <v>360</v>
      </c>
      <c r="C1043" t="s">
        <v>59</v>
      </c>
      <c r="D1043" t="s">
        <v>22</v>
      </c>
      <c r="E1043" t="s">
        <v>32</v>
      </c>
      <c r="F1043" s="1">
        <v>42919</v>
      </c>
      <c r="G1043">
        <v>658707034</v>
      </c>
      <c r="H1043" t="s">
        <v>79</v>
      </c>
      <c r="I1043">
        <v>4904</v>
      </c>
      <c r="J1043">
        <v>437.2</v>
      </c>
      <c r="K1043">
        <v>263.33</v>
      </c>
      <c r="L1043">
        <v>2144028.7999999998</v>
      </c>
      <c r="M1043">
        <v>1291370.32</v>
      </c>
      <c r="N1043">
        <v>852658.48</v>
      </c>
    </row>
    <row r="1044" spans="1:14" x14ac:dyDescent="0.25">
      <c r="A1044" t="s">
        <v>25</v>
      </c>
      <c r="B1044" t="s">
        <v>266</v>
      </c>
      <c r="C1044" t="s">
        <v>59</v>
      </c>
      <c r="D1044" t="s">
        <v>22</v>
      </c>
      <c r="E1044" t="s">
        <v>23</v>
      </c>
      <c r="F1044" t="s">
        <v>982</v>
      </c>
      <c r="G1044">
        <v>746563756</v>
      </c>
      <c r="H1044" s="1">
        <v>41977</v>
      </c>
      <c r="I1044">
        <v>3661</v>
      </c>
      <c r="J1044">
        <v>437.2</v>
      </c>
      <c r="K1044">
        <v>263.33</v>
      </c>
      <c r="L1044">
        <v>1600589.2</v>
      </c>
      <c r="M1044">
        <v>964051.13</v>
      </c>
      <c r="N1044">
        <v>636538.06999999995</v>
      </c>
    </row>
    <row r="1045" spans="1:14" x14ac:dyDescent="0.25">
      <c r="A1045" t="s">
        <v>14</v>
      </c>
      <c r="B1045" t="s">
        <v>94</v>
      </c>
      <c r="C1045" t="s">
        <v>88</v>
      </c>
      <c r="D1045" t="s">
        <v>22</v>
      </c>
      <c r="E1045" t="s">
        <v>18</v>
      </c>
      <c r="F1045" t="s">
        <v>1083</v>
      </c>
      <c r="G1045">
        <v>685844123</v>
      </c>
      <c r="H1045" t="s">
        <v>898</v>
      </c>
      <c r="I1045">
        <v>5372</v>
      </c>
      <c r="J1045">
        <v>9.33</v>
      </c>
      <c r="K1045">
        <v>6.92</v>
      </c>
      <c r="L1045">
        <v>50120.76</v>
      </c>
      <c r="M1045">
        <v>37174.239999999998</v>
      </c>
      <c r="N1045">
        <v>12946.52</v>
      </c>
    </row>
    <row r="1046" spans="1:14" x14ac:dyDescent="0.25">
      <c r="A1046" t="s">
        <v>14</v>
      </c>
      <c r="B1046" t="s">
        <v>66</v>
      </c>
      <c r="C1046" t="s">
        <v>44</v>
      </c>
      <c r="D1046" t="s">
        <v>22</v>
      </c>
      <c r="E1046" t="s">
        <v>18</v>
      </c>
      <c r="F1046" s="1">
        <v>41923</v>
      </c>
      <c r="G1046">
        <v>628159463</v>
      </c>
      <c r="H1046" s="1">
        <v>41894</v>
      </c>
      <c r="I1046">
        <v>5199</v>
      </c>
      <c r="J1046">
        <v>109.28</v>
      </c>
      <c r="K1046">
        <v>35.840000000000003</v>
      </c>
      <c r="L1046">
        <v>568146.72</v>
      </c>
      <c r="M1046">
        <v>186332.16</v>
      </c>
      <c r="N1046">
        <v>381814.56</v>
      </c>
    </row>
    <row r="1047" spans="1:14" x14ac:dyDescent="0.25">
      <c r="A1047" t="s">
        <v>14</v>
      </c>
      <c r="B1047" t="s">
        <v>226</v>
      </c>
      <c r="C1047" t="s">
        <v>21</v>
      </c>
      <c r="D1047" t="s">
        <v>17</v>
      </c>
      <c r="E1047" t="s">
        <v>32</v>
      </c>
      <c r="F1047" s="1">
        <v>41771</v>
      </c>
      <c r="G1047">
        <v>795433604</v>
      </c>
      <c r="H1047" t="s">
        <v>1084</v>
      </c>
      <c r="I1047">
        <v>5335</v>
      </c>
      <c r="J1047">
        <v>152.58000000000001</v>
      </c>
      <c r="K1047">
        <v>97.44</v>
      </c>
      <c r="L1047">
        <v>814014.3</v>
      </c>
      <c r="M1047">
        <v>519842.4</v>
      </c>
      <c r="N1047">
        <v>294171.90000000002</v>
      </c>
    </row>
    <row r="1048" spans="1:14" x14ac:dyDescent="0.25">
      <c r="A1048" t="s">
        <v>25</v>
      </c>
      <c r="B1048" t="s">
        <v>74</v>
      </c>
      <c r="C1048" t="s">
        <v>131</v>
      </c>
      <c r="D1048" t="s">
        <v>17</v>
      </c>
      <c r="E1048" t="s">
        <v>23</v>
      </c>
      <c r="F1048" t="s">
        <v>120</v>
      </c>
      <c r="G1048">
        <v>129902875</v>
      </c>
      <c r="H1048" t="s">
        <v>1085</v>
      </c>
      <c r="I1048">
        <v>2</v>
      </c>
      <c r="J1048">
        <v>668.27</v>
      </c>
      <c r="K1048">
        <v>502.54</v>
      </c>
      <c r="L1048">
        <v>1336.54</v>
      </c>
      <c r="M1048">
        <v>1005.08</v>
      </c>
      <c r="N1048">
        <v>331.46</v>
      </c>
    </row>
    <row r="1049" spans="1:14" x14ac:dyDescent="0.25">
      <c r="A1049" t="s">
        <v>42</v>
      </c>
      <c r="B1049" t="s">
        <v>150</v>
      </c>
      <c r="C1049" t="s">
        <v>55</v>
      </c>
      <c r="D1049" t="s">
        <v>22</v>
      </c>
      <c r="E1049" t="s">
        <v>18</v>
      </c>
      <c r="F1049" t="s">
        <v>999</v>
      </c>
      <c r="G1049">
        <v>344116103</v>
      </c>
      <c r="H1049" t="s">
        <v>1086</v>
      </c>
      <c r="I1049">
        <v>457</v>
      </c>
      <c r="J1049">
        <v>651.21</v>
      </c>
      <c r="K1049">
        <v>524.96</v>
      </c>
      <c r="L1049">
        <v>297602.96999999997</v>
      </c>
      <c r="M1049">
        <v>239906.72</v>
      </c>
      <c r="N1049">
        <v>57696.25</v>
      </c>
    </row>
    <row r="1050" spans="1:14" x14ac:dyDescent="0.25">
      <c r="A1050" t="s">
        <v>51</v>
      </c>
      <c r="B1050" t="s">
        <v>182</v>
      </c>
      <c r="C1050" t="s">
        <v>21</v>
      </c>
      <c r="D1050" t="s">
        <v>17</v>
      </c>
      <c r="E1050" t="s">
        <v>18</v>
      </c>
      <c r="F1050" s="1">
        <v>42278</v>
      </c>
      <c r="G1050">
        <v>970934617</v>
      </c>
      <c r="H1050" t="s">
        <v>289</v>
      </c>
      <c r="I1050">
        <v>9984</v>
      </c>
      <c r="J1050">
        <v>152.58000000000001</v>
      </c>
      <c r="K1050">
        <v>97.44</v>
      </c>
      <c r="L1050">
        <v>1523358.72</v>
      </c>
      <c r="M1050">
        <v>972840.95999999996</v>
      </c>
      <c r="N1050">
        <v>550517.76000000001</v>
      </c>
    </row>
    <row r="1051" spans="1:14" x14ac:dyDescent="0.25">
      <c r="A1051" t="s">
        <v>29</v>
      </c>
      <c r="B1051" t="s">
        <v>323</v>
      </c>
      <c r="C1051" t="s">
        <v>31</v>
      </c>
      <c r="D1051" t="s">
        <v>17</v>
      </c>
      <c r="E1051" t="s">
        <v>32</v>
      </c>
      <c r="F1051" s="1">
        <v>41317</v>
      </c>
      <c r="G1051">
        <v>713532245</v>
      </c>
      <c r="H1051" s="1">
        <v>41699</v>
      </c>
      <c r="I1051">
        <v>8902</v>
      </c>
      <c r="J1051">
        <v>205.7</v>
      </c>
      <c r="K1051">
        <v>117.11</v>
      </c>
      <c r="L1051">
        <v>1831141.4</v>
      </c>
      <c r="M1051">
        <v>1042513.22</v>
      </c>
      <c r="N1051">
        <v>788628.18</v>
      </c>
    </row>
    <row r="1052" spans="1:14" x14ac:dyDescent="0.25">
      <c r="A1052" t="s">
        <v>25</v>
      </c>
      <c r="B1052" t="s">
        <v>142</v>
      </c>
      <c r="C1052" t="s">
        <v>27</v>
      </c>
      <c r="D1052" t="s">
        <v>22</v>
      </c>
      <c r="E1052" t="s">
        <v>18</v>
      </c>
      <c r="F1052" s="1">
        <v>41917</v>
      </c>
      <c r="G1052">
        <v>595395314</v>
      </c>
      <c r="H1052" t="s">
        <v>130</v>
      </c>
      <c r="I1052">
        <v>9559</v>
      </c>
      <c r="J1052">
        <v>47.45</v>
      </c>
      <c r="K1052">
        <v>31.79</v>
      </c>
      <c r="L1052">
        <v>453574.55</v>
      </c>
      <c r="M1052">
        <v>303880.61</v>
      </c>
      <c r="N1052">
        <v>149693.94</v>
      </c>
    </row>
    <row r="1053" spans="1:14" x14ac:dyDescent="0.25">
      <c r="A1053" t="s">
        <v>14</v>
      </c>
      <c r="B1053" t="s">
        <v>81</v>
      </c>
      <c r="C1053" t="s">
        <v>31</v>
      </c>
      <c r="D1053" t="s">
        <v>22</v>
      </c>
      <c r="E1053" t="s">
        <v>32</v>
      </c>
      <c r="F1053" s="1">
        <v>40940</v>
      </c>
      <c r="G1053">
        <v>810322654</v>
      </c>
      <c r="H1053" t="s">
        <v>1087</v>
      </c>
      <c r="I1053">
        <v>1335</v>
      </c>
      <c r="J1053">
        <v>205.7</v>
      </c>
      <c r="K1053">
        <v>117.11</v>
      </c>
      <c r="L1053">
        <v>274609.5</v>
      </c>
      <c r="M1053">
        <v>156341.85</v>
      </c>
      <c r="N1053">
        <v>118267.65</v>
      </c>
    </row>
    <row r="1054" spans="1:14" x14ac:dyDescent="0.25">
      <c r="A1054" t="s">
        <v>25</v>
      </c>
      <c r="B1054" t="s">
        <v>303</v>
      </c>
      <c r="C1054" t="s">
        <v>88</v>
      </c>
      <c r="D1054" t="s">
        <v>17</v>
      </c>
      <c r="E1054" t="s">
        <v>32</v>
      </c>
      <c r="F1054" s="1">
        <v>40636</v>
      </c>
      <c r="G1054">
        <v>272425591</v>
      </c>
      <c r="H1054" t="s">
        <v>1088</v>
      </c>
      <c r="I1054">
        <v>5641</v>
      </c>
      <c r="J1054">
        <v>9.33</v>
      </c>
      <c r="K1054">
        <v>6.92</v>
      </c>
      <c r="L1054">
        <v>52630.53</v>
      </c>
      <c r="M1054">
        <v>39035.72</v>
      </c>
      <c r="N1054">
        <v>13594.81</v>
      </c>
    </row>
    <row r="1055" spans="1:14" x14ac:dyDescent="0.25">
      <c r="A1055" t="s">
        <v>14</v>
      </c>
      <c r="B1055" t="s">
        <v>432</v>
      </c>
      <c r="C1055" t="s">
        <v>31</v>
      </c>
      <c r="D1055" t="s">
        <v>22</v>
      </c>
      <c r="E1055" t="s">
        <v>32</v>
      </c>
      <c r="F1055" s="1">
        <v>41614</v>
      </c>
      <c r="G1055">
        <v>666127955</v>
      </c>
      <c r="H1055" s="1">
        <v>41493</v>
      </c>
      <c r="I1055">
        <v>920</v>
      </c>
      <c r="J1055">
        <v>205.7</v>
      </c>
      <c r="K1055">
        <v>117.11</v>
      </c>
      <c r="L1055">
        <v>189244</v>
      </c>
      <c r="M1055">
        <v>107741.2</v>
      </c>
      <c r="N1055">
        <v>81502.8</v>
      </c>
    </row>
    <row r="1056" spans="1:14" x14ac:dyDescent="0.25">
      <c r="A1056" t="s">
        <v>25</v>
      </c>
      <c r="B1056" t="s">
        <v>497</v>
      </c>
      <c r="C1056" t="s">
        <v>16</v>
      </c>
      <c r="D1056" t="s">
        <v>22</v>
      </c>
      <c r="E1056" t="s">
        <v>45</v>
      </c>
      <c r="F1056" t="s">
        <v>868</v>
      </c>
      <c r="G1056">
        <v>596166074</v>
      </c>
      <c r="H1056" t="s">
        <v>1089</v>
      </c>
      <c r="I1056">
        <v>7644</v>
      </c>
      <c r="J1056">
        <v>255.28</v>
      </c>
      <c r="K1056">
        <v>159.41999999999999</v>
      </c>
      <c r="L1056">
        <v>1951360.32</v>
      </c>
      <c r="M1056">
        <v>1218606.48</v>
      </c>
      <c r="N1056">
        <v>732753.84</v>
      </c>
    </row>
    <row r="1057" spans="1:14" x14ac:dyDescent="0.25">
      <c r="A1057" t="s">
        <v>29</v>
      </c>
      <c r="B1057" t="s">
        <v>393</v>
      </c>
      <c r="C1057" t="s">
        <v>40</v>
      </c>
      <c r="D1057" t="s">
        <v>22</v>
      </c>
      <c r="E1057" t="s">
        <v>23</v>
      </c>
      <c r="F1057" t="s">
        <v>273</v>
      </c>
      <c r="G1057">
        <v>537588775</v>
      </c>
      <c r="H1057" t="s">
        <v>739</v>
      </c>
      <c r="I1057">
        <v>3320</v>
      </c>
      <c r="J1057">
        <v>81.73</v>
      </c>
      <c r="K1057">
        <v>56.67</v>
      </c>
      <c r="L1057">
        <v>271343.59999999998</v>
      </c>
      <c r="M1057">
        <v>188144.4</v>
      </c>
      <c r="N1057">
        <v>83199.199999999997</v>
      </c>
    </row>
    <row r="1058" spans="1:14" x14ac:dyDescent="0.25">
      <c r="A1058" t="s">
        <v>51</v>
      </c>
      <c r="B1058" t="s">
        <v>542</v>
      </c>
      <c r="C1058" t="s">
        <v>31</v>
      </c>
      <c r="D1058" t="s">
        <v>22</v>
      </c>
      <c r="E1058" t="s">
        <v>32</v>
      </c>
      <c r="F1058" t="s">
        <v>513</v>
      </c>
      <c r="G1058">
        <v>585757386</v>
      </c>
      <c r="H1058" t="s">
        <v>749</v>
      </c>
      <c r="I1058">
        <v>7482</v>
      </c>
      <c r="J1058">
        <v>205.7</v>
      </c>
      <c r="K1058">
        <v>117.11</v>
      </c>
      <c r="L1058">
        <v>1539047.4</v>
      </c>
      <c r="M1058">
        <v>876217.02</v>
      </c>
      <c r="N1058">
        <v>662830.38</v>
      </c>
    </row>
    <row r="1059" spans="1:14" x14ac:dyDescent="0.25">
      <c r="A1059" t="s">
        <v>25</v>
      </c>
      <c r="B1059" t="s">
        <v>172</v>
      </c>
      <c r="C1059" t="s">
        <v>27</v>
      </c>
      <c r="D1059" t="s">
        <v>22</v>
      </c>
      <c r="E1059" t="s">
        <v>23</v>
      </c>
      <c r="F1059" t="s">
        <v>1090</v>
      </c>
      <c r="G1059">
        <v>906345736</v>
      </c>
      <c r="H1059" t="s">
        <v>1091</v>
      </c>
      <c r="I1059">
        <v>6699</v>
      </c>
      <c r="J1059">
        <v>47.45</v>
      </c>
      <c r="K1059">
        <v>31.79</v>
      </c>
      <c r="L1059">
        <v>317867.55</v>
      </c>
      <c r="M1059">
        <v>212961.21</v>
      </c>
      <c r="N1059">
        <v>104906.34</v>
      </c>
    </row>
    <row r="1060" spans="1:14" x14ac:dyDescent="0.25">
      <c r="A1060" t="s">
        <v>25</v>
      </c>
      <c r="B1060" t="s">
        <v>497</v>
      </c>
      <c r="C1060" t="s">
        <v>59</v>
      </c>
      <c r="D1060" t="s">
        <v>22</v>
      </c>
      <c r="E1060" t="s">
        <v>18</v>
      </c>
      <c r="F1060" t="s">
        <v>1092</v>
      </c>
      <c r="G1060">
        <v>385340154</v>
      </c>
      <c r="H1060" t="s">
        <v>307</v>
      </c>
      <c r="I1060">
        <v>9569</v>
      </c>
      <c r="J1060">
        <v>437.2</v>
      </c>
      <c r="K1060">
        <v>263.33</v>
      </c>
      <c r="L1060">
        <v>4183566.8</v>
      </c>
      <c r="M1060">
        <v>2519804.77</v>
      </c>
      <c r="N1060">
        <v>1663762.03</v>
      </c>
    </row>
    <row r="1061" spans="1:14" x14ac:dyDescent="0.25">
      <c r="A1061" t="s">
        <v>25</v>
      </c>
      <c r="B1061" t="s">
        <v>434</v>
      </c>
      <c r="C1061" t="s">
        <v>59</v>
      </c>
      <c r="D1061" t="s">
        <v>22</v>
      </c>
      <c r="E1061" t="s">
        <v>45</v>
      </c>
      <c r="F1061" s="1">
        <v>40974</v>
      </c>
      <c r="G1061">
        <v>679039466</v>
      </c>
      <c r="H1061" s="1">
        <v>41036</v>
      </c>
      <c r="I1061">
        <v>1723</v>
      </c>
      <c r="J1061">
        <v>437.2</v>
      </c>
      <c r="K1061">
        <v>263.33</v>
      </c>
      <c r="L1061">
        <v>753295.6</v>
      </c>
      <c r="M1061">
        <v>453717.59</v>
      </c>
      <c r="N1061">
        <v>299578.01</v>
      </c>
    </row>
    <row r="1062" spans="1:14" x14ac:dyDescent="0.25">
      <c r="A1062" t="s">
        <v>51</v>
      </c>
      <c r="B1062" t="s">
        <v>250</v>
      </c>
      <c r="C1062" t="s">
        <v>131</v>
      </c>
      <c r="D1062" t="s">
        <v>22</v>
      </c>
      <c r="E1062" t="s">
        <v>32</v>
      </c>
      <c r="F1062" t="s">
        <v>1093</v>
      </c>
      <c r="G1062">
        <v>364055001</v>
      </c>
      <c r="H1062" t="s">
        <v>300</v>
      </c>
      <c r="I1062">
        <v>820</v>
      </c>
      <c r="J1062">
        <v>668.27</v>
      </c>
      <c r="K1062">
        <v>502.54</v>
      </c>
      <c r="L1062">
        <v>547981.4</v>
      </c>
      <c r="M1062">
        <v>412082.8</v>
      </c>
      <c r="N1062">
        <v>135898.6</v>
      </c>
    </row>
    <row r="1063" spans="1:14" x14ac:dyDescent="0.25">
      <c r="A1063" t="s">
        <v>29</v>
      </c>
      <c r="B1063" t="s">
        <v>485</v>
      </c>
      <c r="C1063" t="s">
        <v>16</v>
      </c>
      <c r="D1063" t="s">
        <v>17</v>
      </c>
      <c r="E1063" t="s">
        <v>45</v>
      </c>
      <c r="F1063" s="1">
        <v>40698</v>
      </c>
      <c r="G1063">
        <v>787310588</v>
      </c>
      <c r="H1063" t="s">
        <v>1094</v>
      </c>
      <c r="I1063">
        <v>1554</v>
      </c>
      <c r="J1063">
        <v>255.28</v>
      </c>
      <c r="K1063">
        <v>159.41999999999999</v>
      </c>
      <c r="L1063">
        <v>396705.12</v>
      </c>
      <c r="M1063">
        <v>247738.68</v>
      </c>
      <c r="N1063">
        <v>148966.44</v>
      </c>
    </row>
    <row r="1064" spans="1:14" x14ac:dyDescent="0.25">
      <c r="A1064" t="s">
        <v>51</v>
      </c>
      <c r="B1064" t="s">
        <v>301</v>
      </c>
      <c r="C1064" t="s">
        <v>44</v>
      </c>
      <c r="D1064" t="s">
        <v>17</v>
      </c>
      <c r="E1064" t="s">
        <v>45</v>
      </c>
      <c r="F1064" t="s">
        <v>1095</v>
      </c>
      <c r="G1064">
        <v>216042554</v>
      </c>
      <c r="H1064" t="s">
        <v>1095</v>
      </c>
      <c r="I1064">
        <v>647</v>
      </c>
      <c r="J1064">
        <v>109.28</v>
      </c>
      <c r="K1064">
        <v>35.840000000000003</v>
      </c>
      <c r="L1064">
        <v>70704.160000000003</v>
      </c>
      <c r="M1064">
        <v>23188.48</v>
      </c>
      <c r="N1064">
        <v>47515.68</v>
      </c>
    </row>
    <row r="1065" spans="1:14" x14ac:dyDescent="0.25">
      <c r="A1065" t="s">
        <v>25</v>
      </c>
      <c r="B1065" t="s">
        <v>142</v>
      </c>
      <c r="C1065" t="s">
        <v>16</v>
      </c>
      <c r="D1065" t="s">
        <v>22</v>
      </c>
      <c r="E1065" t="s">
        <v>32</v>
      </c>
      <c r="F1065" t="s">
        <v>1096</v>
      </c>
      <c r="G1065">
        <v>587799727</v>
      </c>
      <c r="H1065" t="s">
        <v>1001</v>
      </c>
      <c r="I1065">
        <v>1856</v>
      </c>
      <c r="J1065">
        <v>255.28</v>
      </c>
      <c r="K1065">
        <v>159.41999999999999</v>
      </c>
      <c r="L1065">
        <v>473799.67999999999</v>
      </c>
      <c r="M1065">
        <v>295883.52000000002</v>
      </c>
      <c r="N1065">
        <v>177916.16</v>
      </c>
    </row>
    <row r="1066" spans="1:14" x14ac:dyDescent="0.25">
      <c r="A1066" t="s">
        <v>38</v>
      </c>
      <c r="B1066" t="s">
        <v>105</v>
      </c>
      <c r="C1066" t="s">
        <v>88</v>
      </c>
      <c r="D1066" t="s">
        <v>17</v>
      </c>
      <c r="E1066" t="s">
        <v>32</v>
      </c>
      <c r="F1066" t="s">
        <v>1026</v>
      </c>
      <c r="G1066">
        <v>760443437</v>
      </c>
      <c r="H1066" t="s">
        <v>1097</v>
      </c>
      <c r="I1066">
        <v>966</v>
      </c>
      <c r="J1066">
        <v>9.33</v>
      </c>
      <c r="K1066">
        <v>6.92</v>
      </c>
      <c r="L1066">
        <v>9012.7800000000007</v>
      </c>
      <c r="M1066">
        <v>6684.72</v>
      </c>
      <c r="N1066">
        <v>2328.06</v>
      </c>
    </row>
    <row r="1067" spans="1:14" x14ac:dyDescent="0.25">
      <c r="A1067" t="s">
        <v>29</v>
      </c>
      <c r="B1067" t="s">
        <v>619</v>
      </c>
      <c r="C1067" t="s">
        <v>55</v>
      </c>
      <c r="D1067" t="s">
        <v>22</v>
      </c>
      <c r="E1067" t="s">
        <v>18</v>
      </c>
      <c r="F1067" t="s">
        <v>537</v>
      </c>
      <c r="G1067">
        <v>562147510</v>
      </c>
      <c r="H1067" s="1">
        <v>42318</v>
      </c>
      <c r="I1067">
        <v>795</v>
      </c>
      <c r="J1067">
        <v>651.21</v>
      </c>
      <c r="K1067">
        <v>524.96</v>
      </c>
      <c r="L1067">
        <v>517711.95</v>
      </c>
      <c r="M1067">
        <v>417343.2</v>
      </c>
      <c r="N1067">
        <v>100368.75</v>
      </c>
    </row>
    <row r="1068" spans="1:14" x14ac:dyDescent="0.25">
      <c r="A1068" t="s">
        <v>25</v>
      </c>
      <c r="B1068" t="s">
        <v>785</v>
      </c>
      <c r="C1068" t="s">
        <v>21</v>
      </c>
      <c r="D1068" t="s">
        <v>22</v>
      </c>
      <c r="E1068" t="s">
        <v>32</v>
      </c>
      <c r="F1068" t="s">
        <v>1098</v>
      </c>
      <c r="G1068">
        <v>341398274</v>
      </c>
      <c r="H1068" s="1">
        <v>42919</v>
      </c>
      <c r="I1068">
        <v>6191</v>
      </c>
      <c r="J1068">
        <v>152.58000000000001</v>
      </c>
      <c r="K1068">
        <v>97.44</v>
      </c>
      <c r="L1068">
        <v>944622.78</v>
      </c>
      <c r="M1068">
        <v>603251.04</v>
      </c>
      <c r="N1068">
        <v>341371.74</v>
      </c>
    </row>
    <row r="1069" spans="1:14" x14ac:dyDescent="0.25">
      <c r="A1069" t="s">
        <v>25</v>
      </c>
      <c r="B1069" t="s">
        <v>462</v>
      </c>
      <c r="C1069" t="s">
        <v>88</v>
      </c>
      <c r="D1069" t="s">
        <v>22</v>
      </c>
      <c r="E1069" t="s">
        <v>45</v>
      </c>
      <c r="F1069" t="s">
        <v>1099</v>
      </c>
      <c r="G1069">
        <v>516994559</v>
      </c>
      <c r="H1069" t="s">
        <v>1100</v>
      </c>
      <c r="I1069">
        <v>9034</v>
      </c>
      <c r="J1069">
        <v>9.33</v>
      </c>
      <c r="K1069">
        <v>6.92</v>
      </c>
      <c r="L1069">
        <v>84287.22</v>
      </c>
      <c r="M1069">
        <v>62515.28</v>
      </c>
      <c r="N1069">
        <v>21771.94</v>
      </c>
    </row>
    <row r="1070" spans="1:14" x14ac:dyDescent="0.25">
      <c r="A1070" t="s">
        <v>42</v>
      </c>
      <c r="B1070" t="s">
        <v>573</v>
      </c>
      <c r="C1070" t="s">
        <v>27</v>
      </c>
      <c r="D1070" t="s">
        <v>22</v>
      </c>
      <c r="E1070" t="s">
        <v>23</v>
      </c>
      <c r="F1070" t="s">
        <v>639</v>
      </c>
      <c r="G1070">
        <v>228047692</v>
      </c>
      <c r="H1070" t="s">
        <v>1101</v>
      </c>
      <c r="I1070">
        <v>3235</v>
      </c>
      <c r="J1070">
        <v>47.45</v>
      </c>
      <c r="K1070">
        <v>31.79</v>
      </c>
      <c r="L1070">
        <v>153500.75</v>
      </c>
      <c r="M1070">
        <v>102840.65</v>
      </c>
      <c r="N1070">
        <v>50660.1</v>
      </c>
    </row>
    <row r="1071" spans="1:14" x14ac:dyDescent="0.25">
      <c r="A1071" t="s">
        <v>25</v>
      </c>
      <c r="B1071" t="s">
        <v>239</v>
      </c>
      <c r="C1071" t="s">
        <v>55</v>
      </c>
      <c r="D1071" t="s">
        <v>17</v>
      </c>
      <c r="E1071" t="s">
        <v>45</v>
      </c>
      <c r="F1071" s="1">
        <v>40425</v>
      </c>
      <c r="G1071">
        <v>483981502</v>
      </c>
      <c r="H1071" s="1">
        <v>40273</v>
      </c>
      <c r="I1071">
        <v>9736</v>
      </c>
      <c r="J1071">
        <v>651.21</v>
      </c>
      <c r="K1071">
        <v>524.96</v>
      </c>
      <c r="L1071">
        <v>6340180.5599999996</v>
      </c>
      <c r="M1071">
        <v>5111010.5599999996</v>
      </c>
      <c r="N1071">
        <v>1229170</v>
      </c>
    </row>
    <row r="1072" spans="1:14" x14ac:dyDescent="0.25">
      <c r="A1072" t="s">
        <v>38</v>
      </c>
      <c r="B1072" t="s">
        <v>187</v>
      </c>
      <c r="C1072" t="s">
        <v>44</v>
      </c>
      <c r="D1072" t="s">
        <v>22</v>
      </c>
      <c r="E1072" t="s">
        <v>18</v>
      </c>
      <c r="F1072" t="s">
        <v>1102</v>
      </c>
      <c r="G1072">
        <v>114532315</v>
      </c>
      <c r="H1072" t="s">
        <v>1103</v>
      </c>
      <c r="I1072">
        <v>1512</v>
      </c>
      <c r="J1072">
        <v>109.28</v>
      </c>
      <c r="K1072">
        <v>35.840000000000003</v>
      </c>
      <c r="L1072">
        <v>165231.35999999999</v>
      </c>
      <c r="M1072">
        <v>54190.080000000002</v>
      </c>
      <c r="N1072">
        <v>111041.28</v>
      </c>
    </row>
    <row r="1073" spans="1:14" x14ac:dyDescent="0.25">
      <c r="A1073" t="s">
        <v>14</v>
      </c>
      <c r="B1073" t="s">
        <v>213</v>
      </c>
      <c r="C1073" t="s">
        <v>88</v>
      </c>
      <c r="D1073" t="s">
        <v>22</v>
      </c>
      <c r="E1073" t="s">
        <v>45</v>
      </c>
      <c r="F1073" s="1">
        <v>43041</v>
      </c>
      <c r="G1073">
        <v>719748961</v>
      </c>
      <c r="H1073" t="s">
        <v>519</v>
      </c>
      <c r="I1073">
        <v>8567</v>
      </c>
      <c r="J1073">
        <v>9.33</v>
      </c>
      <c r="K1073">
        <v>6.92</v>
      </c>
      <c r="L1073">
        <v>79930.11</v>
      </c>
      <c r="M1073">
        <v>59283.64</v>
      </c>
      <c r="N1073">
        <v>20646.47</v>
      </c>
    </row>
    <row r="1074" spans="1:14" x14ac:dyDescent="0.25">
      <c r="A1074" t="s">
        <v>38</v>
      </c>
      <c r="B1074" t="s">
        <v>58</v>
      </c>
      <c r="C1074" t="s">
        <v>31</v>
      </c>
      <c r="D1074" t="s">
        <v>17</v>
      </c>
      <c r="E1074" t="s">
        <v>45</v>
      </c>
      <c r="F1074" s="1">
        <v>40978</v>
      </c>
      <c r="G1074">
        <v>819992768</v>
      </c>
      <c r="H1074" t="s">
        <v>387</v>
      </c>
      <c r="I1074">
        <v>2937</v>
      </c>
      <c r="J1074">
        <v>205.7</v>
      </c>
      <c r="K1074">
        <v>117.11</v>
      </c>
      <c r="L1074">
        <v>604140.9</v>
      </c>
      <c r="M1074">
        <v>343952.07</v>
      </c>
      <c r="N1074">
        <v>260188.83</v>
      </c>
    </row>
    <row r="1075" spans="1:14" x14ac:dyDescent="0.25">
      <c r="A1075" t="s">
        <v>29</v>
      </c>
      <c r="B1075" t="s">
        <v>243</v>
      </c>
      <c r="C1075" t="s">
        <v>59</v>
      </c>
      <c r="D1075" t="s">
        <v>22</v>
      </c>
      <c r="E1075" t="s">
        <v>23</v>
      </c>
      <c r="F1075" t="s">
        <v>1104</v>
      </c>
      <c r="G1075">
        <v>805937564</v>
      </c>
      <c r="H1075" s="1">
        <v>42917</v>
      </c>
      <c r="I1075">
        <v>3690</v>
      </c>
      <c r="J1075">
        <v>437.2</v>
      </c>
      <c r="K1075">
        <v>263.33</v>
      </c>
      <c r="L1075">
        <v>1613268</v>
      </c>
      <c r="M1075">
        <v>971687.7</v>
      </c>
      <c r="N1075">
        <v>641580.30000000005</v>
      </c>
    </row>
    <row r="1076" spans="1:14" x14ac:dyDescent="0.25">
      <c r="A1076" t="s">
        <v>51</v>
      </c>
      <c r="B1076" t="s">
        <v>360</v>
      </c>
      <c r="C1076" t="s">
        <v>40</v>
      </c>
      <c r="D1076" t="s">
        <v>17</v>
      </c>
      <c r="E1076" t="s">
        <v>23</v>
      </c>
      <c r="F1076" t="s">
        <v>536</v>
      </c>
      <c r="G1076">
        <v>688569676</v>
      </c>
      <c r="H1076" t="s">
        <v>1105</v>
      </c>
      <c r="I1076">
        <v>1924</v>
      </c>
      <c r="J1076">
        <v>81.73</v>
      </c>
      <c r="K1076">
        <v>56.67</v>
      </c>
      <c r="L1076">
        <v>157248.51999999999</v>
      </c>
      <c r="M1076">
        <v>109033.08</v>
      </c>
      <c r="N1076">
        <v>48215.44</v>
      </c>
    </row>
    <row r="1077" spans="1:14" x14ac:dyDescent="0.25">
      <c r="A1077" t="s">
        <v>25</v>
      </c>
      <c r="B1077" t="s">
        <v>569</v>
      </c>
      <c r="C1077" t="s">
        <v>59</v>
      </c>
      <c r="D1077" t="s">
        <v>17</v>
      </c>
      <c r="E1077" t="s">
        <v>45</v>
      </c>
      <c r="F1077" t="s">
        <v>850</v>
      </c>
      <c r="G1077">
        <v>549187934</v>
      </c>
      <c r="H1077" t="s">
        <v>1106</v>
      </c>
      <c r="I1077">
        <v>5769</v>
      </c>
      <c r="J1077">
        <v>437.2</v>
      </c>
      <c r="K1077">
        <v>263.33</v>
      </c>
      <c r="L1077">
        <v>2522206.7999999998</v>
      </c>
      <c r="M1077">
        <v>1519150.77</v>
      </c>
      <c r="N1077">
        <v>1003056.03</v>
      </c>
    </row>
    <row r="1078" spans="1:14" x14ac:dyDescent="0.25">
      <c r="A1078" t="s">
        <v>25</v>
      </c>
      <c r="B1078" t="s">
        <v>458</v>
      </c>
      <c r="C1078" t="s">
        <v>44</v>
      </c>
      <c r="D1078" t="s">
        <v>17</v>
      </c>
      <c r="E1078" t="s">
        <v>18</v>
      </c>
      <c r="F1078" t="s">
        <v>1107</v>
      </c>
      <c r="G1078">
        <v>989403665</v>
      </c>
      <c r="H1078" t="s">
        <v>348</v>
      </c>
      <c r="I1078">
        <v>5386</v>
      </c>
      <c r="J1078">
        <v>109.28</v>
      </c>
      <c r="K1078">
        <v>35.840000000000003</v>
      </c>
      <c r="L1078">
        <v>588582.07999999996</v>
      </c>
      <c r="M1078">
        <v>193034.23999999999</v>
      </c>
      <c r="N1078">
        <v>395547.84</v>
      </c>
    </row>
    <row r="1079" spans="1:14" x14ac:dyDescent="0.25">
      <c r="A1079" t="s">
        <v>42</v>
      </c>
      <c r="B1079" t="s">
        <v>43</v>
      </c>
      <c r="C1079" t="s">
        <v>16</v>
      </c>
      <c r="D1079" t="s">
        <v>17</v>
      </c>
      <c r="E1079" t="s">
        <v>23</v>
      </c>
      <c r="F1079" s="1">
        <v>41218</v>
      </c>
      <c r="G1079">
        <v>881140697</v>
      </c>
      <c r="H1079" t="s">
        <v>390</v>
      </c>
      <c r="I1079">
        <v>7968</v>
      </c>
      <c r="J1079">
        <v>255.28</v>
      </c>
      <c r="K1079">
        <v>159.41999999999999</v>
      </c>
      <c r="L1079">
        <v>2034071.04</v>
      </c>
      <c r="M1079">
        <v>1270258.56</v>
      </c>
      <c r="N1079">
        <v>763812.48</v>
      </c>
    </row>
    <row r="1080" spans="1:14" x14ac:dyDescent="0.25">
      <c r="A1080" t="s">
        <v>25</v>
      </c>
      <c r="B1080" t="s">
        <v>363</v>
      </c>
      <c r="C1080" t="s">
        <v>131</v>
      </c>
      <c r="D1080" t="s">
        <v>17</v>
      </c>
      <c r="E1080" t="s">
        <v>45</v>
      </c>
      <c r="F1080" t="s">
        <v>1108</v>
      </c>
      <c r="G1080">
        <v>516635358</v>
      </c>
      <c r="H1080" t="s">
        <v>1092</v>
      </c>
      <c r="I1080">
        <v>2738</v>
      </c>
      <c r="J1080">
        <v>668.27</v>
      </c>
      <c r="K1080">
        <v>502.54</v>
      </c>
      <c r="L1080">
        <v>1829723.26</v>
      </c>
      <c r="M1080">
        <v>1375954.52</v>
      </c>
      <c r="N1080">
        <v>453768.74</v>
      </c>
    </row>
    <row r="1081" spans="1:14" x14ac:dyDescent="0.25">
      <c r="A1081" t="s">
        <v>77</v>
      </c>
      <c r="B1081" t="s">
        <v>320</v>
      </c>
      <c r="C1081" t="s">
        <v>88</v>
      </c>
      <c r="D1081" t="s">
        <v>17</v>
      </c>
      <c r="E1081" t="s">
        <v>18</v>
      </c>
      <c r="F1081" s="1">
        <v>43072</v>
      </c>
      <c r="G1081">
        <v>258436477</v>
      </c>
      <c r="H1081" t="s">
        <v>950</v>
      </c>
      <c r="I1081">
        <v>5951</v>
      </c>
      <c r="J1081">
        <v>9.33</v>
      </c>
      <c r="K1081">
        <v>6.92</v>
      </c>
      <c r="L1081">
        <v>55522.83</v>
      </c>
      <c r="M1081">
        <v>41180.92</v>
      </c>
      <c r="N1081">
        <v>14341.91</v>
      </c>
    </row>
    <row r="1082" spans="1:14" x14ac:dyDescent="0.25">
      <c r="A1082" t="s">
        <v>42</v>
      </c>
      <c r="B1082" t="s">
        <v>150</v>
      </c>
      <c r="C1082" t="s">
        <v>88</v>
      </c>
      <c r="D1082" t="s">
        <v>22</v>
      </c>
      <c r="E1082" t="s">
        <v>23</v>
      </c>
      <c r="F1082" s="1">
        <v>42557</v>
      </c>
      <c r="G1082">
        <v>989405381</v>
      </c>
      <c r="H1082" t="s">
        <v>1109</v>
      </c>
      <c r="I1082">
        <v>5894</v>
      </c>
      <c r="J1082">
        <v>9.33</v>
      </c>
      <c r="K1082">
        <v>6.92</v>
      </c>
      <c r="L1082">
        <v>54991.02</v>
      </c>
      <c r="M1082">
        <v>40786.480000000003</v>
      </c>
      <c r="N1082">
        <v>14204.54</v>
      </c>
    </row>
    <row r="1083" spans="1:14" x14ac:dyDescent="0.25">
      <c r="A1083" t="s">
        <v>51</v>
      </c>
      <c r="B1083" t="s">
        <v>414</v>
      </c>
      <c r="C1083" t="s">
        <v>59</v>
      </c>
      <c r="D1083" t="s">
        <v>22</v>
      </c>
      <c r="E1083" t="s">
        <v>18</v>
      </c>
      <c r="F1083" t="s">
        <v>641</v>
      </c>
      <c r="G1083">
        <v>962715899</v>
      </c>
      <c r="H1083" t="s">
        <v>1110</v>
      </c>
      <c r="I1083">
        <v>7883</v>
      </c>
      <c r="J1083">
        <v>437.2</v>
      </c>
      <c r="K1083">
        <v>263.33</v>
      </c>
      <c r="L1083">
        <v>3446447.6</v>
      </c>
      <c r="M1083">
        <v>2075830.39</v>
      </c>
      <c r="N1083">
        <v>1370617.21</v>
      </c>
    </row>
    <row r="1084" spans="1:14" x14ac:dyDescent="0.25">
      <c r="A1084" t="s">
        <v>51</v>
      </c>
      <c r="B1084" t="s">
        <v>487</v>
      </c>
      <c r="C1084" t="s">
        <v>59</v>
      </c>
      <c r="D1084" t="s">
        <v>22</v>
      </c>
      <c r="E1084" t="s">
        <v>23</v>
      </c>
      <c r="F1084" t="s">
        <v>413</v>
      </c>
      <c r="G1084">
        <v>751854360</v>
      </c>
      <c r="H1084" s="1">
        <v>40364</v>
      </c>
      <c r="I1084">
        <v>9268</v>
      </c>
      <c r="J1084">
        <v>437.2</v>
      </c>
      <c r="K1084">
        <v>263.33</v>
      </c>
      <c r="L1084">
        <v>4051969.6</v>
      </c>
      <c r="M1084">
        <v>2440542.44</v>
      </c>
      <c r="N1084">
        <v>1611427.16</v>
      </c>
    </row>
    <row r="1085" spans="1:14" x14ac:dyDescent="0.25">
      <c r="A1085" t="s">
        <v>29</v>
      </c>
      <c r="B1085" t="s">
        <v>153</v>
      </c>
      <c r="C1085" t="s">
        <v>131</v>
      </c>
      <c r="D1085" t="s">
        <v>17</v>
      </c>
      <c r="E1085" t="s">
        <v>45</v>
      </c>
      <c r="F1085" s="1">
        <v>41946</v>
      </c>
      <c r="G1085">
        <v>100619590</v>
      </c>
      <c r="H1085" t="s">
        <v>1111</v>
      </c>
      <c r="I1085">
        <v>4427</v>
      </c>
      <c r="J1085">
        <v>668.27</v>
      </c>
      <c r="K1085">
        <v>502.54</v>
      </c>
      <c r="L1085">
        <v>2958431.29</v>
      </c>
      <c r="M1085">
        <v>2224744.58</v>
      </c>
      <c r="N1085">
        <v>733686.71</v>
      </c>
    </row>
    <row r="1086" spans="1:14" x14ac:dyDescent="0.25">
      <c r="A1086" t="s">
        <v>25</v>
      </c>
      <c r="B1086" t="s">
        <v>609</v>
      </c>
      <c r="C1086" t="s">
        <v>44</v>
      </c>
      <c r="D1086" t="s">
        <v>22</v>
      </c>
      <c r="E1086" t="s">
        <v>18</v>
      </c>
      <c r="F1086" s="1">
        <v>42222</v>
      </c>
      <c r="G1086">
        <v>173122918</v>
      </c>
      <c r="H1086" t="s">
        <v>1112</v>
      </c>
      <c r="I1086">
        <v>9773</v>
      </c>
      <c r="J1086">
        <v>109.28</v>
      </c>
      <c r="K1086">
        <v>35.840000000000003</v>
      </c>
      <c r="L1086">
        <v>1067993.44</v>
      </c>
      <c r="M1086">
        <v>350264.32000000001</v>
      </c>
      <c r="N1086">
        <v>717729.12</v>
      </c>
    </row>
    <row r="1087" spans="1:14" x14ac:dyDescent="0.25">
      <c r="A1087" t="s">
        <v>51</v>
      </c>
      <c r="B1087" t="s">
        <v>424</v>
      </c>
      <c r="C1087" t="s">
        <v>131</v>
      </c>
      <c r="D1087" t="s">
        <v>22</v>
      </c>
      <c r="E1087" t="s">
        <v>23</v>
      </c>
      <c r="F1087" s="1">
        <v>40797</v>
      </c>
      <c r="G1087">
        <v>403788173</v>
      </c>
      <c r="H1087" t="s">
        <v>893</v>
      </c>
      <c r="I1087">
        <v>8748</v>
      </c>
      <c r="J1087">
        <v>668.27</v>
      </c>
      <c r="K1087">
        <v>502.54</v>
      </c>
      <c r="L1087">
        <v>5846025.96</v>
      </c>
      <c r="M1087">
        <v>4396219.92</v>
      </c>
      <c r="N1087">
        <v>1449806.04</v>
      </c>
    </row>
    <row r="1088" spans="1:14" x14ac:dyDescent="0.25">
      <c r="A1088" t="s">
        <v>51</v>
      </c>
      <c r="B1088" t="s">
        <v>502</v>
      </c>
      <c r="C1088" t="s">
        <v>88</v>
      </c>
      <c r="D1088" t="s">
        <v>17</v>
      </c>
      <c r="E1088" t="s">
        <v>18</v>
      </c>
      <c r="F1088" t="s">
        <v>1113</v>
      </c>
      <c r="G1088">
        <v>747351682</v>
      </c>
      <c r="H1088" t="s">
        <v>669</v>
      </c>
      <c r="I1088">
        <v>6825</v>
      </c>
      <c r="J1088">
        <v>9.33</v>
      </c>
      <c r="K1088">
        <v>6.92</v>
      </c>
      <c r="L1088">
        <v>63677.25</v>
      </c>
      <c r="M1088">
        <v>47229</v>
      </c>
      <c r="N1088">
        <v>16448.25</v>
      </c>
    </row>
    <row r="1089" spans="1:14" x14ac:dyDescent="0.25">
      <c r="A1089" t="s">
        <v>51</v>
      </c>
      <c r="B1089" t="s">
        <v>115</v>
      </c>
      <c r="C1089" t="s">
        <v>131</v>
      </c>
      <c r="D1089" t="s">
        <v>17</v>
      </c>
      <c r="E1089" t="s">
        <v>45</v>
      </c>
      <c r="F1089" s="1">
        <v>41398</v>
      </c>
      <c r="G1089">
        <v>328862273</v>
      </c>
      <c r="H1089" t="s">
        <v>1114</v>
      </c>
      <c r="I1089">
        <v>6510</v>
      </c>
      <c r="J1089">
        <v>668.27</v>
      </c>
      <c r="K1089">
        <v>502.54</v>
      </c>
      <c r="L1089">
        <v>4350437.7</v>
      </c>
      <c r="M1089">
        <v>3271535.4</v>
      </c>
      <c r="N1089">
        <v>1078902.3</v>
      </c>
    </row>
    <row r="1090" spans="1:14" x14ac:dyDescent="0.25">
      <c r="A1090" t="s">
        <v>51</v>
      </c>
      <c r="B1090" t="s">
        <v>525</v>
      </c>
      <c r="C1090" t="s">
        <v>40</v>
      </c>
      <c r="D1090" t="s">
        <v>17</v>
      </c>
      <c r="E1090" t="s">
        <v>18</v>
      </c>
      <c r="F1090" s="1">
        <v>40732</v>
      </c>
      <c r="G1090">
        <v>593681275</v>
      </c>
      <c r="H1090" s="1">
        <v>40856</v>
      </c>
      <c r="I1090">
        <v>2337</v>
      </c>
      <c r="J1090">
        <v>81.73</v>
      </c>
      <c r="K1090">
        <v>56.67</v>
      </c>
      <c r="L1090">
        <v>191003.01</v>
      </c>
      <c r="M1090">
        <v>132437.79</v>
      </c>
      <c r="N1090">
        <v>58565.22</v>
      </c>
    </row>
    <row r="1091" spans="1:14" x14ac:dyDescent="0.25">
      <c r="A1091" t="s">
        <v>25</v>
      </c>
      <c r="B1091" t="s">
        <v>615</v>
      </c>
      <c r="C1091" t="s">
        <v>27</v>
      </c>
      <c r="D1091" t="s">
        <v>17</v>
      </c>
      <c r="E1091" t="s">
        <v>23</v>
      </c>
      <c r="F1091" t="s">
        <v>1115</v>
      </c>
      <c r="G1091">
        <v>357482516</v>
      </c>
      <c r="H1091" t="s">
        <v>870</v>
      </c>
      <c r="I1091">
        <v>5875</v>
      </c>
      <c r="J1091">
        <v>47.45</v>
      </c>
      <c r="K1091">
        <v>31.79</v>
      </c>
      <c r="L1091">
        <v>278768.75</v>
      </c>
      <c r="M1091">
        <v>186766.25</v>
      </c>
      <c r="N1091">
        <v>92002.5</v>
      </c>
    </row>
    <row r="1092" spans="1:14" x14ac:dyDescent="0.25">
      <c r="A1092" t="s">
        <v>25</v>
      </c>
      <c r="B1092" t="s">
        <v>239</v>
      </c>
      <c r="C1092" t="s">
        <v>88</v>
      </c>
      <c r="D1092" t="s">
        <v>17</v>
      </c>
      <c r="E1092" t="s">
        <v>32</v>
      </c>
      <c r="F1092" t="s">
        <v>84</v>
      </c>
      <c r="G1092">
        <v>756252324</v>
      </c>
      <c r="H1092" s="1">
        <v>40423</v>
      </c>
      <c r="I1092">
        <v>723</v>
      </c>
      <c r="J1092">
        <v>9.33</v>
      </c>
      <c r="K1092">
        <v>6.92</v>
      </c>
      <c r="L1092">
        <v>6745.59</v>
      </c>
      <c r="M1092">
        <v>5003.16</v>
      </c>
      <c r="N1092">
        <v>1742.43</v>
      </c>
    </row>
    <row r="1093" spans="1:14" x14ac:dyDescent="0.25">
      <c r="A1093" t="s">
        <v>77</v>
      </c>
      <c r="B1093" t="s">
        <v>320</v>
      </c>
      <c r="C1093" t="s">
        <v>55</v>
      </c>
      <c r="D1093" t="s">
        <v>17</v>
      </c>
      <c r="E1093" t="s">
        <v>18</v>
      </c>
      <c r="F1093" s="1">
        <v>41556</v>
      </c>
      <c r="G1093">
        <v>296289527</v>
      </c>
      <c r="H1093" t="s">
        <v>48</v>
      </c>
      <c r="I1093">
        <v>7510</v>
      </c>
      <c r="J1093">
        <v>651.21</v>
      </c>
      <c r="K1093">
        <v>524.96</v>
      </c>
      <c r="L1093">
        <v>4890587.0999999996</v>
      </c>
      <c r="M1093">
        <v>3942449.6</v>
      </c>
      <c r="N1093">
        <v>948137.5</v>
      </c>
    </row>
    <row r="1094" spans="1:14" x14ac:dyDescent="0.25">
      <c r="A1094" t="s">
        <v>51</v>
      </c>
      <c r="B1094" t="s">
        <v>420</v>
      </c>
      <c r="C1094" t="s">
        <v>21</v>
      </c>
      <c r="D1094" t="s">
        <v>17</v>
      </c>
      <c r="E1094" t="s">
        <v>18</v>
      </c>
      <c r="F1094" t="s">
        <v>1116</v>
      </c>
      <c r="G1094">
        <v>704205453</v>
      </c>
      <c r="H1094" t="s">
        <v>1117</v>
      </c>
      <c r="I1094">
        <v>8897</v>
      </c>
      <c r="J1094">
        <v>152.58000000000001</v>
      </c>
      <c r="K1094">
        <v>97.44</v>
      </c>
      <c r="L1094">
        <v>1357504.26</v>
      </c>
      <c r="M1094">
        <v>866923.68</v>
      </c>
      <c r="N1094">
        <v>490580.58</v>
      </c>
    </row>
    <row r="1095" spans="1:14" x14ac:dyDescent="0.25">
      <c r="A1095" t="s">
        <v>29</v>
      </c>
      <c r="B1095" t="s">
        <v>199</v>
      </c>
      <c r="C1095" t="s">
        <v>31</v>
      </c>
      <c r="D1095" t="s">
        <v>22</v>
      </c>
      <c r="E1095" t="s">
        <v>18</v>
      </c>
      <c r="F1095" t="s">
        <v>1118</v>
      </c>
      <c r="G1095">
        <v>176923930</v>
      </c>
      <c r="H1095" t="s">
        <v>891</v>
      </c>
      <c r="I1095">
        <v>4577</v>
      </c>
      <c r="J1095">
        <v>205.7</v>
      </c>
      <c r="K1095">
        <v>117.11</v>
      </c>
      <c r="L1095">
        <v>941488.9</v>
      </c>
      <c r="M1095">
        <v>536012.47</v>
      </c>
      <c r="N1095">
        <v>405476.43</v>
      </c>
    </row>
    <row r="1096" spans="1:14" x14ac:dyDescent="0.25">
      <c r="A1096" t="s">
        <v>51</v>
      </c>
      <c r="B1096" t="s">
        <v>166</v>
      </c>
      <c r="C1096" t="s">
        <v>113</v>
      </c>
      <c r="D1096" t="s">
        <v>17</v>
      </c>
      <c r="E1096" t="s">
        <v>18</v>
      </c>
      <c r="F1096" s="1">
        <v>40211</v>
      </c>
      <c r="G1096">
        <v>131681287</v>
      </c>
      <c r="H1096" s="1">
        <v>40212</v>
      </c>
      <c r="I1096">
        <v>6274</v>
      </c>
      <c r="J1096">
        <v>154.06</v>
      </c>
      <c r="K1096">
        <v>90.93</v>
      </c>
      <c r="L1096">
        <v>966572.44</v>
      </c>
      <c r="M1096">
        <v>570494.81999999995</v>
      </c>
      <c r="N1096">
        <v>396077.62</v>
      </c>
    </row>
    <row r="1097" spans="1:14" x14ac:dyDescent="0.25">
      <c r="A1097" t="s">
        <v>38</v>
      </c>
      <c r="B1097" t="s">
        <v>190</v>
      </c>
      <c r="C1097" t="s">
        <v>88</v>
      </c>
      <c r="D1097" t="s">
        <v>17</v>
      </c>
      <c r="E1097" t="s">
        <v>23</v>
      </c>
      <c r="F1097" s="1">
        <v>41953</v>
      </c>
      <c r="G1097">
        <v>256026351</v>
      </c>
      <c r="H1097" t="s">
        <v>751</v>
      </c>
      <c r="I1097">
        <v>2742</v>
      </c>
      <c r="J1097">
        <v>9.33</v>
      </c>
      <c r="K1097">
        <v>6.92</v>
      </c>
      <c r="L1097">
        <v>25582.86</v>
      </c>
      <c r="M1097">
        <v>18974.64</v>
      </c>
      <c r="N1097">
        <v>6608.22</v>
      </c>
    </row>
    <row r="1098" spans="1:14" x14ac:dyDescent="0.25">
      <c r="A1098" t="s">
        <v>51</v>
      </c>
      <c r="B1098" t="s">
        <v>169</v>
      </c>
      <c r="C1098" t="s">
        <v>21</v>
      </c>
      <c r="D1098" t="s">
        <v>22</v>
      </c>
      <c r="E1098" t="s">
        <v>32</v>
      </c>
      <c r="F1098" t="s">
        <v>691</v>
      </c>
      <c r="G1098">
        <v>757820451</v>
      </c>
      <c r="H1098" t="s">
        <v>245</v>
      </c>
      <c r="I1098">
        <v>4767</v>
      </c>
      <c r="J1098">
        <v>152.58000000000001</v>
      </c>
      <c r="K1098">
        <v>97.44</v>
      </c>
      <c r="L1098">
        <v>727348.86</v>
      </c>
      <c r="M1098">
        <v>464496.48</v>
      </c>
      <c r="N1098">
        <v>262852.38</v>
      </c>
    </row>
    <row r="1099" spans="1:14" x14ac:dyDescent="0.25">
      <c r="A1099" t="s">
        <v>38</v>
      </c>
      <c r="B1099" t="s">
        <v>527</v>
      </c>
      <c r="C1099" t="s">
        <v>113</v>
      </c>
      <c r="D1099" t="s">
        <v>22</v>
      </c>
      <c r="E1099" t="s">
        <v>45</v>
      </c>
      <c r="F1099" t="s">
        <v>951</v>
      </c>
      <c r="G1099">
        <v>115237414</v>
      </c>
      <c r="H1099" t="s">
        <v>457</v>
      </c>
      <c r="I1099">
        <v>167</v>
      </c>
      <c r="J1099">
        <v>154.06</v>
      </c>
      <c r="K1099">
        <v>90.93</v>
      </c>
      <c r="L1099">
        <v>25728.02</v>
      </c>
      <c r="M1099">
        <v>15185.31</v>
      </c>
      <c r="N1099">
        <v>10542.71</v>
      </c>
    </row>
    <row r="1100" spans="1:14" x14ac:dyDescent="0.25">
      <c r="A1100" t="s">
        <v>25</v>
      </c>
      <c r="B1100" t="s">
        <v>256</v>
      </c>
      <c r="C1100" t="s">
        <v>44</v>
      </c>
      <c r="D1100" t="s">
        <v>22</v>
      </c>
      <c r="E1100" t="s">
        <v>45</v>
      </c>
      <c r="F1100" t="s">
        <v>1119</v>
      </c>
      <c r="G1100">
        <v>926763570</v>
      </c>
      <c r="H1100" t="s">
        <v>1120</v>
      </c>
      <c r="I1100">
        <v>8790</v>
      </c>
      <c r="J1100">
        <v>109.28</v>
      </c>
      <c r="K1100">
        <v>35.840000000000003</v>
      </c>
      <c r="L1100">
        <v>960571.2</v>
      </c>
      <c r="M1100">
        <v>315033.59999999998</v>
      </c>
      <c r="N1100">
        <v>645537.6</v>
      </c>
    </row>
    <row r="1101" spans="1:14" x14ac:dyDescent="0.25">
      <c r="A1101" t="s">
        <v>42</v>
      </c>
      <c r="B1101" t="s">
        <v>150</v>
      </c>
      <c r="C1101" t="s">
        <v>88</v>
      </c>
      <c r="D1101" t="s">
        <v>17</v>
      </c>
      <c r="E1101" t="s">
        <v>45</v>
      </c>
      <c r="F1101" t="s">
        <v>875</v>
      </c>
      <c r="G1101">
        <v>461197745</v>
      </c>
      <c r="H1101" t="s">
        <v>728</v>
      </c>
      <c r="I1101">
        <v>7517</v>
      </c>
      <c r="J1101">
        <v>9.33</v>
      </c>
      <c r="K1101">
        <v>6.92</v>
      </c>
      <c r="L1101">
        <v>70133.61</v>
      </c>
      <c r="M1101">
        <v>52017.64</v>
      </c>
      <c r="N1101">
        <v>18115.97</v>
      </c>
    </row>
    <row r="1102" spans="1:14" x14ac:dyDescent="0.25">
      <c r="A1102" t="s">
        <v>25</v>
      </c>
      <c r="B1102" t="s">
        <v>556</v>
      </c>
      <c r="C1102" t="s">
        <v>131</v>
      </c>
      <c r="D1102" t="s">
        <v>17</v>
      </c>
      <c r="E1102" t="s">
        <v>18</v>
      </c>
      <c r="F1102" t="s">
        <v>1121</v>
      </c>
      <c r="G1102">
        <v>107651269</v>
      </c>
      <c r="H1102" s="1">
        <v>41589</v>
      </c>
      <c r="I1102">
        <v>5258</v>
      </c>
      <c r="J1102">
        <v>668.27</v>
      </c>
      <c r="K1102">
        <v>502.54</v>
      </c>
      <c r="L1102">
        <v>3513763.66</v>
      </c>
      <c r="M1102">
        <v>2642355.3199999998</v>
      </c>
      <c r="N1102">
        <v>871408.34</v>
      </c>
    </row>
    <row r="1103" spans="1:14" x14ac:dyDescent="0.25">
      <c r="A1103" t="s">
        <v>25</v>
      </c>
      <c r="B1103" t="s">
        <v>529</v>
      </c>
      <c r="C1103" t="s">
        <v>27</v>
      </c>
      <c r="D1103" t="s">
        <v>17</v>
      </c>
      <c r="E1103" t="s">
        <v>45</v>
      </c>
      <c r="F1103" t="s">
        <v>1122</v>
      </c>
      <c r="G1103">
        <v>425547969</v>
      </c>
      <c r="H1103" s="1">
        <v>40491</v>
      </c>
      <c r="I1103">
        <v>7955</v>
      </c>
      <c r="J1103">
        <v>47.45</v>
      </c>
      <c r="K1103">
        <v>31.79</v>
      </c>
      <c r="L1103">
        <v>377464.75</v>
      </c>
      <c r="M1103">
        <v>252889.45</v>
      </c>
      <c r="N1103">
        <v>124575.3</v>
      </c>
    </row>
    <row r="1104" spans="1:14" x14ac:dyDescent="0.25">
      <c r="A1104" t="s">
        <v>14</v>
      </c>
      <c r="B1104" t="s">
        <v>94</v>
      </c>
      <c r="C1104" t="s">
        <v>131</v>
      </c>
      <c r="D1104" t="s">
        <v>22</v>
      </c>
      <c r="E1104" t="s">
        <v>23</v>
      </c>
      <c r="F1104" t="s">
        <v>620</v>
      </c>
      <c r="G1104">
        <v>694624173</v>
      </c>
      <c r="H1104" t="s">
        <v>692</v>
      </c>
      <c r="I1104">
        <v>3584</v>
      </c>
      <c r="J1104">
        <v>668.27</v>
      </c>
      <c r="K1104">
        <v>502.54</v>
      </c>
      <c r="L1104">
        <v>2395079.6800000002</v>
      </c>
      <c r="M1104">
        <v>1801103.3600000001</v>
      </c>
      <c r="N1104">
        <v>593976.31999999995</v>
      </c>
    </row>
    <row r="1105" spans="1:14" x14ac:dyDescent="0.25">
      <c r="A1105" t="s">
        <v>25</v>
      </c>
      <c r="B1105" t="s">
        <v>87</v>
      </c>
      <c r="C1105" t="s">
        <v>44</v>
      </c>
      <c r="D1105" t="s">
        <v>22</v>
      </c>
      <c r="E1105" t="s">
        <v>32</v>
      </c>
      <c r="F1105" t="s">
        <v>679</v>
      </c>
      <c r="G1105">
        <v>264928710</v>
      </c>
      <c r="H1105" t="s">
        <v>477</v>
      </c>
      <c r="I1105">
        <v>7147</v>
      </c>
      <c r="J1105">
        <v>109.28</v>
      </c>
      <c r="K1105">
        <v>35.840000000000003</v>
      </c>
      <c r="L1105">
        <v>781024.16</v>
      </c>
      <c r="M1105">
        <v>256148.48000000001</v>
      </c>
      <c r="N1105">
        <v>524875.68000000005</v>
      </c>
    </row>
    <row r="1106" spans="1:14" x14ac:dyDescent="0.25">
      <c r="A1106" t="s">
        <v>77</v>
      </c>
      <c r="B1106" t="s">
        <v>622</v>
      </c>
      <c r="C1106" t="s">
        <v>131</v>
      </c>
      <c r="D1106" t="s">
        <v>17</v>
      </c>
      <c r="E1106" t="s">
        <v>18</v>
      </c>
      <c r="F1106" s="1">
        <v>41702</v>
      </c>
      <c r="G1106">
        <v>806822907</v>
      </c>
      <c r="H1106" s="1">
        <v>41855</v>
      </c>
      <c r="I1106">
        <v>5683</v>
      </c>
      <c r="J1106">
        <v>668.27</v>
      </c>
      <c r="K1106">
        <v>502.54</v>
      </c>
      <c r="L1106">
        <v>3797778.41</v>
      </c>
      <c r="M1106">
        <v>2855934.82</v>
      </c>
      <c r="N1106">
        <v>941843.59</v>
      </c>
    </row>
    <row r="1107" spans="1:14" x14ac:dyDescent="0.25">
      <c r="A1107" t="s">
        <v>14</v>
      </c>
      <c r="B1107" t="s">
        <v>432</v>
      </c>
      <c r="C1107" t="s">
        <v>31</v>
      </c>
      <c r="D1107" t="s">
        <v>22</v>
      </c>
      <c r="E1107" t="s">
        <v>23</v>
      </c>
      <c r="F1107" t="s">
        <v>551</v>
      </c>
      <c r="G1107">
        <v>460980594</v>
      </c>
      <c r="H1107" t="s">
        <v>1123</v>
      </c>
      <c r="I1107">
        <v>3257</v>
      </c>
      <c r="J1107">
        <v>205.7</v>
      </c>
      <c r="K1107">
        <v>117.11</v>
      </c>
      <c r="L1107">
        <v>669964.9</v>
      </c>
      <c r="M1107">
        <v>381427.27</v>
      </c>
      <c r="N1107">
        <v>288537.63</v>
      </c>
    </row>
    <row r="1108" spans="1:14" x14ac:dyDescent="0.25">
      <c r="A1108" t="s">
        <v>51</v>
      </c>
      <c r="B1108" t="s">
        <v>424</v>
      </c>
      <c r="C1108" t="s">
        <v>113</v>
      </c>
      <c r="D1108" t="s">
        <v>17</v>
      </c>
      <c r="E1108" t="s">
        <v>45</v>
      </c>
      <c r="F1108" t="s">
        <v>669</v>
      </c>
      <c r="G1108">
        <v>588388097</v>
      </c>
      <c r="H1108" t="s">
        <v>632</v>
      </c>
      <c r="I1108">
        <v>5968</v>
      </c>
      <c r="J1108">
        <v>154.06</v>
      </c>
      <c r="K1108">
        <v>90.93</v>
      </c>
      <c r="L1108">
        <v>919430.08</v>
      </c>
      <c r="M1108">
        <v>542670.24</v>
      </c>
      <c r="N1108">
        <v>376759.84</v>
      </c>
    </row>
    <row r="1109" spans="1:14" x14ac:dyDescent="0.25">
      <c r="A1109" t="s">
        <v>51</v>
      </c>
      <c r="B1109" t="s">
        <v>115</v>
      </c>
      <c r="C1109" t="s">
        <v>27</v>
      </c>
      <c r="D1109" t="s">
        <v>22</v>
      </c>
      <c r="E1109" t="s">
        <v>32</v>
      </c>
      <c r="F1109" s="1">
        <v>41770</v>
      </c>
      <c r="G1109">
        <v>820344245</v>
      </c>
      <c r="H1109" t="s">
        <v>152</v>
      </c>
      <c r="I1109">
        <v>6947</v>
      </c>
      <c r="J1109">
        <v>47.45</v>
      </c>
      <c r="K1109">
        <v>31.79</v>
      </c>
      <c r="L1109">
        <v>329635.15000000002</v>
      </c>
      <c r="M1109">
        <v>220845.13</v>
      </c>
      <c r="N1109">
        <v>108790.02</v>
      </c>
    </row>
    <row r="1110" spans="1:14" x14ac:dyDescent="0.25">
      <c r="A1110" t="s">
        <v>42</v>
      </c>
      <c r="B1110" t="s">
        <v>476</v>
      </c>
      <c r="C1110" t="s">
        <v>16</v>
      </c>
      <c r="D1110" t="s">
        <v>17</v>
      </c>
      <c r="E1110" t="s">
        <v>32</v>
      </c>
      <c r="F1110" t="s">
        <v>1032</v>
      </c>
      <c r="G1110">
        <v>408460366</v>
      </c>
      <c r="H1110" t="s">
        <v>604</v>
      </c>
      <c r="I1110">
        <v>1354</v>
      </c>
      <c r="J1110">
        <v>255.28</v>
      </c>
      <c r="K1110">
        <v>159.41999999999999</v>
      </c>
      <c r="L1110">
        <v>345649.12</v>
      </c>
      <c r="M1110">
        <v>215854.68</v>
      </c>
      <c r="N1110">
        <v>129794.44</v>
      </c>
    </row>
    <row r="1111" spans="1:14" x14ac:dyDescent="0.25">
      <c r="A1111" t="s">
        <v>77</v>
      </c>
      <c r="B1111" t="s">
        <v>320</v>
      </c>
      <c r="C1111" t="s">
        <v>16</v>
      </c>
      <c r="D1111" t="s">
        <v>22</v>
      </c>
      <c r="E1111" t="s">
        <v>45</v>
      </c>
      <c r="F1111" s="1">
        <v>41617</v>
      </c>
      <c r="G1111">
        <v>474660289</v>
      </c>
      <c r="H1111" s="1">
        <v>41435</v>
      </c>
      <c r="I1111">
        <v>1382</v>
      </c>
      <c r="J1111">
        <v>255.28</v>
      </c>
      <c r="K1111">
        <v>159.41999999999999</v>
      </c>
      <c r="L1111">
        <v>352796.96</v>
      </c>
      <c r="M1111">
        <v>220318.44</v>
      </c>
      <c r="N1111">
        <v>132478.51999999999</v>
      </c>
    </row>
    <row r="1112" spans="1:14" x14ac:dyDescent="0.25">
      <c r="A1112" t="s">
        <v>25</v>
      </c>
      <c r="B1112" t="s">
        <v>529</v>
      </c>
      <c r="C1112" t="s">
        <v>27</v>
      </c>
      <c r="D1112" t="s">
        <v>22</v>
      </c>
      <c r="E1112" t="s">
        <v>32</v>
      </c>
      <c r="F1112" t="s">
        <v>1124</v>
      </c>
      <c r="G1112">
        <v>861180341</v>
      </c>
      <c r="H1112" t="s">
        <v>570</v>
      </c>
      <c r="I1112">
        <v>1255</v>
      </c>
      <c r="J1112">
        <v>47.45</v>
      </c>
      <c r="K1112">
        <v>31.79</v>
      </c>
      <c r="L1112">
        <v>59549.75</v>
      </c>
      <c r="M1112">
        <v>39896.449999999997</v>
      </c>
      <c r="N1112">
        <v>19653.3</v>
      </c>
    </row>
    <row r="1113" spans="1:14" x14ac:dyDescent="0.25">
      <c r="A1113" t="s">
        <v>25</v>
      </c>
      <c r="B1113" t="s">
        <v>615</v>
      </c>
      <c r="C1113" t="s">
        <v>27</v>
      </c>
      <c r="D1113" t="s">
        <v>22</v>
      </c>
      <c r="E1113" t="s">
        <v>18</v>
      </c>
      <c r="F1113" s="1">
        <v>40822</v>
      </c>
      <c r="G1113">
        <v>580569350</v>
      </c>
      <c r="H1113" s="1">
        <v>40609</v>
      </c>
      <c r="I1113">
        <v>2227</v>
      </c>
      <c r="J1113">
        <v>47.45</v>
      </c>
      <c r="K1113">
        <v>31.79</v>
      </c>
      <c r="L1113">
        <v>105671.15</v>
      </c>
      <c r="M1113">
        <v>70796.33</v>
      </c>
      <c r="N1113">
        <v>34874.82</v>
      </c>
    </row>
    <row r="1114" spans="1:14" x14ac:dyDescent="0.25">
      <c r="A1114" t="s">
        <v>42</v>
      </c>
      <c r="B1114" t="s">
        <v>290</v>
      </c>
      <c r="C1114" t="s">
        <v>27</v>
      </c>
      <c r="D1114" t="s">
        <v>22</v>
      </c>
      <c r="E1114" t="s">
        <v>18</v>
      </c>
      <c r="F1114" t="s">
        <v>686</v>
      </c>
      <c r="G1114">
        <v>965688645</v>
      </c>
      <c r="H1114" t="s">
        <v>293</v>
      </c>
      <c r="I1114">
        <v>7585</v>
      </c>
      <c r="J1114">
        <v>47.45</v>
      </c>
      <c r="K1114">
        <v>31.79</v>
      </c>
      <c r="L1114">
        <v>359908.25</v>
      </c>
      <c r="M1114">
        <v>241127.15</v>
      </c>
      <c r="N1114">
        <v>118781.1</v>
      </c>
    </row>
    <row r="1115" spans="1:14" x14ac:dyDescent="0.25">
      <c r="A1115" t="s">
        <v>14</v>
      </c>
      <c r="B1115" t="s">
        <v>208</v>
      </c>
      <c r="C1115" t="s">
        <v>27</v>
      </c>
      <c r="D1115" t="s">
        <v>22</v>
      </c>
      <c r="E1115" t="s">
        <v>23</v>
      </c>
      <c r="F1115" s="1">
        <v>40826</v>
      </c>
      <c r="G1115">
        <v>719712054</v>
      </c>
      <c r="H1115" t="s">
        <v>1125</v>
      </c>
      <c r="I1115">
        <v>7645</v>
      </c>
      <c r="J1115">
        <v>47.45</v>
      </c>
      <c r="K1115">
        <v>31.79</v>
      </c>
      <c r="L1115">
        <v>362755.25</v>
      </c>
      <c r="M1115">
        <v>243034.55</v>
      </c>
      <c r="N1115">
        <v>119720.7</v>
      </c>
    </row>
    <row r="1116" spans="1:14" x14ac:dyDescent="0.25">
      <c r="A1116" t="s">
        <v>14</v>
      </c>
      <c r="B1116" t="s">
        <v>20</v>
      </c>
      <c r="C1116" t="s">
        <v>131</v>
      </c>
      <c r="D1116" t="s">
        <v>17</v>
      </c>
      <c r="E1116" t="s">
        <v>32</v>
      </c>
      <c r="F1116" t="s">
        <v>1126</v>
      </c>
      <c r="G1116">
        <v>866125905</v>
      </c>
      <c r="H1116" t="s">
        <v>818</v>
      </c>
      <c r="I1116">
        <v>4757</v>
      </c>
      <c r="J1116">
        <v>668.27</v>
      </c>
      <c r="K1116">
        <v>502.54</v>
      </c>
      <c r="L1116">
        <v>3178960.39</v>
      </c>
      <c r="M1116">
        <v>2390582.7799999998</v>
      </c>
      <c r="N1116">
        <v>788377.61</v>
      </c>
    </row>
    <row r="1117" spans="1:14" x14ac:dyDescent="0.25">
      <c r="A1117" t="s">
        <v>51</v>
      </c>
      <c r="B1117" t="s">
        <v>327</v>
      </c>
      <c r="C1117" t="s">
        <v>31</v>
      </c>
      <c r="D1117" t="s">
        <v>22</v>
      </c>
      <c r="E1117" t="s">
        <v>18</v>
      </c>
      <c r="F1117" t="s">
        <v>1127</v>
      </c>
      <c r="G1117">
        <v>698729026</v>
      </c>
      <c r="H1117" t="s">
        <v>881</v>
      </c>
      <c r="I1117">
        <v>8301</v>
      </c>
      <c r="J1117">
        <v>205.7</v>
      </c>
      <c r="K1117">
        <v>117.11</v>
      </c>
      <c r="L1117">
        <v>1707515.7</v>
      </c>
      <c r="M1117">
        <v>972130.11</v>
      </c>
      <c r="N1117">
        <v>735385.59</v>
      </c>
    </row>
    <row r="1118" spans="1:14" x14ac:dyDescent="0.25">
      <c r="A1118" t="s">
        <v>29</v>
      </c>
      <c r="B1118" t="s">
        <v>315</v>
      </c>
      <c r="C1118" t="s">
        <v>131</v>
      </c>
      <c r="D1118" t="s">
        <v>17</v>
      </c>
      <c r="E1118" t="s">
        <v>32</v>
      </c>
      <c r="F1118" t="s">
        <v>851</v>
      </c>
      <c r="G1118">
        <v>931632745</v>
      </c>
      <c r="H1118" s="1">
        <v>40944</v>
      </c>
      <c r="I1118">
        <v>9687</v>
      </c>
      <c r="J1118">
        <v>668.27</v>
      </c>
      <c r="K1118">
        <v>502.54</v>
      </c>
      <c r="L1118">
        <v>6473531.4900000002</v>
      </c>
      <c r="M1118">
        <v>4868104.9800000004</v>
      </c>
      <c r="N1118">
        <v>1605426.51</v>
      </c>
    </row>
    <row r="1119" spans="1:14" x14ac:dyDescent="0.25">
      <c r="A1119" t="s">
        <v>29</v>
      </c>
      <c r="B1119" t="s">
        <v>494</v>
      </c>
      <c r="C1119" t="s">
        <v>31</v>
      </c>
      <c r="D1119" t="s">
        <v>22</v>
      </c>
      <c r="E1119" t="s">
        <v>45</v>
      </c>
      <c r="F1119" s="1">
        <v>41701</v>
      </c>
      <c r="G1119">
        <v>549260890</v>
      </c>
      <c r="H1119" t="s">
        <v>983</v>
      </c>
      <c r="I1119">
        <v>7358</v>
      </c>
      <c r="J1119">
        <v>205.7</v>
      </c>
      <c r="K1119">
        <v>117.11</v>
      </c>
      <c r="L1119">
        <v>1513540.6</v>
      </c>
      <c r="M1119">
        <v>861695.38</v>
      </c>
      <c r="N1119">
        <v>651845.22</v>
      </c>
    </row>
    <row r="1120" spans="1:14" x14ac:dyDescent="0.25">
      <c r="A1120" t="s">
        <v>38</v>
      </c>
      <c r="B1120" t="s">
        <v>83</v>
      </c>
      <c r="C1120" t="s">
        <v>27</v>
      </c>
      <c r="D1120" t="s">
        <v>17</v>
      </c>
      <c r="E1120" t="s">
        <v>23</v>
      </c>
      <c r="F1120" t="s">
        <v>677</v>
      </c>
      <c r="G1120">
        <v>856349790</v>
      </c>
      <c r="H1120" t="s">
        <v>759</v>
      </c>
      <c r="I1120">
        <v>1788</v>
      </c>
      <c r="J1120">
        <v>47.45</v>
      </c>
      <c r="K1120">
        <v>31.79</v>
      </c>
      <c r="L1120">
        <v>84840.6</v>
      </c>
      <c r="M1120">
        <v>56840.52</v>
      </c>
      <c r="N1120">
        <v>28000.080000000002</v>
      </c>
    </row>
    <row r="1121" spans="1:14" x14ac:dyDescent="0.25">
      <c r="A1121" t="s">
        <v>14</v>
      </c>
      <c r="B1121" t="s">
        <v>835</v>
      </c>
      <c r="C1121" t="s">
        <v>40</v>
      </c>
      <c r="D1121" t="s">
        <v>22</v>
      </c>
      <c r="E1121" t="s">
        <v>45</v>
      </c>
      <c r="F1121" t="s">
        <v>762</v>
      </c>
      <c r="G1121">
        <v>527948272</v>
      </c>
      <c r="H1121" t="s">
        <v>686</v>
      </c>
      <c r="I1121">
        <v>481</v>
      </c>
      <c r="J1121">
        <v>81.73</v>
      </c>
      <c r="K1121">
        <v>56.67</v>
      </c>
      <c r="L1121">
        <v>39312.129999999997</v>
      </c>
      <c r="M1121">
        <v>27258.27</v>
      </c>
      <c r="N1121">
        <v>12053.86</v>
      </c>
    </row>
    <row r="1122" spans="1:14" x14ac:dyDescent="0.25">
      <c r="A1122" t="s">
        <v>25</v>
      </c>
      <c r="B1122" t="s">
        <v>204</v>
      </c>
      <c r="C1122" t="s">
        <v>113</v>
      </c>
      <c r="D1122" t="s">
        <v>22</v>
      </c>
      <c r="E1122" t="s">
        <v>18</v>
      </c>
      <c r="F1122" t="s">
        <v>644</v>
      </c>
      <c r="G1122">
        <v>559417665</v>
      </c>
      <c r="H1122" t="s">
        <v>645</v>
      </c>
      <c r="I1122">
        <v>2973</v>
      </c>
      <c r="J1122">
        <v>154.06</v>
      </c>
      <c r="K1122">
        <v>90.93</v>
      </c>
      <c r="L1122">
        <v>458020.38</v>
      </c>
      <c r="M1122">
        <v>270334.89</v>
      </c>
      <c r="N1122">
        <v>187685.49</v>
      </c>
    </row>
    <row r="1123" spans="1:14" x14ac:dyDescent="0.25">
      <c r="A1123" t="s">
        <v>14</v>
      </c>
      <c r="B1123" t="s">
        <v>94</v>
      </c>
      <c r="C1123" t="s">
        <v>131</v>
      </c>
      <c r="D1123" t="s">
        <v>17</v>
      </c>
      <c r="E1123" t="s">
        <v>23</v>
      </c>
      <c r="F1123" s="1">
        <v>41129</v>
      </c>
      <c r="G1123">
        <v>216431796</v>
      </c>
      <c r="H1123" s="1">
        <v>40977</v>
      </c>
      <c r="I1123">
        <v>5833</v>
      </c>
      <c r="J1123">
        <v>668.27</v>
      </c>
      <c r="K1123">
        <v>502.54</v>
      </c>
      <c r="L1123">
        <v>3898018.91</v>
      </c>
      <c r="M1123">
        <v>2931315.82</v>
      </c>
      <c r="N1123">
        <v>966703.09</v>
      </c>
    </row>
    <row r="1124" spans="1:14" x14ac:dyDescent="0.25">
      <c r="A1124" t="s">
        <v>25</v>
      </c>
      <c r="B1124" t="s">
        <v>229</v>
      </c>
      <c r="C1124" t="s">
        <v>131</v>
      </c>
      <c r="D1124" t="s">
        <v>17</v>
      </c>
      <c r="E1124" t="s">
        <v>23</v>
      </c>
      <c r="F1124" t="s">
        <v>643</v>
      </c>
      <c r="G1124">
        <v>184976994</v>
      </c>
      <c r="H1124" t="s">
        <v>336</v>
      </c>
      <c r="I1124">
        <v>7658</v>
      </c>
      <c r="J1124">
        <v>668.27</v>
      </c>
      <c r="K1124">
        <v>502.54</v>
      </c>
      <c r="L1124">
        <v>5117611.66</v>
      </c>
      <c r="M1124">
        <v>3848451.32</v>
      </c>
      <c r="N1124">
        <v>1269160.3400000001</v>
      </c>
    </row>
    <row r="1125" spans="1:14" x14ac:dyDescent="0.25">
      <c r="A1125" t="s">
        <v>51</v>
      </c>
      <c r="B1125" t="s">
        <v>219</v>
      </c>
      <c r="C1125" t="s">
        <v>40</v>
      </c>
      <c r="D1125" t="s">
        <v>22</v>
      </c>
      <c r="E1125" t="s">
        <v>18</v>
      </c>
      <c r="F1125" t="s">
        <v>340</v>
      </c>
      <c r="G1125">
        <v>321352088</v>
      </c>
      <c r="H1125" s="1">
        <v>40699</v>
      </c>
      <c r="I1125">
        <v>4079</v>
      </c>
      <c r="J1125">
        <v>81.73</v>
      </c>
      <c r="K1125">
        <v>56.67</v>
      </c>
      <c r="L1125">
        <v>333376.67</v>
      </c>
      <c r="M1125">
        <v>231156.93</v>
      </c>
      <c r="N1125">
        <v>102219.74</v>
      </c>
    </row>
    <row r="1126" spans="1:14" x14ac:dyDescent="0.25">
      <c r="A1126" t="s">
        <v>51</v>
      </c>
      <c r="B1126" t="s">
        <v>575</v>
      </c>
      <c r="C1126" t="s">
        <v>88</v>
      </c>
      <c r="D1126" t="s">
        <v>22</v>
      </c>
      <c r="E1126" t="s">
        <v>18</v>
      </c>
      <c r="F1126" t="s">
        <v>390</v>
      </c>
      <c r="G1126">
        <v>102168405</v>
      </c>
      <c r="H1126" t="s">
        <v>390</v>
      </c>
      <c r="I1126">
        <v>2756</v>
      </c>
      <c r="J1126">
        <v>9.33</v>
      </c>
      <c r="K1126">
        <v>6.92</v>
      </c>
      <c r="L1126">
        <v>25713.48</v>
      </c>
      <c r="M1126">
        <v>19071.52</v>
      </c>
      <c r="N1126">
        <v>6641.96</v>
      </c>
    </row>
    <row r="1127" spans="1:14" x14ac:dyDescent="0.25">
      <c r="A1127" t="s">
        <v>25</v>
      </c>
      <c r="B1127" t="s">
        <v>252</v>
      </c>
      <c r="C1127" t="s">
        <v>27</v>
      </c>
      <c r="D1127" t="s">
        <v>17</v>
      </c>
      <c r="E1127" t="s">
        <v>18</v>
      </c>
      <c r="F1127" s="1">
        <v>41498</v>
      </c>
      <c r="G1127">
        <v>874349772</v>
      </c>
      <c r="H1127" s="1">
        <v>41730</v>
      </c>
      <c r="I1127">
        <v>8383</v>
      </c>
      <c r="J1127">
        <v>47.45</v>
      </c>
      <c r="K1127">
        <v>31.79</v>
      </c>
      <c r="L1127">
        <v>397773.35</v>
      </c>
      <c r="M1127">
        <v>266495.57</v>
      </c>
      <c r="N1127">
        <v>131277.78</v>
      </c>
    </row>
    <row r="1128" spans="1:14" x14ac:dyDescent="0.25">
      <c r="A1128" t="s">
        <v>14</v>
      </c>
      <c r="B1128" t="s">
        <v>372</v>
      </c>
      <c r="C1128" t="s">
        <v>113</v>
      </c>
      <c r="D1128" t="s">
        <v>17</v>
      </c>
      <c r="E1128" t="s">
        <v>45</v>
      </c>
      <c r="F1128" t="s">
        <v>526</v>
      </c>
      <c r="G1128">
        <v>905132520</v>
      </c>
      <c r="H1128" s="1">
        <v>40798</v>
      </c>
      <c r="I1128">
        <v>7681</v>
      </c>
      <c r="J1128">
        <v>154.06</v>
      </c>
      <c r="K1128">
        <v>90.93</v>
      </c>
      <c r="L1128">
        <v>1183334.8600000001</v>
      </c>
      <c r="M1128">
        <v>698433.33</v>
      </c>
      <c r="N1128">
        <v>484901.53</v>
      </c>
    </row>
    <row r="1129" spans="1:14" x14ac:dyDescent="0.25">
      <c r="A1129" t="s">
        <v>38</v>
      </c>
      <c r="B1129" t="s">
        <v>49</v>
      </c>
      <c r="C1129" t="s">
        <v>113</v>
      </c>
      <c r="D1129" t="s">
        <v>22</v>
      </c>
      <c r="E1129" t="s">
        <v>45</v>
      </c>
      <c r="F1129" s="1">
        <v>41769</v>
      </c>
      <c r="G1129">
        <v>332065474</v>
      </c>
      <c r="H1129" t="s">
        <v>400</v>
      </c>
      <c r="I1129">
        <v>4408</v>
      </c>
      <c r="J1129">
        <v>154.06</v>
      </c>
      <c r="K1129">
        <v>90.93</v>
      </c>
      <c r="L1129">
        <v>679096.48</v>
      </c>
      <c r="M1129">
        <v>400819.44</v>
      </c>
      <c r="N1129">
        <v>278277.03999999998</v>
      </c>
    </row>
    <row r="1130" spans="1:14" x14ac:dyDescent="0.25">
      <c r="A1130" t="s">
        <v>25</v>
      </c>
      <c r="B1130" t="s">
        <v>529</v>
      </c>
      <c r="C1130" t="s">
        <v>131</v>
      </c>
      <c r="D1130" t="s">
        <v>17</v>
      </c>
      <c r="E1130" t="s">
        <v>45</v>
      </c>
      <c r="F1130" t="s">
        <v>1128</v>
      </c>
      <c r="G1130">
        <v>713009965</v>
      </c>
      <c r="H1130" t="s">
        <v>582</v>
      </c>
      <c r="I1130">
        <v>4348</v>
      </c>
      <c r="J1130">
        <v>668.27</v>
      </c>
      <c r="K1130">
        <v>502.54</v>
      </c>
      <c r="L1130">
        <v>2905637.96</v>
      </c>
      <c r="M1130">
        <v>2185043.92</v>
      </c>
      <c r="N1130">
        <v>720594.04</v>
      </c>
    </row>
    <row r="1131" spans="1:14" x14ac:dyDescent="0.25">
      <c r="A1131" t="s">
        <v>51</v>
      </c>
      <c r="B1131" t="s">
        <v>575</v>
      </c>
      <c r="C1131" t="s">
        <v>16</v>
      </c>
      <c r="D1131" t="s">
        <v>22</v>
      </c>
      <c r="E1131" t="s">
        <v>18</v>
      </c>
      <c r="F1131" t="s">
        <v>1129</v>
      </c>
      <c r="G1131">
        <v>976139819</v>
      </c>
      <c r="H1131" t="s">
        <v>331</v>
      </c>
      <c r="I1131">
        <v>319</v>
      </c>
      <c r="J1131">
        <v>255.28</v>
      </c>
      <c r="K1131">
        <v>159.41999999999999</v>
      </c>
      <c r="L1131">
        <v>81434.320000000007</v>
      </c>
      <c r="M1131">
        <v>50854.98</v>
      </c>
      <c r="N1131">
        <v>30579.34</v>
      </c>
    </row>
    <row r="1132" spans="1:14" x14ac:dyDescent="0.25">
      <c r="A1132" t="s">
        <v>25</v>
      </c>
      <c r="B1132" t="s">
        <v>529</v>
      </c>
      <c r="C1132" t="s">
        <v>16</v>
      </c>
      <c r="D1132" t="s">
        <v>17</v>
      </c>
      <c r="E1132" t="s">
        <v>18</v>
      </c>
      <c r="F1132" t="s">
        <v>1130</v>
      </c>
      <c r="G1132">
        <v>569941365</v>
      </c>
      <c r="H1132" t="s">
        <v>808</v>
      </c>
      <c r="I1132">
        <v>7170</v>
      </c>
      <c r="J1132">
        <v>255.28</v>
      </c>
      <c r="K1132">
        <v>159.41999999999999</v>
      </c>
      <c r="L1132">
        <v>1830357.6</v>
      </c>
      <c r="M1132">
        <v>1143041.3999999999</v>
      </c>
      <c r="N1132">
        <v>687316.2</v>
      </c>
    </row>
    <row r="1133" spans="1:14" x14ac:dyDescent="0.25">
      <c r="A1133" t="s">
        <v>51</v>
      </c>
      <c r="B1133" t="s">
        <v>542</v>
      </c>
      <c r="C1133" t="s">
        <v>31</v>
      </c>
      <c r="D1133" t="s">
        <v>17</v>
      </c>
      <c r="E1133" t="s">
        <v>23</v>
      </c>
      <c r="F1133" t="s">
        <v>1131</v>
      </c>
      <c r="G1133">
        <v>813213431</v>
      </c>
      <c r="H1133" t="s">
        <v>667</v>
      </c>
      <c r="I1133">
        <v>6781</v>
      </c>
      <c r="J1133">
        <v>205.7</v>
      </c>
      <c r="K1133">
        <v>117.11</v>
      </c>
      <c r="L1133">
        <v>1394851.7</v>
      </c>
      <c r="M1133">
        <v>794122.91</v>
      </c>
      <c r="N1133">
        <v>600728.79</v>
      </c>
    </row>
    <row r="1134" spans="1:14" x14ac:dyDescent="0.25">
      <c r="A1134" t="s">
        <v>25</v>
      </c>
      <c r="B1134" t="s">
        <v>242</v>
      </c>
      <c r="C1134" t="s">
        <v>131</v>
      </c>
      <c r="D1134" t="s">
        <v>17</v>
      </c>
      <c r="E1134" t="s">
        <v>45</v>
      </c>
      <c r="F1134" s="1">
        <v>40430</v>
      </c>
      <c r="G1134">
        <v>845067346</v>
      </c>
      <c r="H1134" t="s">
        <v>238</v>
      </c>
      <c r="I1134">
        <v>3062</v>
      </c>
      <c r="J1134">
        <v>668.27</v>
      </c>
      <c r="K1134">
        <v>502.54</v>
      </c>
      <c r="L1134">
        <v>2046242.74</v>
      </c>
      <c r="M1134">
        <v>1538777.48</v>
      </c>
      <c r="N1134">
        <v>507465.26</v>
      </c>
    </row>
    <row r="1135" spans="1:14" x14ac:dyDescent="0.25">
      <c r="A1135" t="s">
        <v>25</v>
      </c>
      <c r="B1135" t="s">
        <v>26</v>
      </c>
      <c r="C1135" t="s">
        <v>88</v>
      </c>
      <c r="D1135" t="s">
        <v>22</v>
      </c>
      <c r="E1135" t="s">
        <v>18</v>
      </c>
      <c r="F1135" t="s">
        <v>1132</v>
      </c>
      <c r="G1135">
        <v>774926936</v>
      </c>
      <c r="H1135" t="s">
        <v>1011</v>
      </c>
      <c r="I1135">
        <v>6956</v>
      </c>
      <c r="J1135">
        <v>9.33</v>
      </c>
      <c r="K1135">
        <v>6.92</v>
      </c>
      <c r="L1135">
        <v>64899.48</v>
      </c>
      <c r="M1135">
        <v>48135.519999999997</v>
      </c>
      <c r="N1135">
        <v>16763.96</v>
      </c>
    </row>
    <row r="1136" spans="1:14" x14ac:dyDescent="0.25">
      <c r="A1136" t="s">
        <v>51</v>
      </c>
      <c r="B1136" t="s">
        <v>100</v>
      </c>
      <c r="C1136" t="s">
        <v>27</v>
      </c>
      <c r="D1136" t="s">
        <v>17</v>
      </c>
      <c r="E1136" t="s">
        <v>32</v>
      </c>
      <c r="F1136" s="1">
        <v>41736</v>
      </c>
      <c r="G1136">
        <v>332528531</v>
      </c>
      <c r="H1136" t="s">
        <v>456</v>
      </c>
      <c r="I1136">
        <v>1437</v>
      </c>
      <c r="J1136">
        <v>47.45</v>
      </c>
      <c r="K1136">
        <v>31.79</v>
      </c>
      <c r="L1136">
        <v>68185.649999999994</v>
      </c>
      <c r="M1136">
        <v>45682.23</v>
      </c>
      <c r="N1136">
        <v>22503.42</v>
      </c>
    </row>
    <row r="1137" spans="1:14" x14ac:dyDescent="0.25">
      <c r="A1137" t="s">
        <v>25</v>
      </c>
      <c r="B1137" t="s">
        <v>343</v>
      </c>
      <c r="C1137" t="s">
        <v>16</v>
      </c>
      <c r="D1137" t="s">
        <v>17</v>
      </c>
      <c r="E1137" t="s">
        <v>45</v>
      </c>
      <c r="F1137" s="1">
        <v>40699</v>
      </c>
      <c r="G1137">
        <v>217920958</v>
      </c>
      <c r="H1137" t="s">
        <v>505</v>
      </c>
      <c r="I1137">
        <v>6509</v>
      </c>
      <c r="J1137">
        <v>255.28</v>
      </c>
      <c r="K1137">
        <v>159.41999999999999</v>
      </c>
      <c r="L1137">
        <v>1661617.52</v>
      </c>
      <c r="M1137">
        <v>1037664.78</v>
      </c>
      <c r="N1137">
        <v>623952.74</v>
      </c>
    </row>
    <row r="1138" spans="1:14" x14ac:dyDescent="0.25">
      <c r="A1138" t="s">
        <v>14</v>
      </c>
      <c r="B1138" t="s">
        <v>433</v>
      </c>
      <c r="C1138" t="s">
        <v>40</v>
      </c>
      <c r="D1138" t="s">
        <v>22</v>
      </c>
      <c r="E1138" t="s">
        <v>45</v>
      </c>
      <c r="F1138" t="s">
        <v>1032</v>
      </c>
      <c r="G1138">
        <v>751465547</v>
      </c>
      <c r="H1138" s="1">
        <v>42350</v>
      </c>
      <c r="I1138">
        <v>4209</v>
      </c>
      <c r="J1138">
        <v>81.73</v>
      </c>
      <c r="K1138">
        <v>56.67</v>
      </c>
      <c r="L1138">
        <v>344001.57</v>
      </c>
      <c r="M1138">
        <v>238524.03</v>
      </c>
      <c r="N1138">
        <v>105477.54</v>
      </c>
    </row>
    <row r="1139" spans="1:14" x14ac:dyDescent="0.25">
      <c r="A1139" t="s">
        <v>25</v>
      </c>
      <c r="B1139" t="s">
        <v>363</v>
      </c>
      <c r="C1139" t="s">
        <v>44</v>
      </c>
      <c r="D1139" t="s">
        <v>17</v>
      </c>
      <c r="E1139" t="s">
        <v>23</v>
      </c>
      <c r="F1139" s="1">
        <v>41427</v>
      </c>
      <c r="G1139">
        <v>523836123</v>
      </c>
      <c r="H1139" t="s">
        <v>332</v>
      </c>
      <c r="I1139">
        <v>3605</v>
      </c>
      <c r="J1139">
        <v>109.28</v>
      </c>
      <c r="K1139">
        <v>35.840000000000003</v>
      </c>
      <c r="L1139">
        <v>393954.4</v>
      </c>
      <c r="M1139">
        <v>129203.2</v>
      </c>
      <c r="N1139">
        <v>264751.2</v>
      </c>
    </row>
    <row r="1140" spans="1:14" x14ac:dyDescent="0.25">
      <c r="A1140" t="s">
        <v>25</v>
      </c>
      <c r="B1140" t="s">
        <v>196</v>
      </c>
      <c r="C1140" t="s">
        <v>113</v>
      </c>
      <c r="D1140" t="s">
        <v>17</v>
      </c>
      <c r="E1140" t="s">
        <v>23</v>
      </c>
      <c r="F1140" s="1">
        <v>40705</v>
      </c>
      <c r="G1140">
        <v>446019017</v>
      </c>
      <c r="H1140" t="s">
        <v>1048</v>
      </c>
      <c r="I1140">
        <v>5794</v>
      </c>
      <c r="J1140">
        <v>154.06</v>
      </c>
      <c r="K1140">
        <v>90.93</v>
      </c>
      <c r="L1140">
        <v>892623.64</v>
      </c>
      <c r="M1140">
        <v>526848.42000000004</v>
      </c>
      <c r="N1140">
        <v>365775.22</v>
      </c>
    </row>
    <row r="1141" spans="1:14" x14ac:dyDescent="0.25">
      <c r="A1141" t="s">
        <v>29</v>
      </c>
      <c r="B1141" t="s">
        <v>35</v>
      </c>
      <c r="C1141" t="s">
        <v>55</v>
      </c>
      <c r="D1141" t="s">
        <v>22</v>
      </c>
      <c r="E1141" t="s">
        <v>45</v>
      </c>
      <c r="F1141" t="s">
        <v>549</v>
      </c>
      <c r="G1141">
        <v>599313056</v>
      </c>
      <c r="H1141" t="s">
        <v>972</v>
      </c>
      <c r="I1141">
        <v>8906</v>
      </c>
      <c r="J1141">
        <v>651.21</v>
      </c>
      <c r="K1141">
        <v>524.96</v>
      </c>
      <c r="L1141">
        <v>5799676.2599999998</v>
      </c>
      <c r="M1141">
        <v>4675293.76</v>
      </c>
      <c r="N1141">
        <v>1124382.5</v>
      </c>
    </row>
    <row r="1142" spans="1:14" x14ac:dyDescent="0.25">
      <c r="A1142" t="s">
        <v>38</v>
      </c>
      <c r="B1142" t="s">
        <v>105</v>
      </c>
      <c r="C1142" t="s">
        <v>40</v>
      </c>
      <c r="D1142" t="s">
        <v>17</v>
      </c>
      <c r="E1142" t="s">
        <v>18</v>
      </c>
      <c r="F1142" t="s">
        <v>352</v>
      </c>
      <c r="G1142">
        <v>685329568</v>
      </c>
      <c r="H1142" t="s">
        <v>1133</v>
      </c>
      <c r="I1142">
        <v>3104</v>
      </c>
      <c r="J1142">
        <v>81.73</v>
      </c>
      <c r="K1142">
        <v>56.67</v>
      </c>
      <c r="L1142">
        <v>253689.92</v>
      </c>
      <c r="M1142">
        <v>175903.68</v>
      </c>
      <c r="N1142">
        <v>77786.240000000005</v>
      </c>
    </row>
    <row r="1143" spans="1:14" x14ac:dyDescent="0.25">
      <c r="A1143" t="s">
        <v>25</v>
      </c>
      <c r="B1143" t="s">
        <v>112</v>
      </c>
      <c r="C1143" t="s">
        <v>44</v>
      </c>
      <c r="D1143" t="s">
        <v>17</v>
      </c>
      <c r="E1143" t="s">
        <v>45</v>
      </c>
      <c r="F1143" t="s">
        <v>1134</v>
      </c>
      <c r="G1143">
        <v>475992381</v>
      </c>
      <c r="H1143" t="s">
        <v>832</v>
      </c>
      <c r="I1143">
        <v>5578</v>
      </c>
      <c r="J1143">
        <v>109.28</v>
      </c>
      <c r="K1143">
        <v>35.840000000000003</v>
      </c>
      <c r="L1143">
        <v>609563.84</v>
      </c>
      <c r="M1143">
        <v>199915.51999999999</v>
      </c>
      <c r="N1143">
        <v>409648.32</v>
      </c>
    </row>
    <row r="1144" spans="1:14" x14ac:dyDescent="0.25">
      <c r="A1144" t="s">
        <v>51</v>
      </c>
      <c r="B1144" t="s">
        <v>231</v>
      </c>
      <c r="C1144" t="s">
        <v>69</v>
      </c>
      <c r="D1144" t="s">
        <v>22</v>
      </c>
      <c r="E1144" t="s">
        <v>18</v>
      </c>
      <c r="F1144" s="1">
        <v>42347</v>
      </c>
      <c r="G1144">
        <v>263537824</v>
      </c>
      <c r="H1144" t="s">
        <v>936</v>
      </c>
      <c r="I1144">
        <v>5553</v>
      </c>
      <c r="J1144">
        <v>421.89</v>
      </c>
      <c r="K1144">
        <v>364.69</v>
      </c>
      <c r="L1144">
        <v>2342755.17</v>
      </c>
      <c r="M1144">
        <v>2025123.57</v>
      </c>
      <c r="N1144">
        <v>317631.59999999998</v>
      </c>
    </row>
    <row r="1145" spans="1:14" x14ac:dyDescent="0.25">
      <c r="A1145" t="s">
        <v>25</v>
      </c>
      <c r="B1145" t="s">
        <v>204</v>
      </c>
      <c r="C1145" t="s">
        <v>55</v>
      </c>
      <c r="D1145" t="s">
        <v>22</v>
      </c>
      <c r="E1145" t="s">
        <v>23</v>
      </c>
      <c r="F1145" s="1">
        <v>42738</v>
      </c>
      <c r="G1145">
        <v>410514724</v>
      </c>
      <c r="H1145" s="1">
        <v>43012</v>
      </c>
      <c r="I1145">
        <v>9284</v>
      </c>
      <c r="J1145">
        <v>651.21</v>
      </c>
      <c r="K1145">
        <v>524.96</v>
      </c>
      <c r="L1145">
        <v>6045833.6399999997</v>
      </c>
      <c r="M1145">
        <v>4873728.6399999997</v>
      </c>
      <c r="N1145">
        <v>1172105</v>
      </c>
    </row>
    <row r="1146" spans="1:14" x14ac:dyDescent="0.25">
      <c r="A1146" t="s">
        <v>51</v>
      </c>
      <c r="B1146" t="s">
        <v>276</v>
      </c>
      <c r="C1146" t="s">
        <v>27</v>
      </c>
      <c r="D1146" t="s">
        <v>22</v>
      </c>
      <c r="E1146" t="s">
        <v>18</v>
      </c>
      <c r="F1146" s="1">
        <v>41244</v>
      </c>
      <c r="G1146">
        <v>899784409</v>
      </c>
      <c r="H1146" t="s">
        <v>1135</v>
      </c>
      <c r="I1146">
        <v>5057</v>
      </c>
      <c r="J1146">
        <v>47.45</v>
      </c>
      <c r="K1146">
        <v>31.79</v>
      </c>
      <c r="L1146">
        <v>239954.65</v>
      </c>
      <c r="M1146">
        <v>160762.03</v>
      </c>
      <c r="N1146">
        <v>79192.62</v>
      </c>
    </row>
    <row r="1147" spans="1:14" x14ac:dyDescent="0.25">
      <c r="A1147" t="s">
        <v>51</v>
      </c>
      <c r="B1147" t="s">
        <v>52</v>
      </c>
      <c r="C1147" t="s">
        <v>40</v>
      </c>
      <c r="D1147" t="s">
        <v>17</v>
      </c>
      <c r="E1147" t="s">
        <v>45</v>
      </c>
      <c r="F1147" t="s">
        <v>1136</v>
      </c>
      <c r="G1147">
        <v>884520709</v>
      </c>
      <c r="H1147" s="1">
        <v>42621</v>
      </c>
      <c r="I1147">
        <v>8189</v>
      </c>
      <c r="J1147">
        <v>81.73</v>
      </c>
      <c r="K1147">
        <v>56.67</v>
      </c>
      <c r="L1147">
        <v>669286.97</v>
      </c>
      <c r="M1147">
        <v>464070.63</v>
      </c>
      <c r="N1147">
        <v>205216.34</v>
      </c>
    </row>
    <row r="1148" spans="1:14" x14ac:dyDescent="0.25">
      <c r="A1148" t="s">
        <v>25</v>
      </c>
      <c r="B1148" t="s">
        <v>497</v>
      </c>
      <c r="C1148" t="s">
        <v>40</v>
      </c>
      <c r="D1148" t="s">
        <v>22</v>
      </c>
      <c r="E1148" t="s">
        <v>23</v>
      </c>
      <c r="F1148" t="s">
        <v>1137</v>
      </c>
      <c r="G1148">
        <v>938209950</v>
      </c>
      <c r="H1148" t="s">
        <v>1138</v>
      </c>
      <c r="I1148">
        <v>6028</v>
      </c>
      <c r="J1148">
        <v>81.73</v>
      </c>
      <c r="K1148">
        <v>56.67</v>
      </c>
      <c r="L1148">
        <v>492668.44</v>
      </c>
      <c r="M1148">
        <v>341606.76</v>
      </c>
      <c r="N1148">
        <v>151061.68</v>
      </c>
    </row>
    <row r="1149" spans="1:14" x14ac:dyDescent="0.25">
      <c r="A1149" t="s">
        <v>51</v>
      </c>
      <c r="B1149" t="s">
        <v>301</v>
      </c>
      <c r="C1149" t="s">
        <v>88</v>
      </c>
      <c r="D1149" t="s">
        <v>17</v>
      </c>
      <c r="E1149" t="s">
        <v>18</v>
      </c>
      <c r="F1149" t="s">
        <v>820</v>
      </c>
      <c r="G1149">
        <v>804650962</v>
      </c>
      <c r="H1149" t="s">
        <v>217</v>
      </c>
      <c r="I1149">
        <v>2956</v>
      </c>
      <c r="J1149">
        <v>9.33</v>
      </c>
      <c r="K1149">
        <v>6.92</v>
      </c>
      <c r="L1149">
        <v>27579.48</v>
      </c>
      <c r="M1149">
        <v>20455.52</v>
      </c>
      <c r="N1149">
        <v>7123.96</v>
      </c>
    </row>
    <row r="1150" spans="1:14" x14ac:dyDescent="0.25">
      <c r="A1150" t="s">
        <v>25</v>
      </c>
      <c r="B1150" t="s">
        <v>196</v>
      </c>
      <c r="C1150" t="s">
        <v>44</v>
      </c>
      <c r="D1150" t="s">
        <v>22</v>
      </c>
      <c r="E1150" t="s">
        <v>45</v>
      </c>
      <c r="F1150" t="s">
        <v>221</v>
      </c>
      <c r="G1150">
        <v>747955071</v>
      </c>
      <c r="H1150" t="s">
        <v>1139</v>
      </c>
      <c r="I1150">
        <v>5382</v>
      </c>
      <c r="J1150">
        <v>109.28</v>
      </c>
      <c r="K1150">
        <v>35.840000000000003</v>
      </c>
      <c r="L1150">
        <v>588144.96</v>
      </c>
      <c r="M1150">
        <v>192890.88</v>
      </c>
      <c r="N1150">
        <v>395254.08</v>
      </c>
    </row>
    <row r="1151" spans="1:14" x14ac:dyDescent="0.25">
      <c r="A1151" t="s">
        <v>51</v>
      </c>
      <c r="B1151" t="s">
        <v>350</v>
      </c>
      <c r="C1151" t="s">
        <v>113</v>
      </c>
      <c r="D1151" t="s">
        <v>22</v>
      </c>
      <c r="E1151" t="s">
        <v>23</v>
      </c>
      <c r="F1151" t="s">
        <v>708</v>
      </c>
      <c r="G1151">
        <v>202546107</v>
      </c>
      <c r="H1151" s="1">
        <v>41193</v>
      </c>
      <c r="I1151">
        <v>6749</v>
      </c>
      <c r="J1151">
        <v>154.06</v>
      </c>
      <c r="K1151">
        <v>90.93</v>
      </c>
      <c r="L1151">
        <v>1039750.94</v>
      </c>
      <c r="M1151">
        <v>613686.56999999995</v>
      </c>
      <c r="N1151">
        <v>426064.37</v>
      </c>
    </row>
    <row r="1152" spans="1:14" x14ac:dyDescent="0.25">
      <c r="A1152" t="s">
        <v>25</v>
      </c>
      <c r="B1152" t="s">
        <v>529</v>
      </c>
      <c r="C1152" t="s">
        <v>44</v>
      </c>
      <c r="D1152" t="s">
        <v>22</v>
      </c>
      <c r="E1152" t="s">
        <v>32</v>
      </c>
      <c r="F1152" t="s">
        <v>839</v>
      </c>
      <c r="G1152">
        <v>923160398</v>
      </c>
      <c r="H1152" t="s">
        <v>1140</v>
      </c>
      <c r="I1152">
        <v>2531</v>
      </c>
      <c r="J1152">
        <v>109.28</v>
      </c>
      <c r="K1152">
        <v>35.840000000000003</v>
      </c>
      <c r="L1152">
        <v>276587.68</v>
      </c>
      <c r="M1152">
        <v>90711.039999999994</v>
      </c>
      <c r="N1152">
        <v>185876.64</v>
      </c>
    </row>
    <row r="1153" spans="1:14" x14ac:dyDescent="0.25">
      <c r="A1153" t="s">
        <v>51</v>
      </c>
      <c r="B1153" t="s">
        <v>182</v>
      </c>
      <c r="C1153" t="s">
        <v>88</v>
      </c>
      <c r="D1153" t="s">
        <v>17</v>
      </c>
      <c r="E1153" t="s">
        <v>23</v>
      </c>
      <c r="F1153" t="s">
        <v>943</v>
      </c>
      <c r="G1153">
        <v>234846770</v>
      </c>
      <c r="H1153" s="1">
        <v>40701</v>
      </c>
      <c r="I1153">
        <v>5233</v>
      </c>
      <c r="J1153">
        <v>9.33</v>
      </c>
      <c r="K1153">
        <v>6.92</v>
      </c>
      <c r="L1153">
        <v>48823.89</v>
      </c>
      <c r="M1153">
        <v>36212.36</v>
      </c>
      <c r="N1153">
        <v>12611.53</v>
      </c>
    </row>
    <row r="1154" spans="1:14" x14ac:dyDescent="0.25">
      <c r="A1154" t="s">
        <v>42</v>
      </c>
      <c r="B1154" t="s">
        <v>43</v>
      </c>
      <c r="C1154" t="s">
        <v>55</v>
      </c>
      <c r="D1154" t="s">
        <v>22</v>
      </c>
      <c r="E1154" t="s">
        <v>32</v>
      </c>
      <c r="F1154" t="s">
        <v>1141</v>
      </c>
      <c r="G1154">
        <v>482966554</v>
      </c>
      <c r="H1154" t="s">
        <v>807</v>
      </c>
      <c r="I1154">
        <v>9391</v>
      </c>
      <c r="J1154">
        <v>651.21</v>
      </c>
      <c r="K1154">
        <v>524.96</v>
      </c>
      <c r="L1154">
        <v>6115513.1100000003</v>
      </c>
      <c r="M1154">
        <v>4929899.3600000003</v>
      </c>
      <c r="N1154">
        <v>1185613.75</v>
      </c>
    </row>
    <row r="1155" spans="1:14" x14ac:dyDescent="0.25">
      <c r="A1155" t="s">
        <v>29</v>
      </c>
      <c r="B1155" t="s">
        <v>356</v>
      </c>
      <c r="C1155" t="s">
        <v>88</v>
      </c>
      <c r="D1155" t="s">
        <v>17</v>
      </c>
      <c r="E1155" t="s">
        <v>32</v>
      </c>
      <c r="F1155" t="s">
        <v>1142</v>
      </c>
      <c r="G1155">
        <v>483193576</v>
      </c>
      <c r="H1155" t="s">
        <v>512</v>
      </c>
      <c r="I1155">
        <v>6572</v>
      </c>
      <c r="J1155">
        <v>9.33</v>
      </c>
      <c r="K1155">
        <v>6.92</v>
      </c>
      <c r="L1155">
        <v>61316.76</v>
      </c>
      <c r="M1155">
        <v>45478.239999999998</v>
      </c>
      <c r="N1155">
        <v>15838.52</v>
      </c>
    </row>
    <row r="1156" spans="1:14" x14ac:dyDescent="0.25">
      <c r="A1156" t="s">
        <v>29</v>
      </c>
      <c r="B1156" t="s">
        <v>121</v>
      </c>
      <c r="C1156" t="s">
        <v>113</v>
      </c>
      <c r="D1156" t="s">
        <v>17</v>
      </c>
      <c r="E1156" t="s">
        <v>23</v>
      </c>
      <c r="F1156" s="1">
        <v>41465</v>
      </c>
      <c r="G1156">
        <v>471514165</v>
      </c>
      <c r="H1156" t="s">
        <v>798</v>
      </c>
      <c r="I1156">
        <v>374</v>
      </c>
      <c r="J1156">
        <v>154.06</v>
      </c>
      <c r="K1156">
        <v>90.93</v>
      </c>
      <c r="L1156">
        <v>57618.44</v>
      </c>
      <c r="M1156">
        <v>34007.82</v>
      </c>
      <c r="N1156">
        <v>23610.62</v>
      </c>
    </row>
    <row r="1157" spans="1:14" x14ac:dyDescent="0.25">
      <c r="A1157" t="s">
        <v>25</v>
      </c>
      <c r="B1157" t="s">
        <v>256</v>
      </c>
      <c r="C1157" t="s">
        <v>55</v>
      </c>
      <c r="D1157" t="s">
        <v>17</v>
      </c>
      <c r="E1157" t="s">
        <v>45</v>
      </c>
      <c r="F1157" t="s">
        <v>657</v>
      </c>
      <c r="G1157">
        <v>754227149</v>
      </c>
      <c r="H1157" t="s">
        <v>583</v>
      </c>
      <c r="I1157">
        <v>1429</v>
      </c>
      <c r="J1157">
        <v>651.21</v>
      </c>
      <c r="K1157">
        <v>524.96</v>
      </c>
      <c r="L1157">
        <v>930579.09</v>
      </c>
      <c r="M1157">
        <v>750167.84</v>
      </c>
      <c r="N1157">
        <v>180411.25</v>
      </c>
    </row>
    <row r="1158" spans="1:14" x14ac:dyDescent="0.25">
      <c r="A1158" t="s">
        <v>25</v>
      </c>
      <c r="B1158" t="s">
        <v>266</v>
      </c>
      <c r="C1158" t="s">
        <v>16</v>
      </c>
      <c r="D1158" t="s">
        <v>22</v>
      </c>
      <c r="E1158" t="s">
        <v>32</v>
      </c>
      <c r="F1158" t="s">
        <v>1143</v>
      </c>
      <c r="G1158">
        <v>357943856</v>
      </c>
      <c r="H1158" t="s">
        <v>411</v>
      </c>
      <c r="I1158">
        <v>2396</v>
      </c>
      <c r="J1158">
        <v>255.28</v>
      </c>
      <c r="K1158">
        <v>159.41999999999999</v>
      </c>
      <c r="L1158">
        <v>611650.88</v>
      </c>
      <c r="M1158">
        <v>381970.32</v>
      </c>
      <c r="N1158">
        <v>229680.56</v>
      </c>
    </row>
    <row r="1159" spans="1:14" x14ac:dyDescent="0.25">
      <c r="A1159" t="s">
        <v>51</v>
      </c>
      <c r="B1159" t="s">
        <v>192</v>
      </c>
      <c r="C1159" t="s">
        <v>40</v>
      </c>
      <c r="D1159" t="s">
        <v>22</v>
      </c>
      <c r="E1159" t="s">
        <v>45</v>
      </c>
      <c r="F1159" t="s">
        <v>384</v>
      </c>
      <c r="G1159">
        <v>179588115</v>
      </c>
      <c r="H1159" t="s">
        <v>1144</v>
      </c>
      <c r="I1159">
        <v>2969</v>
      </c>
      <c r="J1159">
        <v>81.73</v>
      </c>
      <c r="K1159">
        <v>56.67</v>
      </c>
      <c r="L1159">
        <v>242656.37</v>
      </c>
      <c r="M1159">
        <v>168253.23</v>
      </c>
      <c r="N1159">
        <v>74403.14</v>
      </c>
    </row>
    <row r="1160" spans="1:14" x14ac:dyDescent="0.25">
      <c r="A1160" t="s">
        <v>29</v>
      </c>
      <c r="B1160" t="s">
        <v>153</v>
      </c>
      <c r="C1160" t="s">
        <v>69</v>
      </c>
      <c r="D1160" t="s">
        <v>22</v>
      </c>
      <c r="E1160" t="s">
        <v>45</v>
      </c>
      <c r="F1160" s="1">
        <v>41316</v>
      </c>
      <c r="G1160">
        <v>736396253</v>
      </c>
      <c r="H1160" s="1">
        <v>41405</v>
      </c>
      <c r="I1160">
        <v>4870</v>
      </c>
      <c r="J1160">
        <v>421.89</v>
      </c>
      <c r="K1160">
        <v>364.69</v>
      </c>
      <c r="L1160">
        <v>2054604.3</v>
      </c>
      <c r="M1160">
        <v>1776040.3</v>
      </c>
      <c r="N1160">
        <v>278564</v>
      </c>
    </row>
    <row r="1161" spans="1:14" x14ac:dyDescent="0.25">
      <c r="A1161" t="s">
        <v>25</v>
      </c>
      <c r="B1161" t="s">
        <v>615</v>
      </c>
      <c r="C1161" t="s">
        <v>59</v>
      </c>
      <c r="D1161" t="s">
        <v>17</v>
      </c>
      <c r="E1161" t="s">
        <v>18</v>
      </c>
      <c r="F1161" t="s">
        <v>198</v>
      </c>
      <c r="G1161">
        <v>815917098</v>
      </c>
      <c r="H1161" t="s">
        <v>249</v>
      </c>
      <c r="I1161">
        <v>6856</v>
      </c>
      <c r="J1161">
        <v>437.2</v>
      </c>
      <c r="K1161">
        <v>263.33</v>
      </c>
      <c r="L1161">
        <v>2997443.2</v>
      </c>
      <c r="M1161">
        <v>1805390.48</v>
      </c>
      <c r="N1161">
        <v>1192052.72</v>
      </c>
    </row>
    <row r="1162" spans="1:14" x14ac:dyDescent="0.25">
      <c r="A1162" t="s">
        <v>25</v>
      </c>
      <c r="B1162" t="s">
        <v>256</v>
      </c>
      <c r="C1162" t="s">
        <v>44</v>
      </c>
      <c r="D1162" t="s">
        <v>22</v>
      </c>
      <c r="E1162" t="s">
        <v>32</v>
      </c>
      <c r="F1162" s="1">
        <v>40575</v>
      </c>
      <c r="G1162">
        <v>626011979</v>
      </c>
      <c r="H1162" s="1">
        <v>40848</v>
      </c>
      <c r="I1162">
        <v>9711</v>
      </c>
      <c r="J1162">
        <v>109.28</v>
      </c>
      <c r="K1162">
        <v>35.840000000000003</v>
      </c>
      <c r="L1162">
        <v>1061218.08</v>
      </c>
      <c r="M1162">
        <v>348042.23999999999</v>
      </c>
      <c r="N1162">
        <v>713175.84</v>
      </c>
    </row>
    <row r="1163" spans="1:14" x14ac:dyDescent="0.25">
      <c r="A1163" t="s">
        <v>77</v>
      </c>
      <c r="B1163" t="s">
        <v>320</v>
      </c>
      <c r="C1163" t="s">
        <v>40</v>
      </c>
      <c r="D1163" t="s">
        <v>22</v>
      </c>
      <c r="E1163" t="s">
        <v>32</v>
      </c>
      <c r="F1163" t="s">
        <v>863</v>
      </c>
      <c r="G1163">
        <v>444854724</v>
      </c>
      <c r="H1163" t="s">
        <v>1145</v>
      </c>
      <c r="I1163">
        <v>1253</v>
      </c>
      <c r="J1163">
        <v>81.73</v>
      </c>
      <c r="K1163">
        <v>56.67</v>
      </c>
      <c r="L1163">
        <v>102407.69</v>
      </c>
      <c r="M1163">
        <v>71007.509999999995</v>
      </c>
      <c r="N1163">
        <v>31400.18</v>
      </c>
    </row>
    <row r="1164" spans="1:14" x14ac:dyDescent="0.25">
      <c r="A1164" t="s">
        <v>51</v>
      </c>
      <c r="B1164" t="s">
        <v>301</v>
      </c>
      <c r="C1164" t="s">
        <v>69</v>
      </c>
      <c r="D1164" t="s">
        <v>22</v>
      </c>
      <c r="E1164" t="s">
        <v>32</v>
      </c>
      <c r="F1164" t="s">
        <v>222</v>
      </c>
      <c r="G1164">
        <v>170931661</v>
      </c>
      <c r="H1164" t="s">
        <v>1120</v>
      </c>
      <c r="I1164">
        <v>1332</v>
      </c>
      <c r="J1164">
        <v>421.89</v>
      </c>
      <c r="K1164">
        <v>364.69</v>
      </c>
      <c r="L1164">
        <v>561957.48</v>
      </c>
      <c r="M1164">
        <v>485767.08</v>
      </c>
      <c r="N1164">
        <v>76190.399999999994</v>
      </c>
    </row>
    <row r="1165" spans="1:14" x14ac:dyDescent="0.25">
      <c r="A1165" t="s">
        <v>42</v>
      </c>
      <c r="B1165" t="s">
        <v>90</v>
      </c>
      <c r="C1165" t="s">
        <v>131</v>
      </c>
      <c r="D1165" t="s">
        <v>17</v>
      </c>
      <c r="E1165" t="s">
        <v>18</v>
      </c>
      <c r="F1165" t="s">
        <v>551</v>
      </c>
      <c r="G1165">
        <v>673041617</v>
      </c>
      <c r="H1165" t="s">
        <v>675</v>
      </c>
      <c r="I1165">
        <v>6826</v>
      </c>
      <c r="J1165">
        <v>668.27</v>
      </c>
      <c r="K1165">
        <v>502.54</v>
      </c>
      <c r="L1165">
        <v>4561611.0199999996</v>
      </c>
      <c r="M1165">
        <v>3430338.04</v>
      </c>
      <c r="N1165">
        <v>1131272.98</v>
      </c>
    </row>
    <row r="1166" spans="1:14" x14ac:dyDescent="0.25">
      <c r="A1166" t="s">
        <v>25</v>
      </c>
      <c r="B1166" t="s">
        <v>47</v>
      </c>
      <c r="C1166" t="s">
        <v>16</v>
      </c>
      <c r="D1166" t="s">
        <v>17</v>
      </c>
      <c r="E1166" t="s">
        <v>18</v>
      </c>
      <c r="F1166" s="1">
        <v>42008</v>
      </c>
      <c r="G1166">
        <v>640295922</v>
      </c>
      <c r="H1166" s="1">
        <v>42067</v>
      </c>
      <c r="I1166">
        <v>6647</v>
      </c>
      <c r="J1166">
        <v>255.28</v>
      </c>
      <c r="K1166">
        <v>159.41999999999999</v>
      </c>
      <c r="L1166">
        <v>1696846.16</v>
      </c>
      <c r="M1166">
        <v>1059664.74</v>
      </c>
      <c r="N1166">
        <v>637181.42000000004</v>
      </c>
    </row>
    <row r="1167" spans="1:14" x14ac:dyDescent="0.25">
      <c r="A1167" t="s">
        <v>14</v>
      </c>
      <c r="B1167" t="s">
        <v>370</v>
      </c>
      <c r="C1167" t="s">
        <v>113</v>
      </c>
      <c r="D1167" t="s">
        <v>22</v>
      </c>
      <c r="E1167" t="s">
        <v>45</v>
      </c>
      <c r="F1167" t="s">
        <v>1146</v>
      </c>
      <c r="G1167">
        <v>632118403</v>
      </c>
      <c r="H1167" t="s">
        <v>1058</v>
      </c>
      <c r="I1167">
        <v>6737</v>
      </c>
      <c r="J1167">
        <v>154.06</v>
      </c>
      <c r="K1167">
        <v>90.93</v>
      </c>
      <c r="L1167">
        <v>1037902.22</v>
      </c>
      <c r="M1167">
        <v>612595.41</v>
      </c>
      <c r="N1167">
        <v>425306.81</v>
      </c>
    </row>
    <row r="1168" spans="1:14" x14ac:dyDescent="0.25">
      <c r="A1168" t="s">
        <v>51</v>
      </c>
      <c r="B1168" t="s">
        <v>424</v>
      </c>
      <c r="C1168" t="s">
        <v>55</v>
      </c>
      <c r="D1168" t="s">
        <v>17</v>
      </c>
      <c r="E1168" t="s">
        <v>32</v>
      </c>
      <c r="F1168" t="s">
        <v>828</v>
      </c>
      <c r="G1168">
        <v>828245389</v>
      </c>
      <c r="H1168" t="s">
        <v>1147</v>
      </c>
      <c r="I1168">
        <v>5071</v>
      </c>
      <c r="J1168">
        <v>651.21</v>
      </c>
      <c r="K1168">
        <v>524.96</v>
      </c>
      <c r="L1168">
        <v>3302285.91</v>
      </c>
      <c r="M1168">
        <v>2662072.16</v>
      </c>
      <c r="N1168">
        <v>640213.75</v>
      </c>
    </row>
    <row r="1169" spans="1:14" x14ac:dyDescent="0.25">
      <c r="A1169" t="s">
        <v>51</v>
      </c>
      <c r="B1169" t="s">
        <v>487</v>
      </c>
      <c r="C1169" t="s">
        <v>31</v>
      </c>
      <c r="D1169" t="s">
        <v>22</v>
      </c>
      <c r="E1169" t="s">
        <v>18</v>
      </c>
      <c r="F1169" s="1">
        <v>40519</v>
      </c>
      <c r="G1169">
        <v>578725707</v>
      </c>
      <c r="H1169" s="1">
        <v>40429</v>
      </c>
      <c r="I1169">
        <v>6652</v>
      </c>
      <c r="J1169">
        <v>205.7</v>
      </c>
      <c r="K1169">
        <v>117.11</v>
      </c>
      <c r="L1169">
        <v>1368316.4</v>
      </c>
      <c r="M1169">
        <v>779015.72</v>
      </c>
      <c r="N1169">
        <v>589300.68000000005</v>
      </c>
    </row>
    <row r="1170" spans="1:14" x14ac:dyDescent="0.25">
      <c r="A1170" t="s">
        <v>25</v>
      </c>
      <c r="B1170" t="s">
        <v>752</v>
      </c>
      <c r="C1170" t="s">
        <v>21</v>
      </c>
      <c r="D1170" t="s">
        <v>17</v>
      </c>
      <c r="E1170" t="s">
        <v>23</v>
      </c>
      <c r="F1170" s="1">
        <v>40483</v>
      </c>
      <c r="G1170">
        <v>653920686</v>
      </c>
      <c r="H1170" t="s">
        <v>84</v>
      </c>
      <c r="I1170">
        <v>8517</v>
      </c>
      <c r="J1170">
        <v>152.58000000000001</v>
      </c>
      <c r="K1170">
        <v>97.44</v>
      </c>
      <c r="L1170">
        <v>1299523.8600000001</v>
      </c>
      <c r="M1170">
        <v>829896.48</v>
      </c>
      <c r="N1170">
        <v>469627.38</v>
      </c>
    </row>
    <row r="1171" spans="1:14" x14ac:dyDescent="0.25">
      <c r="A1171" t="s">
        <v>25</v>
      </c>
      <c r="B1171" t="s">
        <v>434</v>
      </c>
      <c r="C1171" t="s">
        <v>88</v>
      </c>
      <c r="D1171" t="s">
        <v>17</v>
      </c>
      <c r="E1171" t="s">
        <v>18</v>
      </c>
      <c r="F1171" s="1">
        <v>43009</v>
      </c>
      <c r="G1171">
        <v>994504153</v>
      </c>
      <c r="H1171" t="s">
        <v>744</v>
      </c>
      <c r="I1171">
        <v>4734</v>
      </c>
      <c r="J1171">
        <v>9.33</v>
      </c>
      <c r="K1171">
        <v>6.92</v>
      </c>
      <c r="L1171">
        <v>44168.22</v>
      </c>
      <c r="M1171">
        <v>32759.279999999999</v>
      </c>
      <c r="N1171">
        <v>11408.94</v>
      </c>
    </row>
    <row r="1172" spans="1:14" x14ac:dyDescent="0.25">
      <c r="A1172" t="s">
        <v>29</v>
      </c>
      <c r="B1172" t="s">
        <v>121</v>
      </c>
      <c r="C1172" t="s">
        <v>131</v>
      </c>
      <c r="D1172" t="s">
        <v>17</v>
      </c>
      <c r="E1172" t="s">
        <v>23</v>
      </c>
      <c r="F1172" t="s">
        <v>1121</v>
      </c>
      <c r="G1172">
        <v>261462438</v>
      </c>
      <c r="H1172" s="1">
        <v>41558</v>
      </c>
      <c r="I1172">
        <v>1400</v>
      </c>
      <c r="J1172">
        <v>668.27</v>
      </c>
      <c r="K1172">
        <v>502.54</v>
      </c>
      <c r="L1172">
        <v>935578</v>
      </c>
      <c r="M1172">
        <v>703556</v>
      </c>
      <c r="N1172">
        <v>232022</v>
      </c>
    </row>
    <row r="1173" spans="1:14" x14ac:dyDescent="0.25">
      <c r="A1173" t="s">
        <v>51</v>
      </c>
      <c r="B1173" t="s">
        <v>192</v>
      </c>
      <c r="C1173" t="s">
        <v>131</v>
      </c>
      <c r="D1173" t="s">
        <v>17</v>
      </c>
      <c r="E1173" t="s">
        <v>18</v>
      </c>
      <c r="F1173" t="s">
        <v>684</v>
      </c>
      <c r="G1173">
        <v>786094367</v>
      </c>
      <c r="H1173" s="1">
        <v>40395</v>
      </c>
      <c r="I1173">
        <v>1647</v>
      </c>
      <c r="J1173">
        <v>668.27</v>
      </c>
      <c r="K1173">
        <v>502.54</v>
      </c>
      <c r="L1173">
        <v>1100640.69</v>
      </c>
      <c r="M1173">
        <v>827683.38</v>
      </c>
      <c r="N1173">
        <v>272957.31</v>
      </c>
    </row>
    <row r="1174" spans="1:14" x14ac:dyDescent="0.25">
      <c r="A1174" t="s">
        <v>25</v>
      </c>
      <c r="B1174" t="s">
        <v>26</v>
      </c>
      <c r="C1174" t="s">
        <v>69</v>
      </c>
      <c r="D1174" t="s">
        <v>22</v>
      </c>
      <c r="E1174" t="s">
        <v>18</v>
      </c>
      <c r="F1174" s="1">
        <v>42983</v>
      </c>
      <c r="G1174">
        <v>920011270</v>
      </c>
      <c r="H1174" s="1">
        <v>43075</v>
      </c>
      <c r="I1174">
        <v>634</v>
      </c>
      <c r="J1174">
        <v>421.89</v>
      </c>
      <c r="K1174">
        <v>364.69</v>
      </c>
      <c r="L1174">
        <v>267478.26</v>
      </c>
      <c r="M1174">
        <v>231213.46</v>
      </c>
      <c r="N1174">
        <v>36264.800000000003</v>
      </c>
    </row>
    <row r="1175" spans="1:14" x14ac:dyDescent="0.25">
      <c r="A1175" t="s">
        <v>77</v>
      </c>
      <c r="B1175" t="s">
        <v>78</v>
      </c>
      <c r="C1175" t="s">
        <v>113</v>
      </c>
      <c r="D1175" t="s">
        <v>22</v>
      </c>
      <c r="E1175" t="s">
        <v>23</v>
      </c>
      <c r="F1175" s="1">
        <v>41164</v>
      </c>
      <c r="G1175">
        <v>885136973</v>
      </c>
      <c r="H1175" s="1">
        <v>41579</v>
      </c>
      <c r="I1175">
        <v>555</v>
      </c>
      <c r="J1175">
        <v>154.06</v>
      </c>
      <c r="K1175">
        <v>90.93</v>
      </c>
      <c r="L1175">
        <v>85503.3</v>
      </c>
      <c r="M1175">
        <v>50466.15</v>
      </c>
      <c r="N1175">
        <v>35037.15</v>
      </c>
    </row>
    <row r="1176" spans="1:14" x14ac:dyDescent="0.25">
      <c r="A1176" t="s">
        <v>25</v>
      </c>
      <c r="B1176" t="s">
        <v>47</v>
      </c>
      <c r="C1176" t="s">
        <v>113</v>
      </c>
      <c r="D1176" t="s">
        <v>17</v>
      </c>
      <c r="E1176" t="s">
        <v>18</v>
      </c>
      <c r="F1176" t="s">
        <v>1148</v>
      </c>
      <c r="G1176">
        <v>523707807</v>
      </c>
      <c r="H1176" t="s">
        <v>1149</v>
      </c>
      <c r="I1176">
        <v>5633</v>
      </c>
      <c r="J1176">
        <v>154.06</v>
      </c>
      <c r="K1176">
        <v>90.93</v>
      </c>
      <c r="L1176">
        <v>867819.98</v>
      </c>
      <c r="M1176">
        <v>512208.69</v>
      </c>
      <c r="N1176">
        <v>355611.29</v>
      </c>
    </row>
    <row r="1177" spans="1:14" x14ac:dyDescent="0.25">
      <c r="A1177" t="s">
        <v>51</v>
      </c>
      <c r="B1177" t="s">
        <v>542</v>
      </c>
      <c r="C1177" t="s">
        <v>131</v>
      </c>
      <c r="D1177" t="s">
        <v>22</v>
      </c>
      <c r="E1177" t="s">
        <v>18</v>
      </c>
      <c r="F1177" t="s">
        <v>823</v>
      </c>
      <c r="G1177">
        <v>648272597</v>
      </c>
      <c r="H1177" s="1">
        <v>40584</v>
      </c>
      <c r="I1177">
        <v>7122</v>
      </c>
      <c r="J1177">
        <v>668.27</v>
      </c>
      <c r="K1177">
        <v>502.54</v>
      </c>
      <c r="L1177">
        <v>4759418.9400000004</v>
      </c>
      <c r="M1177">
        <v>3579089.88</v>
      </c>
      <c r="N1177">
        <v>1180329.06</v>
      </c>
    </row>
    <row r="1178" spans="1:14" x14ac:dyDescent="0.25">
      <c r="A1178" t="s">
        <v>25</v>
      </c>
      <c r="B1178" t="s">
        <v>140</v>
      </c>
      <c r="C1178" t="s">
        <v>88</v>
      </c>
      <c r="D1178" t="s">
        <v>17</v>
      </c>
      <c r="E1178" t="s">
        <v>32</v>
      </c>
      <c r="F1178" t="s">
        <v>1064</v>
      </c>
      <c r="G1178">
        <v>791692674</v>
      </c>
      <c r="H1178" t="s">
        <v>544</v>
      </c>
      <c r="I1178">
        <v>8310</v>
      </c>
      <c r="J1178">
        <v>9.33</v>
      </c>
      <c r="K1178">
        <v>6.92</v>
      </c>
      <c r="L1178">
        <v>77532.3</v>
      </c>
      <c r="M1178">
        <v>57505.2</v>
      </c>
      <c r="N1178">
        <v>20027.099999999999</v>
      </c>
    </row>
    <row r="1179" spans="1:14" x14ac:dyDescent="0.25">
      <c r="A1179" t="s">
        <v>38</v>
      </c>
      <c r="B1179" t="s">
        <v>584</v>
      </c>
      <c r="C1179" t="s">
        <v>16</v>
      </c>
      <c r="D1179" t="s">
        <v>22</v>
      </c>
      <c r="E1179" t="s">
        <v>18</v>
      </c>
      <c r="F1179" s="1">
        <v>40300</v>
      </c>
      <c r="G1179">
        <v>557141864</v>
      </c>
      <c r="H1179" t="s">
        <v>1068</v>
      </c>
      <c r="I1179">
        <v>9513</v>
      </c>
      <c r="J1179">
        <v>255.28</v>
      </c>
      <c r="K1179">
        <v>159.41999999999999</v>
      </c>
      <c r="L1179">
        <v>2428478.64</v>
      </c>
      <c r="M1179">
        <v>1516562.46</v>
      </c>
      <c r="N1179">
        <v>911916.18</v>
      </c>
    </row>
    <row r="1180" spans="1:14" x14ac:dyDescent="0.25">
      <c r="A1180" t="s">
        <v>51</v>
      </c>
      <c r="B1180" t="s">
        <v>219</v>
      </c>
      <c r="C1180" t="s">
        <v>131</v>
      </c>
      <c r="D1180" t="s">
        <v>17</v>
      </c>
      <c r="E1180" t="s">
        <v>18</v>
      </c>
      <c r="F1180" s="1">
        <v>41792</v>
      </c>
      <c r="G1180">
        <v>968106496</v>
      </c>
      <c r="H1180" t="s">
        <v>1030</v>
      </c>
      <c r="I1180">
        <v>3080</v>
      </c>
      <c r="J1180">
        <v>668.27</v>
      </c>
      <c r="K1180">
        <v>502.54</v>
      </c>
      <c r="L1180">
        <v>2058271.6</v>
      </c>
      <c r="M1180">
        <v>1547823.2</v>
      </c>
      <c r="N1180">
        <v>510448.4</v>
      </c>
    </row>
    <row r="1181" spans="1:14" x14ac:dyDescent="0.25">
      <c r="A1181" t="s">
        <v>38</v>
      </c>
      <c r="B1181" t="s">
        <v>584</v>
      </c>
      <c r="C1181" t="s">
        <v>88</v>
      </c>
      <c r="D1181" t="s">
        <v>22</v>
      </c>
      <c r="E1181" t="s">
        <v>18</v>
      </c>
      <c r="F1181" t="s">
        <v>1150</v>
      </c>
      <c r="G1181">
        <v>418385398</v>
      </c>
      <c r="H1181" t="s">
        <v>1151</v>
      </c>
      <c r="I1181">
        <v>8392</v>
      </c>
      <c r="J1181">
        <v>9.33</v>
      </c>
      <c r="K1181">
        <v>6.92</v>
      </c>
      <c r="L1181">
        <v>78297.36</v>
      </c>
      <c r="M1181">
        <v>58072.639999999999</v>
      </c>
      <c r="N1181">
        <v>20224.72</v>
      </c>
    </row>
    <row r="1182" spans="1:14" x14ac:dyDescent="0.25">
      <c r="A1182" t="s">
        <v>51</v>
      </c>
      <c r="B1182" t="s">
        <v>525</v>
      </c>
      <c r="C1182" t="s">
        <v>88</v>
      </c>
      <c r="D1182" t="s">
        <v>17</v>
      </c>
      <c r="E1182" t="s">
        <v>23</v>
      </c>
      <c r="F1182" t="s">
        <v>48</v>
      </c>
      <c r="G1182">
        <v>522089898</v>
      </c>
      <c r="H1182" s="1">
        <v>41589</v>
      </c>
      <c r="I1182">
        <v>6858</v>
      </c>
      <c r="J1182">
        <v>9.33</v>
      </c>
      <c r="K1182">
        <v>6.92</v>
      </c>
      <c r="L1182">
        <v>63985.14</v>
      </c>
      <c r="M1182">
        <v>47457.36</v>
      </c>
      <c r="N1182">
        <v>16527.78</v>
      </c>
    </row>
    <row r="1183" spans="1:14" x14ac:dyDescent="0.25">
      <c r="A1183" t="s">
        <v>51</v>
      </c>
      <c r="B1183" t="s">
        <v>593</v>
      </c>
      <c r="C1183" t="s">
        <v>113</v>
      </c>
      <c r="D1183" t="s">
        <v>17</v>
      </c>
      <c r="E1183" t="s">
        <v>32</v>
      </c>
      <c r="F1183" t="s">
        <v>1152</v>
      </c>
      <c r="G1183">
        <v>263643825</v>
      </c>
      <c r="H1183" t="s">
        <v>977</v>
      </c>
      <c r="I1183">
        <v>6921</v>
      </c>
      <c r="J1183">
        <v>154.06</v>
      </c>
      <c r="K1183">
        <v>90.93</v>
      </c>
      <c r="L1183">
        <v>1066249.26</v>
      </c>
      <c r="M1183">
        <v>629326.53</v>
      </c>
      <c r="N1183">
        <v>436922.73</v>
      </c>
    </row>
    <row r="1184" spans="1:14" x14ac:dyDescent="0.25">
      <c r="A1184" t="s">
        <v>29</v>
      </c>
      <c r="B1184" t="s">
        <v>485</v>
      </c>
      <c r="C1184" t="s">
        <v>16</v>
      </c>
      <c r="D1184" t="s">
        <v>22</v>
      </c>
      <c r="E1184" t="s">
        <v>23</v>
      </c>
      <c r="F1184" t="s">
        <v>415</v>
      </c>
      <c r="G1184">
        <v>947783505</v>
      </c>
      <c r="H1184" t="s">
        <v>1026</v>
      </c>
      <c r="I1184">
        <v>9056</v>
      </c>
      <c r="J1184">
        <v>255.28</v>
      </c>
      <c r="K1184">
        <v>159.41999999999999</v>
      </c>
      <c r="L1184">
        <v>2311815.6800000002</v>
      </c>
      <c r="M1184">
        <v>1443707.52</v>
      </c>
      <c r="N1184">
        <v>868108.16</v>
      </c>
    </row>
    <row r="1185" spans="1:14" x14ac:dyDescent="0.25">
      <c r="A1185" t="s">
        <v>38</v>
      </c>
      <c r="B1185" t="s">
        <v>388</v>
      </c>
      <c r="C1185" t="s">
        <v>131</v>
      </c>
      <c r="D1185" t="s">
        <v>22</v>
      </c>
      <c r="E1185" t="s">
        <v>32</v>
      </c>
      <c r="F1185" t="s">
        <v>1153</v>
      </c>
      <c r="G1185">
        <v>349557769</v>
      </c>
      <c r="H1185" s="1">
        <v>42526</v>
      </c>
      <c r="I1185">
        <v>767</v>
      </c>
      <c r="J1185">
        <v>668.27</v>
      </c>
      <c r="K1185">
        <v>502.54</v>
      </c>
      <c r="L1185">
        <v>512563.09</v>
      </c>
      <c r="M1185">
        <v>385448.18</v>
      </c>
      <c r="N1185">
        <v>127114.91</v>
      </c>
    </row>
    <row r="1186" spans="1:14" x14ac:dyDescent="0.25">
      <c r="A1186" t="s">
        <v>38</v>
      </c>
      <c r="B1186" t="s">
        <v>177</v>
      </c>
      <c r="C1186" t="s">
        <v>44</v>
      </c>
      <c r="D1186" t="s">
        <v>22</v>
      </c>
      <c r="E1186" t="s">
        <v>45</v>
      </c>
      <c r="F1186" t="s">
        <v>244</v>
      </c>
      <c r="G1186">
        <v>364327943</v>
      </c>
      <c r="H1186" t="s">
        <v>1145</v>
      </c>
      <c r="I1186">
        <v>1589</v>
      </c>
      <c r="J1186">
        <v>109.28</v>
      </c>
      <c r="K1186">
        <v>35.840000000000003</v>
      </c>
      <c r="L1186">
        <v>173645.92</v>
      </c>
      <c r="M1186">
        <v>56949.760000000002</v>
      </c>
      <c r="N1186">
        <v>116696.16</v>
      </c>
    </row>
    <row r="1187" spans="1:14" x14ac:dyDescent="0.25">
      <c r="A1187" t="s">
        <v>51</v>
      </c>
      <c r="B1187" t="s">
        <v>525</v>
      </c>
      <c r="C1187" t="s">
        <v>40</v>
      </c>
      <c r="D1187" t="s">
        <v>17</v>
      </c>
      <c r="E1187" t="s">
        <v>18</v>
      </c>
      <c r="F1187" t="s">
        <v>860</v>
      </c>
      <c r="G1187">
        <v>257767856</v>
      </c>
      <c r="H1187" s="1">
        <v>41334</v>
      </c>
      <c r="I1187">
        <v>8092</v>
      </c>
      <c r="J1187">
        <v>81.73</v>
      </c>
      <c r="K1187">
        <v>56.67</v>
      </c>
      <c r="L1187">
        <v>661359.16</v>
      </c>
      <c r="M1187">
        <v>458573.64</v>
      </c>
      <c r="N1187">
        <v>202785.52</v>
      </c>
    </row>
    <row r="1188" spans="1:14" x14ac:dyDescent="0.25">
      <c r="A1188" t="s">
        <v>25</v>
      </c>
      <c r="B1188" t="s">
        <v>434</v>
      </c>
      <c r="C1188" t="s">
        <v>113</v>
      </c>
      <c r="D1188" t="s">
        <v>17</v>
      </c>
      <c r="E1188" t="s">
        <v>23</v>
      </c>
      <c r="F1188" s="1">
        <v>41091</v>
      </c>
      <c r="G1188">
        <v>715863835</v>
      </c>
      <c r="H1188" t="s">
        <v>1154</v>
      </c>
      <c r="I1188">
        <v>8872</v>
      </c>
      <c r="J1188">
        <v>154.06</v>
      </c>
      <c r="K1188">
        <v>90.93</v>
      </c>
      <c r="L1188">
        <v>1366820.32</v>
      </c>
      <c r="M1188">
        <v>806730.96</v>
      </c>
      <c r="N1188">
        <v>560089.36</v>
      </c>
    </row>
    <row r="1189" spans="1:14" x14ac:dyDescent="0.25">
      <c r="A1189" t="s">
        <v>25</v>
      </c>
      <c r="B1189" t="s">
        <v>374</v>
      </c>
      <c r="C1189" t="s">
        <v>59</v>
      </c>
      <c r="D1189" t="s">
        <v>22</v>
      </c>
      <c r="E1189" t="s">
        <v>23</v>
      </c>
      <c r="F1189" t="s">
        <v>971</v>
      </c>
      <c r="G1189">
        <v>694914710</v>
      </c>
      <c r="H1189" t="s">
        <v>965</v>
      </c>
      <c r="I1189">
        <v>9560</v>
      </c>
      <c r="J1189">
        <v>437.2</v>
      </c>
      <c r="K1189">
        <v>263.33</v>
      </c>
      <c r="L1189">
        <v>4179632</v>
      </c>
      <c r="M1189">
        <v>2517434.7999999998</v>
      </c>
      <c r="N1189">
        <v>1662197.2</v>
      </c>
    </row>
    <row r="1190" spans="1:14" x14ac:dyDescent="0.25">
      <c r="A1190" t="s">
        <v>51</v>
      </c>
      <c r="B1190" t="s">
        <v>502</v>
      </c>
      <c r="C1190" t="s">
        <v>16</v>
      </c>
      <c r="D1190" t="s">
        <v>22</v>
      </c>
      <c r="E1190" t="s">
        <v>18</v>
      </c>
      <c r="F1190" s="1">
        <v>41730</v>
      </c>
      <c r="G1190">
        <v>571531808</v>
      </c>
      <c r="H1190" t="s">
        <v>1155</v>
      </c>
      <c r="I1190">
        <v>7818</v>
      </c>
      <c r="J1190">
        <v>255.28</v>
      </c>
      <c r="K1190">
        <v>159.41999999999999</v>
      </c>
      <c r="L1190">
        <v>1995779.04</v>
      </c>
      <c r="M1190">
        <v>1246345.56</v>
      </c>
      <c r="N1190">
        <v>749433.48</v>
      </c>
    </row>
    <row r="1191" spans="1:14" x14ac:dyDescent="0.25">
      <c r="A1191" t="s">
        <v>14</v>
      </c>
      <c r="B1191" t="s">
        <v>154</v>
      </c>
      <c r="C1191" t="s">
        <v>31</v>
      </c>
      <c r="D1191" t="s">
        <v>17</v>
      </c>
      <c r="E1191" t="s">
        <v>23</v>
      </c>
      <c r="F1191" t="s">
        <v>381</v>
      </c>
      <c r="G1191">
        <v>792638957</v>
      </c>
      <c r="H1191" t="s">
        <v>1156</v>
      </c>
      <c r="I1191">
        <v>8336</v>
      </c>
      <c r="J1191">
        <v>205.7</v>
      </c>
      <c r="K1191">
        <v>117.11</v>
      </c>
      <c r="L1191">
        <v>1714715.2</v>
      </c>
      <c r="M1191">
        <v>976228.96</v>
      </c>
      <c r="N1191">
        <v>738486.24</v>
      </c>
    </row>
    <row r="1192" spans="1:14" x14ac:dyDescent="0.25">
      <c r="A1192" t="s">
        <v>25</v>
      </c>
      <c r="B1192" t="s">
        <v>458</v>
      </c>
      <c r="C1192" t="s">
        <v>16</v>
      </c>
      <c r="D1192" t="s">
        <v>17</v>
      </c>
      <c r="E1192" t="s">
        <v>18</v>
      </c>
      <c r="F1192" t="s">
        <v>1157</v>
      </c>
      <c r="G1192">
        <v>525472486</v>
      </c>
      <c r="H1192" t="s">
        <v>1158</v>
      </c>
      <c r="I1192">
        <v>7840</v>
      </c>
      <c r="J1192">
        <v>255.28</v>
      </c>
      <c r="K1192">
        <v>159.41999999999999</v>
      </c>
      <c r="L1192">
        <v>2001395.2</v>
      </c>
      <c r="M1192">
        <v>1249852.8</v>
      </c>
      <c r="N1192">
        <v>751542.4</v>
      </c>
    </row>
    <row r="1193" spans="1:14" x14ac:dyDescent="0.25">
      <c r="A1193" t="s">
        <v>51</v>
      </c>
      <c r="B1193" t="s">
        <v>169</v>
      </c>
      <c r="C1193" t="s">
        <v>21</v>
      </c>
      <c r="D1193" t="s">
        <v>22</v>
      </c>
      <c r="E1193" t="s">
        <v>45</v>
      </c>
      <c r="F1193" t="s">
        <v>1042</v>
      </c>
      <c r="G1193">
        <v>807581222</v>
      </c>
      <c r="H1193" t="s">
        <v>1159</v>
      </c>
      <c r="I1193">
        <v>85</v>
      </c>
      <c r="J1193">
        <v>152.58000000000001</v>
      </c>
      <c r="K1193">
        <v>97.44</v>
      </c>
      <c r="L1193">
        <v>12969.3</v>
      </c>
      <c r="M1193">
        <v>8282.4</v>
      </c>
      <c r="N1193">
        <v>4686.8999999999996</v>
      </c>
    </row>
    <row r="1194" spans="1:14" x14ac:dyDescent="0.25">
      <c r="A1194" t="s">
        <v>25</v>
      </c>
      <c r="B1194" t="s">
        <v>785</v>
      </c>
      <c r="C1194" t="s">
        <v>88</v>
      </c>
      <c r="D1194" t="s">
        <v>17</v>
      </c>
      <c r="E1194" t="s">
        <v>32</v>
      </c>
      <c r="F1194" t="s">
        <v>1160</v>
      </c>
      <c r="G1194">
        <v>496826493</v>
      </c>
      <c r="H1194" s="1">
        <v>41225</v>
      </c>
      <c r="I1194">
        <v>855</v>
      </c>
      <c r="J1194">
        <v>9.33</v>
      </c>
      <c r="K1194">
        <v>6.92</v>
      </c>
      <c r="L1194">
        <v>7977.15</v>
      </c>
      <c r="M1194">
        <v>5916.6</v>
      </c>
      <c r="N1194">
        <v>2060.5500000000002</v>
      </c>
    </row>
    <row r="1195" spans="1:14" x14ac:dyDescent="0.25">
      <c r="A1195" t="s">
        <v>14</v>
      </c>
      <c r="B1195" t="s">
        <v>627</v>
      </c>
      <c r="C1195" t="s">
        <v>21</v>
      </c>
      <c r="D1195" t="s">
        <v>17</v>
      </c>
      <c r="E1195" t="s">
        <v>23</v>
      </c>
      <c r="F1195" t="s">
        <v>1161</v>
      </c>
      <c r="G1195">
        <v>321382129</v>
      </c>
      <c r="H1195" s="1">
        <v>41002</v>
      </c>
      <c r="I1195">
        <v>2969</v>
      </c>
      <c r="J1195">
        <v>152.58000000000001</v>
      </c>
      <c r="K1195">
        <v>97.44</v>
      </c>
      <c r="L1195">
        <v>453010.02</v>
      </c>
      <c r="M1195">
        <v>289299.36</v>
      </c>
      <c r="N1195">
        <v>163710.66</v>
      </c>
    </row>
    <row r="1196" spans="1:14" x14ac:dyDescent="0.25">
      <c r="A1196" t="s">
        <v>38</v>
      </c>
      <c r="B1196" t="s">
        <v>105</v>
      </c>
      <c r="C1196" t="s">
        <v>88</v>
      </c>
      <c r="D1196" t="s">
        <v>17</v>
      </c>
      <c r="E1196" t="s">
        <v>18</v>
      </c>
      <c r="F1196" t="s">
        <v>784</v>
      </c>
      <c r="G1196">
        <v>629734456</v>
      </c>
      <c r="H1196" s="1">
        <v>42889</v>
      </c>
      <c r="I1196">
        <v>1274</v>
      </c>
      <c r="J1196">
        <v>9.33</v>
      </c>
      <c r="K1196">
        <v>6.92</v>
      </c>
      <c r="L1196">
        <v>11886.42</v>
      </c>
      <c r="M1196">
        <v>8816.08</v>
      </c>
      <c r="N1196">
        <v>3070.34</v>
      </c>
    </row>
    <row r="1197" spans="1:14" x14ac:dyDescent="0.25">
      <c r="A1197" t="s">
        <v>25</v>
      </c>
      <c r="B1197" t="s">
        <v>229</v>
      </c>
      <c r="C1197" t="s">
        <v>31</v>
      </c>
      <c r="D1197" t="s">
        <v>17</v>
      </c>
      <c r="E1197" t="s">
        <v>32</v>
      </c>
      <c r="F1197" s="1">
        <v>40179</v>
      </c>
      <c r="G1197">
        <v>940682303</v>
      </c>
      <c r="H1197" s="1">
        <v>40423</v>
      </c>
      <c r="I1197">
        <v>7652</v>
      </c>
      <c r="J1197">
        <v>205.7</v>
      </c>
      <c r="K1197">
        <v>117.11</v>
      </c>
      <c r="L1197">
        <v>1574016.4</v>
      </c>
      <c r="M1197">
        <v>896125.72</v>
      </c>
      <c r="N1197">
        <v>677890.68</v>
      </c>
    </row>
    <row r="1198" spans="1:14" x14ac:dyDescent="0.25">
      <c r="A1198" t="s">
        <v>42</v>
      </c>
      <c r="B1198" t="s">
        <v>565</v>
      </c>
      <c r="C1198" t="s">
        <v>40</v>
      </c>
      <c r="D1198" t="s">
        <v>22</v>
      </c>
      <c r="E1198" t="s">
        <v>23</v>
      </c>
      <c r="F1198" s="1">
        <v>41126</v>
      </c>
      <c r="G1198">
        <v>393336999</v>
      </c>
      <c r="H1198" t="s">
        <v>448</v>
      </c>
      <c r="I1198">
        <v>6014</v>
      </c>
      <c r="J1198">
        <v>81.73</v>
      </c>
      <c r="K1198">
        <v>56.67</v>
      </c>
      <c r="L1198">
        <v>491524.22</v>
      </c>
      <c r="M1198">
        <v>340813.38</v>
      </c>
      <c r="N1198">
        <v>150710.84</v>
      </c>
    </row>
    <row r="1199" spans="1:14" x14ac:dyDescent="0.25">
      <c r="A1199" t="s">
        <v>38</v>
      </c>
      <c r="B1199" t="s">
        <v>346</v>
      </c>
      <c r="C1199" t="s">
        <v>88</v>
      </c>
      <c r="D1199" t="s">
        <v>22</v>
      </c>
      <c r="E1199" t="s">
        <v>23</v>
      </c>
      <c r="F1199" s="1">
        <v>41005</v>
      </c>
      <c r="G1199">
        <v>897122371</v>
      </c>
      <c r="H1199" t="s">
        <v>1162</v>
      </c>
      <c r="I1199">
        <v>7300</v>
      </c>
      <c r="J1199">
        <v>9.33</v>
      </c>
      <c r="K1199">
        <v>6.92</v>
      </c>
      <c r="L1199">
        <v>68109</v>
      </c>
      <c r="M1199">
        <v>50516</v>
      </c>
      <c r="N1199">
        <v>17593</v>
      </c>
    </row>
    <row r="1200" spans="1:14" x14ac:dyDescent="0.25">
      <c r="A1200" t="s">
        <v>25</v>
      </c>
      <c r="B1200" t="s">
        <v>266</v>
      </c>
      <c r="C1200" t="s">
        <v>88</v>
      </c>
      <c r="D1200" t="s">
        <v>22</v>
      </c>
      <c r="E1200" t="s">
        <v>23</v>
      </c>
      <c r="F1200" s="1">
        <v>41800</v>
      </c>
      <c r="G1200">
        <v>381774747</v>
      </c>
      <c r="H1200" t="s">
        <v>1163</v>
      </c>
      <c r="I1200">
        <v>4486</v>
      </c>
      <c r="J1200">
        <v>9.33</v>
      </c>
      <c r="K1200">
        <v>6.92</v>
      </c>
      <c r="L1200">
        <v>41854.379999999997</v>
      </c>
      <c r="M1200">
        <v>31043.119999999999</v>
      </c>
      <c r="N1200">
        <v>10811.26</v>
      </c>
    </row>
    <row r="1201" spans="1:14" x14ac:dyDescent="0.25">
      <c r="A1201" t="s">
        <v>38</v>
      </c>
      <c r="B1201" t="s">
        <v>92</v>
      </c>
      <c r="C1201" t="s">
        <v>16</v>
      </c>
      <c r="D1201" t="s">
        <v>17</v>
      </c>
      <c r="E1201" t="s">
        <v>18</v>
      </c>
      <c r="F1201" t="s">
        <v>1164</v>
      </c>
      <c r="G1201">
        <v>447342956</v>
      </c>
      <c r="H1201" t="s">
        <v>1025</v>
      </c>
      <c r="I1201">
        <v>7576</v>
      </c>
      <c r="J1201">
        <v>255.28</v>
      </c>
      <c r="K1201">
        <v>159.41999999999999</v>
      </c>
      <c r="L1201">
        <v>1934001.28</v>
      </c>
      <c r="M1201">
        <v>1207765.92</v>
      </c>
      <c r="N1201">
        <v>726235.36</v>
      </c>
    </row>
    <row r="1202" spans="1:14" x14ac:dyDescent="0.25">
      <c r="A1202" t="s">
        <v>29</v>
      </c>
      <c r="B1202" t="s">
        <v>586</v>
      </c>
      <c r="C1202" t="s">
        <v>113</v>
      </c>
      <c r="D1202" t="s">
        <v>17</v>
      </c>
      <c r="E1202" t="s">
        <v>18</v>
      </c>
      <c r="F1202" t="s">
        <v>1165</v>
      </c>
      <c r="G1202">
        <v>514188325</v>
      </c>
      <c r="H1202" s="1">
        <v>40940</v>
      </c>
      <c r="I1202">
        <v>8607</v>
      </c>
      <c r="J1202">
        <v>154.06</v>
      </c>
      <c r="K1202">
        <v>90.93</v>
      </c>
      <c r="L1202">
        <v>1325994.42</v>
      </c>
      <c r="M1202">
        <v>782634.51</v>
      </c>
      <c r="N1202">
        <v>543359.91</v>
      </c>
    </row>
    <row r="1203" spans="1:14" x14ac:dyDescent="0.25">
      <c r="A1203" t="s">
        <v>51</v>
      </c>
      <c r="B1203" t="s">
        <v>638</v>
      </c>
      <c r="C1203" t="s">
        <v>69</v>
      </c>
      <c r="D1203" t="s">
        <v>17</v>
      </c>
      <c r="E1203" t="s">
        <v>45</v>
      </c>
      <c r="F1203" t="s">
        <v>1166</v>
      </c>
      <c r="G1203">
        <v>972984683</v>
      </c>
      <c r="H1203" t="s">
        <v>814</v>
      </c>
      <c r="I1203">
        <v>6644</v>
      </c>
      <c r="J1203">
        <v>421.89</v>
      </c>
      <c r="K1203">
        <v>364.69</v>
      </c>
      <c r="L1203">
        <v>2803037.16</v>
      </c>
      <c r="M1203">
        <v>2423000.36</v>
      </c>
      <c r="N1203">
        <v>380036.8</v>
      </c>
    </row>
    <row r="1204" spans="1:14" x14ac:dyDescent="0.25">
      <c r="A1204" t="s">
        <v>25</v>
      </c>
      <c r="B1204" t="s">
        <v>615</v>
      </c>
      <c r="C1204" t="s">
        <v>113</v>
      </c>
      <c r="D1204" t="s">
        <v>17</v>
      </c>
      <c r="E1204" t="s">
        <v>45</v>
      </c>
      <c r="F1204" s="1">
        <v>42047</v>
      </c>
      <c r="G1204">
        <v>934718358</v>
      </c>
      <c r="H1204" t="s">
        <v>1167</v>
      </c>
      <c r="I1204">
        <v>2789</v>
      </c>
      <c r="J1204">
        <v>154.06</v>
      </c>
      <c r="K1204">
        <v>90.93</v>
      </c>
      <c r="L1204">
        <v>429673.34</v>
      </c>
      <c r="M1204">
        <v>253603.77</v>
      </c>
      <c r="N1204">
        <v>176069.57</v>
      </c>
    </row>
    <row r="1205" spans="1:14" x14ac:dyDescent="0.25">
      <c r="A1205" t="s">
        <v>51</v>
      </c>
      <c r="B1205" t="s">
        <v>308</v>
      </c>
      <c r="C1205" t="s">
        <v>21</v>
      </c>
      <c r="D1205" t="s">
        <v>22</v>
      </c>
      <c r="E1205" t="s">
        <v>18</v>
      </c>
      <c r="F1205" s="1">
        <v>41619</v>
      </c>
      <c r="G1205">
        <v>480688178</v>
      </c>
      <c r="H1205" t="s">
        <v>544</v>
      </c>
      <c r="I1205">
        <v>5169</v>
      </c>
      <c r="J1205">
        <v>152.58000000000001</v>
      </c>
      <c r="K1205">
        <v>97.44</v>
      </c>
      <c r="L1205">
        <v>788686.02</v>
      </c>
      <c r="M1205">
        <v>503667.36</v>
      </c>
      <c r="N1205">
        <v>285018.65999999997</v>
      </c>
    </row>
    <row r="1206" spans="1:14" x14ac:dyDescent="0.25">
      <c r="A1206" t="s">
        <v>38</v>
      </c>
      <c r="B1206" t="s">
        <v>584</v>
      </c>
      <c r="C1206" t="s">
        <v>131</v>
      </c>
      <c r="D1206" t="s">
        <v>17</v>
      </c>
      <c r="E1206" t="s">
        <v>23</v>
      </c>
      <c r="F1206" t="s">
        <v>238</v>
      </c>
      <c r="G1206">
        <v>212505471</v>
      </c>
      <c r="H1206" t="s">
        <v>359</v>
      </c>
      <c r="I1206">
        <v>3946</v>
      </c>
      <c r="J1206">
        <v>668.27</v>
      </c>
      <c r="K1206">
        <v>502.54</v>
      </c>
      <c r="L1206">
        <v>2636993.42</v>
      </c>
      <c r="M1206">
        <v>1983022.84</v>
      </c>
      <c r="N1206">
        <v>653970.57999999996</v>
      </c>
    </row>
    <row r="1207" spans="1:14" x14ac:dyDescent="0.25">
      <c r="A1207" t="s">
        <v>42</v>
      </c>
      <c r="B1207" t="s">
        <v>565</v>
      </c>
      <c r="C1207" t="s">
        <v>44</v>
      </c>
      <c r="D1207" t="s">
        <v>17</v>
      </c>
      <c r="E1207" t="s">
        <v>18</v>
      </c>
      <c r="F1207" s="1">
        <v>40309</v>
      </c>
      <c r="G1207">
        <v>802094066</v>
      </c>
      <c r="H1207" s="1">
        <v>40463</v>
      </c>
      <c r="I1207">
        <v>6313</v>
      </c>
      <c r="J1207">
        <v>109.28</v>
      </c>
      <c r="K1207">
        <v>35.840000000000003</v>
      </c>
      <c r="L1207">
        <v>689884.64</v>
      </c>
      <c r="M1207">
        <v>226257.92000000001</v>
      </c>
      <c r="N1207">
        <v>463626.72</v>
      </c>
    </row>
    <row r="1208" spans="1:14" x14ac:dyDescent="0.25">
      <c r="A1208" t="s">
        <v>25</v>
      </c>
      <c r="B1208" t="s">
        <v>752</v>
      </c>
      <c r="C1208" t="s">
        <v>69</v>
      </c>
      <c r="D1208" t="s">
        <v>22</v>
      </c>
      <c r="E1208" t="s">
        <v>23</v>
      </c>
      <c r="F1208" t="s">
        <v>136</v>
      </c>
      <c r="G1208">
        <v>741690289</v>
      </c>
      <c r="H1208" s="1">
        <v>41187</v>
      </c>
      <c r="I1208">
        <v>1494</v>
      </c>
      <c r="J1208">
        <v>421.89</v>
      </c>
      <c r="K1208">
        <v>364.69</v>
      </c>
      <c r="L1208">
        <v>630303.66</v>
      </c>
      <c r="M1208">
        <v>544846.86</v>
      </c>
      <c r="N1208">
        <v>85456.8</v>
      </c>
    </row>
    <row r="1209" spans="1:14" x14ac:dyDescent="0.25">
      <c r="A1209" t="s">
        <v>25</v>
      </c>
      <c r="B1209" t="s">
        <v>204</v>
      </c>
      <c r="C1209" t="s">
        <v>44</v>
      </c>
      <c r="D1209" t="s">
        <v>22</v>
      </c>
      <c r="E1209" t="s">
        <v>32</v>
      </c>
      <c r="F1209" s="1">
        <v>40513</v>
      </c>
      <c r="G1209">
        <v>393842971</v>
      </c>
      <c r="H1209" t="s">
        <v>1168</v>
      </c>
      <c r="I1209">
        <v>5742</v>
      </c>
      <c r="J1209">
        <v>109.28</v>
      </c>
      <c r="K1209">
        <v>35.840000000000003</v>
      </c>
      <c r="L1209">
        <v>627485.76</v>
      </c>
      <c r="M1209">
        <v>205793.28</v>
      </c>
      <c r="N1209">
        <v>421692.48</v>
      </c>
    </row>
    <row r="1210" spans="1:14" x14ac:dyDescent="0.25">
      <c r="A1210" t="s">
        <v>14</v>
      </c>
      <c r="B1210" t="s">
        <v>208</v>
      </c>
      <c r="C1210" t="s">
        <v>21</v>
      </c>
      <c r="D1210" t="s">
        <v>17</v>
      </c>
      <c r="E1210" t="s">
        <v>18</v>
      </c>
      <c r="F1210" s="1">
        <v>42103</v>
      </c>
      <c r="G1210">
        <v>641413438</v>
      </c>
      <c r="H1210" t="s">
        <v>1169</v>
      </c>
      <c r="I1210">
        <v>7345</v>
      </c>
      <c r="J1210">
        <v>152.58000000000001</v>
      </c>
      <c r="K1210">
        <v>97.44</v>
      </c>
      <c r="L1210">
        <v>1120700.1000000001</v>
      </c>
      <c r="M1210">
        <v>715696.8</v>
      </c>
      <c r="N1210">
        <v>405003.3</v>
      </c>
    </row>
    <row r="1211" spans="1:14" x14ac:dyDescent="0.25">
      <c r="A1211" t="s">
        <v>51</v>
      </c>
      <c r="B1211" t="s">
        <v>420</v>
      </c>
      <c r="C1211" t="s">
        <v>59</v>
      </c>
      <c r="D1211" t="s">
        <v>22</v>
      </c>
      <c r="E1211" t="s">
        <v>18</v>
      </c>
      <c r="F1211" t="s">
        <v>1170</v>
      </c>
      <c r="G1211">
        <v>637575519</v>
      </c>
      <c r="H1211" t="s">
        <v>1016</v>
      </c>
      <c r="I1211">
        <v>1619</v>
      </c>
      <c r="J1211">
        <v>437.2</v>
      </c>
      <c r="K1211">
        <v>263.33</v>
      </c>
      <c r="L1211">
        <v>707826.8</v>
      </c>
      <c r="M1211">
        <v>426331.27</v>
      </c>
      <c r="N1211">
        <v>281495.53000000003</v>
      </c>
    </row>
    <row r="1212" spans="1:14" x14ac:dyDescent="0.25">
      <c r="A1212" t="s">
        <v>29</v>
      </c>
      <c r="B1212" t="s">
        <v>137</v>
      </c>
      <c r="C1212" t="s">
        <v>59</v>
      </c>
      <c r="D1212" t="s">
        <v>22</v>
      </c>
      <c r="E1212" t="s">
        <v>18</v>
      </c>
      <c r="F1212" t="s">
        <v>184</v>
      </c>
      <c r="G1212">
        <v>955815541</v>
      </c>
      <c r="H1212" t="s">
        <v>549</v>
      </c>
      <c r="I1212">
        <v>5914</v>
      </c>
      <c r="J1212">
        <v>437.2</v>
      </c>
      <c r="K1212">
        <v>263.33</v>
      </c>
      <c r="L1212">
        <v>2585600.7999999998</v>
      </c>
      <c r="M1212">
        <v>1557333.62</v>
      </c>
      <c r="N1212">
        <v>1028267.18</v>
      </c>
    </row>
    <row r="1213" spans="1:14" x14ac:dyDescent="0.25">
      <c r="A1213" t="s">
        <v>51</v>
      </c>
      <c r="B1213" t="s">
        <v>360</v>
      </c>
      <c r="C1213" t="s">
        <v>31</v>
      </c>
      <c r="D1213" t="s">
        <v>17</v>
      </c>
      <c r="E1213" t="s">
        <v>45</v>
      </c>
      <c r="F1213" t="s">
        <v>1171</v>
      </c>
      <c r="G1213">
        <v>439932334</v>
      </c>
      <c r="H1213" s="1">
        <v>42529</v>
      </c>
      <c r="I1213">
        <v>4609</v>
      </c>
      <c r="J1213">
        <v>205.7</v>
      </c>
      <c r="K1213">
        <v>117.11</v>
      </c>
      <c r="L1213">
        <v>948071.3</v>
      </c>
      <c r="M1213">
        <v>539759.99</v>
      </c>
      <c r="N1213">
        <v>408311.31</v>
      </c>
    </row>
    <row r="1214" spans="1:14" x14ac:dyDescent="0.25">
      <c r="A1214" t="s">
        <v>51</v>
      </c>
      <c r="B1214" t="s">
        <v>108</v>
      </c>
      <c r="C1214" t="s">
        <v>16</v>
      </c>
      <c r="D1214" t="s">
        <v>22</v>
      </c>
      <c r="E1214" t="s">
        <v>45</v>
      </c>
      <c r="F1214" s="1">
        <v>40524</v>
      </c>
      <c r="G1214">
        <v>254037225</v>
      </c>
      <c r="H1214" t="s">
        <v>1172</v>
      </c>
      <c r="I1214">
        <v>4115</v>
      </c>
      <c r="J1214">
        <v>255.28</v>
      </c>
      <c r="K1214">
        <v>159.41999999999999</v>
      </c>
      <c r="L1214">
        <v>1050477.2</v>
      </c>
      <c r="M1214">
        <v>656013.30000000005</v>
      </c>
      <c r="N1214">
        <v>394463.9</v>
      </c>
    </row>
    <row r="1215" spans="1:14" x14ac:dyDescent="0.25">
      <c r="A1215" t="s">
        <v>42</v>
      </c>
      <c r="B1215" t="s">
        <v>290</v>
      </c>
      <c r="C1215" t="s">
        <v>59</v>
      </c>
      <c r="D1215" t="s">
        <v>17</v>
      </c>
      <c r="E1215" t="s">
        <v>18</v>
      </c>
      <c r="F1215" t="s">
        <v>1111</v>
      </c>
      <c r="G1215">
        <v>732554042</v>
      </c>
      <c r="H1215" s="1">
        <v>41763</v>
      </c>
      <c r="I1215">
        <v>7875</v>
      </c>
      <c r="J1215">
        <v>437.2</v>
      </c>
      <c r="K1215">
        <v>263.33</v>
      </c>
      <c r="L1215">
        <v>3442950</v>
      </c>
      <c r="M1215">
        <v>2073723.75</v>
      </c>
      <c r="N1215">
        <v>1369226.25</v>
      </c>
    </row>
    <row r="1216" spans="1:14" x14ac:dyDescent="0.25">
      <c r="A1216" t="s">
        <v>51</v>
      </c>
      <c r="B1216" t="s">
        <v>398</v>
      </c>
      <c r="C1216" t="s">
        <v>55</v>
      </c>
      <c r="D1216" t="s">
        <v>17</v>
      </c>
      <c r="E1216" t="s">
        <v>18</v>
      </c>
      <c r="F1216" s="1">
        <v>40240</v>
      </c>
      <c r="G1216">
        <v>930219113</v>
      </c>
      <c r="H1216" s="1">
        <v>40454</v>
      </c>
      <c r="I1216">
        <v>1362</v>
      </c>
      <c r="J1216">
        <v>651.21</v>
      </c>
      <c r="K1216">
        <v>524.96</v>
      </c>
      <c r="L1216">
        <v>886948.02</v>
      </c>
      <c r="M1216">
        <v>714995.52</v>
      </c>
      <c r="N1216">
        <v>171952.5</v>
      </c>
    </row>
    <row r="1217" spans="1:14" x14ac:dyDescent="0.25">
      <c r="A1217" t="s">
        <v>51</v>
      </c>
      <c r="B1217" t="s">
        <v>638</v>
      </c>
      <c r="C1217" t="s">
        <v>27</v>
      </c>
      <c r="D1217" t="s">
        <v>17</v>
      </c>
      <c r="E1217" t="s">
        <v>45</v>
      </c>
      <c r="F1217" s="1">
        <v>40179</v>
      </c>
      <c r="G1217">
        <v>872081267</v>
      </c>
      <c r="H1217" s="1">
        <v>40513</v>
      </c>
      <c r="I1217">
        <v>7081</v>
      </c>
      <c r="J1217">
        <v>47.45</v>
      </c>
      <c r="K1217">
        <v>31.79</v>
      </c>
      <c r="L1217">
        <v>335993.45</v>
      </c>
      <c r="M1217">
        <v>225104.99</v>
      </c>
      <c r="N1217">
        <v>110888.46</v>
      </c>
    </row>
    <row r="1218" spans="1:14" x14ac:dyDescent="0.25">
      <c r="A1218" t="s">
        <v>38</v>
      </c>
      <c r="B1218" t="s">
        <v>177</v>
      </c>
      <c r="C1218" t="s">
        <v>55</v>
      </c>
      <c r="D1218" t="s">
        <v>22</v>
      </c>
      <c r="E1218" t="s">
        <v>45</v>
      </c>
      <c r="F1218" t="s">
        <v>1173</v>
      </c>
      <c r="G1218">
        <v>203501832</v>
      </c>
      <c r="H1218" t="s">
        <v>349</v>
      </c>
      <c r="I1218">
        <v>9569</v>
      </c>
      <c r="J1218">
        <v>651.21</v>
      </c>
      <c r="K1218">
        <v>524.96</v>
      </c>
      <c r="L1218">
        <v>6231428.4900000002</v>
      </c>
      <c r="M1218">
        <v>5023342.24</v>
      </c>
      <c r="N1218">
        <v>1208086.25</v>
      </c>
    </row>
    <row r="1219" spans="1:14" x14ac:dyDescent="0.25">
      <c r="A1219" t="s">
        <v>51</v>
      </c>
      <c r="B1219" t="s">
        <v>593</v>
      </c>
      <c r="C1219" t="s">
        <v>44</v>
      </c>
      <c r="D1219" t="s">
        <v>17</v>
      </c>
      <c r="E1219" t="s">
        <v>32</v>
      </c>
      <c r="F1219" s="1">
        <v>42065</v>
      </c>
      <c r="G1219">
        <v>440154635</v>
      </c>
      <c r="H1219" s="1">
        <v>42157</v>
      </c>
      <c r="I1219">
        <v>393</v>
      </c>
      <c r="J1219">
        <v>109.28</v>
      </c>
      <c r="K1219">
        <v>35.840000000000003</v>
      </c>
      <c r="L1219">
        <v>42947.040000000001</v>
      </c>
      <c r="M1219">
        <v>14085.12</v>
      </c>
      <c r="N1219">
        <v>28861.919999999998</v>
      </c>
    </row>
    <row r="1220" spans="1:14" x14ac:dyDescent="0.25">
      <c r="A1220" t="s">
        <v>51</v>
      </c>
      <c r="B1220" t="s">
        <v>360</v>
      </c>
      <c r="C1220" t="s">
        <v>40</v>
      </c>
      <c r="D1220" t="s">
        <v>17</v>
      </c>
      <c r="E1220" t="s">
        <v>18</v>
      </c>
      <c r="F1220" t="s">
        <v>686</v>
      </c>
      <c r="G1220">
        <v>918026006</v>
      </c>
      <c r="H1220" s="1">
        <v>40428</v>
      </c>
      <c r="I1220">
        <v>3151</v>
      </c>
      <c r="J1220">
        <v>81.73</v>
      </c>
      <c r="K1220">
        <v>56.67</v>
      </c>
      <c r="L1220">
        <v>257531.23</v>
      </c>
      <c r="M1220">
        <v>178567.17</v>
      </c>
      <c r="N1220">
        <v>78964.06</v>
      </c>
    </row>
    <row r="1221" spans="1:14" x14ac:dyDescent="0.25">
      <c r="A1221" t="s">
        <v>25</v>
      </c>
      <c r="B1221" t="s">
        <v>615</v>
      </c>
      <c r="C1221" t="s">
        <v>131</v>
      </c>
      <c r="D1221" t="s">
        <v>22</v>
      </c>
      <c r="E1221" t="s">
        <v>45</v>
      </c>
      <c r="F1221" t="s">
        <v>1174</v>
      </c>
      <c r="G1221">
        <v>143414771</v>
      </c>
      <c r="H1221" s="1">
        <v>40974</v>
      </c>
      <c r="I1221">
        <v>8473</v>
      </c>
      <c r="J1221">
        <v>668.27</v>
      </c>
      <c r="K1221">
        <v>502.54</v>
      </c>
      <c r="L1221">
        <v>5662251.71</v>
      </c>
      <c r="M1221">
        <v>4258021.42</v>
      </c>
      <c r="N1221">
        <v>1404230.29</v>
      </c>
    </row>
    <row r="1222" spans="1:14" x14ac:dyDescent="0.25">
      <c r="A1222" t="s">
        <v>29</v>
      </c>
      <c r="B1222" t="s">
        <v>137</v>
      </c>
      <c r="C1222" t="s">
        <v>113</v>
      </c>
      <c r="D1222" t="s">
        <v>22</v>
      </c>
      <c r="E1222" t="s">
        <v>18</v>
      </c>
      <c r="F1222" t="s">
        <v>1175</v>
      </c>
      <c r="G1222">
        <v>742932260</v>
      </c>
      <c r="H1222" t="s">
        <v>1176</v>
      </c>
      <c r="I1222">
        <v>9020</v>
      </c>
      <c r="J1222">
        <v>154.06</v>
      </c>
      <c r="K1222">
        <v>90.93</v>
      </c>
      <c r="L1222">
        <v>1389621.2</v>
      </c>
      <c r="M1222">
        <v>820188.6</v>
      </c>
      <c r="N1222">
        <v>569432.6</v>
      </c>
    </row>
    <row r="1223" spans="1:14" x14ac:dyDescent="0.25">
      <c r="A1223" t="s">
        <v>14</v>
      </c>
      <c r="B1223" t="s">
        <v>226</v>
      </c>
      <c r="C1223" t="s">
        <v>113</v>
      </c>
      <c r="D1223" t="s">
        <v>22</v>
      </c>
      <c r="E1223" t="s">
        <v>32</v>
      </c>
      <c r="F1223" s="1">
        <v>42655</v>
      </c>
      <c r="G1223">
        <v>913502299</v>
      </c>
      <c r="H1223" t="s">
        <v>702</v>
      </c>
      <c r="I1223">
        <v>4485</v>
      </c>
      <c r="J1223">
        <v>154.06</v>
      </c>
      <c r="K1223">
        <v>90.93</v>
      </c>
      <c r="L1223">
        <v>690959.1</v>
      </c>
      <c r="M1223">
        <v>407821.05</v>
      </c>
      <c r="N1223">
        <v>283138.05</v>
      </c>
    </row>
    <row r="1224" spans="1:14" x14ac:dyDescent="0.25">
      <c r="A1224" t="s">
        <v>25</v>
      </c>
      <c r="B1224" t="s">
        <v>211</v>
      </c>
      <c r="C1224" t="s">
        <v>21</v>
      </c>
      <c r="D1224" t="s">
        <v>22</v>
      </c>
      <c r="E1224" t="s">
        <v>23</v>
      </c>
      <c r="F1224" t="s">
        <v>560</v>
      </c>
      <c r="G1224">
        <v>272361218</v>
      </c>
      <c r="H1224" s="1">
        <v>40244</v>
      </c>
      <c r="I1224">
        <v>6592</v>
      </c>
      <c r="J1224">
        <v>152.58000000000001</v>
      </c>
      <c r="K1224">
        <v>97.44</v>
      </c>
      <c r="L1224">
        <v>1005807.36</v>
      </c>
      <c r="M1224">
        <v>642324.47999999998</v>
      </c>
      <c r="N1224">
        <v>363482.88</v>
      </c>
    </row>
    <row r="1225" spans="1:14" x14ac:dyDescent="0.25">
      <c r="A1225" t="s">
        <v>14</v>
      </c>
      <c r="B1225" t="s">
        <v>64</v>
      </c>
      <c r="C1225" t="s">
        <v>113</v>
      </c>
      <c r="D1225" t="s">
        <v>22</v>
      </c>
      <c r="E1225" t="s">
        <v>23</v>
      </c>
      <c r="F1225" s="1">
        <v>42100</v>
      </c>
      <c r="G1225">
        <v>307057845</v>
      </c>
      <c r="H1225" s="1">
        <v>42042</v>
      </c>
      <c r="I1225">
        <v>4095</v>
      </c>
      <c r="J1225">
        <v>154.06</v>
      </c>
      <c r="K1225">
        <v>90.93</v>
      </c>
      <c r="L1225">
        <v>630875.69999999995</v>
      </c>
      <c r="M1225">
        <v>372358.35</v>
      </c>
      <c r="N1225">
        <v>258517.35</v>
      </c>
    </row>
    <row r="1226" spans="1:14" x14ac:dyDescent="0.25">
      <c r="A1226" t="s">
        <v>29</v>
      </c>
      <c r="B1226" t="s">
        <v>375</v>
      </c>
      <c r="C1226" t="s">
        <v>27</v>
      </c>
      <c r="D1226" t="s">
        <v>17</v>
      </c>
      <c r="E1226" t="s">
        <v>23</v>
      </c>
      <c r="F1226" s="1">
        <v>41830</v>
      </c>
      <c r="G1226">
        <v>325453507</v>
      </c>
      <c r="H1226" s="1">
        <v>41984</v>
      </c>
      <c r="I1226">
        <v>7780</v>
      </c>
      <c r="J1226">
        <v>47.45</v>
      </c>
      <c r="K1226">
        <v>31.79</v>
      </c>
      <c r="L1226">
        <v>369161</v>
      </c>
      <c r="M1226">
        <v>247326.2</v>
      </c>
      <c r="N1226">
        <v>121834.8</v>
      </c>
    </row>
    <row r="1227" spans="1:14" x14ac:dyDescent="0.25">
      <c r="A1227" t="s">
        <v>51</v>
      </c>
      <c r="B1227" t="s">
        <v>231</v>
      </c>
      <c r="C1227" t="s">
        <v>16</v>
      </c>
      <c r="D1227" t="s">
        <v>17</v>
      </c>
      <c r="E1227" t="s">
        <v>32</v>
      </c>
      <c r="F1227" s="1">
        <v>40823</v>
      </c>
      <c r="G1227">
        <v>605722033</v>
      </c>
      <c r="H1227" t="s">
        <v>1177</v>
      </c>
      <c r="I1227">
        <v>5465</v>
      </c>
      <c r="J1227">
        <v>255.28</v>
      </c>
      <c r="K1227">
        <v>159.41999999999999</v>
      </c>
      <c r="L1227">
        <v>1395105.2</v>
      </c>
      <c r="M1227">
        <v>871230.3</v>
      </c>
      <c r="N1227">
        <v>523874.9</v>
      </c>
    </row>
    <row r="1228" spans="1:14" x14ac:dyDescent="0.25">
      <c r="A1228" t="s">
        <v>25</v>
      </c>
      <c r="B1228" t="s">
        <v>363</v>
      </c>
      <c r="C1228" t="s">
        <v>113</v>
      </c>
      <c r="D1228" t="s">
        <v>17</v>
      </c>
      <c r="E1228" t="s">
        <v>18</v>
      </c>
      <c r="F1228" s="1">
        <v>42740</v>
      </c>
      <c r="G1228">
        <v>146349751</v>
      </c>
      <c r="H1228" t="s">
        <v>1178</v>
      </c>
      <c r="I1228">
        <v>6999</v>
      </c>
      <c r="J1228">
        <v>154.06</v>
      </c>
      <c r="K1228">
        <v>90.93</v>
      </c>
      <c r="L1228">
        <v>1078265.94</v>
      </c>
      <c r="M1228">
        <v>636419.06999999995</v>
      </c>
      <c r="N1228">
        <v>441846.87</v>
      </c>
    </row>
    <row r="1229" spans="1:14" x14ac:dyDescent="0.25">
      <c r="A1229" t="s">
        <v>29</v>
      </c>
      <c r="B1229" t="s">
        <v>61</v>
      </c>
      <c r="C1229" t="s">
        <v>88</v>
      </c>
      <c r="D1229" t="s">
        <v>17</v>
      </c>
      <c r="E1229" t="s">
        <v>23</v>
      </c>
      <c r="F1229" t="s">
        <v>1179</v>
      </c>
      <c r="G1229">
        <v>716135489</v>
      </c>
      <c r="H1229" t="s">
        <v>1180</v>
      </c>
      <c r="I1229">
        <v>9260</v>
      </c>
      <c r="J1229">
        <v>9.33</v>
      </c>
      <c r="K1229">
        <v>6.92</v>
      </c>
      <c r="L1229">
        <v>86395.8</v>
      </c>
      <c r="M1229">
        <v>64079.199999999997</v>
      </c>
      <c r="N1229">
        <v>22316.6</v>
      </c>
    </row>
    <row r="1230" spans="1:14" x14ac:dyDescent="0.25">
      <c r="A1230" t="s">
        <v>25</v>
      </c>
      <c r="B1230" t="s">
        <v>785</v>
      </c>
      <c r="C1230" t="s">
        <v>69</v>
      </c>
      <c r="D1230" t="s">
        <v>22</v>
      </c>
      <c r="E1230" t="s">
        <v>23</v>
      </c>
      <c r="F1230" t="s">
        <v>1181</v>
      </c>
      <c r="G1230">
        <v>104190576</v>
      </c>
      <c r="H1230" s="1">
        <v>43072</v>
      </c>
      <c r="I1230">
        <v>1162</v>
      </c>
      <c r="J1230">
        <v>421.89</v>
      </c>
      <c r="K1230">
        <v>364.69</v>
      </c>
      <c r="L1230">
        <v>490236.18</v>
      </c>
      <c r="M1230">
        <v>423769.78</v>
      </c>
      <c r="N1230">
        <v>66466.399999999994</v>
      </c>
    </row>
    <row r="1231" spans="1:14" x14ac:dyDescent="0.25">
      <c r="A1231" t="s">
        <v>29</v>
      </c>
      <c r="B1231" t="s">
        <v>121</v>
      </c>
      <c r="C1231" t="s">
        <v>16</v>
      </c>
      <c r="D1231" t="s">
        <v>22</v>
      </c>
      <c r="E1231" t="s">
        <v>18</v>
      </c>
      <c r="F1231" s="1">
        <v>41368</v>
      </c>
      <c r="G1231">
        <v>669938838</v>
      </c>
      <c r="H1231" s="1">
        <v>41552</v>
      </c>
      <c r="I1231">
        <v>8645</v>
      </c>
      <c r="J1231">
        <v>255.28</v>
      </c>
      <c r="K1231">
        <v>159.41999999999999</v>
      </c>
      <c r="L1231">
        <v>2206895.6</v>
      </c>
      <c r="M1231">
        <v>1378185.9</v>
      </c>
      <c r="N1231">
        <v>828709.7</v>
      </c>
    </row>
    <row r="1232" spans="1:14" x14ac:dyDescent="0.25">
      <c r="A1232" t="s">
        <v>42</v>
      </c>
      <c r="B1232" t="s">
        <v>146</v>
      </c>
      <c r="C1232" t="s">
        <v>55</v>
      </c>
      <c r="D1232" t="s">
        <v>22</v>
      </c>
      <c r="E1232" t="s">
        <v>32</v>
      </c>
      <c r="F1232" t="s">
        <v>1182</v>
      </c>
      <c r="G1232">
        <v>793116605</v>
      </c>
      <c r="H1232" s="1">
        <v>42187</v>
      </c>
      <c r="I1232">
        <v>9683</v>
      </c>
      <c r="J1232">
        <v>651.21</v>
      </c>
      <c r="K1232">
        <v>524.96</v>
      </c>
      <c r="L1232">
        <v>6305666.4299999997</v>
      </c>
      <c r="M1232">
        <v>5083187.68</v>
      </c>
      <c r="N1232">
        <v>1222478.75</v>
      </c>
    </row>
    <row r="1233" spans="1:14" x14ac:dyDescent="0.25">
      <c r="A1233" t="s">
        <v>29</v>
      </c>
      <c r="B1233" t="s">
        <v>121</v>
      </c>
      <c r="C1233" t="s">
        <v>131</v>
      </c>
      <c r="D1233" t="s">
        <v>22</v>
      </c>
      <c r="E1233" t="s">
        <v>18</v>
      </c>
      <c r="F1233" t="s">
        <v>1183</v>
      </c>
      <c r="G1233">
        <v>723772704</v>
      </c>
      <c r="H1233" t="s">
        <v>883</v>
      </c>
      <c r="I1233">
        <v>9282</v>
      </c>
      <c r="J1233">
        <v>668.27</v>
      </c>
      <c r="K1233">
        <v>502.54</v>
      </c>
      <c r="L1233">
        <v>6202882.1399999997</v>
      </c>
      <c r="M1233">
        <v>4664576.28</v>
      </c>
      <c r="N1233">
        <v>1538305.86</v>
      </c>
    </row>
    <row r="1234" spans="1:14" x14ac:dyDescent="0.25">
      <c r="A1234" t="s">
        <v>25</v>
      </c>
      <c r="B1234" t="s">
        <v>218</v>
      </c>
      <c r="C1234" t="s">
        <v>31</v>
      </c>
      <c r="D1234" t="s">
        <v>17</v>
      </c>
      <c r="E1234" t="s">
        <v>23</v>
      </c>
      <c r="F1234" s="1">
        <v>41436</v>
      </c>
      <c r="G1234">
        <v>332268464</v>
      </c>
      <c r="H1234" t="s">
        <v>1184</v>
      </c>
      <c r="I1234">
        <v>4477</v>
      </c>
      <c r="J1234">
        <v>205.7</v>
      </c>
      <c r="K1234">
        <v>117.11</v>
      </c>
      <c r="L1234">
        <v>920918.9</v>
      </c>
      <c r="M1234">
        <v>524301.47</v>
      </c>
      <c r="N1234">
        <v>396617.43</v>
      </c>
    </row>
    <row r="1235" spans="1:14" x14ac:dyDescent="0.25">
      <c r="A1235" t="s">
        <v>25</v>
      </c>
      <c r="B1235" t="s">
        <v>426</v>
      </c>
      <c r="C1235" t="s">
        <v>69</v>
      </c>
      <c r="D1235" t="s">
        <v>17</v>
      </c>
      <c r="E1235" t="s">
        <v>18</v>
      </c>
      <c r="F1235" t="s">
        <v>1185</v>
      </c>
      <c r="G1235">
        <v>459277713</v>
      </c>
      <c r="H1235" s="1">
        <v>41376</v>
      </c>
      <c r="I1235">
        <v>9336</v>
      </c>
      <c r="J1235">
        <v>421.89</v>
      </c>
      <c r="K1235">
        <v>364.69</v>
      </c>
      <c r="L1235">
        <v>3938765.04</v>
      </c>
      <c r="M1235">
        <v>3404745.84</v>
      </c>
      <c r="N1235">
        <v>534019.19999999995</v>
      </c>
    </row>
    <row r="1236" spans="1:14" x14ac:dyDescent="0.25">
      <c r="A1236" t="s">
        <v>25</v>
      </c>
      <c r="B1236" t="s">
        <v>752</v>
      </c>
      <c r="C1236" t="s">
        <v>88</v>
      </c>
      <c r="D1236" t="s">
        <v>22</v>
      </c>
      <c r="E1236" t="s">
        <v>32</v>
      </c>
      <c r="F1236" t="s">
        <v>1186</v>
      </c>
      <c r="G1236">
        <v>665786778</v>
      </c>
      <c r="H1236" t="s">
        <v>1187</v>
      </c>
      <c r="I1236">
        <v>9958</v>
      </c>
      <c r="J1236">
        <v>9.33</v>
      </c>
      <c r="K1236">
        <v>6.92</v>
      </c>
      <c r="L1236">
        <v>92908.14</v>
      </c>
      <c r="M1236">
        <v>68909.36</v>
      </c>
      <c r="N1236">
        <v>23998.78</v>
      </c>
    </row>
    <row r="1237" spans="1:14" x14ac:dyDescent="0.25">
      <c r="A1237" t="s">
        <v>29</v>
      </c>
      <c r="B1237" t="s">
        <v>440</v>
      </c>
      <c r="C1237" t="s">
        <v>131</v>
      </c>
      <c r="D1237" t="s">
        <v>17</v>
      </c>
      <c r="E1237" t="s">
        <v>18</v>
      </c>
      <c r="F1237" s="1">
        <v>41557</v>
      </c>
      <c r="G1237">
        <v>583094489</v>
      </c>
      <c r="H1237" t="s">
        <v>1188</v>
      </c>
      <c r="I1237">
        <v>9472</v>
      </c>
      <c r="J1237">
        <v>668.27</v>
      </c>
      <c r="K1237">
        <v>502.54</v>
      </c>
      <c r="L1237">
        <v>6329853.4400000004</v>
      </c>
      <c r="M1237">
        <v>4760058.88</v>
      </c>
      <c r="N1237">
        <v>1569794.56</v>
      </c>
    </row>
    <row r="1238" spans="1:14" x14ac:dyDescent="0.25">
      <c r="A1238" t="s">
        <v>51</v>
      </c>
      <c r="B1238" t="s">
        <v>575</v>
      </c>
      <c r="C1238" t="s">
        <v>31</v>
      </c>
      <c r="D1238" t="s">
        <v>22</v>
      </c>
      <c r="E1238" t="s">
        <v>18</v>
      </c>
      <c r="F1238" t="s">
        <v>847</v>
      </c>
      <c r="G1238">
        <v>362812173</v>
      </c>
      <c r="H1238" t="s">
        <v>1189</v>
      </c>
      <c r="I1238">
        <v>3039</v>
      </c>
      <c r="J1238">
        <v>205.7</v>
      </c>
      <c r="K1238">
        <v>117.11</v>
      </c>
      <c r="L1238">
        <v>625122.30000000005</v>
      </c>
      <c r="M1238">
        <v>355897.29</v>
      </c>
      <c r="N1238">
        <v>269225.01</v>
      </c>
    </row>
    <row r="1239" spans="1:14" x14ac:dyDescent="0.25">
      <c r="A1239" t="s">
        <v>14</v>
      </c>
      <c r="B1239" t="s">
        <v>208</v>
      </c>
      <c r="C1239" t="s">
        <v>21</v>
      </c>
      <c r="D1239" t="s">
        <v>17</v>
      </c>
      <c r="E1239" t="s">
        <v>23</v>
      </c>
      <c r="F1239" t="s">
        <v>1190</v>
      </c>
      <c r="G1239">
        <v>226863658</v>
      </c>
      <c r="H1239" t="s">
        <v>446</v>
      </c>
      <c r="I1239">
        <v>2853</v>
      </c>
      <c r="J1239">
        <v>152.58000000000001</v>
      </c>
      <c r="K1239">
        <v>97.44</v>
      </c>
      <c r="L1239">
        <v>435310.74</v>
      </c>
      <c r="M1239">
        <v>277996.32</v>
      </c>
      <c r="N1239">
        <v>157314.42000000001</v>
      </c>
    </row>
    <row r="1240" spans="1:14" x14ac:dyDescent="0.25">
      <c r="A1240" t="s">
        <v>25</v>
      </c>
      <c r="B1240" t="s">
        <v>201</v>
      </c>
      <c r="C1240" t="s">
        <v>16</v>
      </c>
      <c r="D1240" t="s">
        <v>17</v>
      </c>
      <c r="E1240" t="s">
        <v>32</v>
      </c>
      <c r="F1240" s="1">
        <v>40187</v>
      </c>
      <c r="G1240">
        <v>917485272</v>
      </c>
      <c r="H1240" s="1">
        <v>40247</v>
      </c>
      <c r="I1240">
        <v>3136</v>
      </c>
      <c r="J1240">
        <v>255.28</v>
      </c>
      <c r="K1240">
        <v>159.41999999999999</v>
      </c>
      <c r="L1240">
        <v>800558.07999999996</v>
      </c>
      <c r="M1240">
        <v>499941.12</v>
      </c>
      <c r="N1240">
        <v>300616.96000000002</v>
      </c>
    </row>
    <row r="1241" spans="1:14" x14ac:dyDescent="0.25">
      <c r="A1241" t="s">
        <v>25</v>
      </c>
      <c r="B1241" t="s">
        <v>615</v>
      </c>
      <c r="C1241" t="s">
        <v>40</v>
      </c>
      <c r="D1241" t="s">
        <v>22</v>
      </c>
      <c r="E1241" t="s">
        <v>32</v>
      </c>
      <c r="F1241" t="s">
        <v>1191</v>
      </c>
      <c r="G1241">
        <v>547225844</v>
      </c>
      <c r="H1241" t="s">
        <v>698</v>
      </c>
      <c r="I1241">
        <v>5143</v>
      </c>
      <c r="J1241">
        <v>81.73</v>
      </c>
      <c r="K1241">
        <v>56.67</v>
      </c>
      <c r="L1241">
        <v>420337.39</v>
      </c>
      <c r="M1241">
        <v>291453.81</v>
      </c>
      <c r="N1241">
        <v>128883.58</v>
      </c>
    </row>
    <row r="1242" spans="1:14" x14ac:dyDescent="0.25">
      <c r="A1242" t="s">
        <v>51</v>
      </c>
      <c r="B1242" t="s">
        <v>487</v>
      </c>
      <c r="C1242" t="s">
        <v>131</v>
      </c>
      <c r="D1242" t="s">
        <v>22</v>
      </c>
      <c r="E1242" t="s">
        <v>18</v>
      </c>
      <c r="F1242" s="1">
        <v>40331</v>
      </c>
      <c r="G1242">
        <v>448946702</v>
      </c>
      <c r="H1242" t="s">
        <v>513</v>
      </c>
      <c r="I1242">
        <v>2161</v>
      </c>
      <c r="J1242">
        <v>668.27</v>
      </c>
      <c r="K1242">
        <v>502.54</v>
      </c>
      <c r="L1242">
        <v>1444131.47</v>
      </c>
      <c r="M1242">
        <v>1085988.94</v>
      </c>
      <c r="N1242">
        <v>358142.53</v>
      </c>
    </row>
    <row r="1243" spans="1:14" x14ac:dyDescent="0.25">
      <c r="A1243" t="s">
        <v>51</v>
      </c>
      <c r="B1243" t="s">
        <v>367</v>
      </c>
      <c r="C1243" t="s">
        <v>59</v>
      </c>
      <c r="D1243" t="s">
        <v>17</v>
      </c>
      <c r="E1243" t="s">
        <v>45</v>
      </c>
      <c r="F1243" t="s">
        <v>1192</v>
      </c>
      <c r="G1243">
        <v>225821673</v>
      </c>
      <c r="H1243" s="1">
        <v>42437</v>
      </c>
      <c r="I1243">
        <v>4506</v>
      </c>
      <c r="J1243">
        <v>437.2</v>
      </c>
      <c r="K1243">
        <v>263.33</v>
      </c>
      <c r="L1243">
        <v>1970023.2</v>
      </c>
      <c r="M1243">
        <v>1186564.98</v>
      </c>
      <c r="N1243">
        <v>783458.22</v>
      </c>
    </row>
    <row r="1244" spans="1:14" x14ac:dyDescent="0.25">
      <c r="A1244" t="s">
        <v>29</v>
      </c>
      <c r="B1244" t="s">
        <v>153</v>
      </c>
      <c r="C1244" t="s">
        <v>27</v>
      </c>
      <c r="D1244" t="s">
        <v>17</v>
      </c>
      <c r="E1244" t="s">
        <v>32</v>
      </c>
      <c r="F1244" s="1">
        <v>41799</v>
      </c>
      <c r="G1244">
        <v>901337087</v>
      </c>
      <c r="H1244" t="s">
        <v>1193</v>
      </c>
      <c r="I1244">
        <v>4529</v>
      </c>
      <c r="J1244">
        <v>47.45</v>
      </c>
      <c r="K1244">
        <v>31.79</v>
      </c>
      <c r="L1244">
        <v>214901.05</v>
      </c>
      <c r="M1244">
        <v>143976.91</v>
      </c>
      <c r="N1244">
        <v>70924.14</v>
      </c>
    </row>
    <row r="1245" spans="1:14" x14ac:dyDescent="0.25">
      <c r="A1245" t="s">
        <v>25</v>
      </c>
      <c r="B1245" t="s">
        <v>119</v>
      </c>
      <c r="C1245" t="s">
        <v>131</v>
      </c>
      <c r="D1245" t="s">
        <v>22</v>
      </c>
      <c r="E1245" t="s">
        <v>32</v>
      </c>
      <c r="F1245" t="s">
        <v>712</v>
      </c>
      <c r="G1245">
        <v>869291770</v>
      </c>
      <c r="H1245" t="s">
        <v>643</v>
      </c>
      <c r="I1245">
        <v>1607</v>
      </c>
      <c r="J1245">
        <v>668.27</v>
      </c>
      <c r="K1245">
        <v>502.54</v>
      </c>
      <c r="L1245">
        <v>1073909.8899999999</v>
      </c>
      <c r="M1245">
        <v>807581.78</v>
      </c>
      <c r="N1245">
        <v>266328.11</v>
      </c>
    </row>
    <row r="1246" spans="1:14" x14ac:dyDescent="0.25">
      <c r="A1246" t="s">
        <v>14</v>
      </c>
      <c r="B1246" t="s">
        <v>627</v>
      </c>
      <c r="C1246" t="s">
        <v>16</v>
      </c>
      <c r="D1246" t="s">
        <v>22</v>
      </c>
      <c r="E1246" t="s">
        <v>32</v>
      </c>
      <c r="F1246" t="s">
        <v>337</v>
      </c>
      <c r="G1246">
        <v>843797051</v>
      </c>
      <c r="H1246" t="s">
        <v>875</v>
      </c>
      <c r="I1246">
        <v>7153</v>
      </c>
      <c r="J1246">
        <v>255.28</v>
      </c>
      <c r="K1246">
        <v>159.41999999999999</v>
      </c>
      <c r="L1246">
        <v>1826017.84</v>
      </c>
      <c r="M1246">
        <v>1140331.26</v>
      </c>
      <c r="N1246">
        <v>685686.58</v>
      </c>
    </row>
    <row r="1247" spans="1:14" x14ac:dyDescent="0.25">
      <c r="A1247" t="s">
        <v>25</v>
      </c>
      <c r="B1247" t="s">
        <v>752</v>
      </c>
      <c r="C1247" t="s">
        <v>44</v>
      </c>
      <c r="D1247" t="s">
        <v>22</v>
      </c>
      <c r="E1247" t="s">
        <v>32</v>
      </c>
      <c r="F1247" s="1">
        <v>43070</v>
      </c>
      <c r="G1247">
        <v>709276759</v>
      </c>
      <c r="H1247" s="1">
        <v>42738</v>
      </c>
      <c r="I1247">
        <v>9610</v>
      </c>
      <c r="J1247">
        <v>109.28</v>
      </c>
      <c r="K1247">
        <v>35.840000000000003</v>
      </c>
      <c r="L1247">
        <v>1050180.8</v>
      </c>
      <c r="M1247">
        <v>344422.40000000002</v>
      </c>
      <c r="N1247">
        <v>705758.4</v>
      </c>
    </row>
    <row r="1248" spans="1:14" x14ac:dyDescent="0.25">
      <c r="A1248" t="s">
        <v>29</v>
      </c>
      <c r="B1248" t="s">
        <v>585</v>
      </c>
      <c r="C1248" t="s">
        <v>88</v>
      </c>
      <c r="D1248" t="s">
        <v>17</v>
      </c>
      <c r="E1248" t="s">
        <v>18</v>
      </c>
      <c r="F1248" t="s">
        <v>1041</v>
      </c>
      <c r="G1248">
        <v>870467221</v>
      </c>
      <c r="H1248" t="s">
        <v>1194</v>
      </c>
      <c r="I1248">
        <v>9449</v>
      </c>
      <c r="J1248">
        <v>9.33</v>
      </c>
      <c r="K1248">
        <v>6.92</v>
      </c>
      <c r="L1248">
        <v>88159.17</v>
      </c>
      <c r="M1248">
        <v>65387.08</v>
      </c>
      <c r="N1248">
        <v>22772.09</v>
      </c>
    </row>
    <row r="1249" spans="1:14" x14ac:dyDescent="0.25">
      <c r="A1249" t="s">
        <v>51</v>
      </c>
      <c r="B1249" t="s">
        <v>578</v>
      </c>
      <c r="C1249" t="s">
        <v>16</v>
      </c>
      <c r="D1249" t="s">
        <v>17</v>
      </c>
      <c r="E1249" t="s">
        <v>18</v>
      </c>
      <c r="F1249" s="1">
        <v>42007</v>
      </c>
      <c r="G1249">
        <v>902417266</v>
      </c>
      <c r="H1249" t="s">
        <v>316</v>
      </c>
      <c r="I1249">
        <v>4178</v>
      </c>
      <c r="J1249">
        <v>255.28</v>
      </c>
      <c r="K1249">
        <v>159.41999999999999</v>
      </c>
      <c r="L1249">
        <v>1066559.8400000001</v>
      </c>
      <c r="M1249">
        <v>666056.76</v>
      </c>
      <c r="N1249">
        <v>400503.08</v>
      </c>
    </row>
    <row r="1250" spans="1:14" x14ac:dyDescent="0.25">
      <c r="A1250" t="s">
        <v>42</v>
      </c>
      <c r="B1250" t="s">
        <v>146</v>
      </c>
      <c r="C1250" t="s">
        <v>55</v>
      </c>
      <c r="D1250" t="s">
        <v>22</v>
      </c>
      <c r="E1250" t="s">
        <v>18</v>
      </c>
      <c r="F1250" t="s">
        <v>193</v>
      </c>
      <c r="G1250">
        <v>900488221</v>
      </c>
      <c r="H1250" t="s">
        <v>321</v>
      </c>
      <c r="I1250">
        <v>3330</v>
      </c>
      <c r="J1250">
        <v>651.21</v>
      </c>
      <c r="K1250">
        <v>524.96</v>
      </c>
      <c r="L1250">
        <v>2168529.2999999998</v>
      </c>
      <c r="M1250">
        <v>1748116.8</v>
      </c>
      <c r="N1250">
        <v>420412.5</v>
      </c>
    </row>
    <row r="1251" spans="1:14" x14ac:dyDescent="0.25">
      <c r="A1251" t="s">
        <v>29</v>
      </c>
      <c r="B1251" t="s">
        <v>440</v>
      </c>
      <c r="C1251" t="s">
        <v>44</v>
      </c>
      <c r="D1251" t="s">
        <v>17</v>
      </c>
      <c r="E1251" t="s">
        <v>45</v>
      </c>
      <c r="F1251" t="s">
        <v>1195</v>
      </c>
      <c r="G1251">
        <v>130353915</v>
      </c>
      <c r="H1251" s="1">
        <v>41284</v>
      </c>
      <c r="I1251">
        <v>3475</v>
      </c>
      <c r="J1251">
        <v>109.28</v>
      </c>
      <c r="K1251">
        <v>35.840000000000003</v>
      </c>
      <c r="L1251">
        <v>379748</v>
      </c>
      <c r="M1251">
        <v>124544</v>
      </c>
      <c r="N1251">
        <v>255204</v>
      </c>
    </row>
    <row r="1252" spans="1:14" x14ac:dyDescent="0.25">
      <c r="A1252" t="s">
        <v>51</v>
      </c>
      <c r="B1252" t="s">
        <v>487</v>
      </c>
      <c r="C1252" t="s">
        <v>59</v>
      </c>
      <c r="D1252" t="s">
        <v>22</v>
      </c>
      <c r="E1252" t="s">
        <v>45</v>
      </c>
      <c r="F1252" s="1">
        <v>42680</v>
      </c>
      <c r="G1252">
        <v>178000676</v>
      </c>
      <c r="H1252" t="s">
        <v>1046</v>
      </c>
      <c r="I1252">
        <v>3210</v>
      </c>
      <c r="J1252">
        <v>437.2</v>
      </c>
      <c r="K1252">
        <v>263.33</v>
      </c>
      <c r="L1252">
        <v>1403412</v>
      </c>
      <c r="M1252">
        <v>845289.3</v>
      </c>
      <c r="N1252">
        <v>558122.69999999995</v>
      </c>
    </row>
    <row r="1253" spans="1:14" x14ac:dyDescent="0.25">
      <c r="A1253" t="s">
        <v>51</v>
      </c>
      <c r="B1253" t="s">
        <v>258</v>
      </c>
      <c r="C1253" t="s">
        <v>27</v>
      </c>
      <c r="D1253" t="s">
        <v>17</v>
      </c>
      <c r="E1253" t="s">
        <v>32</v>
      </c>
      <c r="F1253" t="s">
        <v>637</v>
      </c>
      <c r="G1253">
        <v>899727332</v>
      </c>
      <c r="H1253" t="s">
        <v>1008</v>
      </c>
      <c r="I1253">
        <v>8166</v>
      </c>
      <c r="J1253">
        <v>47.45</v>
      </c>
      <c r="K1253">
        <v>31.79</v>
      </c>
      <c r="L1253">
        <v>387476.7</v>
      </c>
      <c r="M1253">
        <v>259597.14</v>
      </c>
      <c r="N1253">
        <v>127879.56</v>
      </c>
    </row>
    <row r="1254" spans="1:14" x14ac:dyDescent="0.25">
      <c r="A1254" t="s">
        <v>29</v>
      </c>
      <c r="B1254" t="s">
        <v>323</v>
      </c>
      <c r="C1254" t="s">
        <v>16</v>
      </c>
      <c r="D1254" t="s">
        <v>22</v>
      </c>
      <c r="E1254" t="s">
        <v>23</v>
      </c>
      <c r="F1254" s="1">
        <v>42371</v>
      </c>
      <c r="G1254">
        <v>872145211</v>
      </c>
      <c r="H1254" t="s">
        <v>1196</v>
      </c>
      <c r="I1254">
        <v>6004</v>
      </c>
      <c r="J1254">
        <v>255.28</v>
      </c>
      <c r="K1254">
        <v>159.41999999999999</v>
      </c>
      <c r="L1254">
        <v>1532701.12</v>
      </c>
      <c r="M1254">
        <v>957157.68</v>
      </c>
      <c r="N1254">
        <v>575543.43999999994</v>
      </c>
    </row>
    <row r="1255" spans="1:14" x14ac:dyDescent="0.25">
      <c r="A1255" t="s">
        <v>51</v>
      </c>
      <c r="B1255" t="s">
        <v>231</v>
      </c>
      <c r="C1255" t="s">
        <v>55</v>
      </c>
      <c r="D1255" t="s">
        <v>17</v>
      </c>
      <c r="E1255" t="s">
        <v>23</v>
      </c>
      <c r="F1255" t="s">
        <v>1197</v>
      </c>
      <c r="G1255">
        <v>542178142</v>
      </c>
      <c r="H1255" t="s">
        <v>1198</v>
      </c>
      <c r="I1255">
        <v>1415</v>
      </c>
      <c r="J1255">
        <v>651.21</v>
      </c>
      <c r="K1255">
        <v>524.96</v>
      </c>
      <c r="L1255">
        <v>921462.15</v>
      </c>
      <c r="M1255">
        <v>742818.4</v>
      </c>
      <c r="N1255">
        <v>178643.75</v>
      </c>
    </row>
    <row r="1256" spans="1:14" x14ac:dyDescent="0.25">
      <c r="A1256" t="s">
        <v>25</v>
      </c>
      <c r="B1256" t="s">
        <v>374</v>
      </c>
      <c r="C1256" t="s">
        <v>27</v>
      </c>
      <c r="D1256" t="s">
        <v>17</v>
      </c>
      <c r="E1256" t="s">
        <v>23</v>
      </c>
      <c r="F1256" s="1">
        <v>41162</v>
      </c>
      <c r="G1256">
        <v>877062451</v>
      </c>
      <c r="H1256" t="s">
        <v>783</v>
      </c>
      <c r="I1256">
        <v>1124</v>
      </c>
      <c r="J1256">
        <v>47.45</v>
      </c>
      <c r="K1256">
        <v>31.79</v>
      </c>
      <c r="L1256">
        <v>53333.8</v>
      </c>
      <c r="M1256">
        <v>35731.96</v>
      </c>
      <c r="N1256">
        <v>17601.84</v>
      </c>
    </row>
    <row r="1257" spans="1:14" x14ac:dyDescent="0.25">
      <c r="A1257" t="s">
        <v>51</v>
      </c>
      <c r="B1257" t="s">
        <v>877</v>
      </c>
      <c r="C1257" t="s">
        <v>40</v>
      </c>
      <c r="D1257" t="s">
        <v>22</v>
      </c>
      <c r="E1257" t="s">
        <v>18</v>
      </c>
      <c r="F1257" t="s">
        <v>1199</v>
      </c>
      <c r="G1257">
        <v>214346969</v>
      </c>
      <c r="H1257" t="s">
        <v>1095</v>
      </c>
      <c r="I1257">
        <v>8886</v>
      </c>
      <c r="J1257">
        <v>81.73</v>
      </c>
      <c r="K1257">
        <v>56.67</v>
      </c>
      <c r="L1257">
        <v>726252.78</v>
      </c>
      <c r="M1257">
        <v>503569.62</v>
      </c>
      <c r="N1257">
        <v>222683.16</v>
      </c>
    </row>
    <row r="1258" spans="1:14" x14ac:dyDescent="0.25">
      <c r="A1258" t="s">
        <v>25</v>
      </c>
      <c r="B1258" t="s">
        <v>239</v>
      </c>
      <c r="C1258" t="s">
        <v>16</v>
      </c>
      <c r="D1258" t="s">
        <v>17</v>
      </c>
      <c r="E1258" t="s">
        <v>32</v>
      </c>
      <c r="F1258" t="s">
        <v>1200</v>
      </c>
      <c r="G1258">
        <v>111893022</v>
      </c>
      <c r="H1258" s="1">
        <v>42412</v>
      </c>
      <c r="I1258">
        <v>486</v>
      </c>
      <c r="J1258">
        <v>255.28</v>
      </c>
      <c r="K1258">
        <v>159.41999999999999</v>
      </c>
      <c r="L1258">
        <v>124066.08</v>
      </c>
      <c r="M1258">
        <v>77478.12</v>
      </c>
      <c r="N1258">
        <v>46587.96</v>
      </c>
    </row>
    <row r="1259" spans="1:14" x14ac:dyDescent="0.25">
      <c r="A1259" t="s">
        <v>25</v>
      </c>
      <c r="B1259" t="s">
        <v>569</v>
      </c>
      <c r="C1259" t="s">
        <v>27</v>
      </c>
      <c r="D1259" t="s">
        <v>17</v>
      </c>
      <c r="E1259" t="s">
        <v>18</v>
      </c>
      <c r="F1259" t="s">
        <v>1141</v>
      </c>
      <c r="G1259">
        <v>397874438</v>
      </c>
      <c r="H1259" s="1">
        <v>41651</v>
      </c>
      <c r="I1259">
        <v>8743</v>
      </c>
      <c r="J1259">
        <v>47.45</v>
      </c>
      <c r="K1259">
        <v>31.79</v>
      </c>
      <c r="L1259">
        <v>414855.35</v>
      </c>
      <c r="M1259">
        <v>277939.96999999997</v>
      </c>
      <c r="N1259">
        <v>136915.38</v>
      </c>
    </row>
    <row r="1260" spans="1:14" x14ac:dyDescent="0.25">
      <c r="A1260" t="s">
        <v>25</v>
      </c>
      <c r="B1260" t="s">
        <v>74</v>
      </c>
      <c r="C1260" t="s">
        <v>44</v>
      </c>
      <c r="D1260" t="s">
        <v>22</v>
      </c>
      <c r="E1260" t="s">
        <v>23</v>
      </c>
      <c r="F1260" s="1">
        <v>40212</v>
      </c>
      <c r="G1260">
        <v>520777547</v>
      </c>
      <c r="H1260" t="s">
        <v>684</v>
      </c>
      <c r="I1260">
        <v>8504</v>
      </c>
      <c r="J1260">
        <v>109.28</v>
      </c>
      <c r="K1260">
        <v>35.840000000000003</v>
      </c>
      <c r="L1260">
        <v>929317.12</v>
      </c>
      <c r="M1260">
        <v>304783.35999999999</v>
      </c>
      <c r="N1260">
        <v>624533.76000000001</v>
      </c>
    </row>
    <row r="1261" spans="1:14" x14ac:dyDescent="0.25">
      <c r="A1261" t="s">
        <v>29</v>
      </c>
      <c r="B1261" t="s">
        <v>545</v>
      </c>
      <c r="C1261" t="s">
        <v>88</v>
      </c>
      <c r="D1261" t="s">
        <v>22</v>
      </c>
      <c r="E1261" t="s">
        <v>23</v>
      </c>
      <c r="F1261" t="s">
        <v>1201</v>
      </c>
      <c r="G1261">
        <v>899401175</v>
      </c>
      <c r="H1261" t="s">
        <v>1202</v>
      </c>
      <c r="I1261">
        <v>1649</v>
      </c>
      <c r="J1261">
        <v>9.33</v>
      </c>
      <c r="K1261">
        <v>6.92</v>
      </c>
      <c r="L1261">
        <v>15385.17</v>
      </c>
      <c r="M1261">
        <v>11411.08</v>
      </c>
      <c r="N1261">
        <v>3974.09</v>
      </c>
    </row>
    <row r="1262" spans="1:14" x14ac:dyDescent="0.25">
      <c r="A1262" t="s">
        <v>25</v>
      </c>
      <c r="B1262" t="s">
        <v>603</v>
      </c>
      <c r="C1262" t="s">
        <v>131</v>
      </c>
      <c r="D1262" t="s">
        <v>17</v>
      </c>
      <c r="E1262" t="s">
        <v>23</v>
      </c>
      <c r="F1262" t="s">
        <v>869</v>
      </c>
      <c r="G1262">
        <v>672856652</v>
      </c>
      <c r="H1262" s="1">
        <v>41706</v>
      </c>
      <c r="I1262">
        <v>2091</v>
      </c>
      <c r="J1262">
        <v>668.27</v>
      </c>
      <c r="K1262">
        <v>502.54</v>
      </c>
      <c r="L1262">
        <v>1397352.57</v>
      </c>
      <c r="M1262">
        <v>1050811.1399999999</v>
      </c>
      <c r="N1262">
        <v>346541.43</v>
      </c>
    </row>
    <row r="1263" spans="1:14" x14ac:dyDescent="0.25">
      <c r="A1263" t="s">
        <v>38</v>
      </c>
      <c r="B1263" t="s">
        <v>190</v>
      </c>
      <c r="C1263" t="s">
        <v>69</v>
      </c>
      <c r="D1263" t="s">
        <v>22</v>
      </c>
      <c r="E1263" t="s">
        <v>32</v>
      </c>
      <c r="F1263" s="1">
        <v>40274</v>
      </c>
      <c r="G1263">
        <v>850567805</v>
      </c>
      <c r="H1263" t="s">
        <v>184</v>
      </c>
      <c r="I1263">
        <v>770</v>
      </c>
      <c r="J1263">
        <v>421.89</v>
      </c>
      <c r="K1263">
        <v>364.69</v>
      </c>
      <c r="L1263">
        <v>324855.3</v>
      </c>
      <c r="M1263">
        <v>280811.3</v>
      </c>
      <c r="N1263">
        <v>44044</v>
      </c>
    </row>
    <row r="1264" spans="1:14" x14ac:dyDescent="0.25">
      <c r="A1264" t="s">
        <v>38</v>
      </c>
      <c r="B1264" t="s">
        <v>288</v>
      </c>
      <c r="C1264" t="s">
        <v>21</v>
      </c>
      <c r="D1264" t="s">
        <v>17</v>
      </c>
      <c r="E1264" t="s">
        <v>32</v>
      </c>
      <c r="F1264" t="s">
        <v>977</v>
      </c>
      <c r="G1264">
        <v>262270963</v>
      </c>
      <c r="H1264" s="1">
        <v>42345</v>
      </c>
      <c r="I1264">
        <v>661</v>
      </c>
      <c r="J1264">
        <v>152.58000000000001</v>
      </c>
      <c r="K1264">
        <v>97.44</v>
      </c>
      <c r="L1264">
        <v>100855.38</v>
      </c>
      <c r="M1264">
        <v>64407.839999999997</v>
      </c>
      <c r="N1264">
        <v>36447.54</v>
      </c>
    </row>
    <row r="1265" spans="1:14" x14ac:dyDescent="0.25">
      <c r="A1265" t="s">
        <v>38</v>
      </c>
      <c r="B1265" t="s">
        <v>584</v>
      </c>
      <c r="C1265" t="s">
        <v>31</v>
      </c>
      <c r="D1265" t="s">
        <v>22</v>
      </c>
      <c r="E1265" t="s">
        <v>45</v>
      </c>
      <c r="F1265" t="s">
        <v>709</v>
      </c>
      <c r="G1265">
        <v>508014953</v>
      </c>
      <c r="H1265" t="s">
        <v>588</v>
      </c>
      <c r="I1265">
        <v>1769</v>
      </c>
      <c r="J1265">
        <v>205.7</v>
      </c>
      <c r="K1265">
        <v>117.11</v>
      </c>
      <c r="L1265">
        <v>363883.3</v>
      </c>
      <c r="M1265">
        <v>207167.59</v>
      </c>
      <c r="N1265">
        <v>156715.71</v>
      </c>
    </row>
    <row r="1266" spans="1:14" x14ac:dyDescent="0.25">
      <c r="A1266" t="s">
        <v>14</v>
      </c>
      <c r="B1266" t="s">
        <v>208</v>
      </c>
      <c r="C1266" t="s">
        <v>88</v>
      </c>
      <c r="D1266" t="s">
        <v>22</v>
      </c>
      <c r="E1266" t="s">
        <v>23</v>
      </c>
      <c r="F1266" s="1">
        <v>42259</v>
      </c>
      <c r="G1266">
        <v>108161103</v>
      </c>
      <c r="H1266" t="s">
        <v>209</v>
      </c>
      <c r="I1266">
        <v>6129</v>
      </c>
      <c r="J1266">
        <v>9.33</v>
      </c>
      <c r="K1266">
        <v>6.92</v>
      </c>
      <c r="L1266">
        <v>57183.57</v>
      </c>
      <c r="M1266">
        <v>42412.68</v>
      </c>
      <c r="N1266">
        <v>14770.89</v>
      </c>
    </row>
    <row r="1267" spans="1:14" x14ac:dyDescent="0.25">
      <c r="A1267" t="s">
        <v>25</v>
      </c>
      <c r="B1267" t="s">
        <v>339</v>
      </c>
      <c r="C1267" t="s">
        <v>55</v>
      </c>
      <c r="D1267" t="s">
        <v>17</v>
      </c>
      <c r="E1267" t="s">
        <v>32</v>
      </c>
      <c r="F1267" t="s">
        <v>1203</v>
      </c>
      <c r="G1267">
        <v>353383243</v>
      </c>
      <c r="H1267" s="1">
        <v>41888</v>
      </c>
      <c r="I1267">
        <v>2809</v>
      </c>
      <c r="J1267">
        <v>651.21</v>
      </c>
      <c r="K1267">
        <v>524.96</v>
      </c>
      <c r="L1267">
        <v>1829248.89</v>
      </c>
      <c r="M1267">
        <v>1474612.64</v>
      </c>
      <c r="N1267">
        <v>354636.25</v>
      </c>
    </row>
    <row r="1268" spans="1:14" x14ac:dyDescent="0.25">
      <c r="A1268" t="s">
        <v>25</v>
      </c>
      <c r="B1268" t="s">
        <v>556</v>
      </c>
      <c r="C1268" t="s">
        <v>55</v>
      </c>
      <c r="D1268" t="s">
        <v>22</v>
      </c>
      <c r="E1268" t="s">
        <v>32</v>
      </c>
      <c r="F1268" t="s">
        <v>1091</v>
      </c>
      <c r="G1268">
        <v>354667699</v>
      </c>
      <c r="H1268" t="s">
        <v>648</v>
      </c>
      <c r="I1268">
        <v>2908</v>
      </c>
      <c r="J1268">
        <v>651.21</v>
      </c>
      <c r="K1268">
        <v>524.96</v>
      </c>
      <c r="L1268">
        <v>1893718.68</v>
      </c>
      <c r="M1268">
        <v>1526583.68</v>
      </c>
      <c r="N1268">
        <v>367135</v>
      </c>
    </row>
    <row r="1269" spans="1:14" x14ac:dyDescent="0.25">
      <c r="A1269" t="s">
        <v>77</v>
      </c>
      <c r="B1269" t="s">
        <v>622</v>
      </c>
      <c r="C1269" t="s">
        <v>113</v>
      </c>
      <c r="D1269" t="s">
        <v>22</v>
      </c>
      <c r="E1269" t="s">
        <v>23</v>
      </c>
      <c r="F1269" s="1">
        <v>40360</v>
      </c>
      <c r="G1269">
        <v>193313300</v>
      </c>
      <c r="H1269" t="s">
        <v>114</v>
      </c>
      <c r="I1269">
        <v>4556</v>
      </c>
      <c r="J1269">
        <v>154.06</v>
      </c>
      <c r="K1269">
        <v>90.93</v>
      </c>
      <c r="L1269">
        <v>701897.36</v>
      </c>
      <c r="M1269">
        <v>414277.08</v>
      </c>
      <c r="N1269">
        <v>287620.28000000003</v>
      </c>
    </row>
    <row r="1270" spans="1:14" x14ac:dyDescent="0.25">
      <c r="A1270" t="s">
        <v>29</v>
      </c>
      <c r="B1270" t="s">
        <v>271</v>
      </c>
      <c r="C1270" t="s">
        <v>27</v>
      </c>
      <c r="D1270" t="s">
        <v>17</v>
      </c>
      <c r="E1270" t="s">
        <v>18</v>
      </c>
      <c r="F1270" t="s">
        <v>1204</v>
      </c>
      <c r="G1270">
        <v>470931375</v>
      </c>
      <c r="H1270" s="1">
        <v>41548</v>
      </c>
      <c r="I1270">
        <v>7914</v>
      </c>
      <c r="J1270">
        <v>47.45</v>
      </c>
      <c r="K1270">
        <v>31.79</v>
      </c>
      <c r="L1270">
        <v>375519.3</v>
      </c>
      <c r="M1270">
        <v>251586.06</v>
      </c>
      <c r="N1270">
        <v>123933.24</v>
      </c>
    </row>
    <row r="1271" spans="1:14" x14ac:dyDescent="0.25">
      <c r="A1271" t="s">
        <v>77</v>
      </c>
      <c r="B1271" t="s">
        <v>794</v>
      </c>
      <c r="C1271" t="s">
        <v>21</v>
      </c>
      <c r="D1271" t="s">
        <v>22</v>
      </c>
      <c r="E1271" t="s">
        <v>18</v>
      </c>
      <c r="F1271" t="s">
        <v>862</v>
      </c>
      <c r="G1271">
        <v>959445750</v>
      </c>
      <c r="H1271" t="s">
        <v>641</v>
      </c>
      <c r="I1271">
        <v>173</v>
      </c>
      <c r="J1271">
        <v>152.58000000000001</v>
      </c>
      <c r="K1271">
        <v>97.44</v>
      </c>
      <c r="L1271">
        <v>26396.34</v>
      </c>
      <c r="M1271">
        <v>16857.12</v>
      </c>
      <c r="N1271">
        <v>9539.2199999999993</v>
      </c>
    </row>
    <row r="1272" spans="1:14" x14ac:dyDescent="0.25">
      <c r="A1272" t="s">
        <v>29</v>
      </c>
      <c r="B1272" t="s">
        <v>585</v>
      </c>
      <c r="C1272" t="s">
        <v>44</v>
      </c>
      <c r="D1272" t="s">
        <v>17</v>
      </c>
      <c r="E1272" t="s">
        <v>23</v>
      </c>
      <c r="F1272" t="s">
        <v>1205</v>
      </c>
      <c r="G1272">
        <v>151092755</v>
      </c>
      <c r="H1272" s="1">
        <v>42685</v>
      </c>
      <c r="I1272">
        <v>559</v>
      </c>
      <c r="J1272">
        <v>109.28</v>
      </c>
      <c r="K1272">
        <v>35.840000000000003</v>
      </c>
      <c r="L1272">
        <v>61087.519999999997</v>
      </c>
      <c r="M1272">
        <v>20034.560000000001</v>
      </c>
      <c r="N1272">
        <v>41052.959999999999</v>
      </c>
    </row>
    <row r="1273" spans="1:14" x14ac:dyDescent="0.25">
      <c r="A1273" t="s">
        <v>77</v>
      </c>
      <c r="B1273" t="s">
        <v>78</v>
      </c>
      <c r="C1273" t="s">
        <v>88</v>
      </c>
      <c r="D1273" t="s">
        <v>17</v>
      </c>
      <c r="E1273" t="s">
        <v>32</v>
      </c>
      <c r="F1273" s="1">
        <v>40524</v>
      </c>
      <c r="G1273">
        <v>208421218</v>
      </c>
      <c r="H1273" s="1">
        <v>40756</v>
      </c>
      <c r="I1273">
        <v>5325</v>
      </c>
      <c r="J1273">
        <v>9.33</v>
      </c>
      <c r="K1273">
        <v>6.92</v>
      </c>
      <c r="L1273">
        <v>49682.25</v>
      </c>
      <c r="M1273">
        <v>36849</v>
      </c>
      <c r="N1273">
        <v>12833.25</v>
      </c>
    </row>
    <row r="1274" spans="1:14" x14ac:dyDescent="0.25">
      <c r="A1274" t="s">
        <v>25</v>
      </c>
      <c r="B1274" t="s">
        <v>119</v>
      </c>
      <c r="C1274" t="s">
        <v>21</v>
      </c>
      <c r="D1274" t="s">
        <v>17</v>
      </c>
      <c r="E1274" t="s">
        <v>32</v>
      </c>
      <c r="F1274" t="s">
        <v>429</v>
      </c>
      <c r="G1274">
        <v>214292466</v>
      </c>
      <c r="H1274" t="s">
        <v>1206</v>
      </c>
      <c r="I1274">
        <v>2758</v>
      </c>
      <c r="J1274">
        <v>152.58000000000001</v>
      </c>
      <c r="K1274">
        <v>97.44</v>
      </c>
      <c r="L1274">
        <v>420815.64</v>
      </c>
      <c r="M1274">
        <v>268739.52</v>
      </c>
      <c r="N1274">
        <v>152076.12</v>
      </c>
    </row>
    <row r="1275" spans="1:14" x14ac:dyDescent="0.25">
      <c r="A1275" t="s">
        <v>29</v>
      </c>
      <c r="B1275" t="s">
        <v>619</v>
      </c>
      <c r="C1275" t="s">
        <v>16</v>
      </c>
      <c r="D1275" t="s">
        <v>17</v>
      </c>
      <c r="E1275" t="s">
        <v>32</v>
      </c>
      <c r="F1275" t="s">
        <v>1207</v>
      </c>
      <c r="G1275">
        <v>221880328</v>
      </c>
      <c r="H1275" t="s">
        <v>590</v>
      </c>
      <c r="I1275">
        <v>8175</v>
      </c>
      <c r="J1275">
        <v>255.28</v>
      </c>
      <c r="K1275">
        <v>159.41999999999999</v>
      </c>
      <c r="L1275">
        <v>2086914</v>
      </c>
      <c r="M1275">
        <v>1303258.5</v>
      </c>
      <c r="N1275">
        <v>783655.5</v>
      </c>
    </row>
    <row r="1276" spans="1:14" x14ac:dyDescent="0.25">
      <c r="A1276" t="s">
        <v>42</v>
      </c>
      <c r="B1276" t="s">
        <v>361</v>
      </c>
      <c r="C1276" t="s">
        <v>27</v>
      </c>
      <c r="D1276" t="s">
        <v>17</v>
      </c>
      <c r="E1276" t="s">
        <v>45</v>
      </c>
      <c r="F1276" t="s">
        <v>300</v>
      </c>
      <c r="G1276">
        <v>804671132</v>
      </c>
      <c r="H1276" s="1">
        <v>40822</v>
      </c>
      <c r="I1276">
        <v>8924</v>
      </c>
      <c r="J1276">
        <v>47.45</v>
      </c>
      <c r="K1276">
        <v>31.79</v>
      </c>
      <c r="L1276">
        <v>423443.8</v>
      </c>
      <c r="M1276">
        <v>283693.96000000002</v>
      </c>
      <c r="N1276">
        <v>139749.84</v>
      </c>
    </row>
    <row r="1277" spans="1:14" x14ac:dyDescent="0.25">
      <c r="A1277" t="s">
        <v>14</v>
      </c>
      <c r="B1277" t="s">
        <v>94</v>
      </c>
      <c r="C1277" t="s">
        <v>31</v>
      </c>
      <c r="D1277" t="s">
        <v>17</v>
      </c>
      <c r="E1277" t="s">
        <v>45</v>
      </c>
      <c r="F1277" t="s">
        <v>1208</v>
      </c>
      <c r="G1277">
        <v>806463706</v>
      </c>
      <c r="H1277" t="s">
        <v>1173</v>
      </c>
      <c r="I1277">
        <v>9387</v>
      </c>
      <c r="J1277">
        <v>205.7</v>
      </c>
      <c r="K1277">
        <v>117.11</v>
      </c>
      <c r="L1277">
        <v>1930905.9</v>
      </c>
      <c r="M1277">
        <v>1099311.57</v>
      </c>
      <c r="N1277">
        <v>831594.33</v>
      </c>
    </row>
    <row r="1278" spans="1:14" x14ac:dyDescent="0.25">
      <c r="A1278" t="s">
        <v>38</v>
      </c>
      <c r="B1278" t="s">
        <v>85</v>
      </c>
      <c r="C1278" t="s">
        <v>113</v>
      </c>
      <c r="D1278" t="s">
        <v>22</v>
      </c>
      <c r="E1278" t="s">
        <v>18</v>
      </c>
      <c r="F1278" t="s">
        <v>655</v>
      </c>
      <c r="G1278">
        <v>491369378</v>
      </c>
      <c r="H1278" s="1">
        <v>41429</v>
      </c>
      <c r="I1278">
        <v>5973</v>
      </c>
      <c r="J1278">
        <v>154.06</v>
      </c>
      <c r="K1278">
        <v>90.93</v>
      </c>
      <c r="L1278">
        <v>920200.38</v>
      </c>
      <c r="M1278">
        <v>543124.89</v>
      </c>
      <c r="N1278">
        <v>377075.49</v>
      </c>
    </row>
    <row r="1279" spans="1:14" x14ac:dyDescent="0.25">
      <c r="A1279" t="s">
        <v>38</v>
      </c>
      <c r="B1279" t="s">
        <v>39</v>
      </c>
      <c r="C1279" t="s">
        <v>59</v>
      </c>
      <c r="D1279" t="s">
        <v>17</v>
      </c>
      <c r="E1279" t="s">
        <v>23</v>
      </c>
      <c r="F1279" t="s">
        <v>312</v>
      </c>
      <c r="G1279">
        <v>193811976</v>
      </c>
      <c r="H1279" t="s">
        <v>1209</v>
      </c>
      <c r="I1279">
        <v>2126</v>
      </c>
      <c r="J1279">
        <v>437.2</v>
      </c>
      <c r="K1279">
        <v>263.33</v>
      </c>
      <c r="L1279">
        <v>929487.2</v>
      </c>
      <c r="M1279">
        <v>559839.57999999996</v>
      </c>
      <c r="N1279">
        <v>369647.62</v>
      </c>
    </row>
    <row r="1280" spans="1:14" x14ac:dyDescent="0.25">
      <c r="A1280" t="s">
        <v>38</v>
      </c>
      <c r="B1280" t="s">
        <v>156</v>
      </c>
      <c r="C1280" t="s">
        <v>113</v>
      </c>
      <c r="D1280" t="s">
        <v>22</v>
      </c>
      <c r="E1280" t="s">
        <v>32</v>
      </c>
      <c r="F1280" s="1">
        <v>40695</v>
      </c>
      <c r="G1280">
        <v>768527829</v>
      </c>
      <c r="H1280" t="s">
        <v>1210</v>
      </c>
      <c r="I1280">
        <v>3318</v>
      </c>
      <c r="J1280">
        <v>154.06</v>
      </c>
      <c r="K1280">
        <v>90.93</v>
      </c>
      <c r="L1280">
        <v>511171.08</v>
      </c>
      <c r="M1280">
        <v>301705.74</v>
      </c>
      <c r="N1280">
        <v>209465.34</v>
      </c>
    </row>
    <row r="1281" spans="1:14" x14ac:dyDescent="0.25">
      <c r="A1281" t="s">
        <v>29</v>
      </c>
      <c r="B1281" t="s">
        <v>124</v>
      </c>
      <c r="C1281" t="s">
        <v>27</v>
      </c>
      <c r="D1281" t="s">
        <v>17</v>
      </c>
      <c r="E1281" t="s">
        <v>18</v>
      </c>
      <c r="F1281" t="s">
        <v>50</v>
      </c>
      <c r="G1281">
        <v>440565764</v>
      </c>
      <c r="H1281" s="1">
        <v>42530</v>
      </c>
      <c r="I1281">
        <v>2055</v>
      </c>
      <c r="J1281">
        <v>47.45</v>
      </c>
      <c r="K1281">
        <v>31.79</v>
      </c>
      <c r="L1281">
        <v>97509.75</v>
      </c>
      <c r="M1281">
        <v>65328.45</v>
      </c>
      <c r="N1281">
        <v>32181.3</v>
      </c>
    </row>
    <row r="1282" spans="1:14" x14ac:dyDescent="0.25">
      <c r="A1282" t="s">
        <v>25</v>
      </c>
      <c r="B1282" t="s">
        <v>211</v>
      </c>
      <c r="C1282" t="s">
        <v>131</v>
      </c>
      <c r="D1282" t="s">
        <v>22</v>
      </c>
      <c r="E1282" t="s">
        <v>45</v>
      </c>
      <c r="F1282" t="s">
        <v>763</v>
      </c>
      <c r="G1282">
        <v>655287110</v>
      </c>
      <c r="H1282" t="s">
        <v>1081</v>
      </c>
      <c r="I1282">
        <v>2873</v>
      </c>
      <c r="J1282">
        <v>668.27</v>
      </c>
      <c r="K1282">
        <v>502.54</v>
      </c>
      <c r="L1282">
        <v>1919939.71</v>
      </c>
      <c r="M1282">
        <v>1443797.42</v>
      </c>
      <c r="N1282">
        <v>476142.29</v>
      </c>
    </row>
    <row r="1283" spans="1:14" x14ac:dyDescent="0.25">
      <c r="A1283" t="s">
        <v>14</v>
      </c>
      <c r="B1283" t="s">
        <v>213</v>
      </c>
      <c r="C1283" t="s">
        <v>69</v>
      </c>
      <c r="D1283" t="s">
        <v>17</v>
      </c>
      <c r="E1283" t="s">
        <v>45</v>
      </c>
      <c r="F1283" t="s">
        <v>328</v>
      </c>
      <c r="G1283">
        <v>228365695</v>
      </c>
      <c r="H1283" t="s">
        <v>1211</v>
      </c>
      <c r="I1283">
        <v>7339</v>
      </c>
      <c r="J1283">
        <v>421.89</v>
      </c>
      <c r="K1283">
        <v>364.69</v>
      </c>
      <c r="L1283">
        <v>3096250.71</v>
      </c>
      <c r="M1283">
        <v>2676459.91</v>
      </c>
      <c r="N1283">
        <v>419790.8</v>
      </c>
    </row>
    <row r="1284" spans="1:14" x14ac:dyDescent="0.25">
      <c r="A1284" t="s">
        <v>25</v>
      </c>
      <c r="B1284" t="s">
        <v>229</v>
      </c>
      <c r="C1284" t="s">
        <v>16</v>
      </c>
      <c r="D1284" t="s">
        <v>17</v>
      </c>
      <c r="E1284" t="s">
        <v>45</v>
      </c>
      <c r="F1284" t="s">
        <v>931</v>
      </c>
      <c r="G1284">
        <v>295787847</v>
      </c>
      <c r="H1284" t="s">
        <v>1212</v>
      </c>
      <c r="I1284">
        <v>9052</v>
      </c>
      <c r="J1284">
        <v>255.28</v>
      </c>
      <c r="K1284">
        <v>159.41999999999999</v>
      </c>
      <c r="L1284">
        <v>2310794.56</v>
      </c>
      <c r="M1284">
        <v>1443069.84</v>
      </c>
      <c r="N1284">
        <v>867724.72</v>
      </c>
    </row>
    <row r="1285" spans="1:14" x14ac:dyDescent="0.25">
      <c r="A1285" t="s">
        <v>25</v>
      </c>
      <c r="B1285" t="s">
        <v>339</v>
      </c>
      <c r="C1285" t="s">
        <v>16</v>
      </c>
      <c r="D1285" t="s">
        <v>22</v>
      </c>
      <c r="E1285" t="s">
        <v>32</v>
      </c>
      <c r="F1285" s="1">
        <v>41188</v>
      </c>
      <c r="G1285">
        <v>263852393</v>
      </c>
      <c r="H1285" t="s">
        <v>1213</v>
      </c>
      <c r="I1285">
        <v>8641</v>
      </c>
      <c r="J1285">
        <v>255.28</v>
      </c>
      <c r="K1285">
        <v>159.41999999999999</v>
      </c>
      <c r="L1285">
        <v>2205874.48</v>
      </c>
      <c r="M1285">
        <v>1377548.22</v>
      </c>
      <c r="N1285">
        <v>828326.26</v>
      </c>
    </row>
    <row r="1286" spans="1:14" x14ac:dyDescent="0.25">
      <c r="A1286" t="s">
        <v>51</v>
      </c>
      <c r="B1286" t="s">
        <v>420</v>
      </c>
      <c r="C1286" t="s">
        <v>27</v>
      </c>
      <c r="D1286" t="s">
        <v>22</v>
      </c>
      <c r="E1286" t="s">
        <v>18</v>
      </c>
      <c r="F1286" t="s">
        <v>950</v>
      </c>
      <c r="G1286">
        <v>959170663</v>
      </c>
      <c r="H1286" t="s">
        <v>839</v>
      </c>
      <c r="I1286">
        <v>8769</v>
      </c>
      <c r="J1286">
        <v>47.45</v>
      </c>
      <c r="K1286">
        <v>31.79</v>
      </c>
      <c r="L1286">
        <v>416089.05</v>
      </c>
      <c r="M1286">
        <v>278766.51</v>
      </c>
      <c r="N1286">
        <v>137322.54</v>
      </c>
    </row>
    <row r="1287" spans="1:14" x14ac:dyDescent="0.25">
      <c r="A1287" t="s">
        <v>25</v>
      </c>
      <c r="B1287" t="s">
        <v>185</v>
      </c>
      <c r="C1287" t="s">
        <v>88</v>
      </c>
      <c r="D1287" t="s">
        <v>22</v>
      </c>
      <c r="E1287" t="s">
        <v>45</v>
      </c>
      <c r="F1287" t="s">
        <v>1214</v>
      </c>
      <c r="G1287">
        <v>578666484</v>
      </c>
      <c r="H1287" s="1">
        <v>41582</v>
      </c>
      <c r="I1287">
        <v>9127</v>
      </c>
      <c r="J1287">
        <v>9.33</v>
      </c>
      <c r="K1287">
        <v>6.92</v>
      </c>
      <c r="L1287">
        <v>85154.91</v>
      </c>
      <c r="M1287">
        <v>63158.84</v>
      </c>
      <c r="N1287">
        <v>21996.07</v>
      </c>
    </row>
    <row r="1288" spans="1:14" x14ac:dyDescent="0.25">
      <c r="A1288" t="s">
        <v>51</v>
      </c>
      <c r="B1288" t="s">
        <v>542</v>
      </c>
      <c r="C1288" t="s">
        <v>113</v>
      </c>
      <c r="D1288" t="s">
        <v>17</v>
      </c>
      <c r="E1288" t="s">
        <v>45</v>
      </c>
      <c r="F1288" s="1">
        <v>42188</v>
      </c>
      <c r="G1288">
        <v>539576184</v>
      </c>
      <c r="H1288" t="s">
        <v>691</v>
      </c>
      <c r="I1288">
        <v>1438</v>
      </c>
      <c r="J1288">
        <v>154.06</v>
      </c>
      <c r="K1288">
        <v>90.93</v>
      </c>
      <c r="L1288">
        <v>221538.28</v>
      </c>
      <c r="M1288">
        <v>130757.34</v>
      </c>
      <c r="N1288">
        <v>90780.94</v>
      </c>
    </row>
    <row r="1289" spans="1:14" x14ac:dyDescent="0.25">
      <c r="A1289" t="s">
        <v>42</v>
      </c>
      <c r="B1289" t="s">
        <v>150</v>
      </c>
      <c r="C1289" t="s">
        <v>131</v>
      </c>
      <c r="D1289" t="s">
        <v>22</v>
      </c>
      <c r="E1289" t="s">
        <v>32</v>
      </c>
      <c r="F1289" s="1">
        <v>40917</v>
      </c>
      <c r="G1289">
        <v>529448592</v>
      </c>
      <c r="H1289" t="s">
        <v>1215</v>
      </c>
      <c r="I1289">
        <v>4459</v>
      </c>
      <c r="J1289">
        <v>668.27</v>
      </c>
      <c r="K1289">
        <v>502.54</v>
      </c>
      <c r="L1289">
        <v>2979815.93</v>
      </c>
      <c r="M1289">
        <v>2240825.86</v>
      </c>
      <c r="N1289">
        <v>738990.07</v>
      </c>
    </row>
    <row r="1290" spans="1:14" x14ac:dyDescent="0.25">
      <c r="A1290" t="s">
        <v>51</v>
      </c>
      <c r="B1290" t="s">
        <v>414</v>
      </c>
      <c r="C1290" t="s">
        <v>113</v>
      </c>
      <c r="D1290" t="s">
        <v>17</v>
      </c>
      <c r="E1290" t="s">
        <v>32</v>
      </c>
      <c r="F1290" s="1">
        <v>40700</v>
      </c>
      <c r="G1290">
        <v>756145036</v>
      </c>
      <c r="H1290" t="s">
        <v>826</v>
      </c>
      <c r="I1290">
        <v>8974</v>
      </c>
      <c r="J1290">
        <v>154.06</v>
      </c>
      <c r="K1290">
        <v>90.93</v>
      </c>
      <c r="L1290">
        <v>1382534.44</v>
      </c>
      <c r="M1290">
        <v>816005.82</v>
      </c>
      <c r="N1290">
        <v>566528.62</v>
      </c>
    </row>
    <row r="1291" spans="1:14" x14ac:dyDescent="0.25">
      <c r="A1291" t="s">
        <v>25</v>
      </c>
      <c r="B1291" t="s">
        <v>303</v>
      </c>
      <c r="C1291" t="s">
        <v>40</v>
      </c>
      <c r="D1291" t="s">
        <v>22</v>
      </c>
      <c r="E1291" t="s">
        <v>23</v>
      </c>
      <c r="F1291" t="s">
        <v>1216</v>
      </c>
      <c r="G1291">
        <v>597839343</v>
      </c>
      <c r="H1291" t="s">
        <v>1217</v>
      </c>
      <c r="I1291">
        <v>2802</v>
      </c>
      <c r="J1291">
        <v>81.73</v>
      </c>
      <c r="K1291">
        <v>56.67</v>
      </c>
      <c r="L1291">
        <v>229007.46</v>
      </c>
      <c r="M1291">
        <v>158789.34</v>
      </c>
      <c r="N1291">
        <v>70218.12</v>
      </c>
    </row>
    <row r="1292" spans="1:14" x14ac:dyDescent="0.25">
      <c r="A1292" t="s">
        <v>42</v>
      </c>
      <c r="B1292" t="s">
        <v>290</v>
      </c>
      <c r="C1292" t="s">
        <v>55</v>
      </c>
      <c r="D1292" t="s">
        <v>22</v>
      </c>
      <c r="E1292" t="s">
        <v>18</v>
      </c>
      <c r="F1292" s="1">
        <v>40491</v>
      </c>
      <c r="G1292">
        <v>853017842</v>
      </c>
      <c r="H1292" s="1">
        <v>40521</v>
      </c>
      <c r="I1292">
        <v>5790</v>
      </c>
      <c r="J1292">
        <v>651.21</v>
      </c>
      <c r="K1292">
        <v>524.96</v>
      </c>
      <c r="L1292">
        <v>3770505.9</v>
      </c>
      <c r="M1292">
        <v>3039518.4</v>
      </c>
      <c r="N1292">
        <v>730987.5</v>
      </c>
    </row>
    <row r="1293" spans="1:14" x14ac:dyDescent="0.25">
      <c r="A1293" t="s">
        <v>38</v>
      </c>
      <c r="B1293" t="s">
        <v>58</v>
      </c>
      <c r="C1293" t="s">
        <v>16</v>
      </c>
      <c r="D1293" t="s">
        <v>22</v>
      </c>
      <c r="E1293" t="s">
        <v>32</v>
      </c>
      <c r="F1293" t="s">
        <v>863</v>
      </c>
      <c r="G1293">
        <v>590479362</v>
      </c>
      <c r="H1293" t="s">
        <v>1218</v>
      </c>
      <c r="I1293">
        <v>4820</v>
      </c>
      <c r="J1293">
        <v>255.28</v>
      </c>
      <c r="K1293">
        <v>159.41999999999999</v>
      </c>
      <c r="L1293">
        <v>1230449.6000000001</v>
      </c>
      <c r="M1293">
        <v>768404.4</v>
      </c>
      <c r="N1293">
        <v>462045.2</v>
      </c>
    </row>
    <row r="1294" spans="1:14" x14ac:dyDescent="0.25">
      <c r="A1294" t="s">
        <v>25</v>
      </c>
      <c r="B1294" t="s">
        <v>752</v>
      </c>
      <c r="C1294" t="s">
        <v>59</v>
      </c>
      <c r="D1294" t="s">
        <v>22</v>
      </c>
      <c r="E1294" t="s">
        <v>18</v>
      </c>
      <c r="F1294" s="1">
        <v>40889</v>
      </c>
      <c r="G1294">
        <v>299335229</v>
      </c>
      <c r="H1294" t="s">
        <v>1219</v>
      </c>
      <c r="I1294">
        <v>8801</v>
      </c>
      <c r="J1294">
        <v>437.2</v>
      </c>
      <c r="K1294">
        <v>263.33</v>
      </c>
      <c r="L1294">
        <v>3847797.2</v>
      </c>
      <c r="M1294">
        <v>2317567.33</v>
      </c>
      <c r="N1294">
        <v>1530229.87</v>
      </c>
    </row>
    <row r="1295" spans="1:14" x14ac:dyDescent="0.25">
      <c r="A1295" t="s">
        <v>14</v>
      </c>
      <c r="B1295" t="s">
        <v>383</v>
      </c>
      <c r="C1295" t="s">
        <v>44</v>
      </c>
      <c r="D1295" t="s">
        <v>17</v>
      </c>
      <c r="E1295" t="s">
        <v>23</v>
      </c>
      <c r="F1295" s="1">
        <v>40550</v>
      </c>
      <c r="G1295">
        <v>539009273</v>
      </c>
      <c r="H1295" s="1">
        <v>40641</v>
      </c>
      <c r="I1295">
        <v>3677</v>
      </c>
      <c r="J1295">
        <v>109.28</v>
      </c>
      <c r="K1295">
        <v>35.840000000000003</v>
      </c>
      <c r="L1295">
        <v>401822.56</v>
      </c>
      <c r="M1295">
        <v>131783.67999999999</v>
      </c>
      <c r="N1295">
        <v>270038.88</v>
      </c>
    </row>
    <row r="1296" spans="1:14" x14ac:dyDescent="0.25">
      <c r="A1296" t="s">
        <v>38</v>
      </c>
      <c r="B1296" t="s">
        <v>83</v>
      </c>
      <c r="C1296" t="s">
        <v>40</v>
      </c>
      <c r="D1296" t="s">
        <v>17</v>
      </c>
      <c r="E1296" t="s">
        <v>45</v>
      </c>
      <c r="F1296" t="s">
        <v>1007</v>
      </c>
      <c r="G1296">
        <v>589237821</v>
      </c>
      <c r="H1296" s="1">
        <v>42462</v>
      </c>
      <c r="I1296">
        <v>7420</v>
      </c>
      <c r="J1296">
        <v>81.73</v>
      </c>
      <c r="K1296">
        <v>56.67</v>
      </c>
      <c r="L1296">
        <v>606436.6</v>
      </c>
      <c r="M1296">
        <v>420491.4</v>
      </c>
      <c r="N1296">
        <v>185945.2</v>
      </c>
    </row>
    <row r="1297" spans="1:14" x14ac:dyDescent="0.25">
      <c r="A1297" t="s">
        <v>25</v>
      </c>
      <c r="B1297" t="s">
        <v>603</v>
      </c>
      <c r="C1297" t="s">
        <v>113</v>
      </c>
      <c r="D1297" t="s">
        <v>22</v>
      </c>
      <c r="E1297" t="s">
        <v>32</v>
      </c>
      <c r="F1297" s="1">
        <v>42644</v>
      </c>
      <c r="G1297">
        <v>700069701</v>
      </c>
      <c r="H1297" t="s">
        <v>1220</v>
      </c>
      <c r="I1297">
        <v>5037</v>
      </c>
      <c r="J1297">
        <v>154.06</v>
      </c>
      <c r="K1297">
        <v>90.93</v>
      </c>
      <c r="L1297">
        <v>776000.22</v>
      </c>
      <c r="M1297">
        <v>458014.41</v>
      </c>
      <c r="N1297">
        <v>317985.81</v>
      </c>
    </row>
    <row r="1298" spans="1:14" x14ac:dyDescent="0.25">
      <c r="A1298" t="s">
        <v>25</v>
      </c>
      <c r="B1298" t="s">
        <v>196</v>
      </c>
      <c r="C1298" t="s">
        <v>131</v>
      </c>
      <c r="D1298" t="s">
        <v>17</v>
      </c>
      <c r="E1298" t="s">
        <v>45</v>
      </c>
      <c r="F1298" t="s">
        <v>920</v>
      </c>
      <c r="G1298">
        <v>741866242</v>
      </c>
      <c r="H1298" t="s">
        <v>238</v>
      </c>
      <c r="I1298">
        <v>3562</v>
      </c>
      <c r="J1298">
        <v>668.27</v>
      </c>
      <c r="K1298">
        <v>502.54</v>
      </c>
      <c r="L1298">
        <v>2380377.7400000002</v>
      </c>
      <c r="M1298">
        <v>1790047.48</v>
      </c>
      <c r="N1298">
        <v>590330.26</v>
      </c>
    </row>
    <row r="1299" spans="1:14" x14ac:dyDescent="0.25">
      <c r="A1299" t="s">
        <v>14</v>
      </c>
      <c r="B1299" t="s">
        <v>15</v>
      </c>
      <c r="C1299" t="s">
        <v>31</v>
      </c>
      <c r="D1299" t="s">
        <v>22</v>
      </c>
      <c r="E1299" t="s">
        <v>32</v>
      </c>
      <c r="F1299" s="1">
        <v>40880</v>
      </c>
      <c r="G1299">
        <v>655301272</v>
      </c>
      <c r="H1299" t="s">
        <v>441</v>
      </c>
      <c r="I1299">
        <v>7064</v>
      </c>
      <c r="J1299">
        <v>205.7</v>
      </c>
      <c r="K1299">
        <v>117.11</v>
      </c>
      <c r="L1299">
        <v>1453064.8</v>
      </c>
      <c r="M1299">
        <v>827265.04</v>
      </c>
      <c r="N1299">
        <v>625799.76</v>
      </c>
    </row>
    <row r="1300" spans="1:14" x14ac:dyDescent="0.25">
      <c r="A1300" t="s">
        <v>42</v>
      </c>
      <c r="B1300" t="s">
        <v>681</v>
      </c>
      <c r="C1300" t="s">
        <v>27</v>
      </c>
      <c r="D1300" t="s">
        <v>17</v>
      </c>
      <c r="E1300" t="s">
        <v>23</v>
      </c>
      <c r="F1300" s="1">
        <v>42129</v>
      </c>
      <c r="G1300">
        <v>901361119</v>
      </c>
      <c r="H1300" t="s">
        <v>1152</v>
      </c>
      <c r="I1300">
        <v>1640</v>
      </c>
      <c r="J1300">
        <v>47.45</v>
      </c>
      <c r="K1300">
        <v>31.79</v>
      </c>
      <c r="L1300">
        <v>77818</v>
      </c>
      <c r="M1300">
        <v>52135.6</v>
      </c>
      <c r="N1300">
        <v>25682.400000000001</v>
      </c>
    </row>
    <row r="1301" spans="1:14" x14ac:dyDescent="0.25">
      <c r="A1301" t="s">
        <v>25</v>
      </c>
      <c r="B1301" t="s">
        <v>74</v>
      </c>
      <c r="C1301" t="s">
        <v>21</v>
      </c>
      <c r="D1301" t="s">
        <v>22</v>
      </c>
      <c r="E1301" t="s">
        <v>32</v>
      </c>
      <c r="F1301" s="1">
        <v>40181</v>
      </c>
      <c r="G1301">
        <v>211344611</v>
      </c>
      <c r="H1301" t="s">
        <v>749</v>
      </c>
      <c r="I1301">
        <v>422</v>
      </c>
      <c r="J1301">
        <v>152.58000000000001</v>
      </c>
      <c r="K1301">
        <v>97.44</v>
      </c>
      <c r="L1301">
        <v>64388.76</v>
      </c>
      <c r="M1301">
        <v>41119.68</v>
      </c>
      <c r="N1301">
        <v>23269.08</v>
      </c>
    </row>
    <row r="1302" spans="1:14" x14ac:dyDescent="0.25">
      <c r="A1302" t="s">
        <v>38</v>
      </c>
      <c r="B1302" t="s">
        <v>54</v>
      </c>
      <c r="C1302" t="s">
        <v>27</v>
      </c>
      <c r="D1302" t="s">
        <v>17</v>
      </c>
      <c r="E1302" t="s">
        <v>32</v>
      </c>
      <c r="F1302" s="1">
        <v>41673</v>
      </c>
      <c r="G1302">
        <v>536863076</v>
      </c>
      <c r="H1302" s="1">
        <v>41673</v>
      </c>
      <c r="I1302">
        <v>8569</v>
      </c>
      <c r="J1302">
        <v>47.45</v>
      </c>
      <c r="K1302">
        <v>31.79</v>
      </c>
      <c r="L1302">
        <v>406599.05</v>
      </c>
      <c r="M1302">
        <v>272408.51</v>
      </c>
      <c r="N1302">
        <v>134190.54</v>
      </c>
    </row>
    <row r="1303" spans="1:14" x14ac:dyDescent="0.25">
      <c r="A1303" t="s">
        <v>51</v>
      </c>
      <c r="B1303" t="s">
        <v>424</v>
      </c>
      <c r="C1303" t="s">
        <v>40</v>
      </c>
      <c r="D1303" t="s">
        <v>17</v>
      </c>
      <c r="E1303" t="s">
        <v>18</v>
      </c>
      <c r="F1303" s="1">
        <v>41040</v>
      </c>
      <c r="G1303">
        <v>299840342</v>
      </c>
      <c r="H1303" s="1">
        <v>41133</v>
      </c>
      <c r="I1303">
        <v>8275</v>
      </c>
      <c r="J1303">
        <v>81.73</v>
      </c>
      <c r="K1303">
        <v>56.67</v>
      </c>
      <c r="L1303">
        <v>676315.75</v>
      </c>
      <c r="M1303">
        <v>468944.25</v>
      </c>
      <c r="N1303">
        <v>207371.5</v>
      </c>
    </row>
    <row r="1304" spans="1:14" x14ac:dyDescent="0.25">
      <c r="A1304" t="s">
        <v>14</v>
      </c>
      <c r="B1304" t="s">
        <v>15</v>
      </c>
      <c r="C1304" t="s">
        <v>44</v>
      </c>
      <c r="D1304" t="s">
        <v>22</v>
      </c>
      <c r="E1304" t="s">
        <v>45</v>
      </c>
      <c r="F1304" t="s">
        <v>816</v>
      </c>
      <c r="G1304">
        <v>242512738</v>
      </c>
      <c r="H1304" t="s">
        <v>1058</v>
      </c>
      <c r="I1304">
        <v>3763</v>
      </c>
      <c r="J1304">
        <v>109.28</v>
      </c>
      <c r="K1304">
        <v>35.840000000000003</v>
      </c>
      <c r="L1304">
        <v>411220.64</v>
      </c>
      <c r="M1304">
        <v>134865.92000000001</v>
      </c>
      <c r="N1304">
        <v>276354.71999999997</v>
      </c>
    </row>
    <row r="1305" spans="1:14" x14ac:dyDescent="0.25">
      <c r="A1305" t="s">
        <v>42</v>
      </c>
      <c r="B1305" t="s">
        <v>150</v>
      </c>
      <c r="C1305" t="s">
        <v>44</v>
      </c>
      <c r="D1305" t="s">
        <v>17</v>
      </c>
      <c r="E1305" t="s">
        <v>18</v>
      </c>
      <c r="F1305" t="s">
        <v>1221</v>
      </c>
      <c r="G1305">
        <v>277429091</v>
      </c>
      <c r="H1305" t="s">
        <v>925</v>
      </c>
      <c r="I1305">
        <v>6288</v>
      </c>
      <c r="J1305">
        <v>109.28</v>
      </c>
      <c r="K1305">
        <v>35.840000000000003</v>
      </c>
      <c r="L1305">
        <v>687152.64000000001</v>
      </c>
      <c r="M1305">
        <v>225361.92000000001</v>
      </c>
      <c r="N1305">
        <v>461790.71999999997</v>
      </c>
    </row>
    <row r="1306" spans="1:14" x14ac:dyDescent="0.25">
      <c r="A1306" t="s">
        <v>29</v>
      </c>
      <c r="B1306" t="s">
        <v>35</v>
      </c>
      <c r="C1306" t="s">
        <v>113</v>
      </c>
      <c r="D1306" t="s">
        <v>22</v>
      </c>
      <c r="E1306" t="s">
        <v>45</v>
      </c>
      <c r="F1306" t="s">
        <v>953</v>
      </c>
      <c r="G1306">
        <v>837450730</v>
      </c>
      <c r="H1306" t="s">
        <v>380</v>
      </c>
      <c r="I1306">
        <v>9136</v>
      </c>
      <c r="J1306">
        <v>154.06</v>
      </c>
      <c r="K1306">
        <v>90.93</v>
      </c>
      <c r="L1306">
        <v>1407492.16</v>
      </c>
      <c r="M1306">
        <v>830736.48</v>
      </c>
      <c r="N1306">
        <v>576755.68000000005</v>
      </c>
    </row>
    <row r="1307" spans="1:14" x14ac:dyDescent="0.25">
      <c r="A1307" t="s">
        <v>25</v>
      </c>
      <c r="B1307" t="s">
        <v>142</v>
      </c>
      <c r="C1307" t="s">
        <v>40</v>
      </c>
      <c r="D1307" t="s">
        <v>22</v>
      </c>
      <c r="E1307" t="s">
        <v>45</v>
      </c>
      <c r="F1307" t="s">
        <v>461</v>
      </c>
      <c r="G1307">
        <v>625751483</v>
      </c>
      <c r="H1307" s="1">
        <v>42014</v>
      </c>
      <c r="I1307">
        <v>2624</v>
      </c>
      <c r="J1307">
        <v>81.73</v>
      </c>
      <c r="K1307">
        <v>56.67</v>
      </c>
      <c r="L1307">
        <v>214459.51999999999</v>
      </c>
      <c r="M1307">
        <v>148702.07999999999</v>
      </c>
      <c r="N1307">
        <v>65757.440000000002</v>
      </c>
    </row>
    <row r="1308" spans="1:14" x14ac:dyDescent="0.25">
      <c r="A1308" t="s">
        <v>25</v>
      </c>
      <c r="B1308" t="s">
        <v>204</v>
      </c>
      <c r="C1308" t="s">
        <v>88</v>
      </c>
      <c r="D1308" t="s">
        <v>17</v>
      </c>
      <c r="E1308" t="s">
        <v>23</v>
      </c>
      <c r="F1308" t="s">
        <v>1222</v>
      </c>
      <c r="G1308">
        <v>665817677</v>
      </c>
      <c r="H1308" s="1">
        <v>42287</v>
      </c>
      <c r="I1308">
        <v>9102</v>
      </c>
      <c r="J1308">
        <v>9.33</v>
      </c>
      <c r="K1308">
        <v>6.92</v>
      </c>
      <c r="L1308">
        <v>84921.66</v>
      </c>
      <c r="M1308">
        <v>62985.84</v>
      </c>
      <c r="N1308">
        <v>21935.82</v>
      </c>
    </row>
    <row r="1309" spans="1:14" x14ac:dyDescent="0.25">
      <c r="A1309" t="s">
        <v>42</v>
      </c>
      <c r="B1309" t="s">
        <v>107</v>
      </c>
      <c r="C1309" t="s">
        <v>88</v>
      </c>
      <c r="D1309" t="s">
        <v>17</v>
      </c>
      <c r="E1309" t="s">
        <v>18</v>
      </c>
      <c r="F1309" s="1">
        <v>40331</v>
      </c>
      <c r="G1309">
        <v>251448142</v>
      </c>
      <c r="H1309" t="s">
        <v>1223</v>
      </c>
      <c r="I1309">
        <v>7948</v>
      </c>
      <c r="J1309">
        <v>9.33</v>
      </c>
      <c r="K1309">
        <v>6.92</v>
      </c>
      <c r="L1309">
        <v>74154.84</v>
      </c>
      <c r="M1309">
        <v>55000.160000000003</v>
      </c>
      <c r="N1309">
        <v>19154.68</v>
      </c>
    </row>
    <row r="1310" spans="1:14" x14ac:dyDescent="0.25">
      <c r="A1310" t="s">
        <v>25</v>
      </c>
      <c r="B1310" t="s">
        <v>185</v>
      </c>
      <c r="C1310" t="s">
        <v>16</v>
      </c>
      <c r="D1310" t="s">
        <v>22</v>
      </c>
      <c r="E1310" t="s">
        <v>32</v>
      </c>
      <c r="F1310" t="s">
        <v>435</v>
      </c>
      <c r="G1310">
        <v>996754205</v>
      </c>
      <c r="H1310" t="s">
        <v>1224</v>
      </c>
      <c r="I1310">
        <v>574</v>
      </c>
      <c r="J1310">
        <v>255.28</v>
      </c>
      <c r="K1310">
        <v>159.41999999999999</v>
      </c>
      <c r="L1310">
        <v>146530.72</v>
      </c>
      <c r="M1310">
        <v>91507.08</v>
      </c>
      <c r="N1310">
        <v>55023.64</v>
      </c>
    </row>
    <row r="1311" spans="1:14" x14ac:dyDescent="0.25">
      <c r="A1311" t="s">
        <v>38</v>
      </c>
      <c r="B1311" t="s">
        <v>346</v>
      </c>
      <c r="C1311" t="s">
        <v>113</v>
      </c>
      <c r="D1311" t="s">
        <v>22</v>
      </c>
      <c r="E1311" t="s">
        <v>45</v>
      </c>
      <c r="F1311" s="1">
        <v>40763</v>
      </c>
      <c r="G1311">
        <v>986159694</v>
      </c>
      <c r="H1311" s="1">
        <v>40703</v>
      </c>
      <c r="I1311">
        <v>5423</v>
      </c>
      <c r="J1311">
        <v>154.06</v>
      </c>
      <c r="K1311">
        <v>90.93</v>
      </c>
      <c r="L1311">
        <v>835467.38</v>
      </c>
      <c r="M1311">
        <v>493113.39</v>
      </c>
      <c r="N1311">
        <v>342353.99</v>
      </c>
    </row>
    <row r="1312" spans="1:14" x14ac:dyDescent="0.25">
      <c r="A1312" t="s">
        <v>29</v>
      </c>
      <c r="B1312" t="s">
        <v>338</v>
      </c>
      <c r="C1312" t="s">
        <v>131</v>
      </c>
      <c r="D1312" t="s">
        <v>22</v>
      </c>
      <c r="E1312" t="s">
        <v>45</v>
      </c>
      <c r="F1312" t="s">
        <v>1225</v>
      </c>
      <c r="G1312">
        <v>624400937</v>
      </c>
      <c r="H1312" t="s">
        <v>65</v>
      </c>
      <c r="I1312">
        <v>2968</v>
      </c>
      <c r="J1312">
        <v>668.27</v>
      </c>
      <c r="K1312">
        <v>502.54</v>
      </c>
      <c r="L1312">
        <v>1983425.36</v>
      </c>
      <c r="M1312">
        <v>1491538.72</v>
      </c>
      <c r="N1312">
        <v>491886.64</v>
      </c>
    </row>
    <row r="1313" spans="1:14" x14ac:dyDescent="0.25">
      <c r="A1313" t="s">
        <v>14</v>
      </c>
      <c r="B1313" t="s">
        <v>383</v>
      </c>
      <c r="C1313" t="s">
        <v>40</v>
      </c>
      <c r="D1313" t="s">
        <v>22</v>
      </c>
      <c r="E1313" t="s">
        <v>18</v>
      </c>
      <c r="F1313" t="s">
        <v>737</v>
      </c>
      <c r="G1313">
        <v>386526763</v>
      </c>
      <c r="H1313" s="1">
        <v>41646</v>
      </c>
      <c r="I1313">
        <v>713</v>
      </c>
      <c r="J1313">
        <v>81.73</v>
      </c>
      <c r="K1313">
        <v>56.67</v>
      </c>
      <c r="L1313">
        <v>58273.49</v>
      </c>
      <c r="M1313">
        <v>40405.71</v>
      </c>
      <c r="N1313">
        <v>17867.78</v>
      </c>
    </row>
    <row r="1314" spans="1:14" x14ac:dyDescent="0.25">
      <c r="A1314" t="s">
        <v>51</v>
      </c>
      <c r="B1314" t="s">
        <v>258</v>
      </c>
      <c r="C1314" t="s">
        <v>59</v>
      </c>
      <c r="D1314" t="s">
        <v>17</v>
      </c>
      <c r="E1314" t="s">
        <v>45</v>
      </c>
      <c r="F1314" t="s">
        <v>1226</v>
      </c>
      <c r="G1314">
        <v>367898499</v>
      </c>
      <c r="H1314" s="1">
        <v>42984</v>
      </c>
      <c r="I1314">
        <v>8196</v>
      </c>
      <c r="J1314">
        <v>437.2</v>
      </c>
      <c r="K1314">
        <v>263.33</v>
      </c>
      <c r="L1314">
        <v>3583291.2</v>
      </c>
      <c r="M1314">
        <v>2158252.6800000002</v>
      </c>
      <c r="N1314">
        <v>1425038.52</v>
      </c>
    </row>
    <row r="1315" spans="1:14" x14ac:dyDescent="0.25">
      <c r="A1315" t="s">
        <v>25</v>
      </c>
      <c r="B1315" t="s">
        <v>497</v>
      </c>
      <c r="C1315" t="s">
        <v>31</v>
      </c>
      <c r="D1315" t="s">
        <v>17</v>
      </c>
      <c r="E1315" t="s">
        <v>45</v>
      </c>
      <c r="F1315" s="1">
        <v>41923</v>
      </c>
      <c r="G1315">
        <v>734189975</v>
      </c>
      <c r="H1315" t="s">
        <v>1227</v>
      </c>
      <c r="I1315">
        <v>1984</v>
      </c>
      <c r="J1315">
        <v>205.7</v>
      </c>
      <c r="K1315">
        <v>117.11</v>
      </c>
      <c r="L1315">
        <v>408108.79999999999</v>
      </c>
      <c r="M1315">
        <v>232346.23999999999</v>
      </c>
      <c r="N1315">
        <v>175762.56</v>
      </c>
    </row>
    <row r="1316" spans="1:14" x14ac:dyDescent="0.25">
      <c r="A1316" t="s">
        <v>51</v>
      </c>
      <c r="B1316" t="s">
        <v>502</v>
      </c>
      <c r="C1316" t="s">
        <v>59</v>
      </c>
      <c r="D1316" t="s">
        <v>22</v>
      </c>
      <c r="E1316" t="s">
        <v>32</v>
      </c>
      <c r="F1316" s="1">
        <v>41527</v>
      </c>
      <c r="G1316">
        <v>371387517</v>
      </c>
      <c r="H1316" s="1">
        <v>41497</v>
      </c>
      <c r="I1316">
        <v>674</v>
      </c>
      <c r="J1316">
        <v>437.2</v>
      </c>
      <c r="K1316">
        <v>263.33</v>
      </c>
      <c r="L1316">
        <v>294672.8</v>
      </c>
      <c r="M1316">
        <v>177484.42</v>
      </c>
      <c r="N1316">
        <v>117188.38</v>
      </c>
    </row>
    <row r="1317" spans="1:14" x14ac:dyDescent="0.25">
      <c r="A1317" t="s">
        <v>25</v>
      </c>
      <c r="B1317" t="s">
        <v>609</v>
      </c>
      <c r="C1317" t="s">
        <v>27</v>
      </c>
      <c r="D1317" t="s">
        <v>17</v>
      </c>
      <c r="E1317" t="s">
        <v>32</v>
      </c>
      <c r="F1317" s="1">
        <v>40247</v>
      </c>
      <c r="G1317">
        <v>935789954</v>
      </c>
      <c r="H1317" t="s">
        <v>1228</v>
      </c>
      <c r="I1317">
        <v>9898</v>
      </c>
      <c r="J1317">
        <v>47.45</v>
      </c>
      <c r="K1317">
        <v>31.79</v>
      </c>
      <c r="L1317">
        <v>469660.1</v>
      </c>
      <c r="M1317">
        <v>314657.42</v>
      </c>
      <c r="N1317">
        <v>155002.68</v>
      </c>
    </row>
    <row r="1318" spans="1:14" x14ac:dyDescent="0.25">
      <c r="A1318" t="s">
        <v>25</v>
      </c>
      <c r="B1318" t="s">
        <v>497</v>
      </c>
      <c r="C1318" t="s">
        <v>31</v>
      </c>
      <c r="D1318" t="s">
        <v>17</v>
      </c>
      <c r="E1318" t="s">
        <v>18</v>
      </c>
      <c r="F1318" t="s">
        <v>1229</v>
      </c>
      <c r="G1318">
        <v>104008615</v>
      </c>
      <c r="H1318" t="s">
        <v>1230</v>
      </c>
      <c r="I1318">
        <v>7315</v>
      </c>
      <c r="J1318">
        <v>205.7</v>
      </c>
      <c r="K1318">
        <v>117.11</v>
      </c>
      <c r="L1318">
        <v>1504695.5</v>
      </c>
      <c r="M1318">
        <v>856659.65</v>
      </c>
      <c r="N1318">
        <v>648035.85</v>
      </c>
    </row>
    <row r="1319" spans="1:14" x14ac:dyDescent="0.25">
      <c r="A1319" t="s">
        <v>25</v>
      </c>
      <c r="B1319" t="s">
        <v>609</v>
      </c>
      <c r="C1319" t="s">
        <v>27</v>
      </c>
      <c r="D1319" t="s">
        <v>17</v>
      </c>
      <c r="E1319" t="s">
        <v>45</v>
      </c>
      <c r="F1319" t="s">
        <v>123</v>
      </c>
      <c r="G1319">
        <v>122967326</v>
      </c>
      <c r="H1319" t="s">
        <v>93</v>
      </c>
      <c r="I1319">
        <v>7619</v>
      </c>
      <c r="J1319">
        <v>47.45</v>
      </c>
      <c r="K1319">
        <v>31.79</v>
      </c>
      <c r="L1319">
        <v>361521.55</v>
      </c>
      <c r="M1319">
        <v>242208.01</v>
      </c>
      <c r="N1319">
        <v>119313.54</v>
      </c>
    </row>
    <row r="1320" spans="1:14" x14ac:dyDescent="0.25">
      <c r="A1320" t="s">
        <v>38</v>
      </c>
      <c r="B1320" t="s">
        <v>329</v>
      </c>
      <c r="C1320" t="s">
        <v>16</v>
      </c>
      <c r="D1320" t="s">
        <v>17</v>
      </c>
      <c r="E1320" t="s">
        <v>23</v>
      </c>
      <c r="F1320" t="s">
        <v>275</v>
      </c>
      <c r="G1320">
        <v>159902417</v>
      </c>
      <c r="H1320" s="1">
        <v>40301</v>
      </c>
      <c r="I1320">
        <v>7533</v>
      </c>
      <c r="J1320">
        <v>255.28</v>
      </c>
      <c r="K1320">
        <v>159.41999999999999</v>
      </c>
      <c r="L1320">
        <v>1923024.24</v>
      </c>
      <c r="M1320">
        <v>1200910.8600000001</v>
      </c>
      <c r="N1320">
        <v>722113.38</v>
      </c>
    </row>
    <row r="1321" spans="1:14" x14ac:dyDescent="0.25">
      <c r="A1321" t="s">
        <v>77</v>
      </c>
      <c r="B1321" t="s">
        <v>622</v>
      </c>
      <c r="C1321" t="s">
        <v>69</v>
      </c>
      <c r="D1321" t="s">
        <v>22</v>
      </c>
      <c r="E1321" t="s">
        <v>23</v>
      </c>
      <c r="F1321" s="1">
        <v>41613</v>
      </c>
      <c r="G1321">
        <v>352362716</v>
      </c>
      <c r="H1321" t="s">
        <v>1231</v>
      </c>
      <c r="I1321">
        <v>813</v>
      </c>
      <c r="J1321">
        <v>421.89</v>
      </c>
      <c r="K1321">
        <v>364.69</v>
      </c>
      <c r="L1321">
        <v>342996.57</v>
      </c>
      <c r="M1321">
        <v>296492.96999999997</v>
      </c>
      <c r="N1321">
        <v>46503.6</v>
      </c>
    </row>
    <row r="1322" spans="1:14" x14ac:dyDescent="0.25">
      <c r="A1322" t="s">
        <v>51</v>
      </c>
      <c r="B1322" t="s">
        <v>151</v>
      </c>
      <c r="C1322" t="s">
        <v>27</v>
      </c>
      <c r="D1322" t="s">
        <v>17</v>
      </c>
      <c r="E1322" t="s">
        <v>23</v>
      </c>
      <c r="F1322" t="s">
        <v>1025</v>
      </c>
      <c r="G1322">
        <v>458209550</v>
      </c>
      <c r="H1322" t="s">
        <v>930</v>
      </c>
      <c r="I1322">
        <v>3243</v>
      </c>
      <c r="J1322">
        <v>47.45</v>
      </c>
      <c r="K1322">
        <v>31.79</v>
      </c>
      <c r="L1322">
        <v>153880.35</v>
      </c>
      <c r="M1322">
        <v>103094.97</v>
      </c>
      <c r="N1322">
        <v>50785.38</v>
      </c>
    </row>
    <row r="1323" spans="1:14" x14ac:dyDescent="0.25">
      <c r="A1323" t="s">
        <v>25</v>
      </c>
      <c r="B1323" t="s">
        <v>96</v>
      </c>
      <c r="C1323" t="s">
        <v>31</v>
      </c>
      <c r="D1323" t="s">
        <v>22</v>
      </c>
      <c r="E1323" t="s">
        <v>18</v>
      </c>
      <c r="F1323" s="1">
        <v>40335</v>
      </c>
      <c r="G1323">
        <v>305616748</v>
      </c>
      <c r="H1323" s="1">
        <v>40185</v>
      </c>
      <c r="I1323">
        <v>7642</v>
      </c>
      <c r="J1323">
        <v>205.7</v>
      </c>
      <c r="K1323">
        <v>117.11</v>
      </c>
      <c r="L1323">
        <v>1571959.4</v>
      </c>
      <c r="M1323">
        <v>894954.62</v>
      </c>
      <c r="N1323">
        <v>677004.78</v>
      </c>
    </row>
    <row r="1324" spans="1:14" x14ac:dyDescent="0.25">
      <c r="A1324" t="s">
        <v>25</v>
      </c>
      <c r="B1324" t="s">
        <v>242</v>
      </c>
      <c r="C1324" t="s">
        <v>55</v>
      </c>
      <c r="D1324" t="s">
        <v>22</v>
      </c>
      <c r="E1324" t="s">
        <v>18</v>
      </c>
      <c r="F1324" s="1">
        <v>40668</v>
      </c>
      <c r="G1324">
        <v>243070638</v>
      </c>
      <c r="H1324" t="s">
        <v>946</v>
      </c>
      <c r="I1324">
        <v>8858</v>
      </c>
      <c r="J1324">
        <v>651.21</v>
      </c>
      <c r="K1324">
        <v>524.96</v>
      </c>
      <c r="L1324">
        <v>5768418.1799999997</v>
      </c>
      <c r="M1324">
        <v>4650095.68</v>
      </c>
      <c r="N1324">
        <v>1118322.5</v>
      </c>
    </row>
    <row r="1325" spans="1:14" x14ac:dyDescent="0.25">
      <c r="A1325" t="s">
        <v>51</v>
      </c>
      <c r="B1325" t="s">
        <v>250</v>
      </c>
      <c r="C1325" t="s">
        <v>40</v>
      </c>
      <c r="D1325" t="s">
        <v>22</v>
      </c>
      <c r="E1325" t="s">
        <v>18</v>
      </c>
      <c r="F1325" s="1">
        <v>41821</v>
      </c>
      <c r="G1325">
        <v>689370048</v>
      </c>
      <c r="H1325" s="1">
        <v>41914</v>
      </c>
      <c r="I1325">
        <v>8771</v>
      </c>
      <c r="J1325">
        <v>81.73</v>
      </c>
      <c r="K1325">
        <v>56.67</v>
      </c>
      <c r="L1325">
        <v>716853.83</v>
      </c>
      <c r="M1325">
        <v>497052.57</v>
      </c>
      <c r="N1325">
        <v>219801.26</v>
      </c>
    </row>
    <row r="1326" spans="1:14" x14ac:dyDescent="0.25">
      <c r="A1326" t="s">
        <v>38</v>
      </c>
      <c r="B1326" t="s">
        <v>388</v>
      </c>
      <c r="C1326" t="s">
        <v>27</v>
      </c>
      <c r="D1326" t="s">
        <v>22</v>
      </c>
      <c r="E1326" t="s">
        <v>45</v>
      </c>
      <c r="F1326" s="1">
        <v>42796</v>
      </c>
      <c r="G1326">
        <v>783626306</v>
      </c>
      <c r="H1326" t="s">
        <v>80</v>
      </c>
      <c r="I1326">
        <v>1293</v>
      </c>
      <c r="J1326">
        <v>47.45</v>
      </c>
      <c r="K1326">
        <v>31.79</v>
      </c>
      <c r="L1326">
        <v>61352.85</v>
      </c>
      <c r="M1326">
        <v>41104.47</v>
      </c>
      <c r="N1326">
        <v>20248.38</v>
      </c>
    </row>
    <row r="1327" spans="1:14" x14ac:dyDescent="0.25">
      <c r="A1327" t="s">
        <v>38</v>
      </c>
      <c r="B1327" t="s">
        <v>68</v>
      </c>
      <c r="C1327" t="s">
        <v>27</v>
      </c>
      <c r="D1327" t="s">
        <v>22</v>
      </c>
      <c r="E1327" t="s">
        <v>23</v>
      </c>
      <c r="F1327" t="s">
        <v>1192</v>
      </c>
      <c r="G1327">
        <v>635263240</v>
      </c>
      <c r="H1327" t="s">
        <v>269</v>
      </c>
      <c r="I1327">
        <v>7364</v>
      </c>
      <c r="J1327">
        <v>47.45</v>
      </c>
      <c r="K1327">
        <v>31.79</v>
      </c>
      <c r="L1327">
        <v>349421.8</v>
      </c>
      <c r="M1327">
        <v>234101.56</v>
      </c>
      <c r="N1327">
        <v>115320.24</v>
      </c>
    </row>
    <row r="1328" spans="1:14" x14ac:dyDescent="0.25">
      <c r="A1328" t="s">
        <v>42</v>
      </c>
      <c r="B1328" t="s">
        <v>90</v>
      </c>
      <c r="C1328" t="s">
        <v>40</v>
      </c>
      <c r="D1328" t="s">
        <v>22</v>
      </c>
      <c r="E1328" t="s">
        <v>32</v>
      </c>
      <c r="F1328" s="1">
        <v>42683</v>
      </c>
      <c r="G1328">
        <v>874017179</v>
      </c>
      <c r="H1328" t="s">
        <v>1205</v>
      </c>
      <c r="I1328">
        <v>9961</v>
      </c>
      <c r="J1328">
        <v>81.73</v>
      </c>
      <c r="K1328">
        <v>56.67</v>
      </c>
      <c r="L1328">
        <v>814112.53</v>
      </c>
      <c r="M1328">
        <v>564489.87</v>
      </c>
      <c r="N1328">
        <v>249622.66</v>
      </c>
    </row>
    <row r="1329" spans="1:14" x14ac:dyDescent="0.25">
      <c r="A1329" t="s">
        <v>38</v>
      </c>
      <c r="B1329" t="s">
        <v>187</v>
      </c>
      <c r="C1329" t="s">
        <v>55</v>
      </c>
      <c r="D1329" t="s">
        <v>17</v>
      </c>
      <c r="E1329" t="s">
        <v>45</v>
      </c>
      <c r="F1329" s="1">
        <v>41091</v>
      </c>
      <c r="G1329">
        <v>399936950</v>
      </c>
      <c r="H1329" t="s">
        <v>1092</v>
      </c>
      <c r="I1329">
        <v>9086</v>
      </c>
      <c r="J1329">
        <v>651.21</v>
      </c>
      <c r="K1329">
        <v>524.96</v>
      </c>
      <c r="L1329">
        <v>5916894.0599999996</v>
      </c>
      <c r="M1329">
        <v>4769786.5599999996</v>
      </c>
      <c r="N1329">
        <v>1147107.5</v>
      </c>
    </row>
    <row r="1330" spans="1:14" x14ac:dyDescent="0.25">
      <c r="A1330" t="s">
        <v>38</v>
      </c>
      <c r="B1330" t="s">
        <v>288</v>
      </c>
      <c r="C1330" t="s">
        <v>113</v>
      </c>
      <c r="D1330" t="s">
        <v>17</v>
      </c>
      <c r="E1330" t="s">
        <v>23</v>
      </c>
      <c r="F1330" t="s">
        <v>1232</v>
      </c>
      <c r="G1330">
        <v>433383882</v>
      </c>
      <c r="H1330" s="1">
        <v>41011</v>
      </c>
      <c r="I1330">
        <v>6776</v>
      </c>
      <c r="J1330">
        <v>154.06</v>
      </c>
      <c r="K1330">
        <v>90.93</v>
      </c>
      <c r="L1330">
        <v>1043910.56</v>
      </c>
      <c r="M1330">
        <v>616141.68000000005</v>
      </c>
      <c r="N1330">
        <v>427768.88</v>
      </c>
    </row>
    <row r="1331" spans="1:14" x14ac:dyDescent="0.25">
      <c r="A1331" t="s">
        <v>42</v>
      </c>
      <c r="B1331" t="s">
        <v>174</v>
      </c>
      <c r="C1331" t="s">
        <v>69</v>
      </c>
      <c r="D1331" t="s">
        <v>22</v>
      </c>
      <c r="E1331" t="s">
        <v>18</v>
      </c>
      <c r="F1331" s="1">
        <v>40645</v>
      </c>
      <c r="G1331">
        <v>465031802</v>
      </c>
      <c r="H1331" s="1">
        <v>41061</v>
      </c>
      <c r="I1331">
        <v>2099</v>
      </c>
      <c r="J1331">
        <v>421.89</v>
      </c>
      <c r="K1331">
        <v>364.69</v>
      </c>
      <c r="L1331">
        <v>885547.11</v>
      </c>
      <c r="M1331">
        <v>765484.31</v>
      </c>
      <c r="N1331">
        <v>120062.8</v>
      </c>
    </row>
    <row r="1332" spans="1:14" x14ac:dyDescent="0.25">
      <c r="A1332" t="s">
        <v>25</v>
      </c>
      <c r="B1332" t="s">
        <v>74</v>
      </c>
      <c r="C1332" t="s">
        <v>44</v>
      </c>
      <c r="D1332" t="s">
        <v>22</v>
      </c>
      <c r="E1332" t="s">
        <v>32</v>
      </c>
      <c r="F1332" s="1">
        <v>40273</v>
      </c>
      <c r="G1332">
        <v>505867040</v>
      </c>
      <c r="H1332" s="1">
        <v>40518</v>
      </c>
      <c r="I1332">
        <v>6153</v>
      </c>
      <c r="J1332">
        <v>109.28</v>
      </c>
      <c r="K1332">
        <v>35.840000000000003</v>
      </c>
      <c r="L1332">
        <v>672399.84</v>
      </c>
      <c r="M1332">
        <v>220523.51999999999</v>
      </c>
      <c r="N1332">
        <v>451876.32</v>
      </c>
    </row>
    <row r="1333" spans="1:14" x14ac:dyDescent="0.25">
      <c r="A1333" t="s">
        <v>25</v>
      </c>
      <c r="B1333" t="s">
        <v>418</v>
      </c>
      <c r="C1333" t="s">
        <v>59</v>
      </c>
      <c r="D1333" t="s">
        <v>17</v>
      </c>
      <c r="E1333" t="s">
        <v>23</v>
      </c>
      <c r="F1333" t="s">
        <v>646</v>
      </c>
      <c r="G1333">
        <v>637188422</v>
      </c>
      <c r="H1333" t="s">
        <v>1233</v>
      </c>
      <c r="I1333">
        <v>7069</v>
      </c>
      <c r="J1333">
        <v>437.2</v>
      </c>
      <c r="K1333">
        <v>263.33</v>
      </c>
      <c r="L1333">
        <v>3090566.8</v>
      </c>
      <c r="M1333">
        <v>1861479.77</v>
      </c>
      <c r="N1333">
        <v>1229087.03</v>
      </c>
    </row>
    <row r="1334" spans="1:14" x14ac:dyDescent="0.25">
      <c r="A1334" t="s">
        <v>38</v>
      </c>
      <c r="B1334" t="s">
        <v>85</v>
      </c>
      <c r="C1334" t="s">
        <v>113</v>
      </c>
      <c r="D1334" t="s">
        <v>17</v>
      </c>
      <c r="E1334" t="s">
        <v>18</v>
      </c>
      <c r="F1334" t="s">
        <v>1201</v>
      </c>
      <c r="G1334">
        <v>560607278</v>
      </c>
      <c r="H1334" s="1">
        <v>42071</v>
      </c>
      <c r="I1334">
        <v>5006</v>
      </c>
      <c r="J1334">
        <v>154.06</v>
      </c>
      <c r="K1334">
        <v>90.93</v>
      </c>
      <c r="L1334">
        <v>771224.36</v>
      </c>
      <c r="M1334">
        <v>455195.58</v>
      </c>
      <c r="N1334">
        <v>316028.78000000003</v>
      </c>
    </row>
    <row r="1335" spans="1:14" x14ac:dyDescent="0.25">
      <c r="A1335" t="s">
        <v>38</v>
      </c>
      <c r="B1335" t="s">
        <v>430</v>
      </c>
      <c r="C1335" t="s">
        <v>59</v>
      </c>
      <c r="D1335" t="s">
        <v>22</v>
      </c>
      <c r="E1335" t="s">
        <v>18</v>
      </c>
      <c r="F1335" t="s">
        <v>1234</v>
      </c>
      <c r="G1335">
        <v>948047435</v>
      </c>
      <c r="H1335" s="1">
        <v>40698</v>
      </c>
      <c r="I1335">
        <v>7159</v>
      </c>
      <c r="J1335">
        <v>437.2</v>
      </c>
      <c r="K1335">
        <v>263.33</v>
      </c>
      <c r="L1335">
        <v>3129914.8</v>
      </c>
      <c r="M1335">
        <v>1885179.47</v>
      </c>
      <c r="N1335">
        <v>1244735.33</v>
      </c>
    </row>
    <row r="1336" spans="1:14" x14ac:dyDescent="0.25">
      <c r="A1336" t="s">
        <v>51</v>
      </c>
      <c r="B1336" t="s">
        <v>593</v>
      </c>
      <c r="C1336" t="s">
        <v>59</v>
      </c>
      <c r="D1336" t="s">
        <v>22</v>
      </c>
      <c r="E1336" t="s">
        <v>23</v>
      </c>
      <c r="F1336" s="1">
        <v>41947</v>
      </c>
      <c r="G1336">
        <v>291745221</v>
      </c>
      <c r="H1336" s="1">
        <v>41825</v>
      </c>
      <c r="I1336">
        <v>2749</v>
      </c>
      <c r="J1336">
        <v>437.2</v>
      </c>
      <c r="K1336">
        <v>263.33</v>
      </c>
      <c r="L1336">
        <v>1201862.8</v>
      </c>
      <c r="M1336">
        <v>723894.17</v>
      </c>
      <c r="N1336">
        <v>477968.63</v>
      </c>
    </row>
    <row r="1337" spans="1:14" x14ac:dyDescent="0.25">
      <c r="A1337" t="s">
        <v>51</v>
      </c>
      <c r="B1337" t="s">
        <v>115</v>
      </c>
      <c r="C1337" t="s">
        <v>16</v>
      </c>
      <c r="D1337" t="s">
        <v>17</v>
      </c>
      <c r="E1337" t="s">
        <v>45</v>
      </c>
      <c r="F1337" s="1">
        <v>40944</v>
      </c>
      <c r="G1337">
        <v>754249465</v>
      </c>
      <c r="H1337" t="s">
        <v>448</v>
      </c>
      <c r="I1337">
        <v>8033</v>
      </c>
      <c r="J1337">
        <v>255.28</v>
      </c>
      <c r="K1337">
        <v>159.41999999999999</v>
      </c>
      <c r="L1337">
        <v>2050664.24</v>
      </c>
      <c r="M1337">
        <v>1280620.8600000001</v>
      </c>
      <c r="N1337">
        <v>770043.38</v>
      </c>
    </row>
    <row r="1338" spans="1:14" x14ac:dyDescent="0.25">
      <c r="A1338" t="s">
        <v>25</v>
      </c>
      <c r="B1338" t="s">
        <v>142</v>
      </c>
      <c r="C1338" t="s">
        <v>31</v>
      </c>
      <c r="D1338" t="s">
        <v>17</v>
      </c>
      <c r="E1338" t="s">
        <v>45</v>
      </c>
      <c r="F1338" t="s">
        <v>802</v>
      </c>
      <c r="G1338">
        <v>518421494</v>
      </c>
      <c r="H1338" t="s">
        <v>802</v>
      </c>
      <c r="I1338">
        <v>1296</v>
      </c>
      <c r="J1338">
        <v>205.7</v>
      </c>
      <c r="K1338">
        <v>117.11</v>
      </c>
      <c r="L1338">
        <v>266587.2</v>
      </c>
      <c r="M1338">
        <v>151774.56</v>
      </c>
      <c r="N1338">
        <v>114812.64</v>
      </c>
    </row>
    <row r="1339" spans="1:14" x14ac:dyDescent="0.25">
      <c r="A1339" t="s">
        <v>38</v>
      </c>
      <c r="B1339" t="s">
        <v>346</v>
      </c>
      <c r="C1339" t="s">
        <v>16</v>
      </c>
      <c r="D1339" t="s">
        <v>17</v>
      </c>
      <c r="E1339" t="s">
        <v>32</v>
      </c>
      <c r="F1339" t="s">
        <v>1235</v>
      </c>
      <c r="G1339">
        <v>537435138</v>
      </c>
      <c r="H1339" s="1">
        <v>41403</v>
      </c>
      <c r="I1339">
        <v>7855</v>
      </c>
      <c r="J1339">
        <v>255.28</v>
      </c>
      <c r="K1339">
        <v>159.41999999999999</v>
      </c>
      <c r="L1339">
        <v>2005224.4</v>
      </c>
      <c r="M1339">
        <v>1252244.1000000001</v>
      </c>
      <c r="N1339">
        <v>752980.3</v>
      </c>
    </row>
    <row r="1340" spans="1:14" x14ac:dyDescent="0.25">
      <c r="A1340" t="s">
        <v>51</v>
      </c>
      <c r="B1340" t="s">
        <v>295</v>
      </c>
      <c r="C1340" t="s">
        <v>27</v>
      </c>
      <c r="D1340" t="s">
        <v>17</v>
      </c>
      <c r="E1340" t="s">
        <v>45</v>
      </c>
      <c r="F1340" t="s">
        <v>1236</v>
      </c>
      <c r="G1340">
        <v>484776723</v>
      </c>
      <c r="H1340" s="1">
        <v>41008</v>
      </c>
      <c r="I1340">
        <v>5060</v>
      </c>
      <c r="J1340">
        <v>47.45</v>
      </c>
      <c r="K1340">
        <v>31.79</v>
      </c>
      <c r="L1340">
        <v>240097</v>
      </c>
      <c r="M1340">
        <v>160857.4</v>
      </c>
      <c r="N1340">
        <v>79239.600000000006</v>
      </c>
    </row>
    <row r="1341" spans="1:14" x14ac:dyDescent="0.25">
      <c r="A1341" t="s">
        <v>25</v>
      </c>
      <c r="B1341" t="s">
        <v>234</v>
      </c>
      <c r="C1341" t="s">
        <v>88</v>
      </c>
      <c r="D1341" t="s">
        <v>22</v>
      </c>
      <c r="E1341" t="s">
        <v>18</v>
      </c>
      <c r="F1341" t="s">
        <v>885</v>
      </c>
      <c r="G1341">
        <v>104245078</v>
      </c>
      <c r="H1341" t="s">
        <v>1237</v>
      </c>
      <c r="I1341">
        <v>7290</v>
      </c>
      <c r="J1341">
        <v>9.33</v>
      </c>
      <c r="K1341">
        <v>6.92</v>
      </c>
      <c r="L1341">
        <v>68015.7</v>
      </c>
      <c r="M1341">
        <v>50446.8</v>
      </c>
      <c r="N1341">
        <v>17568.900000000001</v>
      </c>
    </row>
    <row r="1342" spans="1:14" x14ac:dyDescent="0.25">
      <c r="A1342" t="s">
        <v>14</v>
      </c>
      <c r="B1342" t="s">
        <v>383</v>
      </c>
      <c r="C1342" t="s">
        <v>27</v>
      </c>
      <c r="D1342" t="s">
        <v>22</v>
      </c>
      <c r="E1342" t="s">
        <v>45</v>
      </c>
      <c r="F1342" s="1">
        <v>42136</v>
      </c>
      <c r="G1342">
        <v>559951531</v>
      </c>
      <c r="H1342" t="s">
        <v>1007</v>
      </c>
      <c r="I1342">
        <v>956</v>
      </c>
      <c r="J1342">
        <v>47.45</v>
      </c>
      <c r="K1342">
        <v>31.79</v>
      </c>
      <c r="L1342">
        <v>45362.2</v>
      </c>
      <c r="M1342">
        <v>30391.24</v>
      </c>
      <c r="N1342">
        <v>14970.96</v>
      </c>
    </row>
    <row r="1343" spans="1:14" x14ac:dyDescent="0.25">
      <c r="A1343" t="s">
        <v>25</v>
      </c>
      <c r="B1343" t="s">
        <v>426</v>
      </c>
      <c r="C1343" t="s">
        <v>113</v>
      </c>
      <c r="D1343" t="s">
        <v>17</v>
      </c>
      <c r="E1343" t="s">
        <v>23</v>
      </c>
      <c r="F1343" t="s">
        <v>1173</v>
      </c>
      <c r="G1343">
        <v>386319911</v>
      </c>
      <c r="H1343" s="1">
        <v>40575</v>
      </c>
      <c r="I1343">
        <v>9501</v>
      </c>
      <c r="J1343">
        <v>154.06</v>
      </c>
      <c r="K1343">
        <v>90.93</v>
      </c>
      <c r="L1343">
        <v>1463724.06</v>
      </c>
      <c r="M1343">
        <v>863925.93</v>
      </c>
      <c r="N1343">
        <v>599798.13</v>
      </c>
    </row>
    <row r="1344" spans="1:14" x14ac:dyDescent="0.25">
      <c r="A1344" t="s">
        <v>51</v>
      </c>
      <c r="B1344" t="s">
        <v>308</v>
      </c>
      <c r="C1344" t="s">
        <v>113</v>
      </c>
      <c r="D1344" t="s">
        <v>22</v>
      </c>
      <c r="E1344" t="s">
        <v>23</v>
      </c>
      <c r="F1344" s="1">
        <v>40973</v>
      </c>
      <c r="G1344">
        <v>438086545</v>
      </c>
      <c r="H1344" t="s">
        <v>1238</v>
      </c>
      <c r="I1344">
        <v>8399</v>
      </c>
      <c r="J1344">
        <v>154.06</v>
      </c>
      <c r="K1344">
        <v>90.93</v>
      </c>
      <c r="L1344">
        <v>1293949.94</v>
      </c>
      <c r="M1344">
        <v>763721.07</v>
      </c>
      <c r="N1344">
        <v>530228.87</v>
      </c>
    </row>
    <row r="1345" spans="1:14" x14ac:dyDescent="0.25">
      <c r="A1345" t="s">
        <v>25</v>
      </c>
      <c r="B1345" t="s">
        <v>252</v>
      </c>
      <c r="C1345" t="s">
        <v>16</v>
      </c>
      <c r="D1345" t="s">
        <v>17</v>
      </c>
      <c r="E1345" t="s">
        <v>18</v>
      </c>
      <c r="F1345" t="s">
        <v>1239</v>
      </c>
      <c r="G1345">
        <v>740300261</v>
      </c>
      <c r="H1345" t="s">
        <v>1240</v>
      </c>
      <c r="I1345">
        <v>153</v>
      </c>
      <c r="J1345">
        <v>255.28</v>
      </c>
      <c r="K1345">
        <v>159.41999999999999</v>
      </c>
      <c r="L1345">
        <v>39057.839999999997</v>
      </c>
      <c r="M1345">
        <v>24391.26</v>
      </c>
      <c r="N1345">
        <v>14666.58</v>
      </c>
    </row>
    <row r="1346" spans="1:14" x14ac:dyDescent="0.25">
      <c r="A1346" t="s">
        <v>51</v>
      </c>
      <c r="B1346" t="s">
        <v>129</v>
      </c>
      <c r="C1346" t="s">
        <v>16</v>
      </c>
      <c r="D1346" t="s">
        <v>22</v>
      </c>
      <c r="E1346" t="s">
        <v>18</v>
      </c>
      <c r="F1346" t="s">
        <v>1241</v>
      </c>
      <c r="G1346">
        <v>938322389</v>
      </c>
      <c r="H1346" t="s">
        <v>694</v>
      </c>
      <c r="I1346">
        <v>9301</v>
      </c>
      <c r="J1346">
        <v>255.28</v>
      </c>
      <c r="K1346">
        <v>159.41999999999999</v>
      </c>
      <c r="L1346">
        <v>2374359.2799999998</v>
      </c>
      <c r="M1346">
        <v>1482765.42</v>
      </c>
      <c r="N1346">
        <v>891593.86</v>
      </c>
    </row>
    <row r="1347" spans="1:14" x14ac:dyDescent="0.25">
      <c r="A1347" t="s">
        <v>25</v>
      </c>
      <c r="B1347" t="s">
        <v>458</v>
      </c>
      <c r="C1347" t="s">
        <v>55</v>
      </c>
      <c r="D1347" t="s">
        <v>22</v>
      </c>
      <c r="E1347" t="s">
        <v>23</v>
      </c>
      <c r="F1347" t="s">
        <v>1242</v>
      </c>
      <c r="G1347">
        <v>747826755</v>
      </c>
      <c r="H1347" t="s">
        <v>331</v>
      </c>
      <c r="I1347">
        <v>7410</v>
      </c>
      <c r="J1347">
        <v>651.21</v>
      </c>
      <c r="K1347">
        <v>524.96</v>
      </c>
      <c r="L1347">
        <v>4825466.0999999996</v>
      </c>
      <c r="M1347">
        <v>3889953.6</v>
      </c>
      <c r="N1347">
        <v>935512.5</v>
      </c>
    </row>
    <row r="1348" spans="1:14" x14ac:dyDescent="0.25">
      <c r="A1348" t="s">
        <v>38</v>
      </c>
      <c r="B1348" t="s">
        <v>187</v>
      </c>
      <c r="C1348" t="s">
        <v>131</v>
      </c>
      <c r="D1348" t="s">
        <v>17</v>
      </c>
      <c r="E1348" t="s">
        <v>18</v>
      </c>
      <c r="F1348" s="1">
        <v>41251</v>
      </c>
      <c r="G1348">
        <v>404799687</v>
      </c>
      <c r="H1348" t="s">
        <v>1215</v>
      </c>
      <c r="I1348">
        <v>8078</v>
      </c>
      <c r="J1348">
        <v>668.27</v>
      </c>
      <c r="K1348">
        <v>502.54</v>
      </c>
      <c r="L1348">
        <v>5398285.0599999996</v>
      </c>
      <c r="M1348">
        <v>4059518.12</v>
      </c>
      <c r="N1348">
        <v>1338766.94</v>
      </c>
    </row>
    <row r="1349" spans="1:14" x14ac:dyDescent="0.25">
      <c r="A1349" t="s">
        <v>25</v>
      </c>
      <c r="B1349" t="s">
        <v>752</v>
      </c>
      <c r="C1349" t="s">
        <v>40</v>
      </c>
      <c r="D1349" t="s">
        <v>22</v>
      </c>
      <c r="E1349" t="s">
        <v>18</v>
      </c>
      <c r="F1349" t="s">
        <v>403</v>
      </c>
      <c r="G1349">
        <v>215540015</v>
      </c>
      <c r="H1349" t="s">
        <v>913</v>
      </c>
      <c r="I1349">
        <v>1935</v>
      </c>
      <c r="J1349">
        <v>81.73</v>
      </c>
      <c r="K1349">
        <v>56.67</v>
      </c>
      <c r="L1349">
        <v>158147.54999999999</v>
      </c>
      <c r="M1349">
        <v>109656.45</v>
      </c>
      <c r="N1349">
        <v>48491.1</v>
      </c>
    </row>
    <row r="1350" spans="1:14" x14ac:dyDescent="0.25">
      <c r="A1350" t="s">
        <v>14</v>
      </c>
      <c r="B1350" t="s">
        <v>370</v>
      </c>
      <c r="C1350" t="s">
        <v>40</v>
      </c>
      <c r="D1350" t="s">
        <v>22</v>
      </c>
      <c r="E1350" t="s">
        <v>32</v>
      </c>
      <c r="F1350" s="1">
        <v>41097</v>
      </c>
      <c r="G1350">
        <v>106659066</v>
      </c>
      <c r="H1350" t="s">
        <v>628</v>
      </c>
      <c r="I1350">
        <v>1643</v>
      </c>
      <c r="J1350">
        <v>81.73</v>
      </c>
      <c r="K1350">
        <v>56.67</v>
      </c>
      <c r="L1350">
        <v>134282.39000000001</v>
      </c>
      <c r="M1350">
        <v>93108.81</v>
      </c>
      <c r="N1350">
        <v>41173.58</v>
      </c>
    </row>
    <row r="1351" spans="1:14" x14ac:dyDescent="0.25">
      <c r="A1351" t="s">
        <v>25</v>
      </c>
      <c r="B1351" t="s">
        <v>339</v>
      </c>
      <c r="C1351" t="s">
        <v>113</v>
      </c>
      <c r="D1351" t="s">
        <v>22</v>
      </c>
      <c r="E1351" t="s">
        <v>23</v>
      </c>
      <c r="F1351" t="s">
        <v>1243</v>
      </c>
      <c r="G1351">
        <v>975080668</v>
      </c>
      <c r="H1351" t="s">
        <v>186</v>
      </c>
      <c r="I1351">
        <v>6893</v>
      </c>
      <c r="J1351">
        <v>154.06</v>
      </c>
      <c r="K1351">
        <v>90.93</v>
      </c>
      <c r="L1351">
        <v>1061935.58</v>
      </c>
      <c r="M1351">
        <v>626780.49</v>
      </c>
      <c r="N1351">
        <v>435155.09</v>
      </c>
    </row>
    <row r="1352" spans="1:14" x14ac:dyDescent="0.25">
      <c r="A1352" t="s">
        <v>25</v>
      </c>
      <c r="B1352" t="s">
        <v>47</v>
      </c>
      <c r="C1352" t="s">
        <v>16</v>
      </c>
      <c r="D1352" t="s">
        <v>17</v>
      </c>
      <c r="E1352" t="s">
        <v>32</v>
      </c>
      <c r="F1352" s="1">
        <v>41162</v>
      </c>
      <c r="G1352">
        <v>638041150</v>
      </c>
      <c r="H1352" t="s">
        <v>647</v>
      </c>
      <c r="I1352">
        <v>9410</v>
      </c>
      <c r="J1352">
        <v>255.28</v>
      </c>
      <c r="K1352">
        <v>159.41999999999999</v>
      </c>
      <c r="L1352">
        <v>2402184.7999999998</v>
      </c>
      <c r="M1352">
        <v>1500142.2</v>
      </c>
      <c r="N1352">
        <v>902042.6</v>
      </c>
    </row>
    <row r="1353" spans="1:14" x14ac:dyDescent="0.25">
      <c r="A1353" t="s">
        <v>25</v>
      </c>
      <c r="B1353" t="s">
        <v>462</v>
      </c>
      <c r="C1353" t="s">
        <v>59</v>
      </c>
      <c r="D1353" t="s">
        <v>17</v>
      </c>
      <c r="E1353" t="s">
        <v>23</v>
      </c>
      <c r="F1353" t="s">
        <v>224</v>
      </c>
      <c r="G1353">
        <v>583089339</v>
      </c>
      <c r="H1353" t="s">
        <v>560</v>
      </c>
      <c r="I1353">
        <v>7948</v>
      </c>
      <c r="J1353">
        <v>437.2</v>
      </c>
      <c r="K1353">
        <v>263.33</v>
      </c>
      <c r="L1353">
        <v>3474865.6</v>
      </c>
      <c r="M1353">
        <v>2092946.84</v>
      </c>
      <c r="N1353">
        <v>1381918.76</v>
      </c>
    </row>
    <row r="1354" spans="1:14" x14ac:dyDescent="0.25">
      <c r="A1354" t="s">
        <v>25</v>
      </c>
      <c r="B1354" t="s">
        <v>266</v>
      </c>
      <c r="C1354" t="s">
        <v>21</v>
      </c>
      <c r="D1354" t="s">
        <v>17</v>
      </c>
      <c r="E1354" t="s">
        <v>18</v>
      </c>
      <c r="F1354" t="s">
        <v>1023</v>
      </c>
      <c r="G1354">
        <v>118086564</v>
      </c>
      <c r="H1354" t="s">
        <v>895</v>
      </c>
      <c r="I1354">
        <v>3293</v>
      </c>
      <c r="J1354">
        <v>152.58000000000001</v>
      </c>
      <c r="K1354">
        <v>97.44</v>
      </c>
      <c r="L1354">
        <v>502445.94</v>
      </c>
      <c r="M1354">
        <v>320869.92</v>
      </c>
      <c r="N1354">
        <v>181576.02</v>
      </c>
    </row>
    <row r="1355" spans="1:14" x14ac:dyDescent="0.25">
      <c r="A1355" t="s">
        <v>51</v>
      </c>
      <c r="B1355" t="s">
        <v>192</v>
      </c>
      <c r="C1355" t="s">
        <v>55</v>
      </c>
      <c r="D1355" t="s">
        <v>17</v>
      </c>
      <c r="E1355" t="s">
        <v>32</v>
      </c>
      <c r="F1355" t="s">
        <v>1244</v>
      </c>
      <c r="G1355">
        <v>421206653</v>
      </c>
      <c r="H1355" s="1">
        <v>40274</v>
      </c>
      <c r="I1355">
        <v>3264</v>
      </c>
      <c r="J1355">
        <v>651.21</v>
      </c>
      <c r="K1355">
        <v>524.96</v>
      </c>
      <c r="L1355">
        <v>2125549.44</v>
      </c>
      <c r="M1355">
        <v>1713469.4399999999</v>
      </c>
      <c r="N1355">
        <v>412080</v>
      </c>
    </row>
    <row r="1356" spans="1:14" x14ac:dyDescent="0.25">
      <c r="A1356" t="s">
        <v>14</v>
      </c>
      <c r="B1356" t="s">
        <v>357</v>
      </c>
      <c r="C1356" t="s">
        <v>44</v>
      </c>
      <c r="D1356" t="s">
        <v>22</v>
      </c>
      <c r="E1356" t="s">
        <v>23</v>
      </c>
      <c r="F1356" s="1">
        <v>41123</v>
      </c>
      <c r="G1356">
        <v>490935933</v>
      </c>
      <c r="H1356" t="s">
        <v>307</v>
      </c>
      <c r="I1356">
        <v>7707</v>
      </c>
      <c r="J1356">
        <v>109.28</v>
      </c>
      <c r="K1356">
        <v>35.840000000000003</v>
      </c>
      <c r="L1356">
        <v>842220.96</v>
      </c>
      <c r="M1356">
        <v>276218.88</v>
      </c>
      <c r="N1356">
        <v>566002.07999999996</v>
      </c>
    </row>
    <row r="1357" spans="1:14" x14ac:dyDescent="0.25">
      <c r="A1357" t="s">
        <v>25</v>
      </c>
      <c r="B1357" t="s">
        <v>242</v>
      </c>
      <c r="C1357" t="s">
        <v>16</v>
      </c>
      <c r="D1357" t="s">
        <v>22</v>
      </c>
      <c r="E1357" t="s">
        <v>23</v>
      </c>
      <c r="F1357" t="s">
        <v>1245</v>
      </c>
      <c r="G1357">
        <v>296073234</v>
      </c>
      <c r="H1357" s="1">
        <v>42100</v>
      </c>
      <c r="I1357">
        <v>3504</v>
      </c>
      <c r="J1357">
        <v>255.28</v>
      </c>
      <c r="K1357">
        <v>159.41999999999999</v>
      </c>
      <c r="L1357">
        <v>894501.12</v>
      </c>
      <c r="M1357">
        <v>558607.68000000005</v>
      </c>
      <c r="N1357">
        <v>335893.44</v>
      </c>
    </row>
    <row r="1358" spans="1:14" x14ac:dyDescent="0.25">
      <c r="A1358" t="s">
        <v>14</v>
      </c>
      <c r="B1358" t="s">
        <v>64</v>
      </c>
      <c r="C1358" t="s">
        <v>16</v>
      </c>
      <c r="D1358" t="s">
        <v>17</v>
      </c>
      <c r="E1358" t="s">
        <v>18</v>
      </c>
      <c r="F1358" t="s">
        <v>133</v>
      </c>
      <c r="G1358">
        <v>325729882</v>
      </c>
      <c r="H1358" t="s">
        <v>1246</v>
      </c>
      <c r="I1358">
        <v>9565</v>
      </c>
      <c r="J1358">
        <v>255.28</v>
      </c>
      <c r="K1358">
        <v>159.41999999999999</v>
      </c>
      <c r="L1358">
        <v>2441753.2000000002</v>
      </c>
      <c r="M1358">
        <v>1524852.3</v>
      </c>
      <c r="N1358">
        <v>916900.9</v>
      </c>
    </row>
    <row r="1359" spans="1:14" x14ac:dyDescent="0.25">
      <c r="A1359" t="s">
        <v>29</v>
      </c>
      <c r="B1359" t="s">
        <v>35</v>
      </c>
      <c r="C1359" t="s">
        <v>44</v>
      </c>
      <c r="D1359" t="s">
        <v>17</v>
      </c>
      <c r="E1359" t="s">
        <v>32</v>
      </c>
      <c r="F1359" t="s">
        <v>905</v>
      </c>
      <c r="G1359">
        <v>239329707</v>
      </c>
      <c r="H1359" t="s">
        <v>277</v>
      </c>
      <c r="I1359">
        <v>1834</v>
      </c>
      <c r="J1359">
        <v>109.28</v>
      </c>
      <c r="K1359">
        <v>35.840000000000003</v>
      </c>
      <c r="L1359">
        <v>200419.52</v>
      </c>
      <c r="M1359">
        <v>65730.559999999998</v>
      </c>
      <c r="N1359">
        <v>134688.95999999999</v>
      </c>
    </row>
    <row r="1360" spans="1:14" x14ac:dyDescent="0.25">
      <c r="A1360" t="s">
        <v>77</v>
      </c>
      <c r="B1360" t="s">
        <v>78</v>
      </c>
      <c r="C1360" t="s">
        <v>27</v>
      </c>
      <c r="D1360" t="s">
        <v>22</v>
      </c>
      <c r="E1360" t="s">
        <v>32</v>
      </c>
      <c r="F1360" t="s">
        <v>1247</v>
      </c>
      <c r="G1360">
        <v>216609036</v>
      </c>
      <c r="H1360" s="1">
        <v>42801</v>
      </c>
      <c r="I1360">
        <v>8282</v>
      </c>
      <c r="J1360">
        <v>47.45</v>
      </c>
      <c r="K1360">
        <v>31.79</v>
      </c>
      <c r="L1360">
        <v>392980.9</v>
      </c>
      <c r="M1360">
        <v>263284.78000000003</v>
      </c>
      <c r="N1360">
        <v>129696.12</v>
      </c>
    </row>
    <row r="1361" spans="1:14" x14ac:dyDescent="0.25">
      <c r="A1361" t="s">
        <v>29</v>
      </c>
      <c r="B1361" t="s">
        <v>30</v>
      </c>
      <c r="C1361" t="s">
        <v>88</v>
      </c>
      <c r="D1361" t="s">
        <v>22</v>
      </c>
      <c r="E1361" t="s">
        <v>45</v>
      </c>
      <c r="F1361" t="s">
        <v>720</v>
      </c>
      <c r="G1361">
        <v>507616698</v>
      </c>
      <c r="H1361" t="s">
        <v>203</v>
      </c>
      <c r="I1361">
        <v>3916</v>
      </c>
      <c r="J1361">
        <v>9.33</v>
      </c>
      <c r="K1361">
        <v>6.92</v>
      </c>
      <c r="L1361">
        <v>36536.28</v>
      </c>
      <c r="M1361">
        <v>27098.720000000001</v>
      </c>
      <c r="N1361">
        <v>9437.56</v>
      </c>
    </row>
    <row r="1362" spans="1:14" x14ac:dyDescent="0.25">
      <c r="A1362" t="s">
        <v>14</v>
      </c>
      <c r="B1362" t="s">
        <v>357</v>
      </c>
      <c r="C1362" t="s">
        <v>113</v>
      </c>
      <c r="D1362" t="s">
        <v>17</v>
      </c>
      <c r="E1362" t="s">
        <v>32</v>
      </c>
      <c r="F1362" s="1">
        <v>42099</v>
      </c>
      <c r="G1362">
        <v>982714021</v>
      </c>
      <c r="H1362" s="1">
        <v>42161</v>
      </c>
      <c r="I1362">
        <v>5772</v>
      </c>
      <c r="J1362">
        <v>154.06</v>
      </c>
      <c r="K1362">
        <v>90.93</v>
      </c>
      <c r="L1362">
        <v>889234.32</v>
      </c>
      <c r="M1362">
        <v>524847.96</v>
      </c>
      <c r="N1362">
        <v>364386.36</v>
      </c>
    </row>
    <row r="1363" spans="1:14" x14ac:dyDescent="0.25">
      <c r="A1363" t="s">
        <v>51</v>
      </c>
      <c r="B1363" t="s">
        <v>487</v>
      </c>
      <c r="C1363" t="s">
        <v>44</v>
      </c>
      <c r="D1363" t="s">
        <v>22</v>
      </c>
      <c r="E1363" t="s">
        <v>45</v>
      </c>
      <c r="F1363" t="s">
        <v>1248</v>
      </c>
      <c r="G1363">
        <v>682574832</v>
      </c>
      <c r="H1363" t="s">
        <v>1218</v>
      </c>
      <c r="I1363">
        <v>7916</v>
      </c>
      <c r="J1363">
        <v>109.28</v>
      </c>
      <c r="K1363">
        <v>35.840000000000003</v>
      </c>
      <c r="L1363">
        <v>865060.48</v>
      </c>
      <c r="M1363">
        <v>283709.44</v>
      </c>
      <c r="N1363">
        <v>581351.04</v>
      </c>
    </row>
    <row r="1364" spans="1:14" x14ac:dyDescent="0.25">
      <c r="A1364" t="s">
        <v>25</v>
      </c>
      <c r="B1364" t="s">
        <v>218</v>
      </c>
      <c r="C1364" t="s">
        <v>21</v>
      </c>
      <c r="D1364" t="s">
        <v>17</v>
      </c>
      <c r="E1364" t="s">
        <v>18</v>
      </c>
      <c r="F1364" s="1">
        <v>41518</v>
      </c>
      <c r="G1364">
        <v>968185460</v>
      </c>
      <c r="H1364" s="1">
        <v>41335</v>
      </c>
      <c r="I1364">
        <v>6448</v>
      </c>
      <c r="J1364">
        <v>152.58000000000001</v>
      </c>
      <c r="K1364">
        <v>97.44</v>
      </c>
      <c r="L1364">
        <v>983835.84</v>
      </c>
      <c r="M1364">
        <v>628293.12</v>
      </c>
      <c r="N1364">
        <v>355542.72</v>
      </c>
    </row>
    <row r="1365" spans="1:14" x14ac:dyDescent="0.25">
      <c r="A1365" t="s">
        <v>14</v>
      </c>
      <c r="B1365" t="s">
        <v>66</v>
      </c>
      <c r="C1365" t="s">
        <v>88</v>
      </c>
      <c r="D1365" t="s">
        <v>22</v>
      </c>
      <c r="E1365" t="s">
        <v>45</v>
      </c>
      <c r="F1365" s="1">
        <v>41828</v>
      </c>
      <c r="G1365">
        <v>570844733</v>
      </c>
      <c r="H1365" t="s">
        <v>753</v>
      </c>
      <c r="I1365">
        <v>4497</v>
      </c>
      <c r="J1365">
        <v>9.33</v>
      </c>
      <c r="K1365">
        <v>6.92</v>
      </c>
      <c r="L1365">
        <v>41957.01</v>
      </c>
      <c r="M1365">
        <v>31119.24</v>
      </c>
      <c r="N1365">
        <v>10837.77</v>
      </c>
    </row>
    <row r="1366" spans="1:14" x14ac:dyDescent="0.25">
      <c r="A1366" t="s">
        <v>51</v>
      </c>
      <c r="B1366" t="s">
        <v>192</v>
      </c>
      <c r="C1366" t="s">
        <v>16</v>
      </c>
      <c r="D1366" t="s">
        <v>17</v>
      </c>
      <c r="E1366" t="s">
        <v>18</v>
      </c>
      <c r="F1366" t="s">
        <v>1249</v>
      </c>
      <c r="G1366">
        <v>542163980</v>
      </c>
      <c r="H1366" t="s">
        <v>608</v>
      </c>
      <c r="I1366">
        <v>7224</v>
      </c>
      <c r="J1366">
        <v>255.28</v>
      </c>
      <c r="K1366">
        <v>159.41999999999999</v>
      </c>
      <c r="L1366">
        <v>1844142.72</v>
      </c>
      <c r="M1366">
        <v>1151650.08</v>
      </c>
      <c r="N1366">
        <v>692492.64</v>
      </c>
    </row>
    <row r="1367" spans="1:14" x14ac:dyDescent="0.25">
      <c r="A1367" t="s">
        <v>51</v>
      </c>
      <c r="B1367" t="s">
        <v>231</v>
      </c>
      <c r="C1367" t="s">
        <v>69</v>
      </c>
      <c r="D1367" t="s">
        <v>17</v>
      </c>
      <c r="E1367" t="s">
        <v>45</v>
      </c>
      <c r="F1367" s="1">
        <v>41401</v>
      </c>
      <c r="G1367">
        <v>204067027</v>
      </c>
      <c r="H1367" t="s">
        <v>1250</v>
      </c>
      <c r="I1367">
        <v>6823</v>
      </c>
      <c r="J1367">
        <v>421.89</v>
      </c>
      <c r="K1367">
        <v>364.69</v>
      </c>
      <c r="L1367">
        <v>2878555.47</v>
      </c>
      <c r="M1367">
        <v>2488279.87</v>
      </c>
      <c r="N1367">
        <v>390275.6</v>
      </c>
    </row>
    <row r="1368" spans="1:14" x14ac:dyDescent="0.25">
      <c r="A1368" t="s">
        <v>51</v>
      </c>
      <c r="B1368" t="s">
        <v>100</v>
      </c>
      <c r="C1368" t="s">
        <v>44</v>
      </c>
      <c r="D1368" t="s">
        <v>22</v>
      </c>
      <c r="E1368" t="s">
        <v>45</v>
      </c>
      <c r="F1368" s="1">
        <v>41581</v>
      </c>
      <c r="G1368">
        <v>298790204</v>
      </c>
      <c r="H1368" t="s">
        <v>1251</v>
      </c>
      <c r="I1368">
        <v>7516</v>
      </c>
      <c r="J1368">
        <v>109.28</v>
      </c>
      <c r="K1368">
        <v>35.840000000000003</v>
      </c>
      <c r="L1368">
        <v>821348.48</v>
      </c>
      <c r="M1368">
        <v>269373.44</v>
      </c>
      <c r="N1368">
        <v>551975.04</v>
      </c>
    </row>
    <row r="1369" spans="1:14" x14ac:dyDescent="0.25">
      <c r="A1369" t="s">
        <v>14</v>
      </c>
      <c r="B1369" t="s">
        <v>357</v>
      </c>
      <c r="C1369" t="s">
        <v>31</v>
      </c>
      <c r="D1369" t="s">
        <v>17</v>
      </c>
      <c r="E1369" t="s">
        <v>18</v>
      </c>
      <c r="F1369" s="1">
        <v>42157</v>
      </c>
      <c r="G1369">
        <v>738882339</v>
      </c>
      <c r="H1369" s="1">
        <v>42249</v>
      </c>
      <c r="I1369">
        <v>558</v>
      </c>
      <c r="J1369">
        <v>205.7</v>
      </c>
      <c r="K1369">
        <v>117.11</v>
      </c>
      <c r="L1369">
        <v>114780.6</v>
      </c>
      <c r="M1369">
        <v>65347.38</v>
      </c>
      <c r="N1369">
        <v>49433.22</v>
      </c>
    </row>
    <row r="1370" spans="1:14" x14ac:dyDescent="0.25">
      <c r="A1370" t="s">
        <v>14</v>
      </c>
      <c r="B1370" t="s">
        <v>226</v>
      </c>
      <c r="C1370" t="s">
        <v>59</v>
      </c>
      <c r="D1370" t="s">
        <v>17</v>
      </c>
      <c r="E1370" t="s">
        <v>18</v>
      </c>
      <c r="F1370" t="s">
        <v>1252</v>
      </c>
      <c r="G1370">
        <v>157204759</v>
      </c>
      <c r="H1370" s="1">
        <v>40796</v>
      </c>
      <c r="I1370">
        <v>9236</v>
      </c>
      <c r="J1370">
        <v>437.2</v>
      </c>
      <c r="K1370">
        <v>263.33</v>
      </c>
      <c r="L1370">
        <v>4037979.2</v>
      </c>
      <c r="M1370">
        <v>2432115.88</v>
      </c>
      <c r="N1370">
        <v>1605863.32</v>
      </c>
    </row>
    <row r="1371" spans="1:14" x14ac:dyDescent="0.25">
      <c r="A1371" t="s">
        <v>38</v>
      </c>
      <c r="B1371" t="s">
        <v>156</v>
      </c>
      <c r="C1371" t="s">
        <v>88</v>
      </c>
      <c r="D1371" t="s">
        <v>22</v>
      </c>
      <c r="E1371" t="s">
        <v>32</v>
      </c>
      <c r="F1371" t="s">
        <v>1253</v>
      </c>
      <c r="G1371">
        <v>856931293</v>
      </c>
      <c r="H1371" s="1">
        <v>42224</v>
      </c>
      <c r="I1371">
        <v>3867</v>
      </c>
      <c r="J1371">
        <v>9.33</v>
      </c>
      <c r="K1371">
        <v>6.92</v>
      </c>
      <c r="L1371">
        <v>36079.11</v>
      </c>
      <c r="M1371">
        <v>26759.64</v>
      </c>
      <c r="N1371">
        <v>9319.4699999999993</v>
      </c>
    </row>
    <row r="1372" spans="1:14" x14ac:dyDescent="0.25">
      <c r="A1372" t="s">
        <v>51</v>
      </c>
      <c r="B1372" t="s">
        <v>299</v>
      </c>
      <c r="C1372" t="s">
        <v>21</v>
      </c>
      <c r="D1372" t="s">
        <v>22</v>
      </c>
      <c r="E1372" t="s">
        <v>32</v>
      </c>
      <c r="F1372" s="1">
        <v>42920</v>
      </c>
      <c r="G1372">
        <v>261548268</v>
      </c>
      <c r="H1372" t="s">
        <v>1254</v>
      </c>
      <c r="I1372">
        <v>6800</v>
      </c>
      <c r="J1372">
        <v>152.58000000000001</v>
      </c>
      <c r="K1372">
        <v>97.44</v>
      </c>
      <c r="L1372">
        <v>1037544</v>
      </c>
      <c r="M1372">
        <v>662592</v>
      </c>
      <c r="N1372">
        <v>374952</v>
      </c>
    </row>
    <row r="1373" spans="1:14" x14ac:dyDescent="0.25">
      <c r="A1373" t="s">
        <v>25</v>
      </c>
      <c r="B1373" t="s">
        <v>339</v>
      </c>
      <c r="C1373" t="s">
        <v>16</v>
      </c>
      <c r="D1373" t="s">
        <v>22</v>
      </c>
      <c r="E1373" t="s">
        <v>18</v>
      </c>
      <c r="F1373" t="s">
        <v>1255</v>
      </c>
      <c r="G1373">
        <v>364854514</v>
      </c>
      <c r="H1373" s="1">
        <v>40978</v>
      </c>
      <c r="I1373">
        <v>7413</v>
      </c>
      <c r="J1373">
        <v>255.28</v>
      </c>
      <c r="K1373">
        <v>159.41999999999999</v>
      </c>
      <c r="L1373">
        <v>1892390.64</v>
      </c>
      <c r="M1373">
        <v>1181780.46</v>
      </c>
      <c r="N1373">
        <v>710610.18</v>
      </c>
    </row>
    <row r="1374" spans="1:14" x14ac:dyDescent="0.25">
      <c r="A1374" t="s">
        <v>25</v>
      </c>
      <c r="B1374" t="s">
        <v>112</v>
      </c>
      <c r="C1374" t="s">
        <v>59</v>
      </c>
      <c r="D1374" t="s">
        <v>17</v>
      </c>
      <c r="E1374" t="s">
        <v>23</v>
      </c>
      <c r="F1374" s="1">
        <v>41434</v>
      </c>
      <c r="G1374">
        <v>980961358</v>
      </c>
      <c r="H1374" s="1">
        <v>41496</v>
      </c>
      <c r="I1374">
        <v>7120</v>
      </c>
      <c r="J1374">
        <v>437.2</v>
      </c>
      <c r="K1374">
        <v>263.33</v>
      </c>
      <c r="L1374">
        <v>3112864</v>
      </c>
      <c r="M1374">
        <v>1874909.6</v>
      </c>
      <c r="N1374">
        <v>1237954.3999999999</v>
      </c>
    </row>
    <row r="1375" spans="1:14" x14ac:dyDescent="0.25">
      <c r="A1375" t="s">
        <v>29</v>
      </c>
      <c r="B1375" t="s">
        <v>375</v>
      </c>
      <c r="C1375" t="s">
        <v>59</v>
      </c>
      <c r="D1375" t="s">
        <v>22</v>
      </c>
      <c r="E1375" t="s">
        <v>32</v>
      </c>
      <c r="F1375" t="s">
        <v>120</v>
      </c>
      <c r="G1375">
        <v>194292628</v>
      </c>
      <c r="H1375" t="s">
        <v>1041</v>
      </c>
      <c r="I1375">
        <v>4361</v>
      </c>
      <c r="J1375">
        <v>437.2</v>
      </c>
      <c r="K1375">
        <v>263.33</v>
      </c>
      <c r="L1375">
        <v>1906629.2</v>
      </c>
      <c r="M1375">
        <v>1148382.1299999999</v>
      </c>
      <c r="N1375">
        <v>758247.07</v>
      </c>
    </row>
    <row r="1376" spans="1:14" x14ac:dyDescent="0.25">
      <c r="A1376" t="s">
        <v>38</v>
      </c>
      <c r="B1376" t="s">
        <v>156</v>
      </c>
      <c r="C1376" t="s">
        <v>113</v>
      </c>
      <c r="D1376" t="s">
        <v>22</v>
      </c>
      <c r="E1376" t="s">
        <v>45</v>
      </c>
      <c r="F1376" t="s">
        <v>1256</v>
      </c>
      <c r="G1376">
        <v>209584653</v>
      </c>
      <c r="H1376" t="s">
        <v>1257</v>
      </c>
      <c r="I1376">
        <v>9611</v>
      </c>
      <c r="J1376">
        <v>154.06</v>
      </c>
      <c r="K1376">
        <v>90.93</v>
      </c>
      <c r="L1376">
        <v>1480670.66</v>
      </c>
      <c r="M1376">
        <v>873928.23</v>
      </c>
      <c r="N1376">
        <v>606742.43000000005</v>
      </c>
    </row>
    <row r="1377" spans="1:14" x14ac:dyDescent="0.25">
      <c r="A1377" t="s">
        <v>25</v>
      </c>
      <c r="B1377" t="s">
        <v>418</v>
      </c>
      <c r="C1377" t="s">
        <v>88</v>
      </c>
      <c r="D1377" t="s">
        <v>22</v>
      </c>
      <c r="E1377" t="s">
        <v>23</v>
      </c>
      <c r="F1377" s="1">
        <v>41886</v>
      </c>
      <c r="G1377">
        <v>601886260</v>
      </c>
      <c r="H1377" t="s">
        <v>138</v>
      </c>
      <c r="I1377">
        <v>374</v>
      </c>
      <c r="J1377">
        <v>9.33</v>
      </c>
      <c r="K1377">
        <v>6.92</v>
      </c>
      <c r="L1377">
        <v>3489.42</v>
      </c>
      <c r="M1377">
        <v>2588.08</v>
      </c>
      <c r="N1377">
        <v>901.34</v>
      </c>
    </row>
    <row r="1378" spans="1:14" x14ac:dyDescent="0.25">
      <c r="A1378" t="s">
        <v>14</v>
      </c>
      <c r="B1378" t="s">
        <v>370</v>
      </c>
      <c r="C1378" t="s">
        <v>59</v>
      </c>
      <c r="D1378" t="s">
        <v>17</v>
      </c>
      <c r="E1378" t="s">
        <v>23</v>
      </c>
      <c r="F1378" t="s">
        <v>834</v>
      </c>
      <c r="G1378">
        <v>566558778</v>
      </c>
      <c r="H1378" t="s">
        <v>1258</v>
      </c>
      <c r="I1378">
        <v>6187</v>
      </c>
      <c r="J1378">
        <v>437.2</v>
      </c>
      <c r="K1378">
        <v>263.33</v>
      </c>
      <c r="L1378">
        <v>2704956.4</v>
      </c>
      <c r="M1378">
        <v>1629222.71</v>
      </c>
      <c r="N1378">
        <v>1075733.69</v>
      </c>
    </row>
    <row r="1379" spans="1:14" x14ac:dyDescent="0.25">
      <c r="A1379" t="s">
        <v>51</v>
      </c>
      <c r="B1379" t="s">
        <v>194</v>
      </c>
      <c r="C1379" t="s">
        <v>40</v>
      </c>
      <c r="D1379" t="s">
        <v>22</v>
      </c>
      <c r="E1379" t="s">
        <v>18</v>
      </c>
      <c r="F1379" t="s">
        <v>1136</v>
      </c>
      <c r="G1379">
        <v>269276034</v>
      </c>
      <c r="H1379" t="s">
        <v>244</v>
      </c>
      <c r="I1379">
        <v>3617</v>
      </c>
      <c r="J1379">
        <v>81.73</v>
      </c>
      <c r="K1379">
        <v>56.67</v>
      </c>
      <c r="L1379">
        <v>295617.40999999997</v>
      </c>
      <c r="M1379">
        <v>204975.39</v>
      </c>
      <c r="N1379">
        <v>90642.02</v>
      </c>
    </row>
    <row r="1380" spans="1:14" x14ac:dyDescent="0.25">
      <c r="A1380" t="s">
        <v>38</v>
      </c>
      <c r="B1380" t="s">
        <v>288</v>
      </c>
      <c r="C1380" t="s">
        <v>55</v>
      </c>
      <c r="D1380" t="s">
        <v>22</v>
      </c>
      <c r="E1380" t="s">
        <v>32</v>
      </c>
      <c r="F1380" t="s">
        <v>1259</v>
      </c>
      <c r="G1380">
        <v>396024358</v>
      </c>
      <c r="H1380" t="s">
        <v>1028</v>
      </c>
      <c r="I1380">
        <v>1263</v>
      </c>
      <c r="J1380">
        <v>651.21</v>
      </c>
      <c r="K1380">
        <v>524.96</v>
      </c>
      <c r="L1380">
        <v>822478.23</v>
      </c>
      <c r="M1380">
        <v>663024.48</v>
      </c>
      <c r="N1380">
        <v>159453.75</v>
      </c>
    </row>
    <row r="1381" spans="1:14" x14ac:dyDescent="0.25">
      <c r="A1381" t="s">
        <v>51</v>
      </c>
      <c r="B1381" t="s">
        <v>502</v>
      </c>
      <c r="C1381" t="s">
        <v>31</v>
      </c>
      <c r="D1381" t="s">
        <v>22</v>
      </c>
      <c r="E1381" t="s">
        <v>23</v>
      </c>
      <c r="F1381" s="1">
        <v>40823</v>
      </c>
      <c r="G1381">
        <v>803102576</v>
      </c>
      <c r="H1381" t="s">
        <v>823</v>
      </c>
      <c r="I1381">
        <v>4754</v>
      </c>
      <c r="J1381">
        <v>205.7</v>
      </c>
      <c r="K1381">
        <v>117.11</v>
      </c>
      <c r="L1381">
        <v>977897.8</v>
      </c>
      <c r="M1381">
        <v>556740.93999999994</v>
      </c>
      <c r="N1381">
        <v>421156.86</v>
      </c>
    </row>
    <row r="1382" spans="1:14" x14ac:dyDescent="0.25">
      <c r="A1382" t="s">
        <v>51</v>
      </c>
      <c r="B1382" t="s">
        <v>223</v>
      </c>
      <c r="C1382" t="s">
        <v>55</v>
      </c>
      <c r="D1382" t="s">
        <v>17</v>
      </c>
      <c r="E1382" t="s">
        <v>18</v>
      </c>
      <c r="F1382" t="s">
        <v>423</v>
      </c>
      <c r="G1382">
        <v>967122018</v>
      </c>
      <c r="H1382" s="1">
        <v>41975</v>
      </c>
      <c r="I1382">
        <v>1752</v>
      </c>
      <c r="J1382">
        <v>651.21</v>
      </c>
      <c r="K1382">
        <v>524.96</v>
      </c>
      <c r="L1382">
        <v>1140919.92</v>
      </c>
      <c r="M1382">
        <v>919729.92</v>
      </c>
      <c r="N1382">
        <v>221190</v>
      </c>
    </row>
    <row r="1383" spans="1:14" x14ac:dyDescent="0.25">
      <c r="A1383" t="s">
        <v>51</v>
      </c>
      <c r="B1383" t="s">
        <v>52</v>
      </c>
      <c r="C1383" t="s">
        <v>40</v>
      </c>
      <c r="D1383" t="s">
        <v>17</v>
      </c>
      <c r="E1383" t="s">
        <v>32</v>
      </c>
      <c r="F1383" t="s">
        <v>1260</v>
      </c>
      <c r="G1383">
        <v>435006511</v>
      </c>
      <c r="H1383" t="s">
        <v>902</v>
      </c>
      <c r="I1383">
        <v>6948</v>
      </c>
      <c r="J1383">
        <v>81.73</v>
      </c>
      <c r="K1383">
        <v>56.67</v>
      </c>
      <c r="L1383">
        <v>567860.04</v>
      </c>
      <c r="M1383">
        <v>393743.16</v>
      </c>
      <c r="N1383">
        <v>174116.88</v>
      </c>
    </row>
    <row r="1384" spans="1:14" x14ac:dyDescent="0.25">
      <c r="A1384" t="s">
        <v>38</v>
      </c>
      <c r="B1384" t="s">
        <v>177</v>
      </c>
      <c r="C1384" t="s">
        <v>113</v>
      </c>
      <c r="D1384" t="s">
        <v>17</v>
      </c>
      <c r="E1384" t="s">
        <v>23</v>
      </c>
      <c r="F1384" t="s">
        <v>354</v>
      </c>
      <c r="G1384">
        <v>173992383</v>
      </c>
      <c r="H1384" t="s">
        <v>1261</v>
      </c>
      <c r="I1384">
        <v>7067</v>
      </c>
      <c r="J1384">
        <v>154.06</v>
      </c>
      <c r="K1384">
        <v>90.93</v>
      </c>
      <c r="L1384">
        <v>1088742.02</v>
      </c>
      <c r="M1384">
        <v>642602.31000000006</v>
      </c>
      <c r="N1384">
        <v>446139.71</v>
      </c>
    </row>
    <row r="1385" spans="1:14" x14ac:dyDescent="0.25">
      <c r="A1385" t="s">
        <v>25</v>
      </c>
      <c r="B1385" t="s">
        <v>218</v>
      </c>
      <c r="C1385" t="s">
        <v>131</v>
      </c>
      <c r="D1385" t="s">
        <v>17</v>
      </c>
      <c r="E1385" t="s">
        <v>32</v>
      </c>
      <c r="F1385" t="s">
        <v>1040</v>
      </c>
      <c r="G1385">
        <v>321628463</v>
      </c>
      <c r="H1385" t="s">
        <v>1134</v>
      </c>
      <c r="I1385">
        <v>5864</v>
      </c>
      <c r="J1385">
        <v>668.27</v>
      </c>
      <c r="K1385">
        <v>502.54</v>
      </c>
      <c r="L1385">
        <v>3918735.28</v>
      </c>
      <c r="M1385">
        <v>2946894.56</v>
      </c>
      <c r="N1385">
        <v>971840.72</v>
      </c>
    </row>
    <row r="1386" spans="1:14" x14ac:dyDescent="0.25">
      <c r="A1386" t="s">
        <v>42</v>
      </c>
      <c r="B1386" t="s">
        <v>630</v>
      </c>
      <c r="C1386" t="s">
        <v>31</v>
      </c>
      <c r="D1386" t="s">
        <v>22</v>
      </c>
      <c r="E1386" t="s">
        <v>18</v>
      </c>
      <c r="F1386" s="1">
        <v>40635</v>
      </c>
      <c r="G1386">
        <v>635776078</v>
      </c>
      <c r="H1386" s="1">
        <v>40635</v>
      </c>
      <c r="I1386">
        <v>9125</v>
      </c>
      <c r="J1386">
        <v>205.7</v>
      </c>
      <c r="K1386">
        <v>117.11</v>
      </c>
      <c r="L1386">
        <v>1877012.5</v>
      </c>
      <c r="M1386">
        <v>1068628.75</v>
      </c>
      <c r="N1386">
        <v>808383.75</v>
      </c>
    </row>
    <row r="1387" spans="1:14" x14ac:dyDescent="0.25">
      <c r="A1387" t="s">
        <v>25</v>
      </c>
      <c r="B1387" t="s">
        <v>211</v>
      </c>
      <c r="C1387" t="s">
        <v>69</v>
      </c>
      <c r="D1387" t="s">
        <v>17</v>
      </c>
      <c r="E1387" t="s">
        <v>32</v>
      </c>
      <c r="F1387" t="s">
        <v>474</v>
      </c>
      <c r="G1387">
        <v>944609057</v>
      </c>
      <c r="H1387" t="s">
        <v>1262</v>
      </c>
      <c r="I1387">
        <v>9666</v>
      </c>
      <c r="J1387">
        <v>421.89</v>
      </c>
      <c r="K1387">
        <v>364.69</v>
      </c>
      <c r="L1387">
        <v>4077988.74</v>
      </c>
      <c r="M1387">
        <v>3525093.54</v>
      </c>
      <c r="N1387">
        <v>552895.19999999995</v>
      </c>
    </row>
    <row r="1388" spans="1:14" x14ac:dyDescent="0.25">
      <c r="A1388" t="s">
        <v>14</v>
      </c>
      <c r="B1388" t="s">
        <v>627</v>
      </c>
      <c r="C1388" t="s">
        <v>113</v>
      </c>
      <c r="D1388" t="s">
        <v>17</v>
      </c>
      <c r="E1388" t="s">
        <v>18</v>
      </c>
      <c r="F1388" t="s">
        <v>193</v>
      </c>
      <c r="G1388">
        <v>696613729</v>
      </c>
      <c r="H1388" t="s">
        <v>1263</v>
      </c>
      <c r="I1388">
        <v>2337</v>
      </c>
      <c r="J1388">
        <v>154.06</v>
      </c>
      <c r="K1388">
        <v>90.93</v>
      </c>
      <c r="L1388">
        <v>360038.22</v>
      </c>
      <c r="M1388">
        <v>212503.41</v>
      </c>
      <c r="N1388">
        <v>147534.81</v>
      </c>
    </row>
    <row r="1389" spans="1:14" x14ac:dyDescent="0.25">
      <c r="A1389" t="s">
        <v>25</v>
      </c>
      <c r="B1389" t="s">
        <v>242</v>
      </c>
      <c r="C1389" t="s">
        <v>59</v>
      </c>
      <c r="D1389" t="s">
        <v>22</v>
      </c>
      <c r="E1389" t="s">
        <v>45</v>
      </c>
      <c r="F1389" t="s">
        <v>1264</v>
      </c>
      <c r="G1389">
        <v>310588920</v>
      </c>
      <c r="H1389" s="1">
        <v>41426</v>
      </c>
      <c r="I1389">
        <v>9018</v>
      </c>
      <c r="J1389">
        <v>437.2</v>
      </c>
      <c r="K1389">
        <v>263.33</v>
      </c>
      <c r="L1389">
        <v>3942669.6</v>
      </c>
      <c r="M1389">
        <v>2374709.94</v>
      </c>
      <c r="N1389">
        <v>1567959.66</v>
      </c>
    </row>
    <row r="1390" spans="1:14" x14ac:dyDescent="0.25">
      <c r="A1390" t="s">
        <v>51</v>
      </c>
      <c r="B1390" t="s">
        <v>327</v>
      </c>
      <c r="C1390" t="s">
        <v>55</v>
      </c>
      <c r="D1390" t="s">
        <v>17</v>
      </c>
      <c r="E1390" t="s">
        <v>23</v>
      </c>
      <c r="F1390" s="1">
        <v>41129</v>
      </c>
      <c r="G1390">
        <v>725645959</v>
      </c>
      <c r="H1390" s="1">
        <v>41130</v>
      </c>
      <c r="I1390">
        <v>3620</v>
      </c>
      <c r="J1390">
        <v>651.21</v>
      </c>
      <c r="K1390">
        <v>524.96</v>
      </c>
      <c r="L1390">
        <v>2357380.2000000002</v>
      </c>
      <c r="M1390">
        <v>1900355.2</v>
      </c>
      <c r="N1390">
        <v>457025</v>
      </c>
    </row>
    <row r="1391" spans="1:14" x14ac:dyDescent="0.25">
      <c r="A1391" t="s">
        <v>25</v>
      </c>
      <c r="B1391" t="s">
        <v>284</v>
      </c>
      <c r="C1391" t="s">
        <v>69</v>
      </c>
      <c r="D1391" t="s">
        <v>22</v>
      </c>
      <c r="E1391" t="s">
        <v>18</v>
      </c>
      <c r="F1391" s="1">
        <v>42041</v>
      </c>
      <c r="G1391">
        <v>251208674</v>
      </c>
      <c r="H1391" t="s">
        <v>712</v>
      </c>
      <c r="I1391">
        <v>7084</v>
      </c>
      <c r="J1391">
        <v>421.89</v>
      </c>
      <c r="K1391">
        <v>364.69</v>
      </c>
      <c r="L1391">
        <v>2988668.76</v>
      </c>
      <c r="M1391">
        <v>2583463.96</v>
      </c>
      <c r="N1391">
        <v>405204.8</v>
      </c>
    </row>
    <row r="1392" spans="1:14" x14ac:dyDescent="0.25">
      <c r="A1392" t="s">
        <v>51</v>
      </c>
      <c r="B1392" t="s">
        <v>219</v>
      </c>
      <c r="C1392" t="s">
        <v>40</v>
      </c>
      <c r="D1392" t="s">
        <v>17</v>
      </c>
      <c r="E1392" t="s">
        <v>45</v>
      </c>
      <c r="F1392" t="s">
        <v>862</v>
      </c>
      <c r="G1392">
        <v>417013394</v>
      </c>
      <c r="H1392" t="s">
        <v>76</v>
      </c>
      <c r="I1392">
        <v>2385</v>
      </c>
      <c r="J1392">
        <v>81.73</v>
      </c>
      <c r="K1392">
        <v>56.67</v>
      </c>
      <c r="L1392">
        <v>194926.05</v>
      </c>
      <c r="M1392">
        <v>135157.95000000001</v>
      </c>
      <c r="N1392">
        <v>59768.1</v>
      </c>
    </row>
    <row r="1393" spans="1:14" x14ac:dyDescent="0.25">
      <c r="A1393" t="s">
        <v>38</v>
      </c>
      <c r="B1393" t="s">
        <v>39</v>
      </c>
      <c r="C1393" t="s">
        <v>27</v>
      </c>
      <c r="D1393" t="s">
        <v>17</v>
      </c>
      <c r="E1393" t="s">
        <v>18</v>
      </c>
      <c r="F1393" t="s">
        <v>1265</v>
      </c>
      <c r="G1393">
        <v>123108947</v>
      </c>
      <c r="H1393" s="1">
        <v>42257</v>
      </c>
      <c r="I1393">
        <v>9528</v>
      </c>
      <c r="J1393">
        <v>47.45</v>
      </c>
      <c r="K1393">
        <v>31.79</v>
      </c>
      <c r="L1393">
        <v>452103.6</v>
      </c>
      <c r="M1393">
        <v>302895.12</v>
      </c>
      <c r="N1393">
        <v>149208.48000000001</v>
      </c>
    </row>
    <row r="1394" spans="1:14" x14ac:dyDescent="0.25">
      <c r="A1394" t="s">
        <v>51</v>
      </c>
      <c r="B1394" t="s">
        <v>164</v>
      </c>
      <c r="C1394" t="s">
        <v>40</v>
      </c>
      <c r="D1394" t="s">
        <v>17</v>
      </c>
      <c r="E1394" t="s">
        <v>23</v>
      </c>
      <c r="F1394" t="s">
        <v>1266</v>
      </c>
      <c r="G1394">
        <v>589856660</v>
      </c>
      <c r="H1394" s="1">
        <v>40456</v>
      </c>
      <c r="I1394">
        <v>548</v>
      </c>
      <c r="J1394">
        <v>81.73</v>
      </c>
      <c r="K1394">
        <v>56.67</v>
      </c>
      <c r="L1394">
        <v>44788.04</v>
      </c>
      <c r="M1394">
        <v>31055.16</v>
      </c>
      <c r="N1394">
        <v>13732.88</v>
      </c>
    </row>
    <row r="1395" spans="1:14" x14ac:dyDescent="0.25">
      <c r="A1395" t="s">
        <v>14</v>
      </c>
      <c r="B1395" t="s">
        <v>357</v>
      </c>
      <c r="C1395" t="s">
        <v>44</v>
      </c>
      <c r="D1395" t="s">
        <v>17</v>
      </c>
      <c r="E1395" t="s">
        <v>32</v>
      </c>
      <c r="F1395" s="1">
        <v>43076</v>
      </c>
      <c r="G1395">
        <v>407930362</v>
      </c>
      <c r="H1395" t="s">
        <v>516</v>
      </c>
      <c r="I1395">
        <v>4514</v>
      </c>
      <c r="J1395">
        <v>109.28</v>
      </c>
      <c r="K1395">
        <v>35.840000000000003</v>
      </c>
      <c r="L1395">
        <v>493289.92</v>
      </c>
      <c r="M1395">
        <v>161781.76000000001</v>
      </c>
      <c r="N1395">
        <v>331508.15999999997</v>
      </c>
    </row>
    <row r="1396" spans="1:14" x14ac:dyDescent="0.25">
      <c r="A1396" t="s">
        <v>25</v>
      </c>
      <c r="B1396" t="s">
        <v>462</v>
      </c>
      <c r="C1396" t="s">
        <v>88</v>
      </c>
      <c r="D1396" t="s">
        <v>17</v>
      </c>
      <c r="E1396" t="s">
        <v>32</v>
      </c>
      <c r="F1396" t="s">
        <v>1267</v>
      </c>
      <c r="G1396">
        <v>488316380</v>
      </c>
      <c r="H1396" t="s">
        <v>1199</v>
      </c>
      <c r="I1396">
        <v>2523</v>
      </c>
      <c r="J1396">
        <v>9.33</v>
      </c>
      <c r="K1396">
        <v>6.92</v>
      </c>
      <c r="L1396">
        <v>23539.59</v>
      </c>
      <c r="M1396">
        <v>17459.16</v>
      </c>
      <c r="N1396">
        <v>6080.43</v>
      </c>
    </row>
    <row r="1397" spans="1:14" x14ac:dyDescent="0.25">
      <c r="A1397" t="s">
        <v>38</v>
      </c>
      <c r="B1397" t="s">
        <v>58</v>
      </c>
      <c r="C1397" t="s">
        <v>31</v>
      </c>
      <c r="D1397" t="s">
        <v>22</v>
      </c>
      <c r="E1397" t="s">
        <v>45</v>
      </c>
      <c r="F1397" t="s">
        <v>1159</v>
      </c>
      <c r="G1397">
        <v>912313544</v>
      </c>
      <c r="H1397" t="s">
        <v>1072</v>
      </c>
      <c r="I1397">
        <v>2706</v>
      </c>
      <c r="J1397">
        <v>205.7</v>
      </c>
      <c r="K1397">
        <v>117.11</v>
      </c>
      <c r="L1397">
        <v>556624.19999999995</v>
      </c>
      <c r="M1397">
        <v>316899.65999999997</v>
      </c>
      <c r="N1397">
        <v>239724.54</v>
      </c>
    </row>
    <row r="1398" spans="1:14" x14ac:dyDescent="0.25">
      <c r="A1398" t="s">
        <v>38</v>
      </c>
      <c r="B1398" t="s">
        <v>1268</v>
      </c>
      <c r="C1398" t="s">
        <v>27</v>
      </c>
      <c r="D1398" t="s">
        <v>17</v>
      </c>
      <c r="E1398" t="s">
        <v>32</v>
      </c>
      <c r="F1398" t="s">
        <v>1269</v>
      </c>
      <c r="G1398">
        <v>481533181</v>
      </c>
      <c r="H1398" s="1">
        <v>40728</v>
      </c>
      <c r="I1398">
        <v>5224</v>
      </c>
      <c r="J1398">
        <v>47.45</v>
      </c>
      <c r="K1398">
        <v>31.79</v>
      </c>
      <c r="L1398">
        <v>247878.8</v>
      </c>
      <c r="M1398">
        <v>166070.96</v>
      </c>
      <c r="N1398">
        <v>81807.839999999997</v>
      </c>
    </row>
    <row r="1399" spans="1:14" x14ac:dyDescent="0.25">
      <c r="A1399" t="s">
        <v>51</v>
      </c>
      <c r="B1399" t="s">
        <v>502</v>
      </c>
      <c r="C1399" t="s">
        <v>40</v>
      </c>
      <c r="D1399" t="s">
        <v>17</v>
      </c>
      <c r="E1399" t="s">
        <v>32</v>
      </c>
      <c r="F1399" t="s">
        <v>963</v>
      </c>
      <c r="G1399">
        <v>767899119</v>
      </c>
      <c r="H1399" s="1">
        <v>41093</v>
      </c>
      <c r="I1399">
        <v>7269</v>
      </c>
      <c r="J1399">
        <v>81.73</v>
      </c>
      <c r="K1399">
        <v>56.67</v>
      </c>
      <c r="L1399">
        <v>594095.37</v>
      </c>
      <c r="M1399">
        <v>411934.23</v>
      </c>
      <c r="N1399">
        <v>182161.14</v>
      </c>
    </row>
    <row r="1400" spans="1:14" x14ac:dyDescent="0.25">
      <c r="A1400" t="s">
        <v>25</v>
      </c>
      <c r="B1400" t="s">
        <v>603</v>
      </c>
      <c r="C1400" t="s">
        <v>44</v>
      </c>
      <c r="D1400" t="s">
        <v>17</v>
      </c>
      <c r="E1400" t="s">
        <v>18</v>
      </c>
      <c r="F1400" t="s">
        <v>136</v>
      </c>
      <c r="G1400">
        <v>263647687</v>
      </c>
      <c r="H1400" t="s">
        <v>1270</v>
      </c>
      <c r="I1400">
        <v>8064</v>
      </c>
      <c r="J1400">
        <v>109.28</v>
      </c>
      <c r="K1400">
        <v>35.840000000000003</v>
      </c>
      <c r="L1400">
        <v>881233.92000000004</v>
      </c>
      <c r="M1400">
        <v>289013.76000000001</v>
      </c>
      <c r="N1400">
        <v>592220.16000000003</v>
      </c>
    </row>
    <row r="1401" spans="1:14" x14ac:dyDescent="0.25">
      <c r="A1401" t="s">
        <v>51</v>
      </c>
      <c r="B1401" t="s">
        <v>219</v>
      </c>
      <c r="C1401" t="s">
        <v>27</v>
      </c>
      <c r="D1401" t="s">
        <v>17</v>
      </c>
      <c r="E1401" t="s">
        <v>32</v>
      </c>
      <c r="F1401" t="s">
        <v>95</v>
      </c>
      <c r="G1401">
        <v>231327712</v>
      </c>
      <c r="H1401" s="1">
        <v>41855</v>
      </c>
      <c r="I1401">
        <v>3865</v>
      </c>
      <c r="J1401">
        <v>47.45</v>
      </c>
      <c r="K1401">
        <v>31.79</v>
      </c>
      <c r="L1401">
        <v>183394.25</v>
      </c>
      <c r="M1401">
        <v>122868.35</v>
      </c>
      <c r="N1401">
        <v>60525.9</v>
      </c>
    </row>
    <row r="1402" spans="1:14" x14ac:dyDescent="0.25">
      <c r="A1402" t="s">
        <v>25</v>
      </c>
      <c r="B1402" t="s">
        <v>119</v>
      </c>
      <c r="C1402" t="s">
        <v>40</v>
      </c>
      <c r="D1402" t="s">
        <v>22</v>
      </c>
      <c r="E1402" t="s">
        <v>45</v>
      </c>
      <c r="F1402" t="s">
        <v>1271</v>
      </c>
      <c r="G1402">
        <v>653800523</v>
      </c>
      <c r="H1402" t="s">
        <v>596</v>
      </c>
      <c r="I1402">
        <v>2958</v>
      </c>
      <c r="J1402">
        <v>81.73</v>
      </c>
      <c r="K1402">
        <v>56.67</v>
      </c>
      <c r="L1402">
        <v>241757.34</v>
      </c>
      <c r="M1402">
        <v>167629.85999999999</v>
      </c>
      <c r="N1402">
        <v>74127.48</v>
      </c>
    </row>
    <row r="1403" spans="1:14" x14ac:dyDescent="0.25">
      <c r="A1403" t="s">
        <v>25</v>
      </c>
      <c r="B1403" t="s">
        <v>434</v>
      </c>
      <c r="C1403" t="s">
        <v>59</v>
      </c>
      <c r="D1403" t="s">
        <v>17</v>
      </c>
      <c r="E1403" t="s">
        <v>32</v>
      </c>
      <c r="F1403" t="s">
        <v>1272</v>
      </c>
      <c r="G1403">
        <v>684239947</v>
      </c>
      <c r="H1403" t="s">
        <v>1235</v>
      </c>
      <c r="I1403">
        <v>661</v>
      </c>
      <c r="J1403">
        <v>437.2</v>
      </c>
      <c r="K1403">
        <v>263.33</v>
      </c>
      <c r="L1403">
        <v>288989.2</v>
      </c>
      <c r="M1403">
        <v>174061.13</v>
      </c>
      <c r="N1403">
        <v>114928.07</v>
      </c>
    </row>
    <row r="1404" spans="1:14" x14ac:dyDescent="0.25">
      <c r="A1404" t="s">
        <v>51</v>
      </c>
      <c r="B1404" t="s">
        <v>194</v>
      </c>
      <c r="C1404" t="s">
        <v>31</v>
      </c>
      <c r="D1404" t="s">
        <v>22</v>
      </c>
      <c r="E1404" t="s">
        <v>18</v>
      </c>
      <c r="F1404" s="1">
        <v>41704</v>
      </c>
      <c r="G1404">
        <v>896132314</v>
      </c>
      <c r="H1404" t="s">
        <v>1273</v>
      </c>
      <c r="I1404">
        <v>4321</v>
      </c>
      <c r="J1404">
        <v>205.7</v>
      </c>
      <c r="K1404">
        <v>117.11</v>
      </c>
      <c r="L1404">
        <v>888829.7</v>
      </c>
      <c r="M1404">
        <v>506032.31</v>
      </c>
      <c r="N1404">
        <v>382797.39</v>
      </c>
    </row>
    <row r="1405" spans="1:14" x14ac:dyDescent="0.25">
      <c r="A1405" t="s">
        <v>25</v>
      </c>
      <c r="B1405" t="s">
        <v>603</v>
      </c>
      <c r="C1405" t="s">
        <v>40</v>
      </c>
      <c r="D1405" t="s">
        <v>17</v>
      </c>
      <c r="E1405" t="s">
        <v>45</v>
      </c>
      <c r="F1405" t="s">
        <v>477</v>
      </c>
      <c r="G1405">
        <v>133276450</v>
      </c>
      <c r="H1405" t="s">
        <v>279</v>
      </c>
      <c r="I1405">
        <v>8318</v>
      </c>
      <c r="J1405">
        <v>81.73</v>
      </c>
      <c r="K1405">
        <v>56.67</v>
      </c>
      <c r="L1405">
        <v>679830.14</v>
      </c>
      <c r="M1405">
        <v>471381.06</v>
      </c>
      <c r="N1405">
        <v>208449.08</v>
      </c>
    </row>
    <row r="1406" spans="1:14" x14ac:dyDescent="0.25">
      <c r="A1406" t="s">
        <v>29</v>
      </c>
      <c r="B1406" t="s">
        <v>440</v>
      </c>
      <c r="C1406" t="s">
        <v>44</v>
      </c>
      <c r="D1406" t="s">
        <v>22</v>
      </c>
      <c r="E1406" t="s">
        <v>45</v>
      </c>
      <c r="F1406" t="s">
        <v>1274</v>
      </c>
      <c r="G1406">
        <v>459783685</v>
      </c>
      <c r="H1406" t="s">
        <v>1275</v>
      </c>
      <c r="I1406">
        <v>9065</v>
      </c>
      <c r="J1406">
        <v>109.28</v>
      </c>
      <c r="K1406">
        <v>35.840000000000003</v>
      </c>
      <c r="L1406">
        <v>990623.2</v>
      </c>
      <c r="M1406">
        <v>324889.59999999998</v>
      </c>
      <c r="N1406">
        <v>665733.6</v>
      </c>
    </row>
    <row r="1407" spans="1:14" x14ac:dyDescent="0.25">
      <c r="A1407" t="s">
        <v>51</v>
      </c>
      <c r="B1407" t="s">
        <v>420</v>
      </c>
      <c r="C1407" t="s">
        <v>44</v>
      </c>
      <c r="D1407" t="s">
        <v>17</v>
      </c>
      <c r="E1407" t="s">
        <v>18</v>
      </c>
      <c r="F1407" t="s">
        <v>1276</v>
      </c>
      <c r="G1407">
        <v>410077846</v>
      </c>
      <c r="H1407" s="1">
        <v>41317</v>
      </c>
      <c r="I1407">
        <v>2</v>
      </c>
      <c r="J1407">
        <v>109.28</v>
      </c>
      <c r="K1407">
        <v>35.840000000000003</v>
      </c>
      <c r="L1407">
        <v>218.56</v>
      </c>
      <c r="M1407">
        <v>71.680000000000007</v>
      </c>
      <c r="N1407">
        <v>146.88</v>
      </c>
    </row>
    <row r="1408" spans="1:14" x14ac:dyDescent="0.25">
      <c r="A1408" t="s">
        <v>25</v>
      </c>
      <c r="B1408" t="s">
        <v>386</v>
      </c>
      <c r="C1408" t="s">
        <v>40</v>
      </c>
      <c r="D1408" t="s">
        <v>22</v>
      </c>
      <c r="E1408" t="s">
        <v>32</v>
      </c>
      <c r="F1408" t="s">
        <v>1030</v>
      </c>
      <c r="G1408">
        <v>838895261</v>
      </c>
      <c r="H1408" t="s">
        <v>661</v>
      </c>
      <c r="I1408">
        <v>6605</v>
      </c>
      <c r="J1408">
        <v>81.73</v>
      </c>
      <c r="K1408">
        <v>56.67</v>
      </c>
      <c r="L1408">
        <v>539826.65</v>
      </c>
      <c r="M1408">
        <v>374305.35</v>
      </c>
      <c r="N1408">
        <v>165521.29999999999</v>
      </c>
    </row>
    <row r="1409" spans="1:14" x14ac:dyDescent="0.25">
      <c r="A1409" t="s">
        <v>14</v>
      </c>
      <c r="B1409" t="s">
        <v>370</v>
      </c>
      <c r="C1409" t="s">
        <v>113</v>
      </c>
      <c r="D1409" t="s">
        <v>17</v>
      </c>
      <c r="E1409" t="s">
        <v>18</v>
      </c>
      <c r="F1409" t="s">
        <v>1277</v>
      </c>
      <c r="G1409">
        <v>871284759</v>
      </c>
      <c r="H1409" s="1">
        <v>42587</v>
      </c>
      <c r="I1409">
        <v>1377</v>
      </c>
      <c r="J1409">
        <v>154.06</v>
      </c>
      <c r="K1409">
        <v>90.93</v>
      </c>
      <c r="L1409">
        <v>212140.62</v>
      </c>
      <c r="M1409">
        <v>125210.61</v>
      </c>
      <c r="N1409">
        <v>86930.01</v>
      </c>
    </row>
    <row r="1410" spans="1:14" x14ac:dyDescent="0.25">
      <c r="A1410" t="s">
        <v>38</v>
      </c>
      <c r="B1410" t="s">
        <v>156</v>
      </c>
      <c r="C1410" t="s">
        <v>131</v>
      </c>
      <c r="D1410" t="s">
        <v>22</v>
      </c>
      <c r="E1410" t="s">
        <v>23</v>
      </c>
      <c r="F1410" s="1">
        <v>42740</v>
      </c>
      <c r="G1410">
        <v>152607667</v>
      </c>
      <c r="H1410" s="1">
        <v>43045</v>
      </c>
      <c r="I1410">
        <v>8855</v>
      </c>
      <c r="J1410">
        <v>668.27</v>
      </c>
      <c r="K1410">
        <v>502.54</v>
      </c>
      <c r="L1410">
        <v>5917530.8499999996</v>
      </c>
      <c r="M1410">
        <v>4449991.7</v>
      </c>
      <c r="N1410">
        <v>1467539.15</v>
      </c>
    </row>
    <row r="1411" spans="1:14" x14ac:dyDescent="0.25">
      <c r="A1411" t="s">
        <v>25</v>
      </c>
      <c r="B1411" t="s">
        <v>303</v>
      </c>
      <c r="C1411" t="s">
        <v>69</v>
      </c>
      <c r="D1411" t="s">
        <v>17</v>
      </c>
      <c r="E1411" t="s">
        <v>23</v>
      </c>
      <c r="F1411" t="s">
        <v>614</v>
      </c>
      <c r="G1411">
        <v>198537814</v>
      </c>
      <c r="H1411" t="s">
        <v>1278</v>
      </c>
      <c r="I1411">
        <v>606</v>
      </c>
      <c r="J1411">
        <v>421.89</v>
      </c>
      <c r="K1411">
        <v>364.69</v>
      </c>
      <c r="L1411">
        <v>255665.34</v>
      </c>
      <c r="M1411">
        <v>221002.14</v>
      </c>
      <c r="N1411">
        <v>34663.199999999997</v>
      </c>
    </row>
    <row r="1412" spans="1:14" x14ac:dyDescent="0.25">
      <c r="A1412" t="s">
        <v>42</v>
      </c>
      <c r="B1412" t="s">
        <v>290</v>
      </c>
      <c r="C1412" t="s">
        <v>69</v>
      </c>
      <c r="D1412" t="s">
        <v>22</v>
      </c>
      <c r="E1412" t="s">
        <v>23</v>
      </c>
      <c r="F1412" t="s">
        <v>1279</v>
      </c>
      <c r="G1412">
        <v>345061528</v>
      </c>
      <c r="H1412" t="s">
        <v>958</v>
      </c>
      <c r="I1412">
        <v>229</v>
      </c>
      <c r="J1412">
        <v>421.89</v>
      </c>
      <c r="K1412">
        <v>364.69</v>
      </c>
      <c r="L1412">
        <v>96612.81</v>
      </c>
      <c r="M1412">
        <v>83514.009999999995</v>
      </c>
      <c r="N1412">
        <v>13098.8</v>
      </c>
    </row>
    <row r="1413" spans="1:14" x14ac:dyDescent="0.25">
      <c r="A1413" t="s">
        <v>14</v>
      </c>
      <c r="B1413" t="s">
        <v>208</v>
      </c>
      <c r="C1413" t="s">
        <v>113</v>
      </c>
      <c r="D1413" t="s">
        <v>22</v>
      </c>
      <c r="E1413" t="s">
        <v>18</v>
      </c>
      <c r="F1413" t="s">
        <v>841</v>
      </c>
      <c r="G1413">
        <v>898477637</v>
      </c>
      <c r="H1413" s="1">
        <v>41821</v>
      </c>
      <c r="I1413">
        <v>8354</v>
      </c>
      <c r="J1413">
        <v>154.06</v>
      </c>
      <c r="K1413">
        <v>90.93</v>
      </c>
      <c r="L1413">
        <v>1287017.24</v>
      </c>
      <c r="M1413">
        <v>759629.22</v>
      </c>
      <c r="N1413">
        <v>527388.02</v>
      </c>
    </row>
    <row r="1414" spans="1:14" x14ac:dyDescent="0.25">
      <c r="A1414" t="s">
        <v>25</v>
      </c>
      <c r="B1414" t="s">
        <v>239</v>
      </c>
      <c r="C1414" t="s">
        <v>69</v>
      </c>
      <c r="D1414" t="s">
        <v>17</v>
      </c>
      <c r="E1414" t="s">
        <v>18</v>
      </c>
      <c r="F1414" s="1">
        <v>42287</v>
      </c>
      <c r="G1414">
        <v>885397469</v>
      </c>
      <c r="H1414" t="s">
        <v>1199</v>
      </c>
      <c r="I1414">
        <v>7642</v>
      </c>
      <c r="J1414">
        <v>421.89</v>
      </c>
      <c r="K1414">
        <v>364.69</v>
      </c>
      <c r="L1414">
        <v>3224083.38</v>
      </c>
      <c r="M1414">
        <v>2786960.98</v>
      </c>
      <c r="N1414">
        <v>437122.4</v>
      </c>
    </row>
    <row r="1415" spans="1:14" x14ac:dyDescent="0.25">
      <c r="A1415" t="s">
        <v>25</v>
      </c>
      <c r="B1415" t="s">
        <v>343</v>
      </c>
      <c r="C1415" t="s">
        <v>40</v>
      </c>
      <c r="D1415" t="s">
        <v>22</v>
      </c>
      <c r="E1415" t="s">
        <v>45</v>
      </c>
      <c r="F1415" t="s">
        <v>133</v>
      </c>
      <c r="G1415">
        <v>302744853</v>
      </c>
      <c r="H1415" s="1">
        <v>41681</v>
      </c>
      <c r="I1415">
        <v>7785</v>
      </c>
      <c r="J1415">
        <v>81.73</v>
      </c>
      <c r="K1415">
        <v>56.67</v>
      </c>
      <c r="L1415">
        <v>636268.05000000005</v>
      </c>
      <c r="M1415">
        <v>441175.95</v>
      </c>
      <c r="N1415">
        <v>195092.1</v>
      </c>
    </row>
    <row r="1416" spans="1:14" x14ac:dyDescent="0.25">
      <c r="A1416" t="s">
        <v>51</v>
      </c>
      <c r="B1416" t="s">
        <v>192</v>
      </c>
      <c r="C1416" t="s">
        <v>27</v>
      </c>
      <c r="D1416" t="s">
        <v>17</v>
      </c>
      <c r="E1416" t="s">
        <v>32</v>
      </c>
      <c r="F1416" s="1">
        <v>40248</v>
      </c>
      <c r="G1416">
        <v>567756116</v>
      </c>
      <c r="H1416" s="1">
        <v>40524</v>
      </c>
      <c r="I1416">
        <v>506</v>
      </c>
      <c r="J1416">
        <v>47.45</v>
      </c>
      <c r="K1416">
        <v>31.79</v>
      </c>
      <c r="L1416">
        <v>24009.7</v>
      </c>
      <c r="M1416">
        <v>16085.74</v>
      </c>
      <c r="N1416">
        <v>7923.96</v>
      </c>
    </row>
    <row r="1417" spans="1:14" x14ac:dyDescent="0.25">
      <c r="A1417" t="s">
        <v>51</v>
      </c>
      <c r="B1417" t="s">
        <v>192</v>
      </c>
      <c r="C1417" t="s">
        <v>27</v>
      </c>
      <c r="D1417" t="s">
        <v>17</v>
      </c>
      <c r="E1417" t="s">
        <v>18</v>
      </c>
      <c r="F1417" t="s">
        <v>1196</v>
      </c>
      <c r="G1417">
        <v>467980086</v>
      </c>
      <c r="H1417" t="s">
        <v>723</v>
      </c>
      <c r="I1417">
        <v>4562</v>
      </c>
      <c r="J1417">
        <v>47.45</v>
      </c>
      <c r="K1417">
        <v>31.79</v>
      </c>
      <c r="L1417">
        <v>216466.9</v>
      </c>
      <c r="M1417">
        <v>145025.98000000001</v>
      </c>
      <c r="N1417">
        <v>71440.92</v>
      </c>
    </row>
    <row r="1418" spans="1:14" x14ac:dyDescent="0.25">
      <c r="A1418" t="s">
        <v>38</v>
      </c>
      <c r="B1418" t="s">
        <v>1268</v>
      </c>
      <c r="C1418" t="s">
        <v>40</v>
      </c>
      <c r="D1418" t="s">
        <v>17</v>
      </c>
      <c r="E1418" t="s">
        <v>32</v>
      </c>
      <c r="F1418" t="s">
        <v>605</v>
      </c>
      <c r="G1418">
        <v>211278092</v>
      </c>
      <c r="H1418" s="1">
        <v>41344</v>
      </c>
      <c r="I1418">
        <v>737</v>
      </c>
      <c r="J1418">
        <v>81.73</v>
      </c>
      <c r="K1418">
        <v>56.67</v>
      </c>
      <c r="L1418">
        <v>60235.01</v>
      </c>
      <c r="M1418">
        <v>41765.79</v>
      </c>
      <c r="N1418">
        <v>18469.22</v>
      </c>
    </row>
    <row r="1419" spans="1:14" x14ac:dyDescent="0.25">
      <c r="A1419" t="s">
        <v>25</v>
      </c>
      <c r="B1419" t="s">
        <v>462</v>
      </c>
      <c r="C1419" t="s">
        <v>55</v>
      </c>
      <c r="D1419" t="s">
        <v>17</v>
      </c>
      <c r="E1419" t="s">
        <v>32</v>
      </c>
      <c r="F1419" s="1">
        <v>41946</v>
      </c>
      <c r="G1419">
        <v>975823962</v>
      </c>
      <c r="H1419" s="1">
        <v>41855</v>
      </c>
      <c r="I1419">
        <v>6850</v>
      </c>
      <c r="J1419">
        <v>651.21</v>
      </c>
      <c r="K1419">
        <v>524.96</v>
      </c>
      <c r="L1419">
        <v>4460788.5</v>
      </c>
      <c r="M1419">
        <v>3595976</v>
      </c>
      <c r="N1419">
        <v>864812.5</v>
      </c>
    </row>
    <row r="1420" spans="1:14" x14ac:dyDescent="0.25">
      <c r="A1420" t="s">
        <v>25</v>
      </c>
      <c r="B1420" t="s">
        <v>303</v>
      </c>
      <c r="C1420" t="s">
        <v>59</v>
      </c>
      <c r="D1420" t="s">
        <v>22</v>
      </c>
      <c r="E1420" t="s">
        <v>18</v>
      </c>
      <c r="F1420" t="s">
        <v>473</v>
      </c>
      <c r="G1420">
        <v>860104024</v>
      </c>
      <c r="H1420" t="s">
        <v>538</v>
      </c>
      <c r="I1420">
        <v>2749</v>
      </c>
      <c r="J1420">
        <v>437.2</v>
      </c>
      <c r="K1420">
        <v>263.33</v>
      </c>
      <c r="L1420">
        <v>1201862.8</v>
      </c>
      <c r="M1420">
        <v>723894.17</v>
      </c>
      <c r="N1420">
        <v>477968.63</v>
      </c>
    </row>
    <row r="1421" spans="1:14" x14ac:dyDescent="0.25">
      <c r="A1421" t="s">
        <v>51</v>
      </c>
      <c r="B1421" t="s">
        <v>848</v>
      </c>
      <c r="C1421" t="s">
        <v>59</v>
      </c>
      <c r="D1421" t="s">
        <v>17</v>
      </c>
      <c r="E1421" t="s">
        <v>18</v>
      </c>
      <c r="F1421" t="s">
        <v>1280</v>
      </c>
      <c r="G1421">
        <v>732917106</v>
      </c>
      <c r="H1421" s="1">
        <v>41890</v>
      </c>
      <c r="I1421">
        <v>5313</v>
      </c>
      <c r="J1421">
        <v>437.2</v>
      </c>
      <c r="K1421">
        <v>263.33</v>
      </c>
      <c r="L1421">
        <v>2322843.6</v>
      </c>
      <c r="M1421">
        <v>1399072.29</v>
      </c>
      <c r="N1421">
        <v>923771.31</v>
      </c>
    </row>
    <row r="1422" spans="1:14" x14ac:dyDescent="0.25">
      <c r="A1422" t="s">
        <v>51</v>
      </c>
      <c r="B1422" t="s">
        <v>169</v>
      </c>
      <c r="C1422" t="s">
        <v>31</v>
      </c>
      <c r="D1422" t="s">
        <v>17</v>
      </c>
      <c r="E1422" t="s">
        <v>32</v>
      </c>
      <c r="F1422" t="s">
        <v>259</v>
      </c>
      <c r="G1422">
        <v>183374536</v>
      </c>
      <c r="H1422" t="s">
        <v>967</v>
      </c>
      <c r="I1422">
        <v>3455</v>
      </c>
      <c r="J1422">
        <v>205.7</v>
      </c>
      <c r="K1422">
        <v>117.11</v>
      </c>
      <c r="L1422">
        <v>710693.5</v>
      </c>
      <c r="M1422">
        <v>404615.05</v>
      </c>
      <c r="N1422">
        <v>306078.45</v>
      </c>
    </row>
    <row r="1423" spans="1:14" x14ac:dyDescent="0.25">
      <c r="A1423" t="s">
        <v>51</v>
      </c>
      <c r="B1423" t="s">
        <v>424</v>
      </c>
      <c r="C1423" t="s">
        <v>16</v>
      </c>
      <c r="D1423" t="s">
        <v>22</v>
      </c>
      <c r="E1423" t="s">
        <v>23</v>
      </c>
      <c r="F1423" t="s">
        <v>1104</v>
      </c>
      <c r="G1423">
        <v>670900142</v>
      </c>
      <c r="H1423" s="1">
        <v>42767</v>
      </c>
      <c r="I1423">
        <v>3116</v>
      </c>
      <c r="J1423">
        <v>255.28</v>
      </c>
      <c r="K1423">
        <v>159.41999999999999</v>
      </c>
      <c r="L1423">
        <v>795452.48</v>
      </c>
      <c r="M1423">
        <v>496752.72</v>
      </c>
      <c r="N1423">
        <v>298699.76</v>
      </c>
    </row>
    <row r="1424" spans="1:14" x14ac:dyDescent="0.25">
      <c r="A1424" t="s">
        <v>42</v>
      </c>
      <c r="B1424" t="s">
        <v>146</v>
      </c>
      <c r="C1424" t="s">
        <v>69</v>
      </c>
      <c r="D1424" t="s">
        <v>17</v>
      </c>
      <c r="E1424" t="s">
        <v>32</v>
      </c>
      <c r="F1424" t="s">
        <v>1281</v>
      </c>
      <c r="G1424">
        <v>575230252</v>
      </c>
      <c r="H1424" t="s">
        <v>769</v>
      </c>
      <c r="I1424">
        <v>2269</v>
      </c>
      <c r="J1424">
        <v>421.89</v>
      </c>
      <c r="K1424">
        <v>364.69</v>
      </c>
      <c r="L1424">
        <v>957268.41</v>
      </c>
      <c r="M1424">
        <v>827481.61</v>
      </c>
      <c r="N1424">
        <v>129786.8</v>
      </c>
    </row>
    <row r="1425" spans="1:14" x14ac:dyDescent="0.25">
      <c r="A1425" t="s">
        <v>14</v>
      </c>
      <c r="B1425" t="s">
        <v>20</v>
      </c>
      <c r="C1425" t="s">
        <v>55</v>
      </c>
      <c r="D1425" t="s">
        <v>22</v>
      </c>
      <c r="E1425" t="s">
        <v>45</v>
      </c>
      <c r="F1425" s="1">
        <v>42135</v>
      </c>
      <c r="G1425">
        <v>146413695</v>
      </c>
      <c r="H1425" s="1">
        <v>42319</v>
      </c>
      <c r="I1425">
        <v>5921</v>
      </c>
      <c r="J1425">
        <v>651.21</v>
      </c>
      <c r="K1425">
        <v>524.96</v>
      </c>
      <c r="L1425">
        <v>3855814.41</v>
      </c>
      <c r="M1425">
        <v>3108288.16</v>
      </c>
      <c r="N1425">
        <v>747526.25</v>
      </c>
    </row>
    <row r="1426" spans="1:14" x14ac:dyDescent="0.25">
      <c r="A1426" t="s">
        <v>51</v>
      </c>
      <c r="B1426" t="s">
        <v>295</v>
      </c>
      <c r="C1426" t="s">
        <v>88</v>
      </c>
      <c r="D1426" t="s">
        <v>22</v>
      </c>
      <c r="E1426" t="s">
        <v>32</v>
      </c>
      <c r="F1426" s="1">
        <v>41306</v>
      </c>
      <c r="G1426">
        <v>154811799</v>
      </c>
      <c r="H1426" t="s">
        <v>1282</v>
      </c>
      <c r="I1426">
        <v>1106</v>
      </c>
      <c r="J1426">
        <v>9.33</v>
      </c>
      <c r="K1426">
        <v>6.92</v>
      </c>
      <c r="L1426">
        <v>10318.98</v>
      </c>
      <c r="M1426">
        <v>7653.52</v>
      </c>
      <c r="N1426">
        <v>2665.46</v>
      </c>
    </row>
    <row r="1427" spans="1:14" x14ac:dyDescent="0.25">
      <c r="A1427" t="s">
        <v>51</v>
      </c>
      <c r="B1427" t="s">
        <v>542</v>
      </c>
      <c r="C1427" t="s">
        <v>131</v>
      </c>
      <c r="D1427" t="s">
        <v>17</v>
      </c>
      <c r="E1427" t="s">
        <v>23</v>
      </c>
      <c r="F1427" t="s">
        <v>1051</v>
      </c>
      <c r="G1427">
        <v>541098392</v>
      </c>
      <c r="H1427" s="1">
        <v>41741</v>
      </c>
      <c r="I1427">
        <v>1893</v>
      </c>
      <c r="J1427">
        <v>668.27</v>
      </c>
      <c r="K1427">
        <v>502.54</v>
      </c>
      <c r="L1427">
        <v>1265035.1100000001</v>
      </c>
      <c r="M1427">
        <v>951308.22</v>
      </c>
      <c r="N1427">
        <v>313726.89</v>
      </c>
    </row>
    <row r="1428" spans="1:14" x14ac:dyDescent="0.25">
      <c r="A1428" t="s">
        <v>29</v>
      </c>
      <c r="B1428" t="s">
        <v>356</v>
      </c>
      <c r="C1428" t="s">
        <v>16</v>
      </c>
      <c r="D1428" t="s">
        <v>17</v>
      </c>
      <c r="E1428" t="s">
        <v>18</v>
      </c>
      <c r="F1428" s="1">
        <v>40727</v>
      </c>
      <c r="G1428">
        <v>866259801</v>
      </c>
      <c r="H1428" t="s">
        <v>441</v>
      </c>
      <c r="I1428">
        <v>4380</v>
      </c>
      <c r="J1428">
        <v>255.28</v>
      </c>
      <c r="K1428">
        <v>159.41999999999999</v>
      </c>
      <c r="L1428">
        <v>1118126.3999999999</v>
      </c>
      <c r="M1428">
        <v>698259.6</v>
      </c>
      <c r="N1428">
        <v>419866.8</v>
      </c>
    </row>
    <row r="1429" spans="1:14" x14ac:dyDescent="0.25">
      <c r="A1429" t="s">
        <v>29</v>
      </c>
      <c r="B1429" t="s">
        <v>30</v>
      </c>
      <c r="C1429" t="s">
        <v>44</v>
      </c>
      <c r="D1429" t="s">
        <v>22</v>
      </c>
      <c r="E1429" t="s">
        <v>23</v>
      </c>
      <c r="F1429" s="1">
        <v>40767</v>
      </c>
      <c r="G1429">
        <v>761594855</v>
      </c>
      <c r="H1429" s="1">
        <v>41214</v>
      </c>
      <c r="I1429">
        <v>1697</v>
      </c>
      <c r="J1429">
        <v>109.28</v>
      </c>
      <c r="K1429">
        <v>35.840000000000003</v>
      </c>
      <c r="L1429">
        <v>185448.16</v>
      </c>
      <c r="M1429">
        <v>60820.480000000003</v>
      </c>
      <c r="N1429">
        <v>124627.68</v>
      </c>
    </row>
    <row r="1430" spans="1:14" x14ac:dyDescent="0.25">
      <c r="A1430" t="s">
        <v>25</v>
      </c>
      <c r="B1430" t="s">
        <v>96</v>
      </c>
      <c r="C1430" t="s">
        <v>59</v>
      </c>
      <c r="D1430" t="s">
        <v>22</v>
      </c>
      <c r="E1430" t="s">
        <v>18</v>
      </c>
      <c r="F1430" t="s">
        <v>1283</v>
      </c>
      <c r="G1430">
        <v>378714883</v>
      </c>
      <c r="H1430" t="s">
        <v>717</v>
      </c>
      <c r="I1430">
        <v>9005</v>
      </c>
      <c r="J1430">
        <v>437.2</v>
      </c>
      <c r="K1430">
        <v>263.33</v>
      </c>
      <c r="L1430">
        <v>3936986</v>
      </c>
      <c r="M1430">
        <v>2371286.65</v>
      </c>
      <c r="N1430">
        <v>1565699.35</v>
      </c>
    </row>
    <row r="1431" spans="1:14" x14ac:dyDescent="0.25">
      <c r="A1431" t="s">
        <v>38</v>
      </c>
      <c r="B1431" t="s">
        <v>187</v>
      </c>
      <c r="C1431" t="s">
        <v>40</v>
      </c>
      <c r="D1431" t="s">
        <v>17</v>
      </c>
      <c r="E1431" t="s">
        <v>45</v>
      </c>
      <c r="F1431" t="s">
        <v>1284</v>
      </c>
      <c r="G1431">
        <v>839543712</v>
      </c>
      <c r="H1431" s="1">
        <v>41922</v>
      </c>
      <c r="I1431">
        <v>8496</v>
      </c>
      <c r="J1431">
        <v>81.73</v>
      </c>
      <c r="K1431">
        <v>56.67</v>
      </c>
      <c r="L1431">
        <v>694378.08</v>
      </c>
      <c r="M1431">
        <v>481468.32</v>
      </c>
      <c r="N1431">
        <v>212909.76</v>
      </c>
    </row>
    <row r="1432" spans="1:14" x14ac:dyDescent="0.25">
      <c r="A1432" t="s">
        <v>29</v>
      </c>
      <c r="B1432" t="s">
        <v>30</v>
      </c>
      <c r="C1432" t="s">
        <v>27</v>
      </c>
      <c r="D1432" t="s">
        <v>17</v>
      </c>
      <c r="E1432" t="s">
        <v>18</v>
      </c>
      <c r="F1432" t="s">
        <v>830</v>
      </c>
      <c r="G1432">
        <v>186317670</v>
      </c>
      <c r="H1432" t="s">
        <v>1285</v>
      </c>
      <c r="I1432">
        <v>4394</v>
      </c>
      <c r="J1432">
        <v>47.45</v>
      </c>
      <c r="K1432">
        <v>31.79</v>
      </c>
      <c r="L1432">
        <v>208495.3</v>
      </c>
      <c r="M1432">
        <v>139685.26</v>
      </c>
      <c r="N1432">
        <v>68810.039999999994</v>
      </c>
    </row>
    <row r="1433" spans="1:14" x14ac:dyDescent="0.25">
      <c r="A1433" t="s">
        <v>25</v>
      </c>
      <c r="B1433" t="s">
        <v>418</v>
      </c>
      <c r="C1433" t="s">
        <v>40</v>
      </c>
      <c r="D1433" t="s">
        <v>22</v>
      </c>
      <c r="E1433" t="s">
        <v>23</v>
      </c>
      <c r="F1433" t="s">
        <v>79</v>
      </c>
      <c r="G1433">
        <v>131585586</v>
      </c>
      <c r="H1433" t="s">
        <v>1286</v>
      </c>
      <c r="I1433">
        <v>7954</v>
      </c>
      <c r="J1433">
        <v>81.73</v>
      </c>
      <c r="K1433">
        <v>56.67</v>
      </c>
      <c r="L1433">
        <v>650080.42000000004</v>
      </c>
      <c r="M1433">
        <v>450753.18</v>
      </c>
      <c r="N1433">
        <v>199327.24</v>
      </c>
    </row>
    <row r="1434" spans="1:14" x14ac:dyDescent="0.25">
      <c r="A1434" t="s">
        <v>38</v>
      </c>
      <c r="B1434" t="s">
        <v>177</v>
      </c>
      <c r="C1434" t="s">
        <v>88</v>
      </c>
      <c r="D1434" t="s">
        <v>22</v>
      </c>
      <c r="E1434" t="s">
        <v>23</v>
      </c>
      <c r="F1434" s="1">
        <v>42795</v>
      </c>
      <c r="G1434">
        <v>208208787</v>
      </c>
      <c r="H1434" t="s">
        <v>503</v>
      </c>
      <c r="I1434">
        <v>2462</v>
      </c>
      <c r="J1434">
        <v>9.33</v>
      </c>
      <c r="K1434">
        <v>6.92</v>
      </c>
      <c r="L1434">
        <v>22970.46</v>
      </c>
      <c r="M1434">
        <v>17037.04</v>
      </c>
      <c r="N1434">
        <v>5933.42</v>
      </c>
    </row>
    <row r="1435" spans="1:14" x14ac:dyDescent="0.25">
      <c r="A1435" t="s">
        <v>29</v>
      </c>
      <c r="B1435" t="s">
        <v>356</v>
      </c>
      <c r="C1435" t="s">
        <v>16</v>
      </c>
      <c r="D1435" t="s">
        <v>22</v>
      </c>
      <c r="E1435" t="s">
        <v>18</v>
      </c>
      <c r="F1435" t="s">
        <v>1265</v>
      </c>
      <c r="G1435">
        <v>919361102</v>
      </c>
      <c r="H1435" t="s">
        <v>1287</v>
      </c>
      <c r="I1435">
        <v>8235</v>
      </c>
      <c r="J1435">
        <v>255.28</v>
      </c>
      <c r="K1435">
        <v>159.41999999999999</v>
      </c>
      <c r="L1435">
        <v>2102230.7999999998</v>
      </c>
      <c r="M1435">
        <v>1312823.7</v>
      </c>
      <c r="N1435">
        <v>789407.1</v>
      </c>
    </row>
    <row r="1436" spans="1:14" x14ac:dyDescent="0.25">
      <c r="A1436" t="s">
        <v>25</v>
      </c>
      <c r="B1436" t="s">
        <v>462</v>
      </c>
      <c r="C1436" t="s">
        <v>40</v>
      </c>
      <c r="D1436" t="s">
        <v>17</v>
      </c>
      <c r="E1436" t="s">
        <v>32</v>
      </c>
      <c r="F1436" s="1">
        <v>40856</v>
      </c>
      <c r="G1436">
        <v>588528859</v>
      </c>
      <c r="H1436" s="1">
        <v>40887</v>
      </c>
      <c r="I1436">
        <v>7623</v>
      </c>
      <c r="J1436">
        <v>81.73</v>
      </c>
      <c r="K1436">
        <v>56.67</v>
      </c>
      <c r="L1436">
        <v>623027.79</v>
      </c>
      <c r="M1436">
        <v>431995.41</v>
      </c>
      <c r="N1436">
        <v>191032.38</v>
      </c>
    </row>
    <row r="1437" spans="1:14" x14ac:dyDescent="0.25">
      <c r="A1437" t="s">
        <v>42</v>
      </c>
      <c r="B1437" t="s">
        <v>361</v>
      </c>
      <c r="C1437" t="s">
        <v>27</v>
      </c>
      <c r="D1437" t="s">
        <v>22</v>
      </c>
      <c r="E1437" t="s">
        <v>32</v>
      </c>
      <c r="F1437" s="1">
        <v>42318</v>
      </c>
      <c r="G1437">
        <v>309510886</v>
      </c>
      <c r="H1437" t="s">
        <v>767</v>
      </c>
      <c r="I1437">
        <v>4</v>
      </c>
      <c r="J1437">
        <v>47.45</v>
      </c>
      <c r="K1437">
        <v>31.79</v>
      </c>
      <c r="L1437">
        <v>189.8</v>
      </c>
      <c r="M1437">
        <v>127.16</v>
      </c>
      <c r="N1437">
        <v>62.64</v>
      </c>
    </row>
    <row r="1438" spans="1:14" x14ac:dyDescent="0.25">
      <c r="A1438" t="s">
        <v>25</v>
      </c>
      <c r="B1438" t="s">
        <v>458</v>
      </c>
      <c r="C1438" t="s">
        <v>69</v>
      </c>
      <c r="D1438" t="s">
        <v>17</v>
      </c>
      <c r="E1438" t="s">
        <v>32</v>
      </c>
      <c r="F1438" s="1">
        <v>43071</v>
      </c>
      <c r="G1438">
        <v>796418511</v>
      </c>
      <c r="H1438" t="s">
        <v>519</v>
      </c>
      <c r="I1438">
        <v>6791</v>
      </c>
      <c r="J1438">
        <v>421.89</v>
      </c>
      <c r="K1438">
        <v>364.69</v>
      </c>
      <c r="L1438">
        <v>2865054.99</v>
      </c>
      <c r="M1438">
        <v>2476609.79</v>
      </c>
      <c r="N1438">
        <v>388445.2</v>
      </c>
    </row>
    <row r="1439" spans="1:14" x14ac:dyDescent="0.25">
      <c r="A1439" t="s">
        <v>42</v>
      </c>
      <c r="B1439" t="s">
        <v>107</v>
      </c>
      <c r="C1439" t="s">
        <v>59</v>
      </c>
      <c r="D1439" t="s">
        <v>22</v>
      </c>
      <c r="E1439" t="s">
        <v>32</v>
      </c>
      <c r="F1439" t="s">
        <v>857</v>
      </c>
      <c r="G1439">
        <v>133675563</v>
      </c>
      <c r="H1439" t="s">
        <v>1288</v>
      </c>
      <c r="I1439">
        <v>6424</v>
      </c>
      <c r="J1439">
        <v>437.2</v>
      </c>
      <c r="K1439">
        <v>263.33</v>
      </c>
      <c r="L1439">
        <v>2808572.8</v>
      </c>
      <c r="M1439">
        <v>1691631.92</v>
      </c>
      <c r="N1439">
        <v>1116940.8799999999</v>
      </c>
    </row>
    <row r="1440" spans="1:14" x14ac:dyDescent="0.25">
      <c r="A1440" t="s">
        <v>25</v>
      </c>
      <c r="B1440" t="s">
        <v>339</v>
      </c>
      <c r="C1440" t="s">
        <v>59</v>
      </c>
      <c r="D1440" t="s">
        <v>17</v>
      </c>
      <c r="E1440" t="s">
        <v>18</v>
      </c>
      <c r="F1440" s="1">
        <v>40608</v>
      </c>
      <c r="G1440">
        <v>526018369</v>
      </c>
      <c r="H1440" t="s">
        <v>1285</v>
      </c>
      <c r="I1440">
        <v>9379</v>
      </c>
      <c r="J1440">
        <v>437.2</v>
      </c>
      <c r="K1440">
        <v>263.33</v>
      </c>
      <c r="L1440">
        <v>4100498.8</v>
      </c>
      <c r="M1440">
        <v>2469772.0699999998</v>
      </c>
      <c r="N1440">
        <v>1630726.73</v>
      </c>
    </row>
    <row r="1441" spans="1:14" x14ac:dyDescent="0.25">
      <c r="A1441" t="s">
        <v>38</v>
      </c>
      <c r="B1441" t="s">
        <v>329</v>
      </c>
      <c r="C1441" t="s">
        <v>59</v>
      </c>
      <c r="D1441" t="s">
        <v>17</v>
      </c>
      <c r="E1441" t="s">
        <v>32</v>
      </c>
      <c r="F1441" t="s">
        <v>1115</v>
      </c>
      <c r="G1441">
        <v>648495757</v>
      </c>
      <c r="H1441" t="s">
        <v>1289</v>
      </c>
      <c r="I1441">
        <v>3160</v>
      </c>
      <c r="J1441">
        <v>437.2</v>
      </c>
      <c r="K1441">
        <v>263.33</v>
      </c>
      <c r="L1441">
        <v>1381552</v>
      </c>
      <c r="M1441">
        <v>832122.8</v>
      </c>
      <c r="N1441">
        <v>549429.19999999995</v>
      </c>
    </row>
    <row r="1442" spans="1:14" x14ac:dyDescent="0.25">
      <c r="A1442" t="s">
        <v>14</v>
      </c>
      <c r="B1442" t="s">
        <v>154</v>
      </c>
      <c r="C1442" t="s">
        <v>113</v>
      </c>
      <c r="D1442" t="s">
        <v>22</v>
      </c>
      <c r="E1442" t="s">
        <v>45</v>
      </c>
      <c r="F1442" t="s">
        <v>738</v>
      </c>
      <c r="G1442">
        <v>596469056</v>
      </c>
      <c r="H1442" t="s">
        <v>1045</v>
      </c>
      <c r="I1442">
        <v>7303</v>
      </c>
      <c r="J1442">
        <v>154.06</v>
      </c>
      <c r="K1442">
        <v>90.93</v>
      </c>
      <c r="L1442">
        <v>1125100.18</v>
      </c>
      <c r="M1442">
        <v>664061.79</v>
      </c>
      <c r="N1442">
        <v>461038.39</v>
      </c>
    </row>
    <row r="1443" spans="1:14" x14ac:dyDescent="0.25">
      <c r="A1443" t="s">
        <v>38</v>
      </c>
      <c r="B1443" t="s">
        <v>288</v>
      </c>
      <c r="C1443" t="s">
        <v>88</v>
      </c>
      <c r="D1443" t="s">
        <v>17</v>
      </c>
      <c r="E1443" t="s">
        <v>45</v>
      </c>
      <c r="F1443" t="s">
        <v>948</v>
      </c>
      <c r="G1443">
        <v>535612094</v>
      </c>
      <c r="H1443" s="1">
        <v>40605</v>
      </c>
      <c r="I1443">
        <v>8376</v>
      </c>
      <c r="J1443">
        <v>9.33</v>
      </c>
      <c r="K1443">
        <v>6.92</v>
      </c>
      <c r="L1443">
        <v>78148.08</v>
      </c>
      <c r="M1443">
        <v>57961.919999999998</v>
      </c>
      <c r="N1443">
        <v>20186.16</v>
      </c>
    </row>
    <row r="1444" spans="1:14" x14ac:dyDescent="0.25">
      <c r="A1444" t="s">
        <v>77</v>
      </c>
      <c r="B1444" t="s">
        <v>78</v>
      </c>
      <c r="C1444" t="s">
        <v>21</v>
      </c>
      <c r="D1444" t="s">
        <v>22</v>
      </c>
      <c r="E1444" t="s">
        <v>32</v>
      </c>
      <c r="F1444" s="1">
        <v>42772</v>
      </c>
      <c r="G1444">
        <v>251911199</v>
      </c>
      <c r="H1444" s="1">
        <v>42831</v>
      </c>
      <c r="I1444">
        <v>4977</v>
      </c>
      <c r="J1444">
        <v>152.58000000000001</v>
      </c>
      <c r="K1444">
        <v>97.44</v>
      </c>
      <c r="L1444">
        <v>759390.66</v>
      </c>
      <c r="M1444">
        <v>484958.88</v>
      </c>
      <c r="N1444">
        <v>274431.78000000003</v>
      </c>
    </row>
    <row r="1445" spans="1:14" x14ac:dyDescent="0.25">
      <c r="A1445" t="s">
        <v>14</v>
      </c>
      <c r="B1445" t="s">
        <v>835</v>
      </c>
      <c r="C1445" t="s">
        <v>55</v>
      </c>
      <c r="D1445" t="s">
        <v>22</v>
      </c>
      <c r="E1445" t="s">
        <v>32</v>
      </c>
      <c r="F1445" s="1">
        <v>41039</v>
      </c>
      <c r="G1445">
        <v>501665198</v>
      </c>
      <c r="H1445" t="s">
        <v>228</v>
      </c>
      <c r="I1445">
        <v>2735</v>
      </c>
      <c r="J1445">
        <v>651.21</v>
      </c>
      <c r="K1445">
        <v>524.96</v>
      </c>
      <c r="L1445">
        <v>1781059.35</v>
      </c>
      <c r="M1445">
        <v>1435765.6</v>
      </c>
      <c r="N1445">
        <v>345293.75</v>
      </c>
    </row>
    <row r="1446" spans="1:14" x14ac:dyDescent="0.25">
      <c r="A1446" t="s">
        <v>29</v>
      </c>
      <c r="B1446" t="s">
        <v>61</v>
      </c>
      <c r="C1446" t="s">
        <v>27</v>
      </c>
      <c r="D1446" t="s">
        <v>22</v>
      </c>
      <c r="E1446" t="s">
        <v>32</v>
      </c>
      <c r="F1446" s="1">
        <v>40238</v>
      </c>
      <c r="G1446">
        <v>761485421</v>
      </c>
      <c r="H1446" t="s">
        <v>880</v>
      </c>
      <c r="I1446">
        <v>9313</v>
      </c>
      <c r="J1446">
        <v>47.45</v>
      </c>
      <c r="K1446">
        <v>31.79</v>
      </c>
      <c r="L1446">
        <v>441901.85</v>
      </c>
      <c r="M1446">
        <v>296060.27</v>
      </c>
      <c r="N1446">
        <v>145841.57999999999</v>
      </c>
    </row>
    <row r="1447" spans="1:14" x14ac:dyDescent="0.25">
      <c r="A1447" t="s">
        <v>38</v>
      </c>
      <c r="B1447" t="s">
        <v>105</v>
      </c>
      <c r="C1447" t="s">
        <v>69</v>
      </c>
      <c r="D1447" t="s">
        <v>22</v>
      </c>
      <c r="E1447" t="s">
        <v>32</v>
      </c>
      <c r="F1447" s="1">
        <v>40825</v>
      </c>
      <c r="G1447">
        <v>578295695</v>
      </c>
      <c r="H1447" t="s">
        <v>725</v>
      </c>
      <c r="I1447">
        <v>9402</v>
      </c>
      <c r="J1447">
        <v>421.89</v>
      </c>
      <c r="K1447">
        <v>364.69</v>
      </c>
      <c r="L1447">
        <v>3966609.78</v>
      </c>
      <c r="M1447">
        <v>3428815.38</v>
      </c>
      <c r="N1447">
        <v>537794.4</v>
      </c>
    </row>
    <row r="1448" spans="1:14" x14ac:dyDescent="0.25">
      <c r="A1448" t="s">
        <v>38</v>
      </c>
      <c r="B1448" t="s">
        <v>346</v>
      </c>
      <c r="C1448" t="s">
        <v>21</v>
      </c>
      <c r="D1448" t="s">
        <v>22</v>
      </c>
      <c r="E1448" t="s">
        <v>18</v>
      </c>
      <c r="F1448" s="1">
        <v>41316</v>
      </c>
      <c r="G1448">
        <v>919332349</v>
      </c>
      <c r="H1448" t="s">
        <v>511</v>
      </c>
      <c r="I1448">
        <v>9726</v>
      </c>
      <c r="J1448">
        <v>152.58000000000001</v>
      </c>
      <c r="K1448">
        <v>97.44</v>
      </c>
      <c r="L1448">
        <v>1483993.08</v>
      </c>
      <c r="M1448">
        <v>947701.44</v>
      </c>
      <c r="N1448">
        <v>536291.64</v>
      </c>
    </row>
    <row r="1449" spans="1:14" x14ac:dyDescent="0.25">
      <c r="A1449" t="s">
        <v>25</v>
      </c>
      <c r="B1449" t="s">
        <v>96</v>
      </c>
      <c r="C1449" t="s">
        <v>27</v>
      </c>
      <c r="D1449" t="s">
        <v>22</v>
      </c>
      <c r="E1449" t="s">
        <v>23</v>
      </c>
      <c r="F1449" t="s">
        <v>858</v>
      </c>
      <c r="G1449">
        <v>122144210</v>
      </c>
      <c r="H1449" t="s">
        <v>1290</v>
      </c>
      <c r="I1449">
        <v>4041</v>
      </c>
      <c r="J1449">
        <v>47.45</v>
      </c>
      <c r="K1449">
        <v>31.79</v>
      </c>
      <c r="L1449">
        <v>191745.45</v>
      </c>
      <c r="M1449">
        <v>128463.39</v>
      </c>
      <c r="N1449">
        <v>63282.06</v>
      </c>
    </row>
    <row r="1450" spans="1:14" x14ac:dyDescent="0.25">
      <c r="A1450" t="s">
        <v>25</v>
      </c>
      <c r="B1450" t="s">
        <v>609</v>
      </c>
      <c r="C1450" t="s">
        <v>55</v>
      </c>
      <c r="D1450" t="s">
        <v>22</v>
      </c>
      <c r="E1450" t="s">
        <v>45</v>
      </c>
      <c r="F1450" s="1">
        <v>42528</v>
      </c>
      <c r="G1450">
        <v>644592607</v>
      </c>
      <c r="H1450" t="s">
        <v>62</v>
      </c>
      <c r="I1450">
        <v>8131</v>
      </c>
      <c r="J1450">
        <v>651.21</v>
      </c>
      <c r="K1450">
        <v>524.96</v>
      </c>
      <c r="L1450">
        <v>5294988.51</v>
      </c>
      <c r="M1450">
        <v>4268449.76</v>
      </c>
      <c r="N1450">
        <v>1026538.75</v>
      </c>
    </row>
    <row r="1451" spans="1:14" x14ac:dyDescent="0.25">
      <c r="A1451" t="s">
        <v>77</v>
      </c>
      <c r="B1451" t="s">
        <v>622</v>
      </c>
      <c r="C1451" t="s">
        <v>31</v>
      </c>
      <c r="D1451" t="s">
        <v>22</v>
      </c>
      <c r="E1451" t="s">
        <v>45</v>
      </c>
      <c r="F1451" t="s">
        <v>1122</v>
      </c>
      <c r="G1451">
        <v>514851367</v>
      </c>
      <c r="H1451" s="1">
        <v>40219</v>
      </c>
      <c r="I1451">
        <v>4815</v>
      </c>
      <c r="J1451">
        <v>205.7</v>
      </c>
      <c r="K1451">
        <v>117.11</v>
      </c>
      <c r="L1451">
        <v>990445.5</v>
      </c>
      <c r="M1451">
        <v>563884.65</v>
      </c>
      <c r="N1451">
        <v>426560.85</v>
      </c>
    </row>
    <row r="1452" spans="1:14" x14ac:dyDescent="0.25">
      <c r="A1452" t="s">
        <v>51</v>
      </c>
      <c r="B1452" t="s">
        <v>578</v>
      </c>
      <c r="C1452" t="s">
        <v>113</v>
      </c>
      <c r="D1452" t="s">
        <v>22</v>
      </c>
      <c r="E1452" t="s">
        <v>23</v>
      </c>
      <c r="F1452" s="1">
        <v>42249</v>
      </c>
      <c r="G1452">
        <v>981406819</v>
      </c>
      <c r="H1452" t="s">
        <v>1291</v>
      </c>
      <c r="I1452">
        <v>8942</v>
      </c>
      <c r="J1452">
        <v>154.06</v>
      </c>
      <c r="K1452">
        <v>90.93</v>
      </c>
      <c r="L1452">
        <v>1377604.52</v>
      </c>
      <c r="M1452">
        <v>813096.06</v>
      </c>
      <c r="N1452">
        <v>564508.46</v>
      </c>
    </row>
    <row r="1453" spans="1:14" x14ac:dyDescent="0.25">
      <c r="A1453" t="s">
        <v>38</v>
      </c>
      <c r="B1453" t="s">
        <v>346</v>
      </c>
      <c r="C1453" t="s">
        <v>27</v>
      </c>
      <c r="D1453" t="s">
        <v>22</v>
      </c>
      <c r="E1453" t="s">
        <v>18</v>
      </c>
      <c r="F1453" s="1">
        <v>41218</v>
      </c>
      <c r="G1453">
        <v>663057792</v>
      </c>
      <c r="H1453" t="s">
        <v>523</v>
      </c>
      <c r="I1453">
        <v>2390</v>
      </c>
      <c r="J1453">
        <v>47.45</v>
      </c>
      <c r="K1453">
        <v>31.79</v>
      </c>
      <c r="L1453">
        <v>113405.5</v>
      </c>
      <c r="M1453">
        <v>75978.100000000006</v>
      </c>
      <c r="N1453">
        <v>37427.4</v>
      </c>
    </row>
    <row r="1454" spans="1:14" x14ac:dyDescent="0.25">
      <c r="A1454" t="s">
        <v>14</v>
      </c>
      <c r="B1454" t="s">
        <v>66</v>
      </c>
      <c r="C1454" t="s">
        <v>31</v>
      </c>
      <c r="D1454" t="s">
        <v>17</v>
      </c>
      <c r="E1454" t="s">
        <v>23</v>
      </c>
      <c r="F1454" t="s">
        <v>1292</v>
      </c>
      <c r="G1454">
        <v>498915612</v>
      </c>
      <c r="H1454" t="s">
        <v>1293</v>
      </c>
      <c r="I1454">
        <v>9072</v>
      </c>
      <c r="J1454">
        <v>205.7</v>
      </c>
      <c r="K1454">
        <v>117.11</v>
      </c>
      <c r="L1454">
        <v>1866110.4</v>
      </c>
      <c r="M1454">
        <v>1062421.92</v>
      </c>
      <c r="N1454">
        <v>803688.48</v>
      </c>
    </row>
    <row r="1455" spans="1:14" x14ac:dyDescent="0.25">
      <c r="A1455" t="s">
        <v>25</v>
      </c>
      <c r="B1455" t="s">
        <v>386</v>
      </c>
      <c r="C1455" t="s">
        <v>88</v>
      </c>
      <c r="D1455" t="s">
        <v>17</v>
      </c>
      <c r="E1455" t="s">
        <v>45</v>
      </c>
      <c r="F1455" s="1">
        <v>41709</v>
      </c>
      <c r="G1455">
        <v>598404109</v>
      </c>
      <c r="H1455" t="s">
        <v>326</v>
      </c>
      <c r="I1455">
        <v>9929</v>
      </c>
      <c r="J1455">
        <v>9.33</v>
      </c>
      <c r="K1455">
        <v>6.92</v>
      </c>
      <c r="L1455">
        <v>92637.57</v>
      </c>
      <c r="M1455">
        <v>68708.679999999993</v>
      </c>
      <c r="N1455">
        <v>23928.89</v>
      </c>
    </row>
    <row r="1456" spans="1:14" x14ac:dyDescent="0.25">
      <c r="A1456" t="s">
        <v>51</v>
      </c>
      <c r="B1456" t="s">
        <v>664</v>
      </c>
      <c r="C1456" t="s">
        <v>131</v>
      </c>
      <c r="D1456" t="s">
        <v>22</v>
      </c>
      <c r="E1456" t="s">
        <v>32</v>
      </c>
      <c r="F1456" s="1">
        <v>41255</v>
      </c>
      <c r="G1456">
        <v>691259610</v>
      </c>
      <c r="H1456" s="1">
        <v>41334</v>
      </c>
      <c r="I1456">
        <v>7935</v>
      </c>
      <c r="J1456">
        <v>668.27</v>
      </c>
      <c r="K1456">
        <v>502.54</v>
      </c>
      <c r="L1456">
        <v>5302722.45</v>
      </c>
      <c r="M1456">
        <v>3987654.9</v>
      </c>
      <c r="N1456">
        <v>1315067.55</v>
      </c>
    </row>
    <row r="1457" spans="1:14" x14ac:dyDescent="0.25">
      <c r="A1457" t="s">
        <v>25</v>
      </c>
      <c r="B1457" t="s">
        <v>26</v>
      </c>
      <c r="C1457" t="s">
        <v>40</v>
      </c>
      <c r="D1457" t="s">
        <v>17</v>
      </c>
      <c r="E1457" t="s">
        <v>23</v>
      </c>
      <c r="F1457" t="s">
        <v>1294</v>
      </c>
      <c r="G1457">
        <v>577530944</v>
      </c>
      <c r="H1457" t="s">
        <v>988</v>
      </c>
      <c r="I1457">
        <v>3095</v>
      </c>
      <c r="J1457">
        <v>81.73</v>
      </c>
      <c r="K1457">
        <v>56.67</v>
      </c>
      <c r="L1457">
        <v>252954.35</v>
      </c>
      <c r="M1457">
        <v>175393.65</v>
      </c>
      <c r="N1457">
        <v>77560.7</v>
      </c>
    </row>
    <row r="1458" spans="1:14" x14ac:dyDescent="0.25">
      <c r="A1458" t="s">
        <v>77</v>
      </c>
      <c r="B1458" t="s">
        <v>320</v>
      </c>
      <c r="C1458" t="s">
        <v>31</v>
      </c>
      <c r="D1458" t="s">
        <v>22</v>
      </c>
      <c r="E1458" t="s">
        <v>18</v>
      </c>
      <c r="F1458" t="s">
        <v>875</v>
      </c>
      <c r="G1458">
        <v>577579438</v>
      </c>
      <c r="H1458" t="s">
        <v>1295</v>
      </c>
      <c r="I1458">
        <v>7446</v>
      </c>
      <c r="J1458">
        <v>205.7</v>
      </c>
      <c r="K1458">
        <v>117.11</v>
      </c>
      <c r="L1458">
        <v>1531642.2</v>
      </c>
      <c r="M1458">
        <v>872001.06</v>
      </c>
      <c r="N1458">
        <v>659641.14</v>
      </c>
    </row>
    <row r="1459" spans="1:14" x14ac:dyDescent="0.25">
      <c r="A1459" t="s">
        <v>25</v>
      </c>
      <c r="B1459" t="s">
        <v>134</v>
      </c>
      <c r="C1459" t="s">
        <v>88</v>
      </c>
      <c r="D1459" t="s">
        <v>22</v>
      </c>
      <c r="E1459" t="s">
        <v>45</v>
      </c>
      <c r="F1459" s="1">
        <v>42705</v>
      </c>
      <c r="G1459">
        <v>182078921</v>
      </c>
      <c r="H1459" t="s">
        <v>1211</v>
      </c>
      <c r="I1459">
        <v>54</v>
      </c>
      <c r="J1459">
        <v>9.33</v>
      </c>
      <c r="K1459">
        <v>6.92</v>
      </c>
      <c r="L1459">
        <v>503.82</v>
      </c>
      <c r="M1459">
        <v>373.68</v>
      </c>
      <c r="N1459">
        <v>130.13999999999999</v>
      </c>
    </row>
    <row r="1460" spans="1:14" x14ac:dyDescent="0.25">
      <c r="A1460" t="s">
        <v>25</v>
      </c>
      <c r="B1460" t="s">
        <v>204</v>
      </c>
      <c r="C1460" t="s">
        <v>16</v>
      </c>
      <c r="D1460" t="s">
        <v>17</v>
      </c>
      <c r="E1460" t="s">
        <v>45</v>
      </c>
      <c r="F1460" t="s">
        <v>740</v>
      </c>
      <c r="G1460">
        <v>302015721</v>
      </c>
      <c r="H1460" t="s">
        <v>1027</v>
      </c>
      <c r="I1460">
        <v>2018</v>
      </c>
      <c r="J1460">
        <v>255.28</v>
      </c>
      <c r="K1460">
        <v>159.41999999999999</v>
      </c>
      <c r="L1460">
        <v>515155.04</v>
      </c>
      <c r="M1460">
        <v>321709.56</v>
      </c>
      <c r="N1460">
        <v>193445.48</v>
      </c>
    </row>
    <row r="1461" spans="1:14" x14ac:dyDescent="0.25">
      <c r="A1461" t="s">
        <v>38</v>
      </c>
      <c r="B1461" t="s">
        <v>49</v>
      </c>
      <c r="C1461" t="s">
        <v>88</v>
      </c>
      <c r="D1461" t="s">
        <v>17</v>
      </c>
      <c r="E1461" t="s">
        <v>32</v>
      </c>
      <c r="F1461" t="s">
        <v>1062</v>
      </c>
      <c r="G1461">
        <v>118688666</v>
      </c>
      <c r="H1461" t="s">
        <v>1296</v>
      </c>
      <c r="I1461">
        <v>1469</v>
      </c>
      <c r="J1461">
        <v>9.33</v>
      </c>
      <c r="K1461">
        <v>6.92</v>
      </c>
      <c r="L1461">
        <v>13705.77</v>
      </c>
      <c r="M1461">
        <v>10165.48</v>
      </c>
      <c r="N1461">
        <v>3540.29</v>
      </c>
    </row>
    <row r="1462" spans="1:14" x14ac:dyDescent="0.25">
      <c r="A1462" t="s">
        <v>25</v>
      </c>
      <c r="B1462" t="s">
        <v>201</v>
      </c>
      <c r="C1462" t="s">
        <v>44</v>
      </c>
      <c r="D1462" t="s">
        <v>22</v>
      </c>
      <c r="E1462" t="s">
        <v>18</v>
      </c>
      <c r="F1462" t="s">
        <v>1297</v>
      </c>
      <c r="G1462">
        <v>233709084</v>
      </c>
      <c r="H1462" t="s">
        <v>133</v>
      </c>
      <c r="I1462">
        <v>8566</v>
      </c>
      <c r="J1462">
        <v>109.28</v>
      </c>
      <c r="K1462">
        <v>35.840000000000003</v>
      </c>
      <c r="L1462">
        <v>936092.48</v>
      </c>
      <c r="M1462">
        <v>307005.44</v>
      </c>
      <c r="N1462">
        <v>629087.04</v>
      </c>
    </row>
    <row r="1463" spans="1:14" x14ac:dyDescent="0.25">
      <c r="A1463" t="s">
        <v>51</v>
      </c>
      <c r="B1463" t="s">
        <v>877</v>
      </c>
      <c r="C1463" t="s">
        <v>113</v>
      </c>
      <c r="D1463" t="s">
        <v>17</v>
      </c>
      <c r="E1463" t="s">
        <v>18</v>
      </c>
      <c r="F1463" s="1">
        <v>41281</v>
      </c>
      <c r="G1463">
        <v>419000804</v>
      </c>
      <c r="H1463" s="1">
        <v>41401</v>
      </c>
      <c r="I1463">
        <v>504</v>
      </c>
      <c r="J1463">
        <v>154.06</v>
      </c>
      <c r="K1463">
        <v>90.93</v>
      </c>
      <c r="L1463">
        <v>77646.240000000005</v>
      </c>
      <c r="M1463">
        <v>45828.72</v>
      </c>
      <c r="N1463">
        <v>31817.52</v>
      </c>
    </row>
    <row r="1464" spans="1:14" x14ac:dyDescent="0.25">
      <c r="A1464" t="s">
        <v>25</v>
      </c>
      <c r="B1464" t="s">
        <v>87</v>
      </c>
      <c r="C1464" t="s">
        <v>69</v>
      </c>
      <c r="D1464" t="s">
        <v>22</v>
      </c>
      <c r="E1464" t="s">
        <v>18</v>
      </c>
      <c r="F1464" t="s">
        <v>1118</v>
      </c>
      <c r="G1464">
        <v>966800153</v>
      </c>
      <c r="H1464" s="1">
        <v>40460</v>
      </c>
      <c r="I1464">
        <v>6505</v>
      </c>
      <c r="J1464">
        <v>421.89</v>
      </c>
      <c r="K1464">
        <v>364.69</v>
      </c>
      <c r="L1464">
        <v>2744394.45</v>
      </c>
      <c r="M1464">
        <v>2372308.4500000002</v>
      </c>
      <c r="N1464">
        <v>372086</v>
      </c>
    </row>
    <row r="1465" spans="1:14" x14ac:dyDescent="0.25">
      <c r="A1465" t="s">
        <v>29</v>
      </c>
      <c r="B1465" t="s">
        <v>248</v>
      </c>
      <c r="C1465" t="s">
        <v>16</v>
      </c>
      <c r="D1465" t="s">
        <v>17</v>
      </c>
      <c r="E1465" t="s">
        <v>32</v>
      </c>
      <c r="F1465" s="1">
        <v>42711</v>
      </c>
      <c r="G1465">
        <v>439655959</v>
      </c>
      <c r="H1465" t="s">
        <v>1018</v>
      </c>
      <c r="I1465">
        <v>2823</v>
      </c>
      <c r="J1465">
        <v>255.28</v>
      </c>
      <c r="K1465">
        <v>159.41999999999999</v>
      </c>
      <c r="L1465">
        <v>720655.44</v>
      </c>
      <c r="M1465">
        <v>450042.66</v>
      </c>
      <c r="N1465">
        <v>270612.78000000003</v>
      </c>
    </row>
    <row r="1466" spans="1:14" x14ac:dyDescent="0.25">
      <c r="A1466" t="s">
        <v>14</v>
      </c>
      <c r="B1466" t="s">
        <v>208</v>
      </c>
      <c r="C1466" t="s">
        <v>59</v>
      </c>
      <c r="D1466" t="s">
        <v>22</v>
      </c>
      <c r="E1466" t="s">
        <v>45</v>
      </c>
      <c r="F1466" s="1">
        <v>41033</v>
      </c>
      <c r="G1466">
        <v>620429551</v>
      </c>
      <c r="H1466" s="1">
        <v>41218</v>
      </c>
      <c r="I1466">
        <v>7746</v>
      </c>
      <c r="J1466">
        <v>437.2</v>
      </c>
      <c r="K1466">
        <v>263.33</v>
      </c>
      <c r="L1466">
        <v>3386551.2</v>
      </c>
      <c r="M1466">
        <v>2039754.18</v>
      </c>
      <c r="N1466">
        <v>1346797.02</v>
      </c>
    </row>
    <row r="1467" spans="1:14" x14ac:dyDescent="0.25">
      <c r="A1467" t="s">
        <v>51</v>
      </c>
      <c r="B1467" t="s">
        <v>542</v>
      </c>
      <c r="C1467" t="s">
        <v>40</v>
      </c>
      <c r="D1467" t="s">
        <v>17</v>
      </c>
      <c r="E1467" t="s">
        <v>45</v>
      </c>
      <c r="F1467" s="1">
        <v>41822</v>
      </c>
      <c r="G1467">
        <v>662294757</v>
      </c>
      <c r="H1467" t="s">
        <v>1298</v>
      </c>
      <c r="I1467">
        <v>6591</v>
      </c>
      <c r="J1467">
        <v>81.73</v>
      </c>
      <c r="K1467">
        <v>56.67</v>
      </c>
      <c r="L1467">
        <v>538682.43000000005</v>
      </c>
      <c r="M1467">
        <v>373511.97</v>
      </c>
      <c r="N1467">
        <v>165170.46</v>
      </c>
    </row>
    <row r="1468" spans="1:14" x14ac:dyDescent="0.25">
      <c r="A1468" t="s">
        <v>51</v>
      </c>
      <c r="B1468" t="s">
        <v>52</v>
      </c>
      <c r="C1468" t="s">
        <v>55</v>
      </c>
      <c r="D1468" t="s">
        <v>22</v>
      </c>
      <c r="E1468" t="s">
        <v>45</v>
      </c>
      <c r="F1468" t="s">
        <v>1218</v>
      </c>
      <c r="G1468">
        <v>238737905</v>
      </c>
      <c r="H1468" t="s">
        <v>566</v>
      </c>
      <c r="I1468">
        <v>6706</v>
      </c>
      <c r="J1468">
        <v>651.21</v>
      </c>
      <c r="K1468">
        <v>524.96</v>
      </c>
      <c r="L1468">
        <v>4367014.26</v>
      </c>
      <c r="M1468">
        <v>3520381.76</v>
      </c>
      <c r="N1468">
        <v>846632.5</v>
      </c>
    </row>
    <row r="1469" spans="1:14" x14ac:dyDescent="0.25">
      <c r="A1469" t="s">
        <v>14</v>
      </c>
      <c r="B1469" t="s">
        <v>488</v>
      </c>
      <c r="C1469" t="s">
        <v>31</v>
      </c>
      <c r="D1469" t="s">
        <v>22</v>
      </c>
      <c r="E1469" t="s">
        <v>45</v>
      </c>
      <c r="F1469" t="s">
        <v>1086</v>
      </c>
      <c r="G1469">
        <v>893557822</v>
      </c>
      <c r="H1469" s="1">
        <v>40798</v>
      </c>
      <c r="I1469">
        <v>2471</v>
      </c>
      <c r="J1469">
        <v>205.7</v>
      </c>
      <c r="K1469">
        <v>117.11</v>
      </c>
      <c r="L1469">
        <v>508284.7</v>
      </c>
      <c r="M1469">
        <v>289378.81</v>
      </c>
      <c r="N1469">
        <v>218905.89</v>
      </c>
    </row>
    <row r="1470" spans="1:14" x14ac:dyDescent="0.25">
      <c r="A1470" t="s">
        <v>14</v>
      </c>
      <c r="B1470" t="s">
        <v>835</v>
      </c>
      <c r="C1470" t="s">
        <v>131</v>
      </c>
      <c r="D1470" t="s">
        <v>22</v>
      </c>
      <c r="E1470" t="s">
        <v>18</v>
      </c>
      <c r="F1470" t="s">
        <v>1299</v>
      </c>
      <c r="G1470">
        <v>190865838</v>
      </c>
      <c r="H1470" t="s">
        <v>683</v>
      </c>
      <c r="I1470">
        <v>298</v>
      </c>
      <c r="J1470">
        <v>668.27</v>
      </c>
      <c r="K1470">
        <v>502.54</v>
      </c>
      <c r="L1470">
        <v>199144.46</v>
      </c>
      <c r="M1470">
        <v>149756.92000000001</v>
      </c>
      <c r="N1470">
        <v>49387.54</v>
      </c>
    </row>
    <row r="1471" spans="1:14" x14ac:dyDescent="0.25">
      <c r="A1471" t="s">
        <v>38</v>
      </c>
      <c r="B1471" t="s">
        <v>54</v>
      </c>
      <c r="C1471" t="s">
        <v>113</v>
      </c>
      <c r="D1471" t="s">
        <v>17</v>
      </c>
      <c r="E1471" t="s">
        <v>23</v>
      </c>
      <c r="F1471" t="s">
        <v>730</v>
      </c>
      <c r="G1471">
        <v>265085780</v>
      </c>
      <c r="H1471" t="s">
        <v>1300</v>
      </c>
      <c r="I1471">
        <v>3628</v>
      </c>
      <c r="J1471">
        <v>154.06</v>
      </c>
      <c r="K1471">
        <v>90.93</v>
      </c>
      <c r="L1471">
        <v>558929.68000000005</v>
      </c>
      <c r="M1471">
        <v>329894.03999999998</v>
      </c>
      <c r="N1471">
        <v>229035.64</v>
      </c>
    </row>
    <row r="1472" spans="1:14" x14ac:dyDescent="0.25">
      <c r="A1472" t="s">
        <v>29</v>
      </c>
      <c r="B1472" t="s">
        <v>485</v>
      </c>
      <c r="C1472" t="s">
        <v>16</v>
      </c>
      <c r="D1472" t="s">
        <v>22</v>
      </c>
      <c r="E1472" t="s">
        <v>32</v>
      </c>
      <c r="F1472" t="s">
        <v>840</v>
      </c>
      <c r="G1472">
        <v>170953977</v>
      </c>
      <c r="H1472" s="1">
        <v>42497</v>
      </c>
      <c r="I1472">
        <v>7936</v>
      </c>
      <c r="J1472">
        <v>255.28</v>
      </c>
      <c r="K1472">
        <v>159.41999999999999</v>
      </c>
      <c r="L1472">
        <v>2025902.0800000001</v>
      </c>
      <c r="M1472">
        <v>1265157.1200000001</v>
      </c>
      <c r="N1472">
        <v>760744.95999999996</v>
      </c>
    </row>
    <row r="1473" spans="1:14" x14ac:dyDescent="0.25">
      <c r="A1473" t="s">
        <v>29</v>
      </c>
      <c r="B1473" t="s">
        <v>315</v>
      </c>
      <c r="C1473" t="s">
        <v>44</v>
      </c>
      <c r="D1473" t="s">
        <v>22</v>
      </c>
      <c r="E1473" t="s">
        <v>23</v>
      </c>
      <c r="F1473" t="s">
        <v>1301</v>
      </c>
      <c r="G1473">
        <v>833519256</v>
      </c>
      <c r="H1473" t="s">
        <v>175</v>
      </c>
      <c r="I1473">
        <v>5725</v>
      </c>
      <c r="J1473">
        <v>109.28</v>
      </c>
      <c r="K1473">
        <v>35.840000000000003</v>
      </c>
      <c r="L1473">
        <v>625628</v>
      </c>
      <c r="M1473">
        <v>205184</v>
      </c>
      <c r="N1473">
        <v>420444</v>
      </c>
    </row>
    <row r="1474" spans="1:14" x14ac:dyDescent="0.25">
      <c r="A1474" t="s">
        <v>51</v>
      </c>
      <c r="B1474" t="s">
        <v>360</v>
      </c>
      <c r="C1474" t="s">
        <v>55</v>
      </c>
      <c r="D1474" t="s">
        <v>22</v>
      </c>
      <c r="E1474" t="s">
        <v>32</v>
      </c>
      <c r="F1474" s="1">
        <v>42282</v>
      </c>
      <c r="G1474">
        <v>998142945</v>
      </c>
      <c r="H1474" s="1">
        <v>42161</v>
      </c>
      <c r="I1474">
        <v>1533</v>
      </c>
      <c r="J1474">
        <v>651.21</v>
      </c>
      <c r="K1474">
        <v>524.96</v>
      </c>
      <c r="L1474">
        <v>998304.93</v>
      </c>
      <c r="M1474">
        <v>804763.68</v>
      </c>
      <c r="N1474">
        <v>193541.25</v>
      </c>
    </row>
    <row r="1475" spans="1:14" x14ac:dyDescent="0.25">
      <c r="A1475" t="s">
        <v>25</v>
      </c>
      <c r="B1475" t="s">
        <v>74</v>
      </c>
      <c r="C1475" t="s">
        <v>44</v>
      </c>
      <c r="D1475" t="s">
        <v>17</v>
      </c>
      <c r="E1475" t="s">
        <v>45</v>
      </c>
      <c r="F1475" t="s">
        <v>1085</v>
      </c>
      <c r="G1475">
        <v>380498874</v>
      </c>
      <c r="H1475" t="s">
        <v>1302</v>
      </c>
      <c r="I1475">
        <v>6927</v>
      </c>
      <c r="J1475">
        <v>109.28</v>
      </c>
      <c r="K1475">
        <v>35.840000000000003</v>
      </c>
      <c r="L1475">
        <v>756982.56</v>
      </c>
      <c r="M1475">
        <v>248263.67999999999</v>
      </c>
      <c r="N1475">
        <v>508718.88</v>
      </c>
    </row>
    <row r="1476" spans="1:14" x14ac:dyDescent="0.25">
      <c r="A1476" t="s">
        <v>51</v>
      </c>
      <c r="B1476" t="s">
        <v>638</v>
      </c>
      <c r="C1476" t="s">
        <v>69</v>
      </c>
      <c r="D1476" t="s">
        <v>22</v>
      </c>
      <c r="E1476" t="s">
        <v>23</v>
      </c>
      <c r="F1476" t="s">
        <v>391</v>
      </c>
      <c r="G1476">
        <v>116573369</v>
      </c>
      <c r="H1476" s="1">
        <v>42440</v>
      </c>
      <c r="I1476">
        <v>5505</v>
      </c>
      <c r="J1476">
        <v>421.89</v>
      </c>
      <c r="K1476">
        <v>364.69</v>
      </c>
      <c r="L1476">
        <v>2322504.4500000002</v>
      </c>
      <c r="M1476">
        <v>2007618.45</v>
      </c>
      <c r="N1476">
        <v>314886</v>
      </c>
    </row>
    <row r="1477" spans="1:14" x14ac:dyDescent="0.25">
      <c r="A1477" t="s">
        <v>51</v>
      </c>
      <c r="B1477" t="s">
        <v>108</v>
      </c>
      <c r="C1477" t="s">
        <v>88</v>
      </c>
      <c r="D1477" t="s">
        <v>22</v>
      </c>
      <c r="E1477" t="s">
        <v>23</v>
      </c>
      <c r="F1477" t="s">
        <v>1303</v>
      </c>
      <c r="G1477">
        <v>512665259</v>
      </c>
      <c r="H1477" t="s">
        <v>1304</v>
      </c>
      <c r="I1477">
        <v>7898</v>
      </c>
      <c r="J1477">
        <v>9.33</v>
      </c>
      <c r="K1477">
        <v>6.92</v>
      </c>
      <c r="L1477">
        <v>73688.34</v>
      </c>
      <c r="M1477">
        <v>54654.16</v>
      </c>
      <c r="N1477">
        <v>19034.18</v>
      </c>
    </row>
    <row r="1478" spans="1:14" x14ac:dyDescent="0.25">
      <c r="A1478" t="s">
        <v>25</v>
      </c>
      <c r="B1478" t="s">
        <v>112</v>
      </c>
      <c r="C1478" t="s">
        <v>40</v>
      </c>
      <c r="D1478" t="s">
        <v>22</v>
      </c>
      <c r="E1478" t="s">
        <v>18</v>
      </c>
      <c r="F1478" s="1">
        <v>40736</v>
      </c>
      <c r="G1478">
        <v>595385873</v>
      </c>
      <c r="H1478" t="s">
        <v>765</v>
      </c>
      <c r="I1478">
        <v>6765</v>
      </c>
      <c r="J1478">
        <v>81.73</v>
      </c>
      <c r="K1478">
        <v>56.67</v>
      </c>
      <c r="L1478">
        <v>552903.44999999995</v>
      </c>
      <c r="M1478">
        <v>383372.55</v>
      </c>
      <c r="N1478">
        <v>169530.9</v>
      </c>
    </row>
    <row r="1479" spans="1:14" x14ac:dyDescent="0.25">
      <c r="A1479" t="s">
        <v>25</v>
      </c>
      <c r="B1479" t="s">
        <v>112</v>
      </c>
      <c r="C1479" t="s">
        <v>31</v>
      </c>
      <c r="D1479" t="s">
        <v>17</v>
      </c>
      <c r="E1479" t="s">
        <v>32</v>
      </c>
      <c r="F1479" t="s">
        <v>738</v>
      </c>
      <c r="G1479">
        <v>361659038</v>
      </c>
      <c r="H1479" s="1">
        <v>40976</v>
      </c>
      <c r="I1479">
        <v>1801</v>
      </c>
      <c r="J1479">
        <v>205.7</v>
      </c>
      <c r="K1479">
        <v>117.11</v>
      </c>
      <c r="L1479">
        <v>370465.7</v>
      </c>
      <c r="M1479">
        <v>210915.11</v>
      </c>
      <c r="N1479">
        <v>159550.59</v>
      </c>
    </row>
    <row r="1480" spans="1:14" x14ac:dyDescent="0.25">
      <c r="A1480" t="s">
        <v>25</v>
      </c>
      <c r="B1480" t="s">
        <v>339</v>
      </c>
      <c r="C1480" t="s">
        <v>16</v>
      </c>
      <c r="D1480" t="s">
        <v>17</v>
      </c>
      <c r="E1480" t="s">
        <v>32</v>
      </c>
      <c r="F1480" t="s">
        <v>892</v>
      </c>
      <c r="G1480">
        <v>328721082</v>
      </c>
      <c r="H1480" t="s">
        <v>1104</v>
      </c>
      <c r="I1480">
        <v>4728</v>
      </c>
      <c r="J1480">
        <v>255.28</v>
      </c>
      <c r="K1480">
        <v>159.41999999999999</v>
      </c>
      <c r="L1480">
        <v>1206963.8400000001</v>
      </c>
      <c r="M1480">
        <v>753737.76</v>
      </c>
      <c r="N1480">
        <v>453226.08</v>
      </c>
    </row>
    <row r="1481" spans="1:14" x14ac:dyDescent="0.25">
      <c r="A1481" t="s">
        <v>25</v>
      </c>
      <c r="B1481" t="s">
        <v>303</v>
      </c>
      <c r="C1481" t="s">
        <v>44</v>
      </c>
      <c r="D1481" t="s">
        <v>22</v>
      </c>
      <c r="E1481" t="s">
        <v>45</v>
      </c>
      <c r="F1481" t="s">
        <v>1305</v>
      </c>
      <c r="G1481">
        <v>184120833</v>
      </c>
      <c r="H1481" t="s">
        <v>1306</v>
      </c>
      <c r="I1481">
        <v>4301</v>
      </c>
      <c r="J1481">
        <v>109.28</v>
      </c>
      <c r="K1481">
        <v>35.840000000000003</v>
      </c>
      <c r="L1481">
        <v>470013.28</v>
      </c>
      <c r="M1481">
        <v>154147.84</v>
      </c>
      <c r="N1481">
        <v>315865.44</v>
      </c>
    </row>
    <row r="1482" spans="1:14" x14ac:dyDescent="0.25">
      <c r="A1482" t="s">
        <v>29</v>
      </c>
      <c r="B1482" t="s">
        <v>248</v>
      </c>
      <c r="C1482" t="s">
        <v>69</v>
      </c>
      <c r="D1482" t="s">
        <v>17</v>
      </c>
      <c r="E1482" t="s">
        <v>45</v>
      </c>
      <c r="F1482" t="s">
        <v>1307</v>
      </c>
      <c r="G1482">
        <v>135719621</v>
      </c>
      <c r="H1482" t="s">
        <v>769</v>
      </c>
      <c r="I1482">
        <v>1307</v>
      </c>
      <c r="J1482">
        <v>421.89</v>
      </c>
      <c r="K1482">
        <v>364.69</v>
      </c>
      <c r="L1482">
        <v>551410.23</v>
      </c>
      <c r="M1482">
        <v>476649.83</v>
      </c>
      <c r="N1482">
        <v>74760.399999999994</v>
      </c>
    </row>
    <row r="1483" spans="1:14" x14ac:dyDescent="0.25">
      <c r="A1483" t="s">
        <v>42</v>
      </c>
      <c r="B1483" t="s">
        <v>150</v>
      </c>
      <c r="C1483" t="s">
        <v>40</v>
      </c>
      <c r="D1483" t="s">
        <v>22</v>
      </c>
      <c r="E1483" t="s">
        <v>23</v>
      </c>
      <c r="F1483" t="s">
        <v>1075</v>
      </c>
      <c r="G1483">
        <v>461691272</v>
      </c>
      <c r="H1483" s="1">
        <v>40576</v>
      </c>
      <c r="I1483">
        <v>3562</v>
      </c>
      <c r="J1483">
        <v>81.73</v>
      </c>
      <c r="K1483">
        <v>56.67</v>
      </c>
      <c r="L1483">
        <v>291122.26</v>
      </c>
      <c r="M1483">
        <v>201858.54</v>
      </c>
      <c r="N1483">
        <v>89263.72</v>
      </c>
    </row>
    <row r="1484" spans="1:14" x14ac:dyDescent="0.25">
      <c r="A1484" t="s">
        <v>29</v>
      </c>
      <c r="B1484" t="s">
        <v>323</v>
      </c>
      <c r="C1484" t="s">
        <v>21</v>
      </c>
      <c r="D1484" t="s">
        <v>22</v>
      </c>
      <c r="E1484" t="s">
        <v>18</v>
      </c>
      <c r="F1484" s="1">
        <v>42526</v>
      </c>
      <c r="G1484">
        <v>160522115</v>
      </c>
      <c r="H1484" t="s">
        <v>1109</v>
      </c>
      <c r="I1484">
        <v>916</v>
      </c>
      <c r="J1484">
        <v>152.58000000000001</v>
      </c>
      <c r="K1484">
        <v>97.44</v>
      </c>
      <c r="L1484">
        <v>139763.28</v>
      </c>
      <c r="M1484">
        <v>89255.039999999994</v>
      </c>
      <c r="N1484">
        <v>50508.24</v>
      </c>
    </row>
    <row r="1485" spans="1:14" x14ac:dyDescent="0.25">
      <c r="A1485" t="s">
        <v>29</v>
      </c>
      <c r="B1485" t="s">
        <v>315</v>
      </c>
      <c r="C1485" t="s">
        <v>69</v>
      </c>
      <c r="D1485" t="s">
        <v>17</v>
      </c>
      <c r="E1485" t="s">
        <v>45</v>
      </c>
      <c r="F1485" t="s">
        <v>1030</v>
      </c>
      <c r="G1485">
        <v>101010978</v>
      </c>
      <c r="H1485" s="1">
        <v>41976</v>
      </c>
      <c r="I1485">
        <v>248</v>
      </c>
      <c r="J1485">
        <v>421.89</v>
      </c>
      <c r="K1485">
        <v>364.69</v>
      </c>
      <c r="L1485">
        <v>104628.72</v>
      </c>
      <c r="M1485">
        <v>90443.12</v>
      </c>
      <c r="N1485">
        <v>14185.6</v>
      </c>
    </row>
    <row r="1486" spans="1:14" x14ac:dyDescent="0.25">
      <c r="A1486" t="s">
        <v>38</v>
      </c>
      <c r="B1486" t="s">
        <v>190</v>
      </c>
      <c r="C1486" t="s">
        <v>113</v>
      </c>
      <c r="D1486" t="s">
        <v>17</v>
      </c>
      <c r="E1486" t="s">
        <v>18</v>
      </c>
      <c r="F1486" t="s">
        <v>1233</v>
      </c>
      <c r="G1486">
        <v>772269189</v>
      </c>
      <c r="H1486" s="1">
        <v>41978</v>
      </c>
      <c r="I1486">
        <v>469</v>
      </c>
      <c r="J1486">
        <v>154.06</v>
      </c>
      <c r="K1486">
        <v>90.93</v>
      </c>
      <c r="L1486">
        <v>72254.14</v>
      </c>
      <c r="M1486">
        <v>42646.17</v>
      </c>
      <c r="N1486">
        <v>29607.97</v>
      </c>
    </row>
    <row r="1487" spans="1:14" x14ac:dyDescent="0.25">
      <c r="A1487" t="s">
        <v>25</v>
      </c>
      <c r="B1487" t="s">
        <v>229</v>
      </c>
      <c r="C1487" t="s">
        <v>113</v>
      </c>
      <c r="D1487" t="s">
        <v>22</v>
      </c>
      <c r="E1487" t="s">
        <v>45</v>
      </c>
      <c r="F1487" t="s">
        <v>244</v>
      </c>
      <c r="G1487">
        <v>933720576</v>
      </c>
      <c r="H1487" s="1">
        <v>42379</v>
      </c>
      <c r="I1487">
        <v>7523</v>
      </c>
      <c r="J1487">
        <v>154.06</v>
      </c>
      <c r="K1487">
        <v>90.93</v>
      </c>
      <c r="L1487">
        <v>1158993.3799999999</v>
      </c>
      <c r="M1487">
        <v>684066.39</v>
      </c>
      <c r="N1487">
        <v>474926.99</v>
      </c>
    </row>
    <row r="1488" spans="1:14" x14ac:dyDescent="0.25">
      <c r="A1488" t="s">
        <v>25</v>
      </c>
      <c r="B1488" t="s">
        <v>201</v>
      </c>
      <c r="C1488" t="s">
        <v>59</v>
      </c>
      <c r="D1488" t="s">
        <v>17</v>
      </c>
      <c r="E1488" t="s">
        <v>45</v>
      </c>
      <c r="F1488" t="s">
        <v>982</v>
      </c>
      <c r="G1488">
        <v>765101468</v>
      </c>
      <c r="H1488" s="1">
        <v>41794</v>
      </c>
      <c r="I1488">
        <v>9382</v>
      </c>
      <c r="J1488">
        <v>437.2</v>
      </c>
      <c r="K1488">
        <v>263.33</v>
      </c>
      <c r="L1488">
        <v>4101810.4</v>
      </c>
      <c r="M1488">
        <v>2470562.06</v>
      </c>
      <c r="N1488">
        <v>1631248.34</v>
      </c>
    </row>
    <row r="1489" spans="1:14" x14ac:dyDescent="0.25">
      <c r="A1489" t="s">
        <v>25</v>
      </c>
      <c r="B1489" t="s">
        <v>284</v>
      </c>
      <c r="C1489" t="s">
        <v>131</v>
      </c>
      <c r="D1489" t="s">
        <v>22</v>
      </c>
      <c r="E1489" t="s">
        <v>18</v>
      </c>
      <c r="F1489" s="1">
        <v>40977</v>
      </c>
      <c r="G1489">
        <v>516460692</v>
      </c>
      <c r="H1489" t="s">
        <v>782</v>
      </c>
      <c r="I1489">
        <v>1051</v>
      </c>
      <c r="J1489">
        <v>668.27</v>
      </c>
      <c r="K1489">
        <v>502.54</v>
      </c>
      <c r="L1489">
        <v>702351.77</v>
      </c>
      <c r="M1489">
        <v>528169.54</v>
      </c>
      <c r="N1489">
        <v>174182.23</v>
      </c>
    </row>
    <row r="1490" spans="1:14" x14ac:dyDescent="0.25">
      <c r="A1490" t="s">
        <v>29</v>
      </c>
      <c r="B1490" t="s">
        <v>30</v>
      </c>
      <c r="C1490" t="s">
        <v>88</v>
      </c>
      <c r="D1490" t="s">
        <v>17</v>
      </c>
      <c r="E1490" t="s">
        <v>32</v>
      </c>
      <c r="F1490" t="s">
        <v>1308</v>
      </c>
      <c r="G1490">
        <v>958159577</v>
      </c>
      <c r="H1490" s="1">
        <v>40637</v>
      </c>
      <c r="I1490">
        <v>9566</v>
      </c>
      <c r="J1490">
        <v>9.33</v>
      </c>
      <c r="K1490">
        <v>6.92</v>
      </c>
      <c r="L1490">
        <v>89250.78</v>
      </c>
      <c r="M1490">
        <v>66196.72</v>
      </c>
      <c r="N1490">
        <v>23054.06</v>
      </c>
    </row>
    <row r="1491" spans="1:14" x14ac:dyDescent="0.25">
      <c r="A1491" t="s">
        <v>29</v>
      </c>
      <c r="B1491" t="s">
        <v>585</v>
      </c>
      <c r="C1491" t="s">
        <v>131</v>
      </c>
      <c r="D1491" t="s">
        <v>22</v>
      </c>
      <c r="E1491" t="s">
        <v>45</v>
      </c>
      <c r="F1491" t="s">
        <v>1309</v>
      </c>
      <c r="G1491">
        <v>230871951</v>
      </c>
      <c r="H1491" s="1">
        <v>41494</v>
      </c>
      <c r="I1491">
        <v>8996</v>
      </c>
      <c r="J1491">
        <v>668.27</v>
      </c>
      <c r="K1491">
        <v>502.54</v>
      </c>
      <c r="L1491">
        <v>6011756.9199999999</v>
      </c>
      <c r="M1491">
        <v>4520849.84</v>
      </c>
      <c r="N1491">
        <v>1490907.08</v>
      </c>
    </row>
    <row r="1492" spans="1:14" x14ac:dyDescent="0.25">
      <c r="A1492" t="s">
        <v>51</v>
      </c>
      <c r="B1492" t="s">
        <v>848</v>
      </c>
      <c r="C1492" t="s">
        <v>88</v>
      </c>
      <c r="D1492" t="s">
        <v>17</v>
      </c>
      <c r="E1492" t="s">
        <v>18</v>
      </c>
      <c r="F1492" t="s">
        <v>1310</v>
      </c>
      <c r="G1492">
        <v>595584142</v>
      </c>
      <c r="H1492" t="s">
        <v>1311</v>
      </c>
      <c r="I1492">
        <v>5438</v>
      </c>
      <c r="J1492">
        <v>9.33</v>
      </c>
      <c r="K1492">
        <v>6.92</v>
      </c>
      <c r="L1492">
        <v>50736.54</v>
      </c>
      <c r="M1492">
        <v>37630.959999999999</v>
      </c>
      <c r="N1492">
        <v>13105.58</v>
      </c>
    </row>
    <row r="1493" spans="1:14" x14ac:dyDescent="0.25">
      <c r="A1493" t="s">
        <v>25</v>
      </c>
      <c r="B1493" t="s">
        <v>196</v>
      </c>
      <c r="C1493" t="s">
        <v>69</v>
      </c>
      <c r="D1493" t="s">
        <v>22</v>
      </c>
      <c r="E1493" t="s">
        <v>45</v>
      </c>
      <c r="F1493" t="s">
        <v>93</v>
      </c>
      <c r="G1493">
        <v>783594977</v>
      </c>
      <c r="H1493" s="1">
        <v>42740</v>
      </c>
      <c r="I1493">
        <v>2022</v>
      </c>
      <c r="J1493">
        <v>421.89</v>
      </c>
      <c r="K1493">
        <v>364.69</v>
      </c>
      <c r="L1493">
        <v>853061.58</v>
      </c>
      <c r="M1493">
        <v>737403.18</v>
      </c>
      <c r="N1493">
        <v>115658.4</v>
      </c>
    </row>
    <row r="1494" spans="1:14" x14ac:dyDescent="0.25">
      <c r="A1494" t="s">
        <v>29</v>
      </c>
      <c r="B1494" t="s">
        <v>485</v>
      </c>
      <c r="C1494" t="s">
        <v>40</v>
      </c>
      <c r="D1494" t="s">
        <v>17</v>
      </c>
      <c r="E1494" t="s">
        <v>32</v>
      </c>
      <c r="F1494" t="s">
        <v>161</v>
      </c>
      <c r="G1494">
        <v>946515786</v>
      </c>
      <c r="H1494" s="1">
        <v>42470</v>
      </c>
      <c r="I1494">
        <v>3910</v>
      </c>
      <c r="J1494">
        <v>81.73</v>
      </c>
      <c r="K1494">
        <v>56.67</v>
      </c>
      <c r="L1494">
        <v>319564.3</v>
      </c>
      <c r="M1494">
        <v>221579.7</v>
      </c>
      <c r="N1494">
        <v>97984.6</v>
      </c>
    </row>
    <row r="1495" spans="1:14" x14ac:dyDescent="0.25">
      <c r="A1495" t="s">
        <v>25</v>
      </c>
      <c r="B1495" t="s">
        <v>752</v>
      </c>
      <c r="C1495" t="s">
        <v>21</v>
      </c>
      <c r="D1495" t="s">
        <v>17</v>
      </c>
      <c r="E1495" t="s">
        <v>32</v>
      </c>
      <c r="F1495" s="1">
        <v>42433</v>
      </c>
      <c r="G1495">
        <v>406270396</v>
      </c>
      <c r="H1495" t="s">
        <v>443</v>
      </c>
      <c r="I1495">
        <v>3293</v>
      </c>
      <c r="J1495">
        <v>152.58000000000001</v>
      </c>
      <c r="K1495">
        <v>97.44</v>
      </c>
      <c r="L1495">
        <v>502445.94</v>
      </c>
      <c r="M1495">
        <v>320869.92</v>
      </c>
      <c r="N1495">
        <v>181576.02</v>
      </c>
    </row>
    <row r="1496" spans="1:14" x14ac:dyDescent="0.25">
      <c r="A1496" t="s">
        <v>25</v>
      </c>
      <c r="B1496" t="s">
        <v>339</v>
      </c>
      <c r="C1496" t="s">
        <v>113</v>
      </c>
      <c r="D1496" t="s">
        <v>17</v>
      </c>
      <c r="E1496" t="s">
        <v>32</v>
      </c>
      <c r="F1496" t="s">
        <v>1124</v>
      </c>
      <c r="G1496">
        <v>805095136</v>
      </c>
      <c r="H1496" t="s">
        <v>1312</v>
      </c>
      <c r="I1496">
        <v>4396</v>
      </c>
      <c r="J1496">
        <v>154.06</v>
      </c>
      <c r="K1496">
        <v>90.93</v>
      </c>
      <c r="L1496">
        <v>677247.76</v>
      </c>
      <c r="M1496">
        <v>399728.28</v>
      </c>
      <c r="N1496">
        <v>277519.48</v>
      </c>
    </row>
    <row r="1497" spans="1:14" x14ac:dyDescent="0.25">
      <c r="A1497" t="s">
        <v>29</v>
      </c>
      <c r="B1497" t="s">
        <v>271</v>
      </c>
      <c r="C1497" t="s">
        <v>88</v>
      </c>
      <c r="D1497" t="s">
        <v>22</v>
      </c>
      <c r="E1497" t="s">
        <v>18</v>
      </c>
      <c r="F1497" s="1">
        <v>41246</v>
      </c>
      <c r="G1497">
        <v>255538833</v>
      </c>
      <c r="H1497" t="s">
        <v>1313</v>
      </c>
      <c r="I1497">
        <v>8474</v>
      </c>
      <c r="J1497">
        <v>9.33</v>
      </c>
      <c r="K1497">
        <v>6.92</v>
      </c>
      <c r="L1497">
        <v>79062.42</v>
      </c>
      <c r="M1497">
        <v>58640.08</v>
      </c>
      <c r="N1497">
        <v>20422.34</v>
      </c>
    </row>
    <row r="1498" spans="1:14" x14ac:dyDescent="0.25">
      <c r="A1498" t="s">
        <v>51</v>
      </c>
      <c r="B1498" t="s">
        <v>308</v>
      </c>
      <c r="C1498" t="s">
        <v>55</v>
      </c>
      <c r="D1498" t="s">
        <v>17</v>
      </c>
      <c r="E1498" t="s">
        <v>23</v>
      </c>
      <c r="F1498" t="s">
        <v>926</v>
      </c>
      <c r="G1498">
        <v>990462815</v>
      </c>
      <c r="H1498" t="s">
        <v>507</v>
      </c>
      <c r="I1498">
        <v>8812</v>
      </c>
      <c r="J1498">
        <v>651.21</v>
      </c>
      <c r="K1498">
        <v>524.96</v>
      </c>
      <c r="L1498">
        <v>5738462.5199999996</v>
      </c>
      <c r="M1498">
        <v>4625947.5199999996</v>
      </c>
      <c r="N1498">
        <v>1112515</v>
      </c>
    </row>
    <row r="1499" spans="1:14" x14ac:dyDescent="0.25">
      <c r="A1499" t="s">
        <v>42</v>
      </c>
      <c r="B1499" t="s">
        <v>107</v>
      </c>
      <c r="C1499" t="s">
        <v>16</v>
      </c>
      <c r="D1499" t="s">
        <v>22</v>
      </c>
      <c r="E1499" t="s">
        <v>18</v>
      </c>
      <c r="F1499" t="s">
        <v>840</v>
      </c>
      <c r="G1499">
        <v>813040912</v>
      </c>
      <c r="H1499" t="s">
        <v>840</v>
      </c>
      <c r="I1499">
        <v>5728</v>
      </c>
      <c r="J1499">
        <v>255.28</v>
      </c>
      <c r="K1499">
        <v>159.41999999999999</v>
      </c>
      <c r="L1499">
        <v>1462243.84</v>
      </c>
      <c r="M1499">
        <v>913157.76</v>
      </c>
      <c r="N1499">
        <v>549086.07999999996</v>
      </c>
    </row>
    <row r="1500" spans="1:14" x14ac:dyDescent="0.25">
      <c r="A1500" t="s">
        <v>51</v>
      </c>
      <c r="B1500" t="s">
        <v>299</v>
      </c>
      <c r="C1500" t="s">
        <v>40</v>
      </c>
      <c r="D1500" t="s">
        <v>17</v>
      </c>
      <c r="E1500" t="s">
        <v>23</v>
      </c>
      <c r="F1500" s="1">
        <v>41701</v>
      </c>
      <c r="G1500">
        <v>746759450</v>
      </c>
      <c r="H1500" s="1">
        <v>41702</v>
      </c>
      <c r="I1500">
        <v>1571</v>
      </c>
      <c r="J1500">
        <v>81.73</v>
      </c>
      <c r="K1500">
        <v>56.67</v>
      </c>
      <c r="L1500">
        <v>128397.83</v>
      </c>
      <c r="M1500">
        <v>89028.57</v>
      </c>
      <c r="N1500">
        <v>39369.26</v>
      </c>
    </row>
    <row r="1501" spans="1:14" x14ac:dyDescent="0.25">
      <c r="A1501" t="s">
        <v>25</v>
      </c>
      <c r="B1501" t="s">
        <v>234</v>
      </c>
      <c r="C1501" t="s">
        <v>31</v>
      </c>
      <c r="D1501" t="s">
        <v>17</v>
      </c>
      <c r="E1501" t="s">
        <v>18</v>
      </c>
      <c r="F1501" s="1">
        <v>40553</v>
      </c>
      <c r="G1501">
        <v>985417258</v>
      </c>
      <c r="H1501" t="s">
        <v>995</v>
      </c>
      <c r="I1501">
        <v>5720</v>
      </c>
      <c r="J1501">
        <v>205.7</v>
      </c>
      <c r="K1501">
        <v>117.11</v>
      </c>
      <c r="L1501">
        <v>1176604</v>
      </c>
      <c r="M1501">
        <v>669869.19999999995</v>
      </c>
      <c r="N1501">
        <v>506734.8</v>
      </c>
    </row>
    <row r="1502" spans="1:14" x14ac:dyDescent="0.25">
      <c r="A1502" t="s">
        <v>25</v>
      </c>
      <c r="B1502" t="s">
        <v>204</v>
      </c>
      <c r="C1502" t="s">
        <v>31</v>
      </c>
      <c r="D1502" t="s">
        <v>22</v>
      </c>
      <c r="E1502" t="s">
        <v>18</v>
      </c>
      <c r="F1502" t="s">
        <v>233</v>
      </c>
      <c r="G1502">
        <v>443125665</v>
      </c>
      <c r="H1502" s="1">
        <v>41524</v>
      </c>
      <c r="I1502">
        <v>9586</v>
      </c>
      <c r="J1502">
        <v>205.7</v>
      </c>
      <c r="K1502">
        <v>117.11</v>
      </c>
      <c r="L1502">
        <v>1971840.2</v>
      </c>
      <c r="M1502">
        <v>1122616.46</v>
      </c>
      <c r="N1502">
        <v>849223.74</v>
      </c>
    </row>
    <row r="1503" spans="1:14" x14ac:dyDescent="0.25">
      <c r="A1503" t="s">
        <v>51</v>
      </c>
      <c r="B1503" t="s">
        <v>305</v>
      </c>
      <c r="C1503" t="s">
        <v>113</v>
      </c>
      <c r="D1503" t="s">
        <v>22</v>
      </c>
      <c r="E1503" t="s">
        <v>23</v>
      </c>
      <c r="F1503" t="s">
        <v>1251</v>
      </c>
      <c r="G1503">
        <v>804308497</v>
      </c>
      <c r="H1503" t="s">
        <v>796</v>
      </c>
      <c r="I1503">
        <v>1613</v>
      </c>
      <c r="J1503">
        <v>154.06</v>
      </c>
      <c r="K1503">
        <v>90.93</v>
      </c>
      <c r="L1503">
        <v>248498.78</v>
      </c>
      <c r="M1503">
        <v>146670.09</v>
      </c>
      <c r="N1503">
        <v>101828.69</v>
      </c>
    </row>
    <row r="1504" spans="1:14" x14ac:dyDescent="0.25">
      <c r="A1504" t="s">
        <v>14</v>
      </c>
      <c r="B1504" t="s">
        <v>433</v>
      </c>
      <c r="C1504" t="s">
        <v>59</v>
      </c>
      <c r="D1504" t="s">
        <v>17</v>
      </c>
      <c r="E1504" t="s">
        <v>45</v>
      </c>
      <c r="F1504" s="1">
        <v>41376</v>
      </c>
      <c r="G1504">
        <v>673702085</v>
      </c>
      <c r="H1504" t="s">
        <v>1151</v>
      </c>
      <c r="I1504">
        <v>2273</v>
      </c>
      <c r="J1504">
        <v>437.2</v>
      </c>
      <c r="K1504">
        <v>263.33</v>
      </c>
      <c r="L1504">
        <v>993755.6</v>
      </c>
      <c r="M1504">
        <v>598549.09</v>
      </c>
      <c r="N1504">
        <v>395206.51</v>
      </c>
    </row>
    <row r="1505" spans="1:14" x14ac:dyDescent="0.25">
      <c r="A1505" t="s">
        <v>29</v>
      </c>
      <c r="B1505" t="s">
        <v>35</v>
      </c>
      <c r="C1505" t="s">
        <v>88</v>
      </c>
      <c r="D1505" t="s">
        <v>22</v>
      </c>
      <c r="E1505" t="s">
        <v>32</v>
      </c>
      <c r="F1505" s="1">
        <v>42251</v>
      </c>
      <c r="G1505">
        <v>526355254</v>
      </c>
      <c r="H1505" t="s">
        <v>1107</v>
      </c>
      <c r="I1505">
        <v>9071</v>
      </c>
      <c r="J1505">
        <v>9.33</v>
      </c>
      <c r="K1505">
        <v>6.92</v>
      </c>
      <c r="L1505">
        <v>84632.43</v>
      </c>
      <c r="M1505">
        <v>62771.32</v>
      </c>
      <c r="N1505">
        <v>21861.11</v>
      </c>
    </row>
    <row r="1506" spans="1:14" x14ac:dyDescent="0.25">
      <c r="A1506" t="s">
        <v>14</v>
      </c>
      <c r="B1506" t="s">
        <v>488</v>
      </c>
      <c r="C1506" t="s">
        <v>44</v>
      </c>
      <c r="D1506" t="s">
        <v>22</v>
      </c>
      <c r="E1506" t="s">
        <v>32</v>
      </c>
      <c r="F1506" s="1">
        <v>40247</v>
      </c>
      <c r="G1506">
        <v>457629334</v>
      </c>
      <c r="H1506" s="1">
        <v>40220</v>
      </c>
      <c r="I1506">
        <v>1544</v>
      </c>
      <c r="J1506">
        <v>109.28</v>
      </c>
      <c r="K1506">
        <v>35.840000000000003</v>
      </c>
      <c r="L1506">
        <v>168728.32000000001</v>
      </c>
      <c r="M1506">
        <v>55336.959999999999</v>
      </c>
      <c r="N1506">
        <v>113391.36</v>
      </c>
    </row>
    <row r="1507" spans="1:14" x14ac:dyDescent="0.25">
      <c r="A1507" t="s">
        <v>51</v>
      </c>
      <c r="B1507" t="s">
        <v>151</v>
      </c>
      <c r="C1507" t="s">
        <v>31</v>
      </c>
      <c r="D1507" t="s">
        <v>22</v>
      </c>
      <c r="E1507" t="s">
        <v>45</v>
      </c>
      <c r="F1507" t="s">
        <v>652</v>
      </c>
      <c r="G1507">
        <v>633198153</v>
      </c>
      <c r="H1507" s="1">
        <v>41344</v>
      </c>
      <c r="I1507">
        <v>6260</v>
      </c>
      <c r="J1507">
        <v>205.7</v>
      </c>
      <c r="K1507">
        <v>117.11</v>
      </c>
      <c r="L1507">
        <v>1287682</v>
      </c>
      <c r="M1507">
        <v>733108.6</v>
      </c>
      <c r="N1507">
        <v>554573.4</v>
      </c>
    </row>
    <row r="1508" spans="1:14" x14ac:dyDescent="0.25">
      <c r="A1508" t="s">
        <v>42</v>
      </c>
      <c r="B1508" t="s">
        <v>476</v>
      </c>
      <c r="C1508" t="s">
        <v>55</v>
      </c>
      <c r="D1508" t="s">
        <v>22</v>
      </c>
      <c r="E1508" t="s">
        <v>45</v>
      </c>
      <c r="F1508" s="1">
        <v>42403</v>
      </c>
      <c r="G1508">
        <v>839048039</v>
      </c>
      <c r="H1508" s="1">
        <v>42404</v>
      </c>
      <c r="I1508">
        <v>1815</v>
      </c>
      <c r="J1508">
        <v>651.21</v>
      </c>
      <c r="K1508">
        <v>524.96</v>
      </c>
      <c r="L1508">
        <v>1181946.1499999999</v>
      </c>
      <c r="M1508">
        <v>952802.4</v>
      </c>
      <c r="N1508">
        <v>229143.75</v>
      </c>
    </row>
    <row r="1509" spans="1:14" x14ac:dyDescent="0.25">
      <c r="A1509" t="s">
        <v>25</v>
      </c>
      <c r="B1509" t="s">
        <v>140</v>
      </c>
      <c r="C1509" t="s">
        <v>27</v>
      </c>
      <c r="D1509" t="s">
        <v>17</v>
      </c>
      <c r="E1509" t="s">
        <v>32</v>
      </c>
      <c r="F1509" t="s">
        <v>1078</v>
      </c>
      <c r="G1509">
        <v>931477820</v>
      </c>
      <c r="H1509" t="s">
        <v>380</v>
      </c>
      <c r="I1509">
        <v>3841</v>
      </c>
      <c r="J1509">
        <v>47.45</v>
      </c>
      <c r="K1509">
        <v>31.79</v>
      </c>
      <c r="L1509">
        <v>182255.45</v>
      </c>
      <c r="M1509">
        <v>122105.39</v>
      </c>
      <c r="N1509">
        <v>60150.06</v>
      </c>
    </row>
    <row r="1510" spans="1:14" x14ac:dyDescent="0.25">
      <c r="A1510" t="s">
        <v>25</v>
      </c>
      <c r="B1510" t="s">
        <v>234</v>
      </c>
      <c r="C1510" t="s">
        <v>40</v>
      </c>
      <c r="D1510" t="s">
        <v>22</v>
      </c>
      <c r="E1510" t="s">
        <v>45</v>
      </c>
      <c r="F1510" t="s">
        <v>1314</v>
      </c>
      <c r="G1510">
        <v>387098824</v>
      </c>
      <c r="H1510" s="1">
        <v>41730</v>
      </c>
      <c r="I1510">
        <v>9999</v>
      </c>
      <c r="J1510">
        <v>81.73</v>
      </c>
      <c r="K1510">
        <v>56.67</v>
      </c>
      <c r="L1510">
        <v>817218.27</v>
      </c>
      <c r="M1510">
        <v>566643.32999999996</v>
      </c>
      <c r="N1510">
        <v>250574.94</v>
      </c>
    </row>
    <row r="1511" spans="1:14" x14ac:dyDescent="0.25">
      <c r="A1511" t="s">
        <v>51</v>
      </c>
      <c r="B1511" t="s">
        <v>578</v>
      </c>
      <c r="C1511" t="s">
        <v>69</v>
      </c>
      <c r="D1511" t="s">
        <v>17</v>
      </c>
      <c r="E1511" t="s">
        <v>32</v>
      </c>
      <c r="F1511" t="s">
        <v>821</v>
      </c>
      <c r="G1511">
        <v>552834880</v>
      </c>
      <c r="H1511" t="s">
        <v>93</v>
      </c>
      <c r="I1511">
        <v>4981</v>
      </c>
      <c r="J1511">
        <v>421.89</v>
      </c>
      <c r="K1511">
        <v>364.69</v>
      </c>
      <c r="L1511">
        <v>2101434.09</v>
      </c>
      <c r="M1511">
        <v>1816520.89</v>
      </c>
      <c r="N1511">
        <v>284913.2</v>
      </c>
    </row>
    <row r="1512" spans="1:14" x14ac:dyDescent="0.25">
      <c r="A1512" t="s">
        <v>25</v>
      </c>
      <c r="B1512" t="s">
        <v>303</v>
      </c>
      <c r="C1512" t="s">
        <v>69</v>
      </c>
      <c r="D1512" t="s">
        <v>22</v>
      </c>
      <c r="E1512" t="s">
        <v>18</v>
      </c>
      <c r="F1512" s="1">
        <v>41251</v>
      </c>
      <c r="G1512">
        <v>595922315</v>
      </c>
      <c r="H1512" s="1">
        <v>41008</v>
      </c>
      <c r="I1512">
        <v>5510</v>
      </c>
      <c r="J1512">
        <v>421.89</v>
      </c>
      <c r="K1512">
        <v>364.69</v>
      </c>
      <c r="L1512">
        <v>2324613.9</v>
      </c>
      <c r="M1512">
        <v>2009441.9</v>
      </c>
      <c r="N1512">
        <v>315172</v>
      </c>
    </row>
    <row r="1513" spans="1:14" x14ac:dyDescent="0.25">
      <c r="A1513" t="s">
        <v>25</v>
      </c>
      <c r="B1513" t="s">
        <v>569</v>
      </c>
      <c r="C1513" t="s">
        <v>55</v>
      </c>
      <c r="D1513" t="s">
        <v>17</v>
      </c>
      <c r="E1513" t="s">
        <v>18</v>
      </c>
      <c r="F1513" t="s">
        <v>671</v>
      </c>
      <c r="G1513">
        <v>653909957</v>
      </c>
      <c r="H1513" s="1">
        <v>42525</v>
      </c>
      <c r="I1513">
        <v>5342</v>
      </c>
      <c r="J1513">
        <v>651.21</v>
      </c>
      <c r="K1513">
        <v>524.96</v>
      </c>
      <c r="L1513">
        <v>3478763.82</v>
      </c>
      <c r="M1513">
        <v>2804336.32</v>
      </c>
      <c r="N1513">
        <v>674427.5</v>
      </c>
    </row>
    <row r="1514" spans="1:14" x14ac:dyDescent="0.25">
      <c r="A1514" t="s">
        <v>51</v>
      </c>
      <c r="B1514" t="s">
        <v>223</v>
      </c>
      <c r="C1514" t="s">
        <v>27</v>
      </c>
      <c r="D1514" t="s">
        <v>17</v>
      </c>
      <c r="E1514" t="s">
        <v>18</v>
      </c>
      <c r="F1514" t="s">
        <v>1306</v>
      </c>
      <c r="G1514">
        <v>484659135</v>
      </c>
      <c r="H1514" t="s">
        <v>1227</v>
      </c>
      <c r="I1514">
        <v>263</v>
      </c>
      <c r="J1514">
        <v>47.45</v>
      </c>
      <c r="K1514">
        <v>31.79</v>
      </c>
      <c r="L1514">
        <v>12479.35</v>
      </c>
      <c r="M1514">
        <v>8360.77</v>
      </c>
      <c r="N1514">
        <v>4118.58</v>
      </c>
    </row>
    <row r="1515" spans="1:14" x14ac:dyDescent="0.25">
      <c r="A1515" t="s">
        <v>51</v>
      </c>
      <c r="B1515" t="s">
        <v>877</v>
      </c>
      <c r="C1515" t="s">
        <v>21</v>
      </c>
      <c r="D1515" t="s">
        <v>17</v>
      </c>
      <c r="E1515" t="s">
        <v>45</v>
      </c>
      <c r="F1515" t="s">
        <v>682</v>
      </c>
      <c r="G1515">
        <v>816343677</v>
      </c>
      <c r="H1515" t="s">
        <v>53</v>
      </c>
      <c r="I1515">
        <v>3090</v>
      </c>
      <c r="J1515">
        <v>152.58000000000001</v>
      </c>
      <c r="K1515">
        <v>97.44</v>
      </c>
      <c r="L1515">
        <v>471472.2</v>
      </c>
      <c r="M1515">
        <v>301089.59999999998</v>
      </c>
      <c r="N1515">
        <v>170382.6</v>
      </c>
    </row>
    <row r="1516" spans="1:14" x14ac:dyDescent="0.25">
      <c r="A1516" t="s">
        <v>29</v>
      </c>
      <c r="B1516" t="s">
        <v>338</v>
      </c>
      <c r="C1516" t="s">
        <v>40</v>
      </c>
      <c r="D1516" t="s">
        <v>17</v>
      </c>
      <c r="E1516" t="s">
        <v>18</v>
      </c>
      <c r="F1516" t="s">
        <v>1068</v>
      </c>
      <c r="G1516">
        <v>197449910</v>
      </c>
      <c r="H1516" t="s">
        <v>570</v>
      </c>
      <c r="I1516">
        <v>8671</v>
      </c>
      <c r="J1516">
        <v>81.73</v>
      </c>
      <c r="K1516">
        <v>56.67</v>
      </c>
      <c r="L1516">
        <v>708680.83</v>
      </c>
      <c r="M1516">
        <v>491385.57</v>
      </c>
      <c r="N1516">
        <v>217295.26</v>
      </c>
    </row>
    <row r="1517" spans="1:14" x14ac:dyDescent="0.25">
      <c r="A1517" t="s">
        <v>29</v>
      </c>
      <c r="B1517" t="s">
        <v>199</v>
      </c>
      <c r="C1517" t="s">
        <v>21</v>
      </c>
      <c r="D1517" t="s">
        <v>22</v>
      </c>
      <c r="E1517" t="s">
        <v>32</v>
      </c>
      <c r="F1517" t="s">
        <v>111</v>
      </c>
      <c r="G1517">
        <v>846776664</v>
      </c>
      <c r="H1517" s="1">
        <v>40973</v>
      </c>
      <c r="I1517">
        <v>8887</v>
      </c>
      <c r="J1517">
        <v>152.58000000000001</v>
      </c>
      <c r="K1517">
        <v>97.44</v>
      </c>
      <c r="L1517">
        <v>1355978.46</v>
      </c>
      <c r="M1517">
        <v>865949.28</v>
      </c>
      <c r="N1517">
        <v>490029.18</v>
      </c>
    </row>
    <row r="1518" spans="1:14" x14ac:dyDescent="0.25">
      <c r="A1518" t="s">
        <v>25</v>
      </c>
      <c r="B1518" t="s">
        <v>204</v>
      </c>
      <c r="C1518" t="s">
        <v>27</v>
      </c>
      <c r="D1518" t="s">
        <v>22</v>
      </c>
      <c r="E1518" t="s">
        <v>45</v>
      </c>
      <c r="F1518" s="1">
        <v>41221</v>
      </c>
      <c r="G1518">
        <v>103435266</v>
      </c>
      <c r="H1518" t="s">
        <v>1215</v>
      </c>
      <c r="I1518">
        <v>7648</v>
      </c>
      <c r="J1518">
        <v>47.45</v>
      </c>
      <c r="K1518">
        <v>31.79</v>
      </c>
      <c r="L1518">
        <v>362897.6</v>
      </c>
      <c r="M1518">
        <v>243129.92</v>
      </c>
      <c r="N1518">
        <v>119767.67999999999</v>
      </c>
    </row>
    <row r="1519" spans="1:14" x14ac:dyDescent="0.25">
      <c r="A1519" t="s">
        <v>14</v>
      </c>
      <c r="B1519" t="s">
        <v>370</v>
      </c>
      <c r="C1519" t="s">
        <v>88</v>
      </c>
      <c r="D1519" t="s">
        <v>17</v>
      </c>
      <c r="E1519" t="s">
        <v>45</v>
      </c>
      <c r="F1519" t="s">
        <v>1258</v>
      </c>
      <c r="G1519">
        <v>776849544</v>
      </c>
      <c r="H1519" s="1">
        <v>41830</v>
      </c>
      <c r="I1519">
        <v>5898</v>
      </c>
      <c r="J1519">
        <v>9.33</v>
      </c>
      <c r="K1519">
        <v>6.92</v>
      </c>
      <c r="L1519">
        <v>55028.34</v>
      </c>
      <c r="M1519">
        <v>40814.160000000003</v>
      </c>
      <c r="N1519">
        <v>14214.18</v>
      </c>
    </row>
    <row r="1520" spans="1:14" x14ac:dyDescent="0.25">
      <c r="A1520" t="s">
        <v>51</v>
      </c>
      <c r="B1520" t="s">
        <v>593</v>
      </c>
      <c r="C1520" t="s">
        <v>16</v>
      </c>
      <c r="D1520" t="s">
        <v>22</v>
      </c>
      <c r="E1520" t="s">
        <v>32</v>
      </c>
      <c r="F1520" t="s">
        <v>817</v>
      </c>
      <c r="G1520">
        <v>796755826</v>
      </c>
      <c r="H1520" t="s">
        <v>1315</v>
      </c>
      <c r="I1520">
        <v>6609</v>
      </c>
      <c r="J1520">
        <v>255.28</v>
      </c>
      <c r="K1520">
        <v>159.41999999999999</v>
      </c>
      <c r="L1520">
        <v>1687145.52</v>
      </c>
      <c r="M1520">
        <v>1053606.78</v>
      </c>
      <c r="N1520">
        <v>633538.74</v>
      </c>
    </row>
    <row r="1521" spans="1:14" x14ac:dyDescent="0.25">
      <c r="A1521" t="s">
        <v>25</v>
      </c>
      <c r="B1521" t="s">
        <v>434</v>
      </c>
      <c r="C1521" t="s">
        <v>69</v>
      </c>
      <c r="D1521" t="s">
        <v>22</v>
      </c>
      <c r="E1521" t="s">
        <v>32</v>
      </c>
      <c r="F1521" s="1">
        <v>42716</v>
      </c>
      <c r="G1521">
        <v>863202941</v>
      </c>
      <c r="H1521" t="s">
        <v>701</v>
      </c>
      <c r="I1521">
        <v>9787</v>
      </c>
      <c r="J1521">
        <v>421.89</v>
      </c>
      <c r="K1521">
        <v>364.69</v>
      </c>
      <c r="L1521">
        <v>4129037.43</v>
      </c>
      <c r="M1521">
        <v>3569221.03</v>
      </c>
      <c r="N1521">
        <v>559816.4</v>
      </c>
    </row>
    <row r="1522" spans="1:14" x14ac:dyDescent="0.25">
      <c r="A1522" t="s">
        <v>25</v>
      </c>
      <c r="B1522" t="s">
        <v>252</v>
      </c>
      <c r="C1522" t="s">
        <v>44</v>
      </c>
      <c r="D1522" t="s">
        <v>22</v>
      </c>
      <c r="E1522" t="s">
        <v>18</v>
      </c>
      <c r="F1522" s="1">
        <v>41854</v>
      </c>
      <c r="G1522">
        <v>396552217</v>
      </c>
      <c r="H1522" t="s">
        <v>1085</v>
      </c>
      <c r="I1522">
        <v>7468</v>
      </c>
      <c r="J1522">
        <v>109.28</v>
      </c>
      <c r="K1522">
        <v>35.840000000000003</v>
      </c>
      <c r="L1522">
        <v>816103.04</v>
      </c>
      <c r="M1522">
        <v>267653.12</v>
      </c>
      <c r="N1522">
        <v>548449.92000000004</v>
      </c>
    </row>
    <row r="1523" spans="1:14" x14ac:dyDescent="0.25">
      <c r="A1523" t="s">
        <v>29</v>
      </c>
      <c r="B1523" t="s">
        <v>137</v>
      </c>
      <c r="C1523" t="s">
        <v>27</v>
      </c>
      <c r="D1523" t="s">
        <v>22</v>
      </c>
      <c r="E1523" t="s">
        <v>23</v>
      </c>
      <c r="F1523" s="1">
        <v>42095</v>
      </c>
      <c r="G1523">
        <v>687477481</v>
      </c>
      <c r="H1523" t="s">
        <v>1176</v>
      </c>
      <c r="I1523">
        <v>8719</v>
      </c>
      <c r="J1523">
        <v>47.45</v>
      </c>
      <c r="K1523">
        <v>31.79</v>
      </c>
      <c r="L1523">
        <v>413716.55</v>
      </c>
      <c r="M1523">
        <v>277177.01</v>
      </c>
      <c r="N1523">
        <v>136539.54</v>
      </c>
    </row>
    <row r="1524" spans="1:14" x14ac:dyDescent="0.25">
      <c r="A1524" t="s">
        <v>51</v>
      </c>
      <c r="B1524" t="s">
        <v>115</v>
      </c>
      <c r="C1524" t="s">
        <v>21</v>
      </c>
      <c r="D1524" t="s">
        <v>17</v>
      </c>
      <c r="E1524" t="s">
        <v>45</v>
      </c>
      <c r="F1524" s="1">
        <v>41276</v>
      </c>
      <c r="G1524">
        <v>846965062</v>
      </c>
      <c r="H1524" s="1">
        <v>41610</v>
      </c>
      <c r="I1524">
        <v>4638</v>
      </c>
      <c r="J1524">
        <v>152.58000000000001</v>
      </c>
      <c r="K1524">
        <v>97.44</v>
      </c>
      <c r="L1524">
        <v>707666.04</v>
      </c>
      <c r="M1524">
        <v>451926.72</v>
      </c>
      <c r="N1524">
        <v>255739.32</v>
      </c>
    </row>
    <row r="1525" spans="1:14" x14ac:dyDescent="0.25">
      <c r="A1525" t="s">
        <v>38</v>
      </c>
      <c r="B1525" t="s">
        <v>49</v>
      </c>
      <c r="C1525" t="s">
        <v>40</v>
      </c>
      <c r="D1525" t="s">
        <v>17</v>
      </c>
      <c r="E1525" t="s">
        <v>18</v>
      </c>
      <c r="F1525" s="1">
        <v>41705</v>
      </c>
      <c r="G1525">
        <v>956313788</v>
      </c>
      <c r="H1525" t="s">
        <v>380</v>
      </c>
      <c r="I1525">
        <v>3356</v>
      </c>
      <c r="J1525">
        <v>81.73</v>
      </c>
      <c r="K1525">
        <v>56.67</v>
      </c>
      <c r="L1525">
        <v>274285.88</v>
      </c>
      <c r="M1525">
        <v>190184.52</v>
      </c>
      <c r="N1525">
        <v>84101.36</v>
      </c>
    </row>
    <row r="1526" spans="1:14" x14ac:dyDescent="0.25">
      <c r="A1526" t="s">
        <v>14</v>
      </c>
      <c r="B1526" t="s">
        <v>226</v>
      </c>
      <c r="C1526" t="s">
        <v>44</v>
      </c>
      <c r="D1526" t="s">
        <v>22</v>
      </c>
      <c r="E1526" t="s">
        <v>45</v>
      </c>
      <c r="F1526" s="1">
        <v>40637</v>
      </c>
      <c r="G1526">
        <v>717134988</v>
      </c>
      <c r="H1526" t="s">
        <v>1316</v>
      </c>
      <c r="I1526">
        <v>5034</v>
      </c>
      <c r="J1526">
        <v>109.28</v>
      </c>
      <c r="K1526">
        <v>35.840000000000003</v>
      </c>
      <c r="L1526">
        <v>550115.52</v>
      </c>
      <c r="M1526">
        <v>180418.56</v>
      </c>
      <c r="N1526">
        <v>369696.96</v>
      </c>
    </row>
    <row r="1527" spans="1:14" x14ac:dyDescent="0.25">
      <c r="A1527" t="s">
        <v>25</v>
      </c>
      <c r="B1527" t="s">
        <v>234</v>
      </c>
      <c r="C1527" t="s">
        <v>59</v>
      </c>
      <c r="D1527" t="s">
        <v>22</v>
      </c>
      <c r="E1527" t="s">
        <v>18</v>
      </c>
      <c r="F1527" s="1">
        <v>42160</v>
      </c>
      <c r="G1527">
        <v>801352488</v>
      </c>
      <c r="H1527" t="s">
        <v>1317</v>
      </c>
      <c r="I1527">
        <v>6864</v>
      </c>
      <c r="J1527">
        <v>437.2</v>
      </c>
      <c r="K1527">
        <v>263.33</v>
      </c>
      <c r="L1527">
        <v>3000940.8</v>
      </c>
      <c r="M1527">
        <v>1807497.12</v>
      </c>
      <c r="N1527">
        <v>1193443.68</v>
      </c>
    </row>
    <row r="1528" spans="1:14" x14ac:dyDescent="0.25">
      <c r="A1528" t="s">
        <v>38</v>
      </c>
      <c r="B1528" t="s">
        <v>83</v>
      </c>
      <c r="C1528" t="s">
        <v>55</v>
      </c>
      <c r="D1528" t="s">
        <v>22</v>
      </c>
      <c r="E1528" t="s">
        <v>18</v>
      </c>
      <c r="F1528" s="1">
        <v>43041</v>
      </c>
      <c r="G1528">
        <v>601202619</v>
      </c>
      <c r="H1528" t="s">
        <v>498</v>
      </c>
      <c r="I1528">
        <v>8070</v>
      </c>
      <c r="J1528">
        <v>651.21</v>
      </c>
      <c r="K1528">
        <v>524.96</v>
      </c>
      <c r="L1528">
        <v>5255264.7</v>
      </c>
      <c r="M1528">
        <v>4236427.2</v>
      </c>
      <c r="N1528">
        <v>1018837.5</v>
      </c>
    </row>
    <row r="1529" spans="1:14" x14ac:dyDescent="0.25">
      <c r="A1529" t="s">
        <v>25</v>
      </c>
      <c r="B1529" t="s">
        <v>112</v>
      </c>
      <c r="C1529" t="s">
        <v>88</v>
      </c>
      <c r="D1529" t="s">
        <v>17</v>
      </c>
      <c r="E1529" t="s">
        <v>45</v>
      </c>
      <c r="F1529" s="1">
        <v>40734</v>
      </c>
      <c r="G1529">
        <v>479234206</v>
      </c>
      <c r="H1529" t="s">
        <v>428</v>
      </c>
      <c r="I1529">
        <v>4906</v>
      </c>
      <c r="J1529">
        <v>9.33</v>
      </c>
      <c r="K1529">
        <v>6.92</v>
      </c>
      <c r="L1529">
        <v>45772.98</v>
      </c>
      <c r="M1529">
        <v>33949.519999999997</v>
      </c>
      <c r="N1529">
        <v>11823.46</v>
      </c>
    </row>
    <row r="1530" spans="1:14" x14ac:dyDescent="0.25">
      <c r="A1530" t="s">
        <v>51</v>
      </c>
      <c r="B1530" t="s">
        <v>276</v>
      </c>
      <c r="C1530" t="s">
        <v>16</v>
      </c>
      <c r="D1530" t="s">
        <v>22</v>
      </c>
      <c r="E1530" t="s">
        <v>32</v>
      </c>
      <c r="F1530" t="s">
        <v>238</v>
      </c>
      <c r="G1530">
        <v>418308579</v>
      </c>
      <c r="H1530" t="s">
        <v>1179</v>
      </c>
      <c r="I1530">
        <v>5659</v>
      </c>
      <c r="J1530">
        <v>255.28</v>
      </c>
      <c r="K1530">
        <v>159.41999999999999</v>
      </c>
      <c r="L1530">
        <v>1444629.52</v>
      </c>
      <c r="M1530">
        <v>902157.78</v>
      </c>
      <c r="N1530">
        <v>542471.74</v>
      </c>
    </row>
    <row r="1531" spans="1:14" x14ac:dyDescent="0.25">
      <c r="A1531" t="s">
        <v>38</v>
      </c>
      <c r="B1531" t="s">
        <v>54</v>
      </c>
      <c r="C1531" t="s">
        <v>59</v>
      </c>
      <c r="D1531" t="s">
        <v>22</v>
      </c>
      <c r="E1531" t="s">
        <v>32</v>
      </c>
      <c r="F1531" s="1">
        <v>42339</v>
      </c>
      <c r="G1531">
        <v>471599566</v>
      </c>
      <c r="H1531" t="s">
        <v>1318</v>
      </c>
      <c r="I1531">
        <v>5647</v>
      </c>
      <c r="J1531">
        <v>437.2</v>
      </c>
      <c r="K1531">
        <v>263.33</v>
      </c>
      <c r="L1531">
        <v>2468868.4</v>
      </c>
      <c r="M1531">
        <v>1487024.51</v>
      </c>
      <c r="N1531">
        <v>981843.89</v>
      </c>
    </row>
    <row r="1532" spans="1:14" x14ac:dyDescent="0.25">
      <c r="A1532" t="s">
        <v>51</v>
      </c>
      <c r="B1532" t="s">
        <v>129</v>
      </c>
      <c r="C1532" t="s">
        <v>16</v>
      </c>
      <c r="D1532" t="s">
        <v>17</v>
      </c>
      <c r="E1532" t="s">
        <v>45</v>
      </c>
      <c r="F1532" t="s">
        <v>864</v>
      </c>
      <c r="G1532">
        <v>312593495</v>
      </c>
      <c r="H1532" s="1">
        <v>40613</v>
      </c>
      <c r="I1532">
        <v>2217</v>
      </c>
      <c r="J1532">
        <v>255.28</v>
      </c>
      <c r="K1532">
        <v>159.41999999999999</v>
      </c>
      <c r="L1532">
        <v>565955.76</v>
      </c>
      <c r="M1532">
        <v>353434.14</v>
      </c>
      <c r="N1532">
        <v>212521.62</v>
      </c>
    </row>
    <row r="1533" spans="1:14" x14ac:dyDescent="0.25">
      <c r="A1533" t="s">
        <v>51</v>
      </c>
      <c r="B1533" t="s">
        <v>398</v>
      </c>
      <c r="C1533" t="s">
        <v>21</v>
      </c>
      <c r="D1533" t="s">
        <v>22</v>
      </c>
      <c r="E1533" t="s">
        <v>18</v>
      </c>
      <c r="F1533" s="1">
        <v>42132</v>
      </c>
      <c r="G1533">
        <v>585089194</v>
      </c>
      <c r="H1533" t="s">
        <v>253</v>
      </c>
      <c r="I1533">
        <v>9749</v>
      </c>
      <c r="J1533">
        <v>152.58000000000001</v>
      </c>
      <c r="K1533">
        <v>97.44</v>
      </c>
      <c r="L1533">
        <v>1487502.42</v>
      </c>
      <c r="M1533">
        <v>949942.56</v>
      </c>
      <c r="N1533">
        <v>537559.86</v>
      </c>
    </row>
    <row r="1534" spans="1:14" x14ac:dyDescent="0.25">
      <c r="A1534" t="s">
        <v>38</v>
      </c>
      <c r="B1534" t="s">
        <v>388</v>
      </c>
      <c r="C1534" t="s">
        <v>21</v>
      </c>
      <c r="D1534" t="s">
        <v>17</v>
      </c>
      <c r="E1534" t="s">
        <v>23</v>
      </c>
      <c r="F1534" t="s">
        <v>602</v>
      </c>
      <c r="G1534">
        <v>653197991</v>
      </c>
      <c r="H1534" t="s">
        <v>427</v>
      </c>
      <c r="I1534">
        <v>4656</v>
      </c>
      <c r="J1534">
        <v>152.58000000000001</v>
      </c>
      <c r="K1534">
        <v>97.44</v>
      </c>
      <c r="L1534">
        <v>710412.48</v>
      </c>
      <c r="M1534">
        <v>453680.64000000001</v>
      </c>
      <c r="N1534">
        <v>256731.84</v>
      </c>
    </row>
    <row r="1535" spans="1:14" x14ac:dyDescent="0.25">
      <c r="A1535" t="s">
        <v>51</v>
      </c>
      <c r="B1535" t="s">
        <v>260</v>
      </c>
      <c r="C1535" t="s">
        <v>31</v>
      </c>
      <c r="D1535" t="s">
        <v>17</v>
      </c>
      <c r="E1535" t="s">
        <v>23</v>
      </c>
      <c r="F1535" s="1">
        <v>41613</v>
      </c>
      <c r="G1535">
        <v>851343715</v>
      </c>
      <c r="H1535" t="s">
        <v>1319</v>
      </c>
      <c r="I1535">
        <v>379</v>
      </c>
      <c r="J1535">
        <v>205.7</v>
      </c>
      <c r="K1535">
        <v>117.11</v>
      </c>
      <c r="L1535">
        <v>77960.3</v>
      </c>
      <c r="M1535">
        <v>44384.69</v>
      </c>
      <c r="N1535">
        <v>33575.61</v>
      </c>
    </row>
    <row r="1536" spans="1:14" x14ac:dyDescent="0.25">
      <c r="A1536" t="s">
        <v>51</v>
      </c>
      <c r="B1536" t="s">
        <v>327</v>
      </c>
      <c r="C1536" t="s">
        <v>131</v>
      </c>
      <c r="D1536" t="s">
        <v>22</v>
      </c>
      <c r="E1536" t="s">
        <v>23</v>
      </c>
      <c r="F1536" t="s">
        <v>1320</v>
      </c>
      <c r="G1536">
        <v>234262692</v>
      </c>
      <c r="H1536" s="1">
        <v>40582</v>
      </c>
      <c r="I1536">
        <v>2391</v>
      </c>
      <c r="J1536">
        <v>668.27</v>
      </c>
      <c r="K1536">
        <v>502.54</v>
      </c>
      <c r="L1536">
        <v>1597833.57</v>
      </c>
      <c r="M1536">
        <v>1201573.1399999999</v>
      </c>
      <c r="N1536">
        <v>396260.43</v>
      </c>
    </row>
    <row r="1537" spans="1:14" x14ac:dyDescent="0.25">
      <c r="A1537" t="s">
        <v>25</v>
      </c>
      <c r="B1537" t="s">
        <v>752</v>
      </c>
      <c r="C1537" t="s">
        <v>69</v>
      </c>
      <c r="D1537" t="s">
        <v>22</v>
      </c>
      <c r="E1537" t="s">
        <v>18</v>
      </c>
      <c r="F1537" t="s">
        <v>600</v>
      </c>
      <c r="G1537">
        <v>627003753</v>
      </c>
      <c r="H1537" t="s">
        <v>531</v>
      </c>
      <c r="I1537">
        <v>3199</v>
      </c>
      <c r="J1537">
        <v>421.89</v>
      </c>
      <c r="K1537">
        <v>364.69</v>
      </c>
      <c r="L1537">
        <v>1349626.11</v>
      </c>
      <c r="M1537">
        <v>1166643.31</v>
      </c>
      <c r="N1537">
        <v>182982.8</v>
      </c>
    </row>
    <row r="1538" spans="1:14" x14ac:dyDescent="0.25">
      <c r="A1538" t="s">
        <v>38</v>
      </c>
      <c r="B1538" t="s">
        <v>1268</v>
      </c>
      <c r="C1538" t="s">
        <v>113</v>
      </c>
      <c r="D1538" t="s">
        <v>22</v>
      </c>
      <c r="E1538" t="s">
        <v>23</v>
      </c>
      <c r="F1538" s="1">
        <v>41436</v>
      </c>
      <c r="G1538">
        <v>774928224</v>
      </c>
      <c r="H1538" t="s">
        <v>824</v>
      </c>
      <c r="I1538">
        <v>7337</v>
      </c>
      <c r="J1538">
        <v>154.06</v>
      </c>
      <c r="K1538">
        <v>90.93</v>
      </c>
      <c r="L1538">
        <v>1130338.22</v>
      </c>
      <c r="M1538">
        <v>667153.41</v>
      </c>
      <c r="N1538">
        <v>463184.81</v>
      </c>
    </row>
    <row r="1539" spans="1:14" x14ac:dyDescent="0.25">
      <c r="A1539" t="s">
        <v>25</v>
      </c>
      <c r="B1539" t="s">
        <v>418</v>
      </c>
      <c r="C1539" t="s">
        <v>88</v>
      </c>
      <c r="D1539" t="s">
        <v>22</v>
      </c>
      <c r="E1539" t="s">
        <v>23</v>
      </c>
      <c r="F1539" s="1">
        <v>43072</v>
      </c>
      <c r="G1539">
        <v>393709933</v>
      </c>
      <c r="H1539" t="s">
        <v>93</v>
      </c>
      <c r="I1539">
        <v>6373</v>
      </c>
      <c r="J1539">
        <v>9.33</v>
      </c>
      <c r="K1539">
        <v>6.92</v>
      </c>
      <c r="L1539">
        <v>59460.09</v>
      </c>
      <c r="M1539">
        <v>44101.16</v>
      </c>
      <c r="N1539">
        <v>15358.93</v>
      </c>
    </row>
    <row r="1540" spans="1:14" x14ac:dyDescent="0.25">
      <c r="A1540" t="s">
        <v>51</v>
      </c>
      <c r="B1540" t="s">
        <v>192</v>
      </c>
      <c r="C1540" t="s">
        <v>131</v>
      </c>
      <c r="D1540" t="s">
        <v>17</v>
      </c>
      <c r="E1540" t="s">
        <v>23</v>
      </c>
      <c r="F1540" t="s">
        <v>532</v>
      </c>
      <c r="G1540">
        <v>619335210</v>
      </c>
      <c r="H1540" t="s">
        <v>875</v>
      </c>
      <c r="I1540">
        <v>3906</v>
      </c>
      <c r="J1540">
        <v>668.27</v>
      </c>
      <c r="K1540">
        <v>502.54</v>
      </c>
      <c r="L1540">
        <v>2610262.62</v>
      </c>
      <c r="M1540">
        <v>1962921.24</v>
      </c>
      <c r="N1540">
        <v>647341.38</v>
      </c>
    </row>
    <row r="1541" spans="1:14" x14ac:dyDescent="0.25">
      <c r="A1541" t="s">
        <v>29</v>
      </c>
      <c r="B1541" t="s">
        <v>124</v>
      </c>
      <c r="C1541" t="s">
        <v>55</v>
      </c>
      <c r="D1541" t="s">
        <v>17</v>
      </c>
      <c r="E1541" t="s">
        <v>18</v>
      </c>
      <c r="F1541" t="s">
        <v>676</v>
      </c>
      <c r="G1541">
        <v>858102881</v>
      </c>
      <c r="H1541" t="s">
        <v>1321</v>
      </c>
      <c r="I1541">
        <v>566</v>
      </c>
      <c r="J1541">
        <v>651.21</v>
      </c>
      <c r="K1541">
        <v>524.96</v>
      </c>
      <c r="L1541">
        <v>368584.86</v>
      </c>
      <c r="M1541">
        <v>297127.36</v>
      </c>
      <c r="N1541">
        <v>71457.5</v>
      </c>
    </row>
    <row r="1542" spans="1:14" x14ac:dyDescent="0.25">
      <c r="A1542" t="s">
        <v>25</v>
      </c>
      <c r="B1542" t="s">
        <v>201</v>
      </c>
      <c r="C1542" t="s">
        <v>27</v>
      </c>
      <c r="D1542" t="s">
        <v>22</v>
      </c>
      <c r="E1542" t="s">
        <v>32</v>
      </c>
      <c r="F1542" t="s">
        <v>1322</v>
      </c>
      <c r="G1542">
        <v>136624276</v>
      </c>
      <c r="H1542" s="1">
        <v>42585</v>
      </c>
      <c r="I1542">
        <v>9014</v>
      </c>
      <c r="J1542">
        <v>47.45</v>
      </c>
      <c r="K1542">
        <v>31.79</v>
      </c>
      <c r="L1542">
        <v>427714.3</v>
      </c>
      <c r="M1542">
        <v>286555.06</v>
      </c>
      <c r="N1542">
        <v>141159.24</v>
      </c>
    </row>
    <row r="1543" spans="1:14" x14ac:dyDescent="0.25">
      <c r="A1543" t="s">
        <v>25</v>
      </c>
      <c r="B1543" t="s">
        <v>234</v>
      </c>
      <c r="C1543" t="s">
        <v>44</v>
      </c>
      <c r="D1543" t="s">
        <v>17</v>
      </c>
      <c r="E1543" t="s">
        <v>32</v>
      </c>
      <c r="F1543" s="1">
        <v>40246</v>
      </c>
      <c r="G1543">
        <v>251823222</v>
      </c>
      <c r="H1543" s="1">
        <v>40188</v>
      </c>
      <c r="I1543">
        <v>8942</v>
      </c>
      <c r="J1543">
        <v>109.28</v>
      </c>
      <c r="K1543">
        <v>35.840000000000003</v>
      </c>
      <c r="L1543">
        <v>977181.76</v>
      </c>
      <c r="M1543">
        <v>320481.28000000003</v>
      </c>
      <c r="N1543">
        <v>656700.48</v>
      </c>
    </row>
    <row r="1544" spans="1:14" x14ac:dyDescent="0.25">
      <c r="A1544" t="s">
        <v>29</v>
      </c>
      <c r="B1544" t="s">
        <v>393</v>
      </c>
      <c r="C1544" t="s">
        <v>88</v>
      </c>
      <c r="D1544" t="s">
        <v>17</v>
      </c>
      <c r="E1544" t="s">
        <v>45</v>
      </c>
      <c r="F1544" t="s">
        <v>1095</v>
      </c>
      <c r="G1544">
        <v>820936048</v>
      </c>
      <c r="H1544" s="1">
        <v>42584</v>
      </c>
      <c r="I1544">
        <v>2074</v>
      </c>
      <c r="J1544">
        <v>9.33</v>
      </c>
      <c r="K1544">
        <v>6.92</v>
      </c>
      <c r="L1544">
        <v>19350.419999999998</v>
      </c>
      <c r="M1544">
        <v>14352.08</v>
      </c>
      <c r="N1544">
        <v>4998.34</v>
      </c>
    </row>
    <row r="1545" spans="1:14" x14ac:dyDescent="0.25">
      <c r="A1545" t="s">
        <v>51</v>
      </c>
      <c r="B1545" t="s">
        <v>231</v>
      </c>
      <c r="C1545" t="s">
        <v>21</v>
      </c>
      <c r="D1545" t="s">
        <v>17</v>
      </c>
      <c r="E1545" t="s">
        <v>18</v>
      </c>
      <c r="F1545" t="s">
        <v>824</v>
      </c>
      <c r="G1545">
        <v>631511580</v>
      </c>
      <c r="H1545" t="s">
        <v>1314</v>
      </c>
      <c r="I1545">
        <v>7165</v>
      </c>
      <c r="J1545">
        <v>152.58000000000001</v>
      </c>
      <c r="K1545">
        <v>97.44</v>
      </c>
      <c r="L1545">
        <v>1093235.7</v>
      </c>
      <c r="M1545">
        <v>698157.6</v>
      </c>
      <c r="N1545">
        <v>395078.1</v>
      </c>
    </row>
    <row r="1546" spans="1:14" x14ac:dyDescent="0.25">
      <c r="A1546" t="s">
        <v>29</v>
      </c>
      <c r="B1546" t="s">
        <v>393</v>
      </c>
      <c r="C1546" t="s">
        <v>131</v>
      </c>
      <c r="D1546" t="s">
        <v>17</v>
      </c>
      <c r="E1546" t="s">
        <v>23</v>
      </c>
      <c r="F1546" t="s">
        <v>727</v>
      </c>
      <c r="G1546">
        <v>791411149</v>
      </c>
      <c r="H1546" t="s">
        <v>899</v>
      </c>
      <c r="I1546">
        <v>5001</v>
      </c>
      <c r="J1546">
        <v>668.27</v>
      </c>
      <c r="K1546">
        <v>502.54</v>
      </c>
      <c r="L1546">
        <v>3342018.27</v>
      </c>
      <c r="M1546">
        <v>2513202.54</v>
      </c>
      <c r="N1546">
        <v>828815.73</v>
      </c>
    </row>
    <row r="1547" spans="1:14" x14ac:dyDescent="0.25">
      <c r="A1547" t="s">
        <v>14</v>
      </c>
      <c r="B1547" t="s">
        <v>66</v>
      </c>
      <c r="C1547" t="s">
        <v>27</v>
      </c>
      <c r="D1547" t="s">
        <v>17</v>
      </c>
      <c r="E1547" t="s">
        <v>18</v>
      </c>
      <c r="F1547" t="s">
        <v>728</v>
      </c>
      <c r="G1547">
        <v>678808581</v>
      </c>
      <c r="H1547" t="s">
        <v>1323</v>
      </c>
      <c r="I1547">
        <v>3399</v>
      </c>
      <c r="J1547">
        <v>47.45</v>
      </c>
      <c r="K1547">
        <v>31.79</v>
      </c>
      <c r="L1547">
        <v>161282.54999999999</v>
      </c>
      <c r="M1547">
        <v>108054.21</v>
      </c>
      <c r="N1547">
        <v>53228.34</v>
      </c>
    </row>
    <row r="1548" spans="1:14" x14ac:dyDescent="0.25">
      <c r="A1548" t="s">
        <v>42</v>
      </c>
      <c r="B1548" t="s">
        <v>681</v>
      </c>
      <c r="C1548" t="s">
        <v>131</v>
      </c>
      <c r="D1548" t="s">
        <v>17</v>
      </c>
      <c r="E1548" t="s">
        <v>23</v>
      </c>
      <c r="F1548" s="1">
        <v>40763</v>
      </c>
      <c r="G1548">
        <v>192190206</v>
      </c>
      <c r="H1548" t="s">
        <v>1324</v>
      </c>
      <c r="I1548">
        <v>2208</v>
      </c>
      <c r="J1548">
        <v>668.27</v>
      </c>
      <c r="K1548">
        <v>502.54</v>
      </c>
      <c r="L1548">
        <v>1475540.16</v>
      </c>
      <c r="M1548">
        <v>1109608.32</v>
      </c>
      <c r="N1548">
        <v>365931.84</v>
      </c>
    </row>
    <row r="1549" spans="1:14" x14ac:dyDescent="0.25">
      <c r="A1549" t="s">
        <v>25</v>
      </c>
      <c r="B1549" t="s">
        <v>458</v>
      </c>
      <c r="C1549" t="s">
        <v>16</v>
      </c>
      <c r="D1549" t="s">
        <v>22</v>
      </c>
      <c r="E1549" t="s">
        <v>45</v>
      </c>
      <c r="F1549" s="1">
        <v>41643</v>
      </c>
      <c r="G1549">
        <v>200354850</v>
      </c>
      <c r="H1549" s="1">
        <v>41734</v>
      </c>
      <c r="I1549">
        <v>8307</v>
      </c>
      <c r="J1549">
        <v>255.28</v>
      </c>
      <c r="K1549">
        <v>159.41999999999999</v>
      </c>
      <c r="L1549">
        <v>2120610.96</v>
      </c>
      <c r="M1549">
        <v>1324301.94</v>
      </c>
      <c r="N1549">
        <v>796309.02</v>
      </c>
    </row>
    <row r="1550" spans="1:14" x14ac:dyDescent="0.25">
      <c r="A1550" t="s">
        <v>77</v>
      </c>
      <c r="B1550" t="s">
        <v>320</v>
      </c>
      <c r="C1550" t="s">
        <v>44</v>
      </c>
      <c r="D1550" t="s">
        <v>22</v>
      </c>
      <c r="E1550" t="s">
        <v>45</v>
      </c>
      <c r="F1550" s="1">
        <v>40725</v>
      </c>
      <c r="G1550">
        <v>292413842</v>
      </c>
      <c r="H1550" t="s">
        <v>528</v>
      </c>
      <c r="I1550">
        <v>609</v>
      </c>
      <c r="J1550">
        <v>109.28</v>
      </c>
      <c r="K1550">
        <v>35.840000000000003</v>
      </c>
      <c r="L1550">
        <v>66551.520000000004</v>
      </c>
      <c r="M1550">
        <v>21826.560000000001</v>
      </c>
      <c r="N1550">
        <v>44724.959999999999</v>
      </c>
    </row>
    <row r="1551" spans="1:14" x14ac:dyDescent="0.25">
      <c r="A1551" t="s">
        <v>29</v>
      </c>
      <c r="B1551" t="s">
        <v>494</v>
      </c>
      <c r="C1551" t="s">
        <v>27</v>
      </c>
      <c r="D1551" t="s">
        <v>22</v>
      </c>
      <c r="E1551" t="s">
        <v>23</v>
      </c>
      <c r="F1551" s="1">
        <v>42379</v>
      </c>
      <c r="G1551">
        <v>127791011</v>
      </c>
      <c r="H1551" s="1">
        <v>42623</v>
      </c>
      <c r="I1551">
        <v>5055</v>
      </c>
      <c r="J1551">
        <v>47.45</v>
      </c>
      <c r="K1551">
        <v>31.79</v>
      </c>
      <c r="L1551">
        <v>239859.75</v>
      </c>
      <c r="M1551">
        <v>160698.45000000001</v>
      </c>
      <c r="N1551">
        <v>79161.3</v>
      </c>
    </row>
    <row r="1552" spans="1:14" x14ac:dyDescent="0.25">
      <c r="A1552" t="s">
        <v>42</v>
      </c>
      <c r="B1552" t="s">
        <v>107</v>
      </c>
      <c r="C1552" t="s">
        <v>31</v>
      </c>
      <c r="D1552" t="s">
        <v>17</v>
      </c>
      <c r="E1552" t="s">
        <v>32</v>
      </c>
      <c r="F1552" t="s">
        <v>1098</v>
      </c>
      <c r="G1552">
        <v>786222684</v>
      </c>
      <c r="H1552" s="1">
        <v>42981</v>
      </c>
      <c r="I1552">
        <v>9619</v>
      </c>
      <c r="J1552">
        <v>205.7</v>
      </c>
      <c r="K1552">
        <v>117.11</v>
      </c>
      <c r="L1552">
        <v>1978628.3</v>
      </c>
      <c r="M1552">
        <v>1126481.0900000001</v>
      </c>
      <c r="N1552">
        <v>852147.21</v>
      </c>
    </row>
    <row r="1553" spans="1:14" x14ac:dyDescent="0.25">
      <c r="A1553" t="s">
        <v>42</v>
      </c>
      <c r="B1553" t="s">
        <v>90</v>
      </c>
      <c r="C1553" t="s">
        <v>59</v>
      </c>
      <c r="D1553" t="s">
        <v>17</v>
      </c>
      <c r="E1553" t="s">
        <v>23</v>
      </c>
      <c r="F1553" t="s">
        <v>631</v>
      </c>
      <c r="G1553">
        <v>717757689</v>
      </c>
      <c r="H1553" s="1">
        <v>42833</v>
      </c>
      <c r="I1553">
        <v>9305</v>
      </c>
      <c r="J1553">
        <v>437.2</v>
      </c>
      <c r="K1553">
        <v>263.33</v>
      </c>
      <c r="L1553">
        <v>4068146</v>
      </c>
      <c r="M1553">
        <v>2450285.65</v>
      </c>
      <c r="N1553">
        <v>1617860.35</v>
      </c>
    </row>
    <row r="1554" spans="1:14" x14ac:dyDescent="0.25">
      <c r="A1554" t="s">
        <v>25</v>
      </c>
      <c r="B1554" t="s">
        <v>497</v>
      </c>
      <c r="C1554" t="s">
        <v>69</v>
      </c>
      <c r="D1554" t="s">
        <v>22</v>
      </c>
      <c r="E1554" t="s">
        <v>45</v>
      </c>
      <c r="F1554" s="1">
        <v>42771</v>
      </c>
      <c r="G1554">
        <v>692757356</v>
      </c>
      <c r="H1554" s="1">
        <v>43074</v>
      </c>
      <c r="I1554">
        <v>1151</v>
      </c>
      <c r="J1554">
        <v>421.89</v>
      </c>
      <c r="K1554">
        <v>364.69</v>
      </c>
      <c r="L1554">
        <v>485595.39</v>
      </c>
      <c r="M1554">
        <v>419758.19</v>
      </c>
      <c r="N1554">
        <v>65837.2</v>
      </c>
    </row>
    <row r="1555" spans="1:14" x14ac:dyDescent="0.25">
      <c r="A1555" t="s">
        <v>25</v>
      </c>
      <c r="B1555" t="s">
        <v>229</v>
      </c>
      <c r="C1555" t="s">
        <v>16</v>
      </c>
      <c r="D1555" t="s">
        <v>22</v>
      </c>
      <c r="E1555" t="s">
        <v>32</v>
      </c>
      <c r="F1555" s="1">
        <v>41253</v>
      </c>
      <c r="G1555">
        <v>651895511</v>
      </c>
      <c r="H1555" s="1">
        <v>40919</v>
      </c>
      <c r="I1555">
        <v>9223</v>
      </c>
      <c r="J1555">
        <v>255.28</v>
      </c>
      <c r="K1555">
        <v>159.41999999999999</v>
      </c>
      <c r="L1555">
        <v>2354447.44</v>
      </c>
      <c r="M1555">
        <v>1470330.66</v>
      </c>
      <c r="N1555">
        <v>884116.78</v>
      </c>
    </row>
    <row r="1556" spans="1:14" x14ac:dyDescent="0.25">
      <c r="A1556" t="s">
        <v>25</v>
      </c>
      <c r="B1556" t="s">
        <v>363</v>
      </c>
      <c r="C1556" t="s">
        <v>44</v>
      </c>
      <c r="D1556" t="s">
        <v>22</v>
      </c>
      <c r="E1556" t="s">
        <v>23</v>
      </c>
      <c r="F1556" t="s">
        <v>304</v>
      </c>
      <c r="G1556">
        <v>156158483</v>
      </c>
      <c r="H1556" s="1">
        <v>42498</v>
      </c>
      <c r="I1556">
        <v>9620</v>
      </c>
      <c r="J1556">
        <v>109.28</v>
      </c>
      <c r="K1556">
        <v>35.840000000000003</v>
      </c>
      <c r="L1556">
        <v>1051273.6000000001</v>
      </c>
      <c r="M1556">
        <v>344780.79999999999</v>
      </c>
      <c r="N1556">
        <v>706492.8</v>
      </c>
    </row>
    <row r="1557" spans="1:14" x14ac:dyDescent="0.25">
      <c r="A1557" t="s">
        <v>29</v>
      </c>
      <c r="B1557" t="s">
        <v>375</v>
      </c>
      <c r="C1557" t="s">
        <v>55</v>
      </c>
      <c r="D1557" t="s">
        <v>22</v>
      </c>
      <c r="E1557" t="s">
        <v>32</v>
      </c>
      <c r="F1557" s="1">
        <v>42163</v>
      </c>
      <c r="G1557">
        <v>636845099</v>
      </c>
      <c r="H1557" t="s">
        <v>1325</v>
      </c>
      <c r="I1557">
        <v>5472</v>
      </c>
      <c r="J1557">
        <v>651.21</v>
      </c>
      <c r="K1557">
        <v>524.96</v>
      </c>
      <c r="L1557">
        <v>3563421.12</v>
      </c>
      <c r="M1557">
        <v>2872581.12</v>
      </c>
      <c r="N1557">
        <v>690840</v>
      </c>
    </row>
    <row r="1558" spans="1:14" x14ac:dyDescent="0.25">
      <c r="A1558" t="s">
        <v>51</v>
      </c>
      <c r="B1558" t="s">
        <v>638</v>
      </c>
      <c r="C1558" t="s">
        <v>59</v>
      </c>
      <c r="D1558" t="s">
        <v>22</v>
      </c>
      <c r="E1558" t="s">
        <v>45</v>
      </c>
      <c r="F1558" t="s">
        <v>1326</v>
      </c>
      <c r="G1558">
        <v>445566689</v>
      </c>
      <c r="H1558" t="s">
        <v>1327</v>
      </c>
      <c r="I1558">
        <v>1940</v>
      </c>
      <c r="J1558">
        <v>437.2</v>
      </c>
      <c r="K1558">
        <v>263.33</v>
      </c>
      <c r="L1558">
        <v>848168</v>
      </c>
      <c r="M1558">
        <v>510860.2</v>
      </c>
      <c r="N1558">
        <v>337307.8</v>
      </c>
    </row>
    <row r="1559" spans="1:14" x14ac:dyDescent="0.25">
      <c r="A1559" t="s">
        <v>51</v>
      </c>
      <c r="B1559" t="s">
        <v>164</v>
      </c>
      <c r="C1559" t="s">
        <v>113</v>
      </c>
      <c r="D1559" t="s">
        <v>22</v>
      </c>
      <c r="E1559" t="s">
        <v>45</v>
      </c>
      <c r="F1559" s="1">
        <v>40369</v>
      </c>
      <c r="G1559">
        <v>704247081</v>
      </c>
      <c r="H1559" t="s">
        <v>148</v>
      </c>
      <c r="I1559">
        <v>1216</v>
      </c>
      <c r="J1559">
        <v>154.06</v>
      </c>
      <c r="K1559">
        <v>90.93</v>
      </c>
      <c r="L1559">
        <v>187336.95999999999</v>
      </c>
      <c r="M1559">
        <v>110570.88</v>
      </c>
      <c r="N1559">
        <v>76766.080000000002</v>
      </c>
    </row>
    <row r="1560" spans="1:14" x14ac:dyDescent="0.25">
      <c r="A1560" t="s">
        <v>51</v>
      </c>
      <c r="B1560" t="s">
        <v>308</v>
      </c>
      <c r="C1560" t="s">
        <v>27</v>
      </c>
      <c r="D1560" t="s">
        <v>17</v>
      </c>
      <c r="E1560" t="s">
        <v>32</v>
      </c>
      <c r="F1560" t="s">
        <v>221</v>
      </c>
      <c r="G1560">
        <v>355122601</v>
      </c>
      <c r="H1560" s="1">
        <v>42500</v>
      </c>
      <c r="I1560">
        <v>7524</v>
      </c>
      <c r="J1560">
        <v>47.45</v>
      </c>
      <c r="K1560">
        <v>31.79</v>
      </c>
      <c r="L1560">
        <v>357013.8</v>
      </c>
      <c r="M1560">
        <v>239187.96</v>
      </c>
      <c r="N1560">
        <v>117825.84</v>
      </c>
    </row>
    <row r="1561" spans="1:14" x14ac:dyDescent="0.25">
      <c r="A1561" t="s">
        <v>42</v>
      </c>
      <c r="B1561" t="s">
        <v>573</v>
      </c>
      <c r="C1561" t="s">
        <v>31</v>
      </c>
      <c r="D1561" t="s">
        <v>17</v>
      </c>
      <c r="E1561" t="s">
        <v>18</v>
      </c>
      <c r="F1561" t="s">
        <v>1047</v>
      </c>
      <c r="G1561">
        <v>210742080</v>
      </c>
      <c r="H1561" t="s">
        <v>845</v>
      </c>
      <c r="I1561">
        <v>2119</v>
      </c>
      <c r="J1561">
        <v>205.7</v>
      </c>
      <c r="K1561">
        <v>117.11</v>
      </c>
      <c r="L1561">
        <v>435878.3</v>
      </c>
      <c r="M1561">
        <v>248156.09</v>
      </c>
      <c r="N1561">
        <v>187722.21</v>
      </c>
    </row>
    <row r="1562" spans="1:14" x14ac:dyDescent="0.25">
      <c r="A1562" t="s">
        <v>25</v>
      </c>
      <c r="B1562" t="s">
        <v>204</v>
      </c>
      <c r="C1562" t="s">
        <v>21</v>
      </c>
      <c r="D1562" t="s">
        <v>22</v>
      </c>
      <c r="E1562" t="s">
        <v>23</v>
      </c>
      <c r="F1562" t="s">
        <v>1022</v>
      </c>
      <c r="G1562">
        <v>703966844</v>
      </c>
      <c r="H1562" t="s">
        <v>1328</v>
      </c>
      <c r="I1562">
        <v>8288</v>
      </c>
      <c r="J1562">
        <v>152.58000000000001</v>
      </c>
      <c r="K1562">
        <v>97.44</v>
      </c>
      <c r="L1562">
        <v>1264583.04</v>
      </c>
      <c r="M1562">
        <v>807582.71999999997</v>
      </c>
      <c r="N1562">
        <v>457000.32</v>
      </c>
    </row>
    <row r="1563" spans="1:14" x14ac:dyDescent="0.25">
      <c r="A1563" t="s">
        <v>51</v>
      </c>
      <c r="B1563" t="s">
        <v>219</v>
      </c>
      <c r="C1563" t="s">
        <v>59</v>
      </c>
      <c r="D1563" t="s">
        <v>17</v>
      </c>
      <c r="E1563" t="s">
        <v>23</v>
      </c>
      <c r="F1563" t="s">
        <v>1329</v>
      </c>
      <c r="G1563">
        <v>537970721</v>
      </c>
      <c r="H1563" t="s">
        <v>1330</v>
      </c>
      <c r="I1563">
        <v>6346</v>
      </c>
      <c r="J1563">
        <v>437.2</v>
      </c>
      <c r="K1563">
        <v>263.33</v>
      </c>
      <c r="L1563">
        <v>2774471.2</v>
      </c>
      <c r="M1563">
        <v>1671092.18</v>
      </c>
      <c r="N1563">
        <v>1103379.02</v>
      </c>
    </row>
    <row r="1564" spans="1:14" x14ac:dyDescent="0.25">
      <c r="A1564" t="s">
        <v>25</v>
      </c>
      <c r="B1564" t="s">
        <v>239</v>
      </c>
      <c r="C1564" t="s">
        <v>131</v>
      </c>
      <c r="D1564" t="s">
        <v>22</v>
      </c>
      <c r="E1564" t="s">
        <v>32</v>
      </c>
      <c r="F1564" s="1">
        <v>43041</v>
      </c>
      <c r="G1564">
        <v>736240041</v>
      </c>
      <c r="H1564" t="s">
        <v>1331</v>
      </c>
      <c r="I1564">
        <v>8644</v>
      </c>
      <c r="J1564">
        <v>668.27</v>
      </c>
      <c r="K1564">
        <v>502.54</v>
      </c>
      <c r="L1564">
        <v>5776525.8799999999</v>
      </c>
      <c r="M1564">
        <v>4343955.76</v>
      </c>
      <c r="N1564">
        <v>1432570.12</v>
      </c>
    </row>
    <row r="1565" spans="1:14" x14ac:dyDescent="0.25">
      <c r="A1565" t="s">
        <v>38</v>
      </c>
      <c r="B1565" t="s">
        <v>190</v>
      </c>
      <c r="C1565" t="s">
        <v>55</v>
      </c>
      <c r="D1565" t="s">
        <v>17</v>
      </c>
      <c r="E1565" t="s">
        <v>45</v>
      </c>
      <c r="F1565" s="1">
        <v>42257</v>
      </c>
      <c r="G1565">
        <v>592573630</v>
      </c>
      <c r="H1565" t="s">
        <v>875</v>
      </c>
      <c r="I1565">
        <v>4560</v>
      </c>
      <c r="J1565">
        <v>651.21</v>
      </c>
      <c r="K1565">
        <v>524.96</v>
      </c>
      <c r="L1565">
        <v>2969517.6</v>
      </c>
      <c r="M1565">
        <v>2393817.6</v>
      </c>
      <c r="N1565">
        <v>575700</v>
      </c>
    </row>
    <row r="1566" spans="1:14" x14ac:dyDescent="0.25">
      <c r="A1566" t="s">
        <v>14</v>
      </c>
      <c r="B1566" t="s">
        <v>226</v>
      </c>
      <c r="C1566" t="s">
        <v>21</v>
      </c>
      <c r="D1566" t="s">
        <v>17</v>
      </c>
      <c r="E1566" t="s">
        <v>32</v>
      </c>
      <c r="F1566" s="1">
        <v>40363</v>
      </c>
      <c r="G1566">
        <v>821082818</v>
      </c>
      <c r="H1566" t="s">
        <v>1332</v>
      </c>
      <c r="I1566">
        <v>5507</v>
      </c>
      <c r="J1566">
        <v>152.58000000000001</v>
      </c>
      <c r="K1566">
        <v>97.44</v>
      </c>
      <c r="L1566">
        <v>840258.06</v>
      </c>
      <c r="M1566">
        <v>536602.07999999996</v>
      </c>
      <c r="N1566">
        <v>303655.98</v>
      </c>
    </row>
    <row r="1567" spans="1:14" x14ac:dyDescent="0.25">
      <c r="A1567" t="s">
        <v>51</v>
      </c>
      <c r="B1567" t="s">
        <v>638</v>
      </c>
      <c r="C1567" t="s">
        <v>131</v>
      </c>
      <c r="D1567" t="s">
        <v>22</v>
      </c>
      <c r="E1567" t="s">
        <v>32</v>
      </c>
      <c r="F1567" s="1">
        <v>42740</v>
      </c>
      <c r="G1567">
        <v>406191432</v>
      </c>
      <c r="H1567" s="1">
        <v>42741</v>
      </c>
      <c r="I1567">
        <v>9926</v>
      </c>
      <c r="J1567">
        <v>668.27</v>
      </c>
      <c r="K1567">
        <v>502.54</v>
      </c>
      <c r="L1567">
        <v>6633248.0199999996</v>
      </c>
      <c r="M1567">
        <v>4988212.04</v>
      </c>
      <c r="N1567">
        <v>1645035.98</v>
      </c>
    </row>
    <row r="1568" spans="1:14" x14ac:dyDescent="0.25">
      <c r="A1568" t="s">
        <v>51</v>
      </c>
      <c r="B1568" t="s">
        <v>274</v>
      </c>
      <c r="C1568" t="s">
        <v>55</v>
      </c>
      <c r="D1568" t="s">
        <v>17</v>
      </c>
      <c r="E1568" t="s">
        <v>45</v>
      </c>
      <c r="F1568" t="s">
        <v>1120</v>
      </c>
      <c r="G1568">
        <v>652635800</v>
      </c>
      <c r="H1568" t="s">
        <v>702</v>
      </c>
      <c r="I1568">
        <v>8291</v>
      </c>
      <c r="J1568">
        <v>651.21</v>
      </c>
      <c r="K1568">
        <v>524.96</v>
      </c>
      <c r="L1568">
        <v>5399182.1100000003</v>
      </c>
      <c r="M1568">
        <v>4352443.3600000003</v>
      </c>
      <c r="N1568">
        <v>1046738.75</v>
      </c>
    </row>
    <row r="1569" spans="1:14" x14ac:dyDescent="0.25">
      <c r="A1569" t="s">
        <v>29</v>
      </c>
      <c r="B1569" t="s">
        <v>199</v>
      </c>
      <c r="C1569" t="s">
        <v>69</v>
      </c>
      <c r="D1569" t="s">
        <v>22</v>
      </c>
      <c r="E1569" t="s">
        <v>45</v>
      </c>
      <c r="F1569" t="s">
        <v>1333</v>
      </c>
      <c r="G1569">
        <v>235464751</v>
      </c>
      <c r="H1569" s="1">
        <v>42408</v>
      </c>
      <c r="I1569">
        <v>8107</v>
      </c>
      <c r="J1569">
        <v>421.89</v>
      </c>
      <c r="K1569">
        <v>364.69</v>
      </c>
      <c r="L1569">
        <v>3420262.23</v>
      </c>
      <c r="M1569">
        <v>2956541.83</v>
      </c>
      <c r="N1569">
        <v>463720.4</v>
      </c>
    </row>
    <row r="1570" spans="1:14" x14ac:dyDescent="0.25">
      <c r="A1570" t="s">
        <v>51</v>
      </c>
      <c r="B1570" t="s">
        <v>128</v>
      </c>
      <c r="C1570" t="s">
        <v>88</v>
      </c>
      <c r="D1570" t="s">
        <v>22</v>
      </c>
      <c r="E1570" t="s">
        <v>18</v>
      </c>
      <c r="F1570" t="s">
        <v>510</v>
      </c>
      <c r="G1570">
        <v>150039613</v>
      </c>
      <c r="H1570" t="s">
        <v>1257</v>
      </c>
      <c r="I1570">
        <v>8910</v>
      </c>
      <c r="J1570">
        <v>9.33</v>
      </c>
      <c r="K1570">
        <v>6.92</v>
      </c>
      <c r="L1570">
        <v>83130.3</v>
      </c>
      <c r="M1570">
        <v>61657.2</v>
      </c>
      <c r="N1570">
        <v>21473.1</v>
      </c>
    </row>
    <row r="1571" spans="1:14" x14ac:dyDescent="0.25">
      <c r="A1571" t="s">
        <v>38</v>
      </c>
      <c r="B1571" t="s">
        <v>451</v>
      </c>
      <c r="C1571" t="s">
        <v>59</v>
      </c>
      <c r="D1571" t="s">
        <v>22</v>
      </c>
      <c r="E1571" t="s">
        <v>18</v>
      </c>
      <c r="F1571" s="1">
        <v>42381</v>
      </c>
      <c r="G1571">
        <v>562034213</v>
      </c>
      <c r="H1571" s="1">
        <v>42472</v>
      </c>
      <c r="I1571">
        <v>7268</v>
      </c>
      <c r="J1571">
        <v>437.2</v>
      </c>
      <c r="K1571">
        <v>263.33</v>
      </c>
      <c r="L1571">
        <v>3177569.6</v>
      </c>
      <c r="M1571">
        <v>1913882.44</v>
      </c>
      <c r="N1571">
        <v>1263687.1599999999</v>
      </c>
    </row>
    <row r="1572" spans="1:14" x14ac:dyDescent="0.25">
      <c r="A1572" t="s">
        <v>25</v>
      </c>
      <c r="B1572" t="s">
        <v>96</v>
      </c>
      <c r="C1572" t="s">
        <v>59</v>
      </c>
      <c r="D1572" t="s">
        <v>17</v>
      </c>
      <c r="E1572" t="s">
        <v>23</v>
      </c>
      <c r="F1572" t="s">
        <v>251</v>
      </c>
      <c r="G1572">
        <v>357434880</v>
      </c>
      <c r="H1572" t="s">
        <v>977</v>
      </c>
      <c r="I1572">
        <v>1779</v>
      </c>
      <c r="J1572">
        <v>437.2</v>
      </c>
      <c r="K1572">
        <v>263.33</v>
      </c>
      <c r="L1572">
        <v>777778.8</v>
      </c>
      <c r="M1572">
        <v>468464.07</v>
      </c>
      <c r="N1572">
        <v>309314.73</v>
      </c>
    </row>
    <row r="1573" spans="1:14" x14ac:dyDescent="0.25">
      <c r="A1573" t="s">
        <v>29</v>
      </c>
      <c r="B1573" t="s">
        <v>199</v>
      </c>
      <c r="C1573" t="s">
        <v>131</v>
      </c>
      <c r="D1573" t="s">
        <v>22</v>
      </c>
      <c r="E1573" t="s">
        <v>45</v>
      </c>
      <c r="F1573" t="s">
        <v>1334</v>
      </c>
      <c r="G1573">
        <v>292540442</v>
      </c>
      <c r="H1573" s="1">
        <v>42560</v>
      </c>
      <c r="I1573">
        <v>8073</v>
      </c>
      <c r="J1573">
        <v>668.27</v>
      </c>
      <c r="K1573">
        <v>502.54</v>
      </c>
      <c r="L1573">
        <v>5394943.71</v>
      </c>
      <c r="M1573">
        <v>4057005.42</v>
      </c>
      <c r="N1573">
        <v>1337938.29</v>
      </c>
    </row>
    <row r="1574" spans="1:14" x14ac:dyDescent="0.25">
      <c r="A1574" t="s">
        <v>29</v>
      </c>
      <c r="B1574" t="s">
        <v>440</v>
      </c>
      <c r="C1574" t="s">
        <v>69</v>
      </c>
      <c r="D1574" t="s">
        <v>17</v>
      </c>
      <c r="E1574" t="s">
        <v>45</v>
      </c>
      <c r="F1574" s="1">
        <v>40309</v>
      </c>
      <c r="G1574">
        <v>743962228</v>
      </c>
      <c r="H1574" s="1">
        <v>40280</v>
      </c>
      <c r="I1574">
        <v>3811</v>
      </c>
      <c r="J1574">
        <v>421.89</v>
      </c>
      <c r="K1574">
        <v>364.69</v>
      </c>
      <c r="L1574">
        <v>1607822.79</v>
      </c>
      <c r="M1574">
        <v>1389833.59</v>
      </c>
      <c r="N1574">
        <v>217989.2</v>
      </c>
    </row>
    <row r="1575" spans="1:14" x14ac:dyDescent="0.25">
      <c r="A1575" t="s">
        <v>25</v>
      </c>
      <c r="B1575" t="s">
        <v>185</v>
      </c>
      <c r="C1575" t="s">
        <v>44</v>
      </c>
      <c r="D1575" t="s">
        <v>22</v>
      </c>
      <c r="E1575" t="s">
        <v>45</v>
      </c>
      <c r="F1575" t="s">
        <v>1202</v>
      </c>
      <c r="G1575">
        <v>358624064</v>
      </c>
      <c r="H1575" s="1">
        <v>42073</v>
      </c>
      <c r="I1575">
        <v>3685</v>
      </c>
      <c r="J1575">
        <v>109.28</v>
      </c>
      <c r="K1575">
        <v>35.840000000000003</v>
      </c>
      <c r="L1575">
        <v>402696.8</v>
      </c>
      <c r="M1575">
        <v>132070.39999999999</v>
      </c>
      <c r="N1575">
        <v>270626.40000000002</v>
      </c>
    </row>
    <row r="1576" spans="1:14" x14ac:dyDescent="0.25">
      <c r="A1576" t="s">
        <v>25</v>
      </c>
      <c r="B1576" t="s">
        <v>426</v>
      </c>
      <c r="C1576" t="s">
        <v>113</v>
      </c>
      <c r="D1576" t="s">
        <v>17</v>
      </c>
      <c r="E1576" t="s">
        <v>18</v>
      </c>
      <c r="F1576" s="1">
        <v>40888</v>
      </c>
      <c r="G1576">
        <v>103762280</v>
      </c>
      <c r="H1576" t="s">
        <v>1335</v>
      </c>
      <c r="I1576">
        <v>4419</v>
      </c>
      <c r="J1576">
        <v>154.06</v>
      </c>
      <c r="K1576">
        <v>90.93</v>
      </c>
      <c r="L1576">
        <v>680791.14</v>
      </c>
      <c r="M1576">
        <v>401819.67</v>
      </c>
      <c r="N1576">
        <v>278971.46999999997</v>
      </c>
    </row>
    <row r="1577" spans="1:14" x14ac:dyDescent="0.25">
      <c r="A1577" t="s">
        <v>14</v>
      </c>
      <c r="B1577" t="s">
        <v>627</v>
      </c>
      <c r="C1577" t="s">
        <v>31</v>
      </c>
      <c r="D1577" t="s">
        <v>17</v>
      </c>
      <c r="E1577" t="s">
        <v>45</v>
      </c>
      <c r="F1577" s="1">
        <v>42224</v>
      </c>
      <c r="G1577">
        <v>116925704</v>
      </c>
      <c r="H1577" s="1">
        <v>42225</v>
      </c>
      <c r="I1577">
        <v>9769</v>
      </c>
      <c r="J1577">
        <v>205.7</v>
      </c>
      <c r="K1577">
        <v>117.11</v>
      </c>
      <c r="L1577">
        <v>2009483.3</v>
      </c>
      <c r="M1577">
        <v>1144047.5900000001</v>
      </c>
      <c r="N1577">
        <v>865435.71</v>
      </c>
    </row>
    <row r="1578" spans="1:14" x14ac:dyDescent="0.25">
      <c r="A1578" t="s">
        <v>29</v>
      </c>
      <c r="B1578" t="s">
        <v>153</v>
      </c>
      <c r="C1578" t="s">
        <v>131</v>
      </c>
      <c r="D1578" t="s">
        <v>17</v>
      </c>
      <c r="E1578" t="s">
        <v>23</v>
      </c>
      <c r="F1578" t="s">
        <v>1336</v>
      </c>
      <c r="G1578">
        <v>155975663</v>
      </c>
      <c r="H1578" t="s">
        <v>759</v>
      </c>
      <c r="I1578">
        <v>5520</v>
      </c>
      <c r="J1578">
        <v>668.27</v>
      </c>
      <c r="K1578">
        <v>502.54</v>
      </c>
      <c r="L1578">
        <v>3688850.4</v>
      </c>
      <c r="M1578">
        <v>2774020.8</v>
      </c>
      <c r="N1578">
        <v>914829.6</v>
      </c>
    </row>
    <row r="1579" spans="1:14" x14ac:dyDescent="0.25">
      <c r="A1579" t="s">
        <v>51</v>
      </c>
      <c r="B1579" t="s">
        <v>169</v>
      </c>
      <c r="C1579" t="s">
        <v>44</v>
      </c>
      <c r="D1579" t="s">
        <v>17</v>
      </c>
      <c r="E1579" t="s">
        <v>18</v>
      </c>
      <c r="F1579" t="s">
        <v>518</v>
      </c>
      <c r="G1579">
        <v>949085986</v>
      </c>
      <c r="H1579" t="s">
        <v>1337</v>
      </c>
      <c r="I1579">
        <v>4489</v>
      </c>
      <c r="J1579">
        <v>109.28</v>
      </c>
      <c r="K1579">
        <v>35.840000000000003</v>
      </c>
      <c r="L1579">
        <v>490557.92</v>
      </c>
      <c r="M1579">
        <v>160885.76000000001</v>
      </c>
      <c r="N1579">
        <v>329672.15999999997</v>
      </c>
    </row>
    <row r="1580" spans="1:14" x14ac:dyDescent="0.25">
      <c r="A1580" t="s">
        <v>25</v>
      </c>
      <c r="B1580" t="s">
        <v>239</v>
      </c>
      <c r="C1580" t="s">
        <v>16</v>
      </c>
      <c r="D1580" t="s">
        <v>22</v>
      </c>
      <c r="E1580" t="s">
        <v>18</v>
      </c>
      <c r="F1580" s="1">
        <v>41611</v>
      </c>
      <c r="G1580">
        <v>144743001</v>
      </c>
      <c r="H1580" t="s">
        <v>1237</v>
      </c>
      <c r="I1580">
        <v>1525</v>
      </c>
      <c r="J1580">
        <v>255.28</v>
      </c>
      <c r="K1580">
        <v>159.41999999999999</v>
      </c>
      <c r="L1580">
        <v>389302</v>
      </c>
      <c r="M1580">
        <v>243115.5</v>
      </c>
      <c r="N1580">
        <v>146186.5</v>
      </c>
    </row>
    <row r="1581" spans="1:14" x14ac:dyDescent="0.25">
      <c r="A1581" t="s">
        <v>29</v>
      </c>
      <c r="B1581" t="s">
        <v>545</v>
      </c>
      <c r="C1581" t="s">
        <v>16</v>
      </c>
      <c r="D1581" t="s">
        <v>17</v>
      </c>
      <c r="E1581" t="s">
        <v>18</v>
      </c>
      <c r="F1581" s="1">
        <v>40976</v>
      </c>
      <c r="G1581">
        <v>861745536</v>
      </c>
      <c r="H1581" t="s">
        <v>929</v>
      </c>
      <c r="I1581">
        <v>8509</v>
      </c>
      <c r="J1581">
        <v>255.28</v>
      </c>
      <c r="K1581">
        <v>159.41999999999999</v>
      </c>
      <c r="L1581">
        <v>2172177.52</v>
      </c>
      <c r="M1581">
        <v>1356504.78</v>
      </c>
      <c r="N1581">
        <v>815672.74</v>
      </c>
    </row>
    <row r="1582" spans="1:14" x14ac:dyDescent="0.25">
      <c r="A1582" t="s">
        <v>25</v>
      </c>
      <c r="B1582" t="s">
        <v>533</v>
      </c>
      <c r="C1582" t="s">
        <v>27</v>
      </c>
      <c r="D1582" t="s">
        <v>17</v>
      </c>
      <c r="E1582" t="s">
        <v>32</v>
      </c>
      <c r="F1582" s="1">
        <v>43041</v>
      </c>
      <c r="G1582">
        <v>439204919</v>
      </c>
      <c r="H1582" t="s">
        <v>1338</v>
      </c>
      <c r="I1582">
        <v>9350</v>
      </c>
      <c r="J1582">
        <v>47.45</v>
      </c>
      <c r="K1582">
        <v>31.79</v>
      </c>
      <c r="L1582">
        <v>443657.5</v>
      </c>
      <c r="M1582">
        <v>297236.5</v>
      </c>
      <c r="N1582">
        <v>146421</v>
      </c>
    </row>
    <row r="1583" spans="1:14" x14ac:dyDescent="0.25">
      <c r="A1583" t="s">
        <v>51</v>
      </c>
      <c r="B1583" t="s">
        <v>231</v>
      </c>
      <c r="C1583" t="s">
        <v>55</v>
      </c>
      <c r="D1583" t="s">
        <v>22</v>
      </c>
      <c r="E1583" t="s">
        <v>32</v>
      </c>
      <c r="F1583" s="1">
        <v>42157</v>
      </c>
      <c r="G1583">
        <v>786544978</v>
      </c>
      <c r="H1583" t="s">
        <v>1339</v>
      </c>
      <c r="I1583">
        <v>4993</v>
      </c>
      <c r="J1583">
        <v>651.21</v>
      </c>
      <c r="K1583">
        <v>524.96</v>
      </c>
      <c r="L1583">
        <v>3251491.53</v>
      </c>
      <c r="M1583">
        <v>2621125.2799999998</v>
      </c>
      <c r="N1583">
        <v>630366.25</v>
      </c>
    </row>
    <row r="1584" spans="1:14" x14ac:dyDescent="0.25">
      <c r="A1584" t="s">
        <v>51</v>
      </c>
      <c r="B1584" t="s">
        <v>210</v>
      </c>
      <c r="C1584" t="s">
        <v>69</v>
      </c>
      <c r="D1584" t="s">
        <v>17</v>
      </c>
      <c r="E1584" t="s">
        <v>23</v>
      </c>
      <c r="F1584" s="1">
        <v>40635</v>
      </c>
      <c r="G1584">
        <v>733502042</v>
      </c>
      <c r="H1584" t="s">
        <v>1230</v>
      </c>
      <c r="I1584">
        <v>8409</v>
      </c>
      <c r="J1584">
        <v>421.89</v>
      </c>
      <c r="K1584">
        <v>364.69</v>
      </c>
      <c r="L1584">
        <v>3547673.01</v>
      </c>
      <c r="M1584">
        <v>3066678.21</v>
      </c>
      <c r="N1584">
        <v>480994.8</v>
      </c>
    </row>
    <row r="1585" spans="1:14" x14ac:dyDescent="0.25">
      <c r="A1585" t="s">
        <v>51</v>
      </c>
      <c r="B1585" t="s">
        <v>52</v>
      </c>
      <c r="C1585" t="s">
        <v>40</v>
      </c>
      <c r="D1585" t="s">
        <v>17</v>
      </c>
      <c r="E1585" t="s">
        <v>23</v>
      </c>
      <c r="F1585" t="s">
        <v>1340</v>
      </c>
      <c r="G1585">
        <v>980124938</v>
      </c>
      <c r="H1585" s="1">
        <v>41827</v>
      </c>
      <c r="I1585">
        <v>9605</v>
      </c>
      <c r="J1585">
        <v>81.73</v>
      </c>
      <c r="K1585">
        <v>56.67</v>
      </c>
      <c r="L1585">
        <v>785016.65</v>
      </c>
      <c r="M1585">
        <v>544315.35</v>
      </c>
      <c r="N1585">
        <v>240701.3</v>
      </c>
    </row>
    <row r="1586" spans="1:14" x14ac:dyDescent="0.25">
      <c r="A1586" t="s">
        <v>38</v>
      </c>
      <c r="B1586" t="s">
        <v>187</v>
      </c>
      <c r="C1586" t="s">
        <v>40</v>
      </c>
      <c r="D1586" t="s">
        <v>17</v>
      </c>
      <c r="E1586" t="s">
        <v>18</v>
      </c>
      <c r="F1586" s="1">
        <v>41609</v>
      </c>
      <c r="G1586">
        <v>946774995</v>
      </c>
      <c r="H1586" t="s">
        <v>1123</v>
      </c>
      <c r="I1586">
        <v>615</v>
      </c>
      <c r="J1586">
        <v>81.73</v>
      </c>
      <c r="K1586">
        <v>56.67</v>
      </c>
      <c r="L1586">
        <v>50263.95</v>
      </c>
      <c r="M1586">
        <v>34852.050000000003</v>
      </c>
      <c r="N1586">
        <v>15411.9</v>
      </c>
    </row>
    <row r="1587" spans="1:14" x14ac:dyDescent="0.25">
      <c r="A1587" t="s">
        <v>42</v>
      </c>
      <c r="B1587" t="s">
        <v>552</v>
      </c>
      <c r="C1587" t="s">
        <v>44</v>
      </c>
      <c r="D1587" t="s">
        <v>22</v>
      </c>
      <c r="E1587" t="s">
        <v>45</v>
      </c>
      <c r="F1587" t="s">
        <v>1341</v>
      </c>
      <c r="G1587">
        <v>124126040</v>
      </c>
      <c r="H1587" s="1">
        <v>41678</v>
      </c>
      <c r="I1587">
        <v>509</v>
      </c>
      <c r="J1587">
        <v>109.28</v>
      </c>
      <c r="K1587">
        <v>35.840000000000003</v>
      </c>
      <c r="L1587">
        <v>55623.519999999997</v>
      </c>
      <c r="M1587">
        <v>18242.560000000001</v>
      </c>
      <c r="N1587">
        <v>37380.959999999999</v>
      </c>
    </row>
    <row r="1588" spans="1:14" x14ac:dyDescent="0.25">
      <c r="A1588" t="s">
        <v>51</v>
      </c>
      <c r="B1588" t="s">
        <v>231</v>
      </c>
      <c r="C1588" t="s">
        <v>27</v>
      </c>
      <c r="D1588" t="s">
        <v>17</v>
      </c>
      <c r="E1588" t="s">
        <v>45</v>
      </c>
      <c r="F1588" s="1">
        <v>41035</v>
      </c>
      <c r="G1588">
        <v>323164403</v>
      </c>
      <c r="H1588" t="s">
        <v>738</v>
      </c>
      <c r="I1588">
        <v>383</v>
      </c>
      <c r="J1588">
        <v>47.45</v>
      </c>
      <c r="K1588">
        <v>31.79</v>
      </c>
      <c r="L1588">
        <v>18173.349999999999</v>
      </c>
      <c r="M1588">
        <v>12175.57</v>
      </c>
      <c r="N1588">
        <v>5997.78</v>
      </c>
    </row>
    <row r="1589" spans="1:14" x14ac:dyDescent="0.25">
      <c r="A1589" t="s">
        <v>38</v>
      </c>
      <c r="B1589" t="s">
        <v>68</v>
      </c>
      <c r="C1589" t="s">
        <v>31</v>
      </c>
      <c r="D1589" t="s">
        <v>17</v>
      </c>
      <c r="E1589" t="s">
        <v>32</v>
      </c>
      <c r="F1589" s="1">
        <v>41487</v>
      </c>
      <c r="G1589">
        <v>725188910</v>
      </c>
      <c r="H1589" s="1">
        <v>41488</v>
      </c>
      <c r="I1589">
        <v>8369</v>
      </c>
      <c r="J1589">
        <v>205.7</v>
      </c>
      <c r="K1589">
        <v>117.11</v>
      </c>
      <c r="L1589">
        <v>1721503.3</v>
      </c>
      <c r="M1589">
        <v>980093.59</v>
      </c>
      <c r="N1589">
        <v>741409.71</v>
      </c>
    </row>
    <row r="1590" spans="1:14" x14ac:dyDescent="0.25">
      <c r="A1590" t="s">
        <v>51</v>
      </c>
      <c r="B1590" t="s">
        <v>301</v>
      </c>
      <c r="C1590" t="s">
        <v>27</v>
      </c>
      <c r="D1590" t="s">
        <v>17</v>
      </c>
      <c r="E1590" t="s">
        <v>18</v>
      </c>
      <c r="F1590" t="s">
        <v>606</v>
      </c>
      <c r="G1590">
        <v>131810891</v>
      </c>
      <c r="H1590" s="1">
        <v>42075</v>
      </c>
      <c r="I1590">
        <v>4627</v>
      </c>
      <c r="J1590">
        <v>47.45</v>
      </c>
      <c r="K1590">
        <v>31.79</v>
      </c>
      <c r="L1590">
        <v>219551.15</v>
      </c>
      <c r="M1590">
        <v>147092.32999999999</v>
      </c>
      <c r="N1590">
        <v>72458.820000000007</v>
      </c>
    </row>
    <row r="1591" spans="1:14" x14ac:dyDescent="0.25">
      <c r="A1591" t="s">
        <v>25</v>
      </c>
      <c r="B1591" t="s">
        <v>242</v>
      </c>
      <c r="C1591" t="s">
        <v>88</v>
      </c>
      <c r="D1591" t="s">
        <v>22</v>
      </c>
      <c r="E1591" t="s">
        <v>23</v>
      </c>
      <c r="F1591" s="1">
        <v>40239</v>
      </c>
      <c r="G1591">
        <v>114954173</v>
      </c>
      <c r="H1591" s="1">
        <v>40484</v>
      </c>
      <c r="I1591">
        <v>6349</v>
      </c>
      <c r="J1591">
        <v>9.33</v>
      </c>
      <c r="K1591">
        <v>6.92</v>
      </c>
      <c r="L1591">
        <v>59236.17</v>
      </c>
      <c r="M1591">
        <v>43935.08</v>
      </c>
      <c r="N1591">
        <v>15301.09</v>
      </c>
    </row>
    <row r="1592" spans="1:14" x14ac:dyDescent="0.25">
      <c r="A1592" t="s">
        <v>38</v>
      </c>
      <c r="B1592" t="s">
        <v>49</v>
      </c>
      <c r="C1592" t="s">
        <v>40</v>
      </c>
      <c r="D1592" t="s">
        <v>17</v>
      </c>
      <c r="E1592" t="s">
        <v>23</v>
      </c>
      <c r="F1592" t="s">
        <v>304</v>
      </c>
      <c r="G1592">
        <v>966855084</v>
      </c>
      <c r="H1592" t="s">
        <v>1046</v>
      </c>
      <c r="I1592">
        <v>2760</v>
      </c>
      <c r="J1592">
        <v>81.73</v>
      </c>
      <c r="K1592">
        <v>56.67</v>
      </c>
      <c r="L1592">
        <v>225574.8</v>
      </c>
      <c r="M1592">
        <v>156409.20000000001</v>
      </c>
      <c r="N1592">
        <v>69165.600000000006</v>
      </c>
    </row>
    <row r="1593" spans="1:14" x14ac:dyDescent="0.25">
      <c r="A1593" t="s">
        <v>51</v>
      </c>
      <c r="B1593" t="s">
        <v>367</v>
      </c>
      <c r="C1593" t="s">
        <v>44</v>
      </c>
      <c r="D1593" t="s">
        <v>22</v>
      </c>
      <c r="E1593" t="s">
        <v>32</v>
      </c>
      <c r="F1593" t="s">
        <v>141</v>
      </c>
      <c r="G1593">
        <v>350062453</v>
      </c>
      <c r="H1593" t="s">
        <v>1081</v>
      </c>
      <c r="I1593">
        <v>114</v>
      </c>
      <c r="J1593">
        <v>109.28</v>
      </c>
      <c r="K1593">
        <v>35.840000000000003</v>
      </c>
      <c r="L1593">
        <v>12457.92</v>
      </c>
      <c r="M1593">
        <v>4085.76</v>
      </c>
      <c r="N1593">
        <v>8372.16</v>
      </c>
    </row>
    <row r="1594" spans="1:14" x14ac:dyDescent="0.25">
      <c r="A1594" t="s">
        <v>42</v>
      </c>
      <c r="B1594" t="s">
        <v>174</v>
      </c>
      <c r="C1594" t="s">
        <v>16</v>
      </c>
      <c r="D1594" t="s">
        <v>17</v>
      </c>
      <c r="E1594" t="s">
        <v>32</v>
      </c>
      <c r="F1594" s="1">
        <v>42950</v>
      </c>
      <c r="G1594">
        <v>947437608</v>
      </c>
      <c r="H1594" s="1">
        <v>43073</v>
      </c>
      <c r="I1594">
        <v>6697</v>
      </c>
      <c r="J1594">
        <v>255.28</v>
      </c>
      <c r="K1594">
        <v>159.41999999999999</v>
      </c>
      <c r="L1594">
        <v>1709610.16</v>
      </c>
      <c r="M1594">
        <v>1067635.74</v>
      </c>
      <c r="N1594">
        <v>641974.42000000004</v>
      </c>
    </row>
    <row r="1595" spans="1:14" x14ac:dyDescent="0.25">
      <c r="A1595" t="s">
        <v>51</v>
      </c>
      <c r="B1595" t="s">
        <v>424</v>
      </c>
      <c r="C1595" t="s">
        <v>27</v>
      </c>
      <c r="D1595" t="s">
        <v>17</v>
      </c>
      <c r="E1595" t="s">
        <v>23</v>
      </c>
      <c r="F1595" s="1">
        <v>42588</v>
      </c>
      <c r="G1595">
        <v>112154376</v>
      </c>
      <c r="H1595" s="1">
        <v>42681</v>
      </c>
      <c r="I1595">
        <v>7827</v>
      </c>
      <c r="J1595">
        <v>47.45</v>
      </c>
      <c r="K1595">
        <v>31.79</v>
      </c>
      <c r="L1595">
        <v>371391.15</v>
      </c>
      <c r="M1595">
        <v>248820.33</v>
      </c>
      <c r="N1595">
        <v>122570.82</v>
      </c>
    </row>
    <row r="1596" spans="1:14" x14ac:dyDescent="0.25">
      <c r="A1596" t="s">
        <v>42</v>
      </c>
      <c r="B1596" t="s">
        <v>146</v>
      </c>
      <c r="C1596" t="s">
        <v>131</v>
      </c>
      <c r="D1596" t="s">
        <v>22</v>
      </c>
      <c r="E1596" t="s">
        <v>18</v>
      </c>
      <c r="F1596" t="s">
        <v>944</v>
      </c>
      <c r="G1596">
        <v>217699086</v>
      </c>
      <c r="H1596" s="1">
        <v>42036</v>
      </c>
      <c r="I1596">
        <v>852</v>
      </c>
      <c r="J1596">
        <v>668.27</v>
      </c>
      <c r="K1596">
        <v>502.54</v>
      </c>
      <c r="L1596">
        <v>569366.04</v>
      </c>
      <c r="M1596">
        <v>428164.08</v>
      </c>
      <c r="N1596">
        <v>141201.96</v>
      </c>
    </row>
    <row r="1597" spans="1:14" x14ac:dyDescent="0.25">
      <c r="A1597" t="s">
        <v>51</v>
      </c>
      <c r="B1597" t="s">
        <v>231</v>
      </c>
      <c r="C1597" t="s">
        <v>44</v>
      </c>
      <c r="D1597" t="s">
        <v>22</v>
      </c>
      <c r="E1597" t="s">
        <v>23</v>
      </c>
      <c r="F1597" s="1">
        <v>41217</v>
      </c>
      <c r="G1597">
        <v>107870566</v>
      </c>
      <c r="H1597" s="1">
        <v>41248</v>
      </c>
      <c r="I1597">
        <v>153</v>
      </c>
      <c r="J1597">
        <v>109.28</v>
      </c>
      <c r="K1597">
        <v>35.840000000000003</v>
      </c>
      <c r="L1597">
        <v>16719.84</v>
      </c>
      <c r="M1597">
        <v>5483.52</v>
      </c>
      <c r="N1597">
        <v>11236.32</v>
      </c>
    </row>
    <row r="1598" spans="1:14" x14ac:dyDescent="0.25">
      <c r="A1598" t="s">
        <v>51</v>
      </c>
      <c r="B1598" t="s">
        <v>210</v>
      </c>
      <c r="C1598" t="s">
        <v>31</v>
      </c>
      <c r="D1598" t="s">
        <v>17</v>
      </c>
      <c r="E1598" t="s">
        <v>23</v>
      </c>
      <c r="F1598" s="1">
        <v>42406</v>
      </c>
      <c r="G1598">
        <v>946780145</v>
      </c>
      <c r="H1598" s="1">
        <v>42407</v>
      </c>
      <c r="I1598">
        <v>2139</v>
      </c>
      <c r="J1598">
        <v>205.7</v>
      </c>
      <c r="K1598">
        <v>117.11</v>
      </c>
      <c r="L1598">
        <v>439992.3</v>
      </c>
      <c r="M1598">
        <v>250498.29</v>
      </c>
      <c r="N1598">
        <v>189494.01</v>
      </c>
    </row>
    <row r="1599" spans="1:14" x14ac:dyDescent="0.25">
      <c r="A1599" t="s">
        <v>38</v>
      </c>
      <c r="B1599" t="s">
        <v>451</v>
      </c>
      <c r="C1599" t="s">
        <v>31</v>
      </c>
      <c r="D1599" t="s">
        <v>17</v>
      </c>
      <c r="E1599" t="s">
        <v>45</v>
      </c>
      <c r="F1599" t="s">
        <v>1342</v>
      </c>
      <c r="G1599">
        <v>368851649</v>
      </c>
      <c r="H1599" t="s">
        <v>275</v>
      </c>
      <c r="I1599">
        <v>255</v>
      </c>
      <c r="J1599">
        <v>205.7</v>
      </c>
      <c r="K1599">
        <v>117.11</v>
      </c>
      <c r="L1599">
        <v>52453.5</v>
      </c>
      <c r="M1599">
        <v>29863.05</v>
      </c>
      <c r="N1599">
        <v>22590.45</v>
      </c>
    </row>
    <row r="1600" spans="1:14" x14ac:dyDescent="0.25">
      <c r="A1600" t="s">
        <v>51</v>
      </c>
      <c r="B1600" t="s">
        <v>848</v>
      </c>
      <c r="C1600" t="s">
        <v>55</v>
      </c>
      <c r="D1600" t="s">
        <v>17</v>
      </c>
      <c r="E1600" t="s">
        <v>32</v>
      </c>
      <c r="F1600" t="s">
        <v>400</v>
      </c>
      <c r="G1600">
        <v>128821408</v>
      </c>
      <c r="H1600" t="s">
        <v>400</v>
      </c>
      <c r="I1600">
        <v>9972</v>
      </c>
      <c r="J1600">
        <v>651.21</v>
      </c>
      <c r="K1600">
        <v>524.96</v>
      </c>
      <c r="L1600">
        <v>6493866.1200000001</v>
      </c>
      <c r="M1600">
        <v>5234901.12</v>
      </c>
      <c r="N1600">
        <v>1258965</v>
      </c>
    </row>
    <row r="1601" spans="1:14" x14ac:dyDescent="0.25">
      <c r="A1601" t="s">
        <v>42</v>
      </c>
      <c r="B1601" t="s">
        <v>150</v>
      </c>
      <c r="C1601" t="s">
        <v>113</v>
      </c>
      <c r="D1601" t="s">
        <v>22</v>
      </c>
      <c r="E1601" t="s">
        <v>32</v>
      </c>
      <c r="F1601" s="1">
        <v>40582</v>
      </c>
      <c r="G1601">
        <v>251738250</v>
      </c>
      <c r="H1601" t="s">
        <v>1324</v>
      </c>
      <c r="I1601">
        <v>3797</v>
      </c>
      <c r="J1601">
        <v>154.06</v>
      </c>
      <c r="K1601">
        <v>90.93</v>
      </c>
      <c r="L1601">
        <v>584965.81999999995</v>
      </c>
      <c r="M1601">
        <v>345261.21</v>
      </c>
      <c r="N1601">
        <v>239704.61</v>
      </c>
    </row>
    <row r="1602" spans="1:14" x14ac:dyDescent="0.25">
      <c r="A1602" t="s">
        <v>51</v>
      </c>
      <c r="B1602" t="s">
        <v>420</v>
      </c>
      <c r="C1602" t="s">
        <v>69</v>
      </c>
      <c r="D1602" t="s">
        <v>17</v>
      </c>
      <c r="E1602" t="s">
        <v>18</v>
      </c>
      <c r="F1602" t="s">
        <v>228</v>
      </c>
      <c r="G1602">
        <v>382963502</v>
      </c>
      <c r="H1602" t="s">
        <v>1343</v>
      </c>
      <c r="I1602">
        <v>6265</v>
      </c>
      <c r="J1602">
        <v>421.89</v>
      </c>
      <c r="K1602">
        <v>364.69</v>
      </c>
      <c r="L1602">
        <v>2643140.85</v>
      </c>
      <c r="M1602">
        <v>2284782.85</v>
      </c>
      <c r="N1602">
        <v>358358</v>
      </c>
    </row>
    <row r="1603" spans="1:14" x14ac:dyDescent="0.25">
      <c r="A1603" t="s">
        <v>25</v>
      </c>
      <c r="B1603" t="s">
        <v>266</v>
      </c>
      <c r="C1603" t="s">
        <v>27</v>
      </c>
      <c r="D1603" t="s">
        <v>22</v>
      </c>
      <c r="E1603" t="s">
        <v>32</v>
      </c>
      <c r="F1603" t="s">
        <v>918</v>
      </c>
      <c r="G1603">
        <v>238170993</v>
      </c>
      <c r="H1603" s="1">
        <v>41457</v>
      </c>
      <c r="I1603">
        <v>8944</v>
      </c>
      <c r="J1603">
        <v>47.45</v>
      </c>
      <c r="K1603">
        <v>31.79</v>
      </c>
      <c r="L1603">
        <v>424392.8</v>
      </c>
      <c r="M1603">
        <v>284329.76</v>
      </c>
      <c r="N1603">
        <v>140063.04000000001</v>
      </c>
    </row>
    <row r="1604" spans="1:14" x14ac:dyDescent="0.25">
      <c r="A1604" t="s">
        <v>51</v>
      </c>
      <c r="B1604" t="s">
        <v>350</v>
      </c>
      <c r="C1604" t="s">
        <v>16</v>
      </c>
      <c r="D1604" t="s">
        <v>22</v>
      </c>
      <c r="E1604" t="s">
        <v>18</v>
      </c>
      <c r="F1604" s="1">
        <v>42158</v>
      </c>
      <c r="G1604">
        <v>953347051</v>
      </c>
      <c r="H1604" s="1">
        <v>42219</v>
      </c>
      <c r="I1604">
        <v>5433</v>
      </c>
      <c r="J1604">
        <v>255.28</v>
      </c>
      <c r="K1604">
        <v>159.41999999999999</v>
      </c>
      <c r="L1604">
        <v>1386936.24</v>
      </c>
      <c r="M1604">
        <v>866128.86</v>
      </c>
      <c r="N1604">
        <v>520807.38</v>
      </c>
    </row>
    <row r="1605" spans="1:14" x14ac:dyDescent="0.25">
      <c r="A1605" t="s">
        <v>25</v>
      </c>
      <c r="B1605" t="s">
        <v>469</v>
      </c>
      <c r="C1605" t="s">
        <v>44</v>
      </c>
      <c r="D1605" t="s">
        <v>17</v>
      </c>
      <c r="E1605" t="s">
        <v>18</v>
      </c>
      <c r="F1605" s="1">
        <v>40943</v>
      </c>
      <c r="G1605">
        <v>134790503</v>
      </c>
      <c r="H1605" t="s">
        <v>1344</v>
      </c>
      <c r="I1605">
        <v>6360</v>
      </c>
      <c r="J1605">
        <v>109.28</v>
      </c>
      <c r="K1605">
        <v>35.840000000000003</v>
      </c>
      <c r="L1605">
        <v>695020.8</v>
      </c>
      <c r="M1605">
        <v>227942.39999999999</v>
      </c>
      <c r="N1605">
        <v>467078.40000000002</v>
      </c>
    </row>
    <row r="1606" spans="1:14" x14ac:dyDescent="0.25">
      <c r="A1606" t="s">
        <v>25</v>
      </c>
      <c r="B1606" t="s">
        <v>96</v>
      </c>
      <c r="C1606" t="s">
        <v>113</v>
      </c>
      <c r="D1606" t="s">
        <v>17</v>
      </c>
      <c r="E1606" t="s">
        <v>45</v>
      </c>
      <c r="F1606" t="s">
        <v>1345</v>
      </c>
      <c r="G1606">
        <v>409112679</v>
      </c>
      <c r="H1606" t="s">
        <v>1346</v>
      </c>
      <c r="I1606">
        <v>4388</v>
      </c>
      <c r="J1606">
        <v>154.06</v>
      </c>
      <c r="K1606">
        <v>90.93</v>
      </c>
      <c r="L1606">
        <v>676015.28</v>
      </c>
      <c r="M1606">
        <v>399000.84</v>
      </c>
      <c r="N1606">
        <v>277014.44</v>
      </c>
    </row>
    <row r="1607" spans="1:14" x14ac:dyDescent="0.25">
      <c r="A1607" t="s">
        <v>51</v>
      </c>
      <c r="B1607" t="s">
        <v>250</v>
      </c>
      <c r="C1607" t="s">
        <v>40</v>
      </c>
      <c r="D1607" t="s">
        <v>22</v>
      </c>
      <c r="E1607" t="s">
        <v>32</v>
      </c>
      <c r="F1607" t="s">
        <v>1347</v>
      </c>
      <c r="G1607">
        <v>873237407</v>
      </c>
      <c r="H1607" t="s">
        <v>1120</v>
      </c>
      <c r="I1607">
        <v>9209</v>
      </c>
      <c r="J1607">
        <v>81.73</v>
      </c>
      <c r="K1607">
        <v>56.67</v>
      </c>
      <c r="L1607">
        <v>752651.57</v>
      </c>
      <c r="M1607">
        <v>521874.03</v>
      </c>
      <c r="N1607">
        <v>230777.54</v>
      </c>
    </row>
    <row r="1608" spans="1:14" x14ac:dyDescent="0.25">
      <c r="A1608" t="s">
        <v>51</v>
      </c>
      <c r="B1608" t="s">
        <v>260</v>
      </c>
      <c r="C1608" t="s">
        <v>131</v>
      </c>
      <c r="D1608" t="s">
        <v>22</v>
      </c>
      <c r="E1608" t="s">
        <v>23</v>
      </c>
      <c r="F1608" t="s">
        <v>1303</v>
      </c>
      <c r="G1608">
        <v>244401013</v>
      </c>
      <c r="H1608" s="1">
        <v>42192</v>
      </c>
      <c r="I1608">
        <v>2546</v>
      </c>
      <c r="J1608">
        <v>668.27</v>
      </c>
      <c r="K1608">
        <v>502.54</v>
      </c>
      <c r="L1608">
        <v>1701415.42</v>
      </c>
      <c r="M1608">
        <v>1279466.8400000001</v>
      </c>
      <c r="N1608">
        <v>421948.58</v>
      </c>
    </row>
    <row r="1609" spans="1:14" x14ac:dyDescent="0.25">
      <c r="A1609" t="s">
        <v>77</v>
      </c>
      <c r="B1609" t="s">
        <v>320</v>
      </c>
      <c r="C1609" t="s">
        <v>31</v>
      </c>
      <c r="D1609" t="s">
        <v>17</v>
      </c>
      <c r="E1609" t="s">
        <v>23</v>
      </c>
      <c r="F1609" t="s">
        <v>992</v>
      </c>
      <c r="G1609">
        <v>910152328</v>
      </c>
      <c r="H1609" s="1">
        <v>41342</v>
      </c>
      <c r="I1609">
        <v>3154</v>
      </c>
      <c r="J1609">
        <v>205.7</v>
      </c>
      <c r="K1609">
        <v>117.11</v>
      </c>
      <c r="L1609">
        <v>648777.80000000005</v>
      </c>
      <c r="M1609">
        <v>369364.94</v>
      </c>
      <c r="N1609">
        <v>279412.86</v>
      </c>
    </row>
    <row r="1610" spans="1:14" x14ac:dyDescent="0.25">
      <c r="A1610" t="s">
        <v>29</v>
      </c>
      <c r="B1610" t="s">
        <v>545</v>
      </c>
      <c r="C1610" t="s">
        <v>27</v>
      </c>
      <c r="D1610" t="s">
        <v>17</v>
      </c>
      <c r="E1610" t="s">
        <v>45</v>
      </c>
      <c r="F1610" t="s">
        <v>481</v>
      </c>
      <c r="G1610">
        <v>378352677</v>
      </c>
      <c r="H1610" t="s">
        <v>1257</v>
      </c>
      <c r="I1610">
        <v>1820</v>
      </c>
      <c r="J1610">
        <v>47.45</v>
      </c>
      <c r="K1610">
        <v>31.79</v>
      </c>
      <c r="L1610">
        <v>86359</v>
      </c>
      <c r="M1610">
        <v>57857.8</v>
      </c>
      <c r="N1610">
        <v>28501.200000000001</v>
      </c>
    </row>
    <row r="1611" spans="1:14" x14ac:dyDescent="0.25">
      <c r="A1611" t="s">
        <v>25</v>
      </c>
      <c r="B1611" t="s">
        <v>469</v>
      </c>
      <c r="C1611" t="s">
        <v>69</v>
      </c>
      <c r="D1611" t="s">
        <v>22</v>
      </c>
      <c r="E1611" t="s">
        <v>45</v>
      </c>
      <c r="F1611" t="s">
        <v>1348</v>
      </c>
      <c r="G1611">
        <v>727175891</v>
      </c>
      <c r="H1611" s="1">
        <v>41464</v>
      </c>
      <c r="I1611">
        <v>6360</v>
      </c>
      <c r="J1611">
        <v>421.89</v>
      </c>
      <c r="K1611">
        <v>364.69</v>
      </c>
      <c r="L1611">
        <v>2683220.4</v>
      </c>
      <c r="M1611">
        <v>2319428.4</v>
      </c>
      <c r="N1611">
        <v>363792</v>
      </c>
    </row>
    <row r="1612" spans="1:14" x14ac:dyDescent="0.25">
      <c r="A1612" t="s">
        <v>51</v>
      </c>
      <c r="B1612" t="s">
        <v>350</v>
      </c>
      <c r="C1612" t="s">
        <v>131</v>
      </c>
      <c r="D1612" t="s">
        <v>22</v>
      </c>
      <c r="E1612" t="s">
        <v>18</v>
      </c>
      <c r="F1612" t="s">
        <v>1011</v>
      </c>
      <c r="G1612">
        <v>955108296</v>
      </c>
      <c r="H1612" t="s">
        <v>1349</v>
      </c>
      <c r="I1612">
        <v>6624</v>
      </c>
      <c r="J1612">
        <v>668.27</v>
      </c>
      <c r="K1612">
        <v>502.54</v>
      </c>
      <c r="L1612">
        <v>4426620.4800000004</v>
      </c>
      <c r="M1612">
        <v>3328824.96</v>
      </c>
      <c r="N1612">
        <v>1097795.52</v>
      </c>
    </row>
    <row r="1613" spans="1:14" x14ac:dyDescent="0.25">
      <c r="A1613" t="s">
        <v>51</v>
      </c>
      <c r="B1613" t="s">
        <v>166</v>
      </c>
      <c r="C1613" t="s">
        <v>44</v>
      </c>
      <c r="D1613" t="s">
        <v>22</v>
      </c>
      <c r="E1613" t="s">
        <v>32</v>
      </c>
      <c r="F1613" s="1">
        <v>41681</v>
      </c>
      <c r="G1613">
        <v>130948722</v>
      </c>
      <c r="H1613" t="s">
        <v>1350</v>
      </c>
      <c r="I1613">
        <v>9492</v>
      </c>
      <c r="J1613">
        <v>109.28</v>
      </c>
      <c r="K1613">
        <v>35.840000000000003</v>
      </c>
      <c r="L1613">
        <v>1037285.76</v>
      </c>
      <c r="M1613">
        <v>340193.28000000003</v>
      </c>
      <c r="N1613">
        <v>697092.48</v>
      </c>
    </row>
    <row r="1614" spans="1:14" x14ac:dyDescent="0.25">
      <c r="A1614" t="s">
        <v>42</v>
      </c>
      <c r="B1614" t="s">
        <v>573</v>
      </c>
      <c r="C1614" t="s">
        <v>55</v>
      </c>
      <c r="D1614" t="s">
        <v>17</v>
      </c>
      <c r="E1614" t="s">
        <v>18</v>
      </c>
      <c r="F1614" s="1">
        <v>42073</v>
      </c>
      <c r="G1614">
        <v>543808495</v>
      </c>
      <c r="H1614" s="1">
        <v>42195</v>
      </c>
      <c r="I1614">
        <v>3873</v>
      </c>
      <c r="J1614">
        <v>651.21</v>
      </c>
      <c r="K1614">
        <v>524.96</v>
      </c>
      <c r="L1614">
        <v>2522136.33</v>
      </c>
      <c r="M1614">
        <v>2033170.08</v>
      </c>
      <c r="N1614">
        <v>488966.25</v>
      </c>
    </row>
    <row r="1615" spans="1:14" x14ac:dyDescent="0.25">
      <c r="A1615" t="s">
        <v>42</v>
      </c>
      <c r="B1615" t="s">
        <v>565</v>
      </c>
      <c r="C1615" t="s">
        <v>131</v>
      </c>
      <c r="D1615" t="s">
        <v>22</v>
      </c>
      <c r="E1615" t="s">
        <v>45</v>
      </c>
      <c r="F1615" s="1">
        <v>43013</v>
      </c>
      <c r="G1615">
        <v>953111445</v>
      </c>
      <c r="H1615" t="s">
        <v>463</v>
      </c>
      <c r="I1615">
        <v>5712</v>
      </c>
      <c r="J1615">
        <v>668.27</v>
      </c>
      <c r="K1615">
        <v>502.54</v>
      </c>
      <c r="L1615">
        <v>3817158.24</v>
      </c>
      <c r="M1615">
        <v>2870508.48</v>
      </c>
      <c r="N1615">
        <v>946649.76</v>
      </c>
    </row>
    <row r="1616" spans="1:14" x14ac:dyDescent="0.25">
      <c r="A1616" t="s">
        <v>25</v>
      </c>
      <c r="B1616" t="s">
        <v>434</v>
      </c>
      <c r="C1616" t="s">
        <v>59</v>
      </c>
      <c r="D1616" t="s">
        <v>17</v>
      </c>
      <c r="E1616" t="s">
        <v>32</v>
      </c>
      <c r="F1616" t="s">
        <v>228</v>
      </c>
      <c r="G1616">
        <v>638593900</v>
      </c>
      <c r="H1616" s="1">
        <v>41255</v>
      </c>
      <c r="I1616">
        <v>2981</v>
      </c>
      <c r="J1616">
        <v>437.2</v>
      </c>
      <c r="K1616">
        <v>263.33</v>
      </c>
      <c r="L1616">
        <v>1303293.2</v>
      </c>
      <c r="M1616">
        <v>784986.73</v>
      </c>
      <c r="N1616">
        <v>518306.47</v>
      </c>
    </row>
    <row r="1617" spans="1:14" x14ac:dyDescent="0.25">
      <c r="A1617" t="s">
        <v>51</v>
      </c>
      <c r="B1617" t="s">
        <v>575</v>
      </c>
      <c r="C1617" t="s">
        <v>21</v>
      </c>
      <c r="D1617" t="s">
        <v>17</v>
      </c>
      <c r="E1617" t="s">
        <v>23</v>
      </c>
      <c r="F1617" s="1">
        <v>42040</v>
      </c>
      <c r="G1617">
        <v>750304687</v>
      </c>
      <c r="H1617" s="1">
        <v>42191</v>
      </c>
      <c r="I1617">
        <v>685</v>
      </c>
      <c r="J1617">
        <v>152.58000000000001</v>
      </c>
      <c r="K1617">
        <v>97.44</v>
      </c>
      <c r="L1617">
        <v>104517.3</v>
      </c>
      <c r="M1617">
        <v>66746.399999999994</v>
      </c>
      <c r="N1617">
        <v>37770.9</v>
      </c>
    </row>
    <row r="1618" spans="1:14" x14ac:dyDescent="0.25">
      <c r="A1618" t="s">
        <v>51</v>
      </c>
      <c r="B1618" t="s">
        <v>424</v>
      </c>
      <c r="C1618" t="s">
        <v>16</v>
      </c>
      <c r="D1618" t="s">
        <v>17</v>
      </c>
      <c r="E1618" t="s">
        <v>45</v>
      </c>
      <c r="F1618" s="1">
        <v>42435</v>
      </c>
      <c r="G1618">
        <v>258605134</v>
      </c>
      <c r="H1618" s="1">
        <v>42710</v>
      </c>
      <c r="I1618">
        <v>5861</v>
      </c>
      <c r="J1618">
        <v>255.28</v>
      </c>
      <c r="K1618">
        <v>159.41999999999999</v>
      </c>
      <c r="L1618">
        <v>1496196.08</v>
      </c>
      <c r="M1618">
        <v>934360.62</v>
      </c>
      <c r="N1618">
        <v>561835.46</v>
      </c>
    </row>
    <row r="1619" spans="1:14" x14ac:dyDescent="0.25">
      <c r="A1619" t="s">
        <v>51</v>
      </c>
      <c r="B1619" t="s">
        <v>100</v>
      </c>
      <c r="C1619" t="s">
        <v>55</v>
      </c>
      <c r="D1619" t="s">
        <v>22</v>
      </c>
      <c r="E1619" t="s">
        <v>18</v>
      </c>
      <c r="F1619" t="s">
        <v>1351</v>
      </c>
      <c r="G1619">
        <v>904169070</v>
      </c>
      <c r="H1619" t="s">
        <v>1352</v>
      </c>
      <c r="I1619">
        <v>2575</v>
      </c>
      <c r="J1619">
        <v>651.21</v>
      </c>
      <c r="K1619">
        <v>524.96</v>
      </c>
      <c r="L1619">
        <v>1676865.75</v>
      </c>
      <c r="M1619">
        <v>1351772</v>
      </c>
      <c r="N1619">
        <v>325093.75</v>
      </c>
    </row>
    <row r="1620" spans="1:14" x14ac:dyDescent="0.25">
      <c r="A1620" t="s">
        <v>38</v>
      </c>
      <c r="B1620" t="s">
        <v>190</v>
      </c>
      <c r="C1620" t="s">
        <v>55</v>
      </c>
      <c r="D1620" t="s">
        <v>22</v>
      </c>
      <c r="E1620" t="s">
        <v>32</v>
      </c>
      <c r="F1620" t="s">
        <v>1353</v>
      </c>
      <c r="G1620">
        <v>447982823</v>
      </c>
      <c r="H1620" s="1">
        <v>42645</v>
      </c>
      <c r="I1620">
        <v>6927</v>
      </c>
      <c r="J1620">
        <v>651.21</v>
      </c>
      <c r="K1620">
        <v>524.96</v>
      </c>
      <c r="L1620">
        <v>4510931.67</v>
      </c>
      <c r="M1620">
        <v>3636397.92</v>
      </c>
      <c r="N1620">
        <v>874533.75</v>
      </c>
    </row>
    <row r="1621" spans="1:14" x14ac:dyDescent="0.25">
      <c r="A1621" t="s">
        <v>14</v>
      </c>
      <c r="B1621" t="s">
        <v>357</v>
      </c>
      <c r="C1621" t="s">
        <v>69</v>
      </c>
      <c r="D1621" t="s">
        <v>22</v>
      </c>
      <c r="E1621" t="s">
        <v>18</v>
      </c>
      <c r="F1621" s="1">
        <v>41887</v>
      </c>
      <c r="G1621">
        <v>321345221</v>
      </c>
      <c r="H1621" t="s">
        <v>953</v>
      </c>
      <c r="I1621">
        <v>2047</v>
      </c>
      <c r="J1621">
        <v>421.89</v>
      </c>
      <c r="K1621">
        <v>364.69</v>
      </c>
      <c r="L1621">
        <v>863608.83</v>
      </c>
      <c r="M1621">
        <v>746520.43</v>
      </c>
      <c r="N1621">
        <v>117088.4</v>
      </c>
    </row>
    <row r="1622" spans="1:14" x14ac:dyDescent="0.25">
      <c r="A1622" t="s">
        <v>51</v>
      </c>
      <c r="B1622" t="s">
        <v>877</v>
      </c>
      <c r="C1622" t="s">
        <v>27</v>
      </c>
      <c r="D1622" t="s">
        <v>17</v>
      </c>
      <c r="E1622" t="s">
        <v>45</v>
      </c>
      <c r="F1622" t="s">
        <v>238</v>
      </c>
      <c r="G1622">
        <v>675867593</v>
      </c>
      <c r="H1622" t="s">
        <v>281</v>
      </c>
      <c r="I1622">
        <v>3095</v>
      </c>
      <c r="J1622">
        <v>47.45</v>
      </c>
      <c r="K1622">
        <v>31.79</v>
      </c>
      <c r="L1622">
        <v>146857.75</v>
      </c>
      <c r="M1622">
        <v>98390.05</v>
      </c>
      <c r="N1622">
        <v>48467.7</v>
      </c>
    </row>
    <row r="1623" spans="1:14" x14ac:dyDescent="0.25">
      <c r="A1623" t="s">
        <v>25</v>
      </c>
      <c r="B1623" t="s">
        <v>374</v>
      </c>
      <c r="C1623" t="s">
        <v>27</v>
      </c>
      <c r="D1623" t="s">
        <v>22</v>
      </c>
      <c r="E1623" t="s">
        <v>45</v>
      </c>
      <c r="F1623" t="s">
        <v>170</v>
      </c>
      <c r="G1623">
        <v>833473765</v>
      </c>
      <c r="H1623" t="s">
        <v>1354</v>
      </c>
      <c r="I1623">
        <v>2264</v>
      </c>
      <c r="J1623">
        <v>47.45</v>
      </c>
      <c r="K1623">
        <v>31.79</v>
      </c>
      <c r="L1623">
        <v>107426.8</v>
      </c>
      <c r="M1623">
        <v>71972.56</v>
      </c>
      <c r="N1623">
        <v>35454.239999999998</v>
      </c>
    </row>
    <row r="1624" spans="1:14" x14ac:dyDescent="0.25">
      <c r="A1624" t="s">
        <v>38</v>
      </c>
      <c r="B1624" t="s">
        <v>105</v>
      </c>
      <c r="C1624" t="s">
        <v>131</v>
      </c>
      <c r="D1624" t="s">
        <v>17</v>
      </c>
      <c r="E1624" t="s">
        <v>32</v>
      </c>
      <c r="F1624" s="1">
        <v>42526</v>
      </c>
      <c r="G1624">
        <v>636400067</v>
      </c>
      <c r="H1624" t="s">
        <v>1355</v>
      </c>
      <c r="I1624">
        <v>3777</v>
      </c>
      <c r="J1624">
        <v>668.27</v>
      </c>
      <c r="K1624">
        <v>502.54</v>
      </c>
      <c r="L1624">
        <v>2524055.79</v>
      </c>
      <c r="M1624">
        <v>1898093.58</v>
      </c>
      <c r="N1624">
        <v>625962.21</v>
      </c>
    </row>
    <row r="1625" spans="1:14" x14ac:dyDescent="0.25">
      <c r="A1625" t="s">
        <v>51</v>
      </c>
      <c r="B1625" t="s">
        <v>166</v>
      </c>
      <c r="C1625" t="s">
        <v>59</v>
      </c>
      <c r="D1625" t="s">
        <v>22</v>
      </c>
      <c r="E1625" t="s">
        <v>32</v>
      </c>
      <c r="F1625" s="1">
        <v>40789</v>
      </c>
      <c r="G1625">
        <v>897195327</v>
      </c>
      <c r="H1625" s="1">
        <v>40851</v>
      </c>
      <c r="I1625">
        <v>8890</v>
      </c>
      <c r="J1625">
        <v>437.2</v>
      </c>
      <c r="K1625">
        <v>263.33</v>
      </c>
      <c r="L1625">
        <v>3886708</v>
      </c>
      <c r="M1625">
        <v>2341003.7000000002</v>
      </c>
      <c r="N1625">
        <v>1545704.3</v>
      </c>
    </row>
    <row r="1626" spans="1:14" x14ac:dyDescent="0.25">
      <c r="A1626" t="s">
        <v>38</v>
      </c>
      <c r="B1626" t="s">
        <v>92</v>
      </c>
      <c r="C1626" t="s">
        <v>55</v>
      </c>
      <c r="D1626" t="s">
        <v>17</v>
      </c>
      <c r="E1626" t="s">
        <v>18</v>
      </c>
      <c r="F1626" s="1">
        <v>41548</v>
      </c>
      <c r="G1626">
        <v>248720872</v>
      </c>
      <c r="H1626" t="s">
        <v>968</v>
      </c>
      <c r="I1626">
        <v>888</v>
      </c>
      <c r="J1626">
        <v>651.21</v>
      </c>
      <c r="K1626">
        <v>524.96</v>
      </c>
      <c r="L1626">
        <v>578274.48</v>
      </c>
      <c r="M1626">
        <v>466164.47999999998</v>
      </c>
      <c r="N1626">
        <v>112110</v>
      </c>
    </row>
    <row r="1627" spans="1:14" x14ac:dyDescent="0.25">
      <c r="A1627" t="s">
        <v>51</v>
      </c>
      <c r="B1627" t="s">
        <v>305</v>
      </c>
      <c r="C1627" t="s">
        <v>69</v>
      </c>
      <c r="D1627" t="s">
        <v>17</v>
      </c>
      <c r="E1627" t="s">
        <v>32</v>
      </c>
      <c r="F1627" t="s">
        <v>989</v>
      </c>
      <c r="G1627">
        <v>994150531</v>
      </c>
      <c r="H1627" t="s">
        <v>1356</v>
      </c>
      <c r="I1627">
        <v>89</v>
      </c>
      <c r="J1627">
        <v>421.89</v>
      </c>
      <c r="K1627">
        <v>364.69</v>
      </c>
      <c r="L1627">
        <v>37548.21</v>
      </c>
      <c r="M1627">
        <v>32457.41</v>
      </c>
      <c r="N1627">
        <v>5090.8</v>
      </c>
    </row>
    <row r="1628" spans="1:14" x14ac:dyDescent="0.25">
      <c r="A1628" t="s">
        <v>38</v>
      </c>
      <c r="B1628" t="s">
        <v>49</v>
      </c>
      <c r="C1628" t="s">
        <v>16</v>
      </c>
      <c r="D1628" t="s">
        <v>22</v>
      </c>
      <c r="E1628" t="s">
        <v>32</v>
      </c>
      <c r="F1628" t="s">
        <v>402</v>
      </c>
      <c r="G1628">
        <v>556970632</v>
      </c>
      <c r="H1628" s="1">
        <v>41306</v>
      </c>
      <c r="I1628">
        <v>8842</v>
      </c>
      <c r="J1628">
        <v>255.28</v>
      </c>
      <c r="K1628">
        <v>159.41999999999999</v>
      </c>
      <c r="L1628">
        <v>2257185.7599999998</v>
      </c>
      <c r="M1628">
        <v>1409591.64</v>
      </c>
      <c r="N1628">
        <v>847594.12</v>
      </c>
    </row>
    <row r="1629" spans="1:14" x14ac:dyDescent="0.25">
      <c r="A1629" t="s">
        <v>51</v>
      </c>
      <c r="B1629" t="s">
        <v>274</v>
      </c>
      <c r="C1629" t="s">
        <v>27</v>
      </c>
      <c r="D1629" t="s">
        <v>22</v>
      </c>
      <c r="E1629" t="s">
        <v>18</v>
      </c>
      <c r="F1629" s="1">
        <v>41161</v>
      </c>
      <c r="G1629">
        <v>930980002</v>
      </c>
      <c r="H1629" s="1">
        <v>41223</v>
      </c>
      <c r="I1629">
        <v>6526</v>
      </c>
      <c r="J1629">
        <v>47.45</v>
      </c>
      <c r="K1629">
        <v>31.79</v>
      </c>
      <c r="L1629">
        <v>309658.7</v>
      </c>
      <c r="M1629">
        <v>207461.54</v>
      </c>
      <c r="N1629">
        <v>102197.16</v>
      </c>
    </row>
    <row r="1630" spans="1:14" x14ac:dyDescent="0.25">
      <c r="A1630" t="s">
        <v>51</v>
      </c>
      <c r="B1630" t="s">
        <v>295</v>
      </c>
      <c r="C1630" t="s">
        <v>44</v>
      </c>
      <c r="D1630" t="s">
        <v>17</v>
      </c>
      <c r="E1630" t="s">
        <v>18</v>
      </c>
      <c r="F1630" t="s">
        <v>781</v>
      </c>
      <c r="G1630">
        <v>130289971</v>
      </c>
      <c r="H1630" t="s">
        <v>283</v>
      </c>
      <c r="I1630">
        <v>4553</v>
      </c>
      <c r="J1630">
        <v>109.28</v>
      </c>
      <c r="K1630">
        <v>35.840000000000003</v>
      </c>
      <c r="L1630">
        <v>497551.84</v>
      </c>
      <c r="M1630">
        <v>163179.51999999999</v>
      </c>
      <c r="N1630">
        <v>334372.32</v>
      </c>
    </row>
    <row r="1631" spans="1:14" x14ac:dyDescent="0.25">
      <c r="A1631" t="s">
        <v>42</v>
      </c>
      <c r="B1631" t="s">
        <v>681</v>
      </c>
      <c r="C1631" t="s">
        <v>88</v>
      </c>
      <c r="D1631" t="s">
        <v>17</v>
      </c>
      <c r="E1631" t="s">
        <v>18</v>
      </c>
      <c r="F1631" s="1">
        <v>41855</v>
      </c>
      <c r="G1631">
        <v>739324367</v>
      </c>
      <c r="H1631" s="1">
        <v>41916</v>
      </c>
      <c r="I1631">
        <v>1364</v>
      </c>
      <c r="J1631">
        <v>9.33</v>
      </c>
      <c r="K1631">
        <v>6.92</v>
      </c>
      <c r="L1631">
        <v>12726.12</v>
      </c>
      <c r="M1631">
        <v>9438.8799999999992</v>
      </c>
      <c r="N1631">
        <v>3287.24</v>
      </c>
    </row>
    <row r="1632" spans="1:14" x14ac:dyDescent="0.25">
      <c r="A1632" t="s">
        <v>38</v>
      </c>
      <c r="B1632" t="s">
        <v>54</v>
      </c>
      <c r="C1632" t="s">
        <v>44</v>
      </c>
      <c r="D1632" t="s">
        <v>17</v>
      </c>
      <c r="E1632" t="s">
        <v>18</v>
      </c>
      <c r="F1632" s="1">
        <v>41253</v>
      </c>
      <c r="G1632">
        <v>462819516</v>
      </c>
      <c r="H1632" t="s">
        <v>657</v>
      </c>
      <c r="I1632">
        <v>7435</v>
      </c>
      <c r="J1632">
        <v>109.28</v>
      </c>
      <c r="K1632">
        <v>35.840000000000003</v>
      </c>
      <c r="L1632">
        <v>812496.8</v>
      </c>
      <c r="M1632">
        <v>266470.40000000002</v>
      </c>
      <c r="N1632">
        <v>546026.4</v>
      </c>
    </row>
    <row r="1633" spans="1:14" x14ac:dyDescent="0.25">
      <c r="A1633" t="s">
        <v>29</v>
      </c>
      <c r="B1633" t="s">
        <v>271</v>
      </c>
      <c r="C1633" t="s">
        <v>16</v>
      </c>
      <c r="D1633" t="s">
        <v>17</v>
      </c>
      <c r="E1633" t="s">
        <v>23</v>
      </c>
      <c r="F1633" s="1">
        <v>40276</v>
      </c>
      <c r="G1633">
        <v>675824248</v>
      </c>
      <c r="H1633" t="s">
        <v>1357</v>
      </c>
      <c r="I1633">
        <v>268</v>
      </c>
      <c r="J1633">
        <v>255.28</v>
      </c>
      <c r="K1633">
        <v>159.41999999999999</v>
      </c>
      <c r="L1633">
        <v>68415.039999999994</v>
      </c>
      <c r="M1633">
        <v>42724.56</v>
      </c>
      <c r="N1633">
        <v>25690.48</v>
      </c>
    </row>
    <row r="1634" spans="1:14" x14ac:dyDescent="0.25">
      <c r="A1634" t="s">
        <v>51</v>
      </c>
      <c r="B1634" t="s">
        <v>308</v>
      </c>
      <c r="C1634" t="s">
        <v>16</v>
      </c>
      <c r="D1634" t="s">
        <v>22</v>
      </c>
      <c r="E1634" t="s">
        <v>32</v>
      </c>
      <c r="F1634" s="1">
        <v>42586</v>
      </c>
      <c r="G1634">
        <v>573699891</v>
      </c>
      <c r="H1634" t="s">
        <v>726</v>
      </c>
      <c r="I1634">
        <v>9402</v>
      </c>
      <c r="J1634">
        <v>255.28</v>
      </c>
      <c r="K1634">
        <v>159.41999999999999</v>
      </c>
      <c r="L1634">
        <v>2400142.56</v>
      </c>
      <c r="M1634">
        <v>1498866.84</v>
      </c>
      <c r="N1634">
        <v>901275.72</v>
      </c>
    </row>
    <row r="1635" spans="1:14" x14ac:dyDescent="0.25">
      <c r="A1635" t="s">
        <v>51</v>
      </c>
      <c r="B1635" t="s">
        <v>274</v>
      </c>
      <c r="C1635" t="s">
        <v>55</v>
      </c>
      <c r="D1635" t="s">
        <v>22</v>
      </c>
      <c r="E1635" t="s">
        <v>23</v>
      </c>
      <c r="F1635" s="1">
        <v>41133</v>
      </c>
      <c r="G1635">
        <v>322120273</v>
      </c>
      <c r="H1635" t="s">
        <v>756</v>
      </c>
      <c r="I1635">
        <v>1402</v>
      </c>
      <c r="J1635">
        <v>651.21</v>
      </c>
      <c r="K1635">
        <v>524.96</v>
      </c>
      <c r="L1635">
        <v>912996.42</v>
      </c>
      <c r="M1635">
        <v>735993.92</v>
      </c>
      <c r="N1635">
        <v>177002.5</v>
      </c>
    </row>
    <row r="1636" spans="1:14" x14ac:dyDescent="0.25">
      <c r="A1636" t="s">
        <v>42</v>
      </c>
      <c r="B1636" t="s">
        <v>174</v>
      </c>
      <c r="C1636" t="s">
        <v>59</v>
      </c>
      <c r="D1636" t="s">
        <v>17</v>
      </c>
      <c r="E1636" t="s">
        <v>45</v>
      </c>
      <c r="F1636" t="s">
        <v>1358</v>
      </c>
      <c r="G1636">
        <v>607071721</v>
      </c>
      <c r="H1636" t="s">
        <v>1359</v>
      </c>
      <c r="I1636">
        <v>4868</v>
      </c>
      <c r="J1636">
        <v>437.2</v>
      </c>
      <c r="K1636">
        <v>263.33</v>
      </c>
      <c r="L1636">
        <v>2128289.6</v>
      </c>
      <c r="M1636">
        <v>1281890.44</v>
      </c>
      <c r="N1636">
        <v>846399.16</v>
      </c>
    </row>
    <row r="1637" spans="1:14" x14ac:dyDescent="0.25">
      <c r="A1637" t="s">
        <v>42</v>
      </c>
      <c r="B1637" t="s">
        <v>565</v>
      </c>
      <c r="C1637" t="s">
        <v>40</v>
      </c>
      <c r="D1637" t="s">
        <v>17</v>
      </c>
      <c r="E1637" t="s">
        <v>32</v>
      </c>
      <c r="F1637" s="1">
        <v>40553</v>
      </c>
      <c r="G1637">
        <v>384853065</v>
      </c>
      <c r="H1637" t="s">
        <v>995</v>
      </c>
      <c r="I1637">
        <v>5429</v>
      </c>
      <c r="J1637">
        <v>81.73</v>
      </c>
      <c r="K1637">
        <v>56.67</v>
      </c>
      <c r="L1637">
        <v>443712.17</v>
      </c>
      <c r="M1637">
        <v>307661.43</v>
      </c>
      <c r="N1637">
        <v>136050.74</v>
      </c>
    </row>
    <row r="1638" spans="1:14" x14ac:dyDescent="0.25">
      <c r="A1638" t="s">
        <v>14</v>
      </c>
      <c r="B1638" t="s">
        <v>98</v>
      </c>
      <c r="C1638" t="s">
        <v>40</v>
      </c>
      <c r="D1638" t="s">
        <v>22</v>
      </c>
      <c r="E1638" t="s">
        <v>18</v>
      </c>
      <c r="F1638" s="1">
        <v>42134</v>
      </c>
      <c r="G1638">
        <v>932075631</v>
      </c>
      <c r="H1638" t="s">
        <v>1105</v>
      </c>
      <c r="I1638">
        <v>747</v>
      </c>
      <c r="J1638">
        <v>81.73</v>
      </c>
      <c r="K1638">
        <v>56.67</v>
      </c>
      <c r="L1638">
        <v>61052.31</v>
      </c>
      <c r="M1638">
        <v>42332.49</v>
      </c>
      <c r="N1638">
        <v>18719.82</v>
      </c>
    </row>
    <row r="1639" spans="1:14" x14ac:dyDescent="0.25">
      <c r="A1639" t="s">
        <v>38</v>
      </c>
      <c r="B1639" t="s">
        <v>177</v>
      </c>
      <c r="C1639" t="s">
        <v>88</v>
      </c>
      <c r="D1639" t="s">
        <v>17</v>
      </c>
      <c r="E1639" t="s">
        <v>45</v>
      </c>
      <c r="F1639" s="1">
        <v>41766</v>
      </c>
      <c r="G1639">
        <v>895663249</v>
      </c>
      <c r="H1639" s="1">
        <v>41920</v>
      </c>
      <c r="I1639">
        <v>5514</v>
      </c>
      <c r="J1639">
        <v>9.33</v>
      </c>
      <c r="K1639">
        <v>6.92</v>
      </c>
      <c r="L1639">
        <v>51445.62</v>
      </c>
      <c r="M1639">
        <v>38156.879999999997</v>
      </c>
      <c r="N1639">
        <v>13288.74</v>
      </c>
    </row>
    <row r="1640" spans="1:14" x14ac:dyDescent="0.25">
      <c r="A1640" t="s">
        <v>51</v>
      </c>
      <c r="B1640" t="s">
        <v>260</v>
      </c>
      <c r="C1640" t="s">
        <v>113</v>
      </c>
      <c r="D1640" t="s">
        <v>22</v>
      </c>
      <c r="E1640" t="s">
        <v>23</v>
      </c>
      <c r="F1640" s="1">
        <v>40610</v>
      </c>
      <c r="G1640">
        <v>342852246</v>
      </c>
      <c r="H1640" t="s">
        <v>747</v>
      </c>
      <c r="I1640">
        <v>6453</v>
      </c>
      <c r="J1640">
        <v>154.06</v>
      </c>
      <c r="K1640">
        <v>90.93</v>
      </c>
      <c r="L1640">
        <v>994149.18</v>
      </c>
      <c r="M1640">
        <v>586771.29</v>
      </c>
      <c r="N1640">
        <v>407377.89</v>
      </c>
    </row>
    <row r="1641" spans="1:14" x14ac:dyDescent="0.25">
      <c r="A1641" t="s">
        <v>51</v>
      </c>
      <c r="B1641" t="s">
        <v>100</v>
      </c>
      <c r="C1641" t="s">
        <v>27</v>
      </c>
      <c r="D1641" t="s">
        <v>17</v>
      </c>
      <c r="E1641" t="s">
        <v>18</v>
      </c>
      <c r="F1641" t="s">
        <v>1099</v>
      </c>
      <c r="G1641">
        <v>311191451</v>
      </c>
      <c r="H1641" s="1">
        <v>42254</v>
      </c>
      <c r="I1641">
        <v>7321</v>
      </c>
      <c r="J1641">
        <v>47.45</v>
      </c>
      <c r="K1641">
        <v>31.79</v>
      </c>
      <c r="L1641">
        <v>347381.45</v>
      </c>
      <c r="M1641">
        <v>232734.59</v>
      </c>
      <c r="N1641">
        <v>114646.86</v>
      </c>
    </row>
    <row r="1642" spans="1:14" x14ac:dyDescent="0.25">
      <c r="A1642" t="s">
        <v>14</v>
      </c>
      <c r="B1642" t="s">
        <v>66</v>
      </c>
      <c r="C1642" t="s">
        <v>69</v>
      </c>
      <c r="D1642" t="s">
        <v>17</v>
      </c>
      <c r="E1642" t="s">
        <v>32</v>
      </c>
      <c r="F1642" t="s">
        <v>241</v>
      </c>
      <c r="G1642">
        <v>558542191</v>
      </c>
      <c r="H1642" s="1">
        <v>41164</v>
      </c>
      <c r="I1642">
        <v>3901</v>
      </c>
      <c r="J1642">
        <v>421.89</v>
      </c>
      <c r="K1642">
        <v>364.69</v>
      </c>
      <c r="L1642">
        <v>1645792.89</v>
      </c>
      <c r="M1642">
        <v>1422655.69</v>
      </c>
      <c r="N1642">
        <v>223137.2</v>
      </c>
    </row>
    <row r="1643" spans="1:14" x14ac:dyDescent="0.25">
      <c r="A1643" t="s">
        <v>38</v>
      </c>
      <c r="B1643" t="s">
        <v>85</v>
      </c>
      <c r="C1643" t="s">
        <v>27</v>
      </c>
      <c r="D1643" t="s">
        <v>22</v>
      </c>
      <c r="E1643" t="s">
        <v>23</v>
      </c>
      <c r="F1643" s="1">
        <v>40521</v>
      </c>
      <c r="G1643">
        <v>913078296</v>
      </c>
      <c r="H1643" t="s">
        <v>1360</v>
      </c>
      <c r="I1643">
        <v>9013</v>
      </c>
      <c r="J1643">
        <v>47.45</v>
      </c>
      <c r="K1643">
        <v>31.79</v>
      </c>
      <c r="L1643">
        <v>427666.85</v>
      </c>
      <c r="M1643">
        <v>286523.27</v>
      </c>
      <c r="N1643">
        <v>141143.57999999999</v>
      </c>
    </row>
    <row r="1644" spans="1:14" x14ac:dyDescent="0.25">
      <c r="A1644" t="s">
        <v>42</v>
      </c>
      <c r="B1644" t="s">
        <v>107</v>
      </c>
      <c r="C1644" t="s">
        <v>131</v>
      </c>
      <c r="D1644" t="s">
        <v>17</v>
      </c>
      <c r="E1644" t="s">
        <v>32</v>
      </c>
      <c r="F1644" t="s">
        <v>391</v>
      </c>
      <c r="G1644">
        <v>823286092</v>
      </c>
      <c r="H1644" t="s">
        <v>221</v>
      </c>
      <c r="I1644">
        <v>7505</v>
      </c>
      <c r="J1644">
        <v>668.27</v>
      </c>
      <c r="K1644">
        <v>502.54</v>
      </c>
      <c r="L1644">
        <v>5015366.3499999996</v>
      </c>
      <c r="M1644">
        <v>3771562.7</v>
      </c>
      <c r="N1644">
        <v>1243803.6499999999</v>
      </c>
    </row>
    <row r="1645" spans="1:14" x14ac:dyDescent="0.25">
      <c r="A1645" t="s">
        <v>29</v>
      </c>
      <c r="B1645" t="s">
        <v>619</v>
      </c>
      <c r="C1645" t="s">
        <v>88</v>
      </c>
      <c r="D1645" t="s">
        <v>17</v>
      </c>
      <c r="E1645" t="s">
        <v>32</v>
      </c>
      <c r="F1645" s="1">
        <v>41280</v>
      </c>
      <c r="G1645">
        <v>707964408</v>
      </c>
      <c r="H1645" t="s">
        <v>1361</v>
      </c>
      <c r="I1645">
        <v>1256</v>
      </c>
      <c r="J1645">
        <v>9.33</v>
      </c>
      <c r="K1645">
        <v>6.92</v>
      </c>
      <c r="L1645">
        <v>11718.48</v>
      </c>
      <c r="M1645">
        <v>8691.52</v>
      </c>
      <c r="N1645">
        <v>3026.96</v>
      </c>
    </row>
    <row r="1646" spans="1:14" x14ac:dyDescent="0.25">
      <c r="A1646" t="s">
        <v>25</v>
      </c>
      <c r="B1646" t="s">
        <v>303</v>
      </c>
      <c r="C1646" t="s">
        <v>59</v>
      </c>
      <c r="D1646" t="s">
        <v>22</v>
      </c>
      <c r="E1646" t="s">
        <v>18</v>
      </c>
      <c r="F1646" s="1">
        <v>41858</v>
      </c>
      <c r="G1646">
        <v>606224572</v>
      </c>
      <c r="H1646" t="s">
        <v>506</v>
      </c>
      <c r="I1646">
        <v>4177</v>
      </c>
      <c r="J1646">
        <v>437.2</v>
      </c>
      <c r="K1646">
        <v>263.33</v>
      </c>
      <c r="L1646">
        <v>1826184.4</v>
      </c>
      <c r="M1646">
        <v>1099929.4099999999</v>
      </c>
      <c r="N1646">
        <v>726254.99</v>
      </c>
    </row>
    <row r="1647" spans="1:14" x14ac:dyDescent="0.25">
      <c r="A1647" t="s">
        <v>38</v>
      </c>
      <c r="B1647" t="s">
        <v>117</v>
      </c>
      <c r="C1647" t="s">
        <v>44</v>
      </c>
      <c r="D1647" t="s">
        <v>22</v>
      </c>
      <c r="E1647" t="s">
        <v>18</v>
      </c>
      <c r="F1647" s="1">
        <v>42289</v>
      </c>
      <c r="G1647">
        <v>627490413</v>
      </c>
      <c r="H1647" t="s">
        <v>524</v>
      </c>
      <c r="I1647">
        <v>7212</v>
      </c>
      <c r="J1647">
        <v>109.28</v>
      </c>
      <c r="K1647">
        <v>35.840000000000003</v>
      </c>
      <c r="L1647">
        <v>788127.36</v>
      </c>
      <c r="M1647">
        <v>258478.07999999999</v>
      </c>
      <c r="N1647">
        <v>529649.28</v>
      </c>
    </row>
    <row r="1648" spans="1:14" x14ac:dyDescent="0.25">
      <c r="A1648" t="s">
        <v>42</v>
      </c>
      <c r="B1648" t="s">
        <v>565</v>
      </c>
      <c r="C1648" t="s">
        <v>59</v>
      </c>
      <c r="D1648" t="s">
        <v>17</v>
      </c>
      <c r="E1648" t="s">
        <v>32</v>
      </c>
      <c r="F1648" t="s">
        <v>1362</v>
      </c>
      <c r="G1648">
        <v>501498258</v>
      </c>
      <c r="H1648" s="1">
        <v>41708</v>
      </c>
      <c r="I1648">
        <v>3334</v>
      </c>
      <c r="J1648">
        <v>437.2</v>
      </c>
      <c r="K1648">
        <v>263.33</v>
      </c>
      <c r="L1648">
        <v>1457624.8</v>
      </c>
      <c r="M1648">
        <v>877942.22</v>
      </c>
      <c r="N1648">
        <v>579682.57999999996</v>
      </c>
    </row>
    <row r="1649" spans="1:14" x14ac:dyDescent="0.25">
      <c r="A1649" t="s">
        <v>29</v>
      </c>
      <c r="B1649" t="s">
        <v>30</v>
      </c>
      <c r="C1649" t="s">
        <v>21</v>
      </c>
      <c r="D1649" t="s">
        <v>22</v>
      </c>
      <c r="E1649" t="s">
        <v>18</v>
      </c>
      <c r="F1649" s="1">
        <v>41006</v>
      </c>
      <c r="G1649">
        <v>928296935</v>
      </c>
      <c r="H1649" t="s">
        <v>761</v>
      </c>
      <c r="I1649">
        <v>2547</v>
      </c>
      <c r="J1649">
        <v>152.58000000000001</v>
      </c>
      <c r="K1649">
        <v>97.44</v>
      </c>
      <c r="L1649">
        <v>388621.26</v>
      </c>
      <c r="M1649">
        <v>248179.68</v>
      </c>
      <c r="N1649">
        <v>140441.57999999999</v>
      </c>
    </row>
    <row r="1650" spans="1:14" x14ac:dyDescent="0.25">
      <c r="A1650" t="s">
        <v>29</v>
      </c>
      <c r="B1650" t="s">
        <v>159</v>
      </c>
      <c r="C1650" t="s">
        <v>131</v>
      </c>
      <c r="D1650" t="s">
        <v>17</v>
      </c>
      <c r="E1650" t="s">
        <v>23</v>
      </c>
      <c r="F1650" s="1">
        <v>41187</v>
      </c>
      <c r="G1650">
        <v>428247773</v>
      </c>
      <c r="H1650" t="s">
        <v>1352</v>
      </c>
      <c r="I1650">
        <v>6888</v>
      </c>
      <c r="J1650">
        <v>668.27</v>
      </c>
      <c r="K1650">
        <v>502.54</v>
      </c>
      <c r="L1650">
        <v>4603043.76</v>
      </c>
      <c r="M1650">
        <v>3461495.52</v>
      </c>
      <c r="N1650">
        <v>1141548.24</v>
      </c>
    </row>
    <row r="1651" spans="1:14" x14ac:dyDescent="0.25">
      <c r="A1651" t="s">
        <v>51</v>
      </c>
      <c r="B1651" t="s">
        <v>542</v>
      </c>
      <c r="C1651" t="s">
        <v>21</v>
      </c>
      <c r="D1651" t="s">
        <v>22</v>
      </c>
      <c r="E1651" t="s">
        <v>18</v>
      </c>
      <c r="F1651" t="s">
        <v>499</v>
      </c>
      <c r="G1651">
        <v>292024600</v>
      </c>
      <c r="H1651" s="1">
        <v>41736</v>
      </c>
      <c r="I1651">
        <v>5423</v>
      </c>
      <c r="J1651">
        <v>152.58000000000001</v>
      </c>
      <c r="K1651">
        <v>97.44</v>
      </c>
      <c r="L1651">
        <v>827441.34</v>
      </c>
      <c r="M1651">
        <v>528417.12</v>
      </c>
      <c r="N1651">
        <v>299024.21999999997</v>
      </c>
    </row>
    <row r="1652" spans="1:14" x14ac:dyDescent="0.25">
      <c r="A1652" t="s">
        <v>38</v>
      </c>
      <c r="B1652" t="s">
        <v>58</v>
      </c>
      <c r="C1652" t="s">
        <v>88</v>
      </c>
      <c r="D1652" t="s">
        <v>17</v>
      </c>
      <c r="E1652" t="s">
        <v>32</v>
      </c>
      <c r="F1652" t="s">
        <v>1363</v>
      </c>
      <c r="G1652">
        <v>530613744</v>
      </c>
      <c r="H1652" t="s">
        <v>1364</v>
      </c>
      <c r="I1652">
        <v>9253</v>
      </c>
      <c r="J1652">
        <v>9.33</v>
      </c>
      <c r="K1652">
        <v>6.92</v>
      </c>
      <c r="L1652">
        <v>86330.49</v>
      </c>
      <c r="M1652">
        <v>64030.76</v>
      </c>
      <c r="N1652">
        <v>22299.73</v>
      </c>
    </row>
    <row r="1653" spans="1:14" x14ac:dyDescent="0.25">
      <c r="A1653" t="s">
        <v>25</v>
      </c>
      <c r="B1653" t="s">
        <v>252</v>
      </c>
      <c r="C1653" t="s">
        <v>44</v>
      </c>
      <c r="D1653" t="s">
        <v>17</v>
      </c>
      <c r="E1653" t="s">
        <v>45</v>
      </c>
      <c r="F1653" s="1">
        <v>41061</v>
      </c>
      <c r="G1653">
        <v>325314033</v>
      </c>
      <c r="H1653" t="s">
        <v>729</v>
      </c>
      <c r="I1653">
        <v>6506</v>
      </c>
      <c r="J1653">
        <v>109.28</v>
      </c>
      <c r="K1653">
        <v>35.840000000000003</v>
      </c>
      <c r="L1653">
        <v>710975.68</v>
      </c>
      <c r="M1653">
        <v>233175.04000000001</v>
      </c>
      <c r="N1653">
        <v>477800.64</v>
      </c>
    </row>
    <row r="1654" spans="1:14" x14ac:dyDescent="0.25">
      <c r="A1654" t="s">
        <v>38</v>
      </c>
      <c r="B1654" t="s">
        <v>156</v>
      </c>
      <c r="C1654" t="s">
        <v>88</v>
      </c>
      <c r="D1654" t="s">
        <v>17</v>
      </c>
      <c r="E1654" t="s">
        <v>23</v>
      </c>
      <c r="F1654" s="1">
        <v>41582</v>
      </c>
      <c r="G1654">
        <v>277736794</v>
      </c>
      <c r="H1654" t="s">
        <v>355</v>
      </c>
      <c r="I1654">
        <v>7344</v>
      </c>
      <c r="J1654">
        <v>9.33</v>
      </c>
      <c r="K1654">
        <v>6.92</v>
      </c>
      <c r="L1654">
        <v>68519.520000000004</v>
      </c>
      <c r="M1654">
        <v>50820.480000000003</v>
      </c>
      <c r="N1654">
        <v>17699.04</v>
      </c>
    </row>
    <row r="1655" spans="1:14" x14ac:dyDescent="0.25">
      <c r="A1655" t="s">
        <v>25</v>
      </c>
      <c r="B1655" t="s">
        <v>339</v>
      </c>
      <c r="C1655" t="s">
        <v>69</v>
      </c>
      <c r="D1655" t="s">
        <v>22</v>
      </c>
      <c r="E1655" t="s">
        <v>18</v>
      </c>
      <c r="F1655" t="s">
        <v>1365</v>
      </c>
      <c r="G1655">
        <v>159805858</v>
      </c>
      <c r="H1655" t="s">
        <v>1366</v>
      </c>
      <c r="I1655">
        <v>8959</v>
      </c>
      <c r="J1655">
        <v>421.89</v>
      </c>
      <c r="K1655">
        <v>364.69</v>
      </c>
      <c r="L1655">
        <v>3779712.51</v>
      </c>
      <c r="M1655">
        <v>3267257.71</v>
      </c>
      <c r="N1655">
        <v>512454.8</v>
      </c>
    </row>
    <row r="1656" spans="1:14" x14ac:dyDescent="0.25">
      <c r="A1656" t="s">
        <v>29</v>
      </c>
      <c r="B1656" t="s">
        <v>494</v>
      </c>
      <c r="C1656" t="s">
        <v>27</v>
      </c>
      <c r="D1656" t="s">
        <v>17</v>
      </c>
      <c r="E1656" t="s">
        <v>32</v>
      </c>
      <c r="F1656" t="s">
        <v>1367</v>
      </c>
      <c r="G1656">
        <v>263757550</v>
      </c>
      <c r="H1656" s="1">
        <v>42709</v>
      </c>
      <c r="I1656">
        <v>575</v>
      </c>
      <c r="J1656">
        <v>47.45</v>
      </c>
      <c r="K1656">
        <v>31.79</v>
      </c>
      <c r="L1656">
        <v>27283.75</v>
      </c>
      <c r="M1656">
        <v>18279.25</v>
      </c>
      <c r="N1656">
        <v>9004.5</v>
      </c>
    </row>
    <row r="1657" spans="1:14" x14ac:dyDescent="0.25">
      <c r="A1657" t="s">
        <v>38</v>
      </c>
      <c r="B1657" t="s">
        <v>346</v>
      </c>
      <c r="C1657" t="s">
        <v>55</v>
      </c>
      <c r="D1657" t="s">
        <v>22</v>
      </c>
      <c r="E1657" t="s">
        <v>32</v>
      </c>
      <c r="F1657" t="s">
        <v>1234</v>
      </c>
      <c r="G1657">
        <v>952140700</v>
      </c>
      <c r="H1657" s="1">
        <v>40667</v>
      </c>
      <c r="I1657">
        <v>8447</v>
      </c>
      <c r="J1657">
        <v>651.21</v>
      </c>
      <c r="K1657">
        <v>524.96</v>
      </c>
      <c r="L1657">
        <v>5500770.8700000001</v>
      </c>
      <c r="M1657">
        <v>4434337.12</v>
      </c>
      <c r="N1657">
        <v>1066433.75</v>
      </c>
    </row>
    <row r="1658" spans="1:14" x14ac:dyDescent="0.25">
      <c r="A1658" t="s">
        <v>38</v>
      </c>
      <c r="B1658" t="s">
        <v>105</v>
      </c>
      <c r="C1658" t="s">
        <v>59</v>
      </c>
      <c r="D1658" t="s">
        <v>22</v>
      </c>
      <c r="E1658" t="s">
        <v>32</v>
      </c>
      <c r="F1658" t="s">
        <v>1368</v>
      </c>
      <c r="G1658">
        <v>407816636</v>
      </c>
      <c r="H1658" t="s">
        <v>1369</v>
      </c>
      <c r="I1658">
        <v>860</v>
      </c>
      <c r="J1658">
        <v>437.2</v>
      </c>
      <c r="K1658">
        <v>263.33</v>
      </c>
      <c r="L1658">
        <v>375992</v>
      </c>
      <c r="M1658">
        <v>226463.8</v>
      </c>
      <c r="N1658">
        <v>149528.20000000001</v>
      </c>
    </row>
    <row r="1659" spans="1:14" x14ac:dyDescent="0.25">
      <c r="A1659" t="s">
        <v>38</v>
      </c>
      <c r="B1659" t="s">
        <v>54</v>
      </c>
      <c r="C1659" t="s">
        <v>21</v>
      </c>
      <c r="D1659" t="s">
        <v>17</v>
      </c>
      <c r="E1659" t="s">
        <v>45</v>
      </c>
      <c r="F1659" t="s">
        <v>743</v>
      </c>
      <c r="G1659">
        <v>483959186</v>
      </c>
      <c r="H1659" t="s">
        <v>1208</v>
      </c>
      <c r="I1659">
        <v>3133</v>
      </c>
      <c r="J1659">
        <v>152.58000000000001</v>
      </c>
      <c r="K1659">
        <v>97.44</v>
      </c>
      <c r="L1659">
        <v>478033.14</v>
      </c>
      <c r="M1659">
        <v>305279.52</v>
      </c>
      <c r="N1659">
        <v>172753.62</v>
      </c>
    </row>
    <row r="1660" spans="1:14" x14ac:dyDescent="0.25">
      <c r="A1660" t="s">
        <v>29</v>
      </c>
      <c r="B1660" t="s">
        <v>271</v>
      </c>
      <c r="C1660" t="s">
        <v>40</v>
      </c>
      <c r="D1660" t="s">
        <v>17</v>
      </c>
      <c r="E1660" t="s">
        <v>23</v>
      </c>
      <c r="F1660" t="s">
        <v>344</v>
      </c>
      <c r="G1660">
        <v>854054677</v>
      </c>
      <c r="H1660" t="s">
        <v>1308</v>
      </c>
      <c r="I1660">
        <v>2613</v>
      </c>
      <c r="J1660">
        <v>81.73</v>
      </c>
      <c r="K1660">
        <v>56.67</v>
      </c>
      <c r="L1660">
        <v>213560.49</v>
      </c>
      <c r="M1660">
        <v>148078.71</v>
      </c>
      <c r="N1660">
        <v>65481.78</v>
      </c>
    </row>
    <row r="1661" spans="1:14" x14ac:dyDescent="0.25">
      <c r="A1661" t="s">
        <v>38</v>
      </c>
      <c r="B1661" t="s">
        <v>584</v>
      </c>
      <c r="C1661" t="s">
        <v>21</v>
      </c>
      <c r="D1661" t="s">
        <v>17</v>
      </c>
      <c r="E1661" t="s">
        <v>23</v>
      </c>
      <c r="F1661" s="1">
        <v>42795</v>
      </c>
      <c r="G1661">
        <v>361901938</v>
      </c>
      <c r="H1661" t="s">
        <v>1370</v>
      </c>
      <c r="I1661">
        <v>3681</v>
      </c>
      <c r="J1661">
        <v>152.58000000000001</v>
      </c>
      <c r="K1661">
        <v>97.44</v>
      </c>
      <c r="L1661">
        <v>561646.98</v>
      </c>
      <c r="M1661">
        <v>358676.64</v>
      </c>
      <c r="N1661">
        <v>202970.34</v>
      </c>
    </row>
    <row r="1662" spans="1:14" x14ac:dyDescent="0.25">
      <c r="A1662" t="s">
        <v>77</v>
      </c>
      <c r="B1662" t="s">
        <v>320</v>
      </c>
      <c r="C1662" t="s">
        <v>131</v>
      </c>
      <c r="D1662" t="s">
        <v>22</v>
      </c>
      <c r="E1662" t="s">
        <v>45</v>
      </c>
      <c r="F1662" s="1">
        <v>41529</v>
      </c>
      <c r="G1662">
        <v>171612298</v>
      </c>
      <c r="H1662" t="s">
        <v>1371</v>
      </c>
      <c r="I1662">
        <v>2747</v>
      </c>
      <c r="J1662">
        <v>668.27</v>
      </c>
      <c r="K1662">
        <v>502.54</v>
      </c>
      <c r="L1662">
        <v>1835737.69</v>
      </c>
      <c r="M1662">
        <v>1380477.38</v>
      </c>
      <c r="N1662">
        <v>455260.31</v>
      </c>
    </row>
    <row r="1663" spans="1:14" x14ac:dyDescent="0.25">
      <c r="A1663" t="s">
        <v>51</v>
      </c>
      <c r="B1663" t="s">
        <v>638</v>
      </c>
      <c r="C1663" t="s">
        <v>59</v>
      </c>
      <c r="D1663" t="s">
        <v>22</v>
      </c>
      <c r="E1663" t="s">
        <v>32</v>
      </c>
      <c r="F1663" t="s">
        <v>1372</v>
      </c>
      <c r="G1663">
        <v>617609584</v>
      </c>
      <c r="H1663" s="1">
        <v>41650</v>
      </c>
      <c r="I1663">
        <v>3255</v>
      </c>
      <c r="J1663">
        <v>437.2</v>
      </c>
      <c r="K1663">
        <v>263.33</v>
      </c>
      <c r="L1663">
        <v>1423086</v>
      </c>
      <c r="M1663">
        <v>857139.15</v>
      </c>
      <c r="N1663">
        <v>565946.85</v>
      </c>
    </row>
    <row r="1664" spans="1:14" x14ac:dyDescent="0.25">
      <c r="A1664" t="s">
        <v>14</v>
      </c>
      <c r="B1664" t="s">
        <v>432</v>
      </c>
      <c r="C1664" t="s">
        <v>55</v>
      </c>
      <c r="D1664" t="s">
        <v>17</v>
      </c>
      <c r="E1664" t="s">
        <v>18</v>
      </c>
      <c r="F1664" t="s">
        <v>1373</v>
      </c>
      <c r="G1664">
        <v>754630124</v>
      </c>
      <c r="H1664" t="s">
        <v>1173</v>
      </c>
      <c r="I1664">
        <v>678</v>
      </c>
      <c r="J1664">
        <v>651.21</v>
      </c>
      <c r="K1664">
        <v>524.96</v>
      </c>
      <c r="L1664">
        <v>441520.38</v>
      </c>
      <c r="M1664">
        <v>355922.88</v>
      </c>
      <c r="N1664">
        <v>85597.5</v>
      </c>
    </row>
    <row r="1665" spans="1:14" x14ac:dyDescent="0.25">
      <c r="A1665" t="s">
        <v>77</v>
      </c>
      <c r="B1665" t="s">
        <v>78</v>
      </c>
      <c r="C1665" t="s">
        <v>55</v>
      </c>
      <c r="D1665" t="s">
        <v>22</v>
      </c>
      <c r="E1665" t="s">
        <v>23</v>
      </c>
      <c r="F1665" s="1">
        <v>41340</v>
      </c>
      <c r="G1665">
        <v>607722747</v>
      </c>
      <c r="H1665" t="s">
        <v>1164</v>
      </c>
      <c r="I1665">
        <v>7521</v>
      </c>
      <c r="J1665">
        <v>651.21</v>
      </c>
      <c r="K1665">
        <v>524.96</v>
      </c>
      <c r="L1665">
        <v>4897750.41</v>
      </c>
      <c r="M1665">
        <v>3948224.16</v>
      </c>
      <c r="N1665">
        <v>949526.25</v>
      </c>
    </row>
    <row r="1666" spans="1:14" x14ac:dyDescent="0.25">
      <c r="A1666" t="s">
        <v>25</v>
      </c>
      <c r="B1666" t="s">
        <v>119</v>
      </c>
      <c r="C1666" t="s">
        <v>21</v>
      </c>
      <c r="D1666" t="s">
        <v>17</v>
      </c>
      <c r="E1666" t="s">
        <v>45</v>
      </c>
      <c r="F1666" s="1">
        <v>41064</v>
      </c>
      <c r="G1666">
        <v>722248780</v>
      </c>
      <c r="H1666" s="1">
        <v>41125</v>
      </c>
      <c r="I1666">
        <v>8319</v>
      </c>
      <c r="J1666">
        <v>152.58000000000001</v>
      </c>
      <c r="K1666">
        <v>97.44</v>
      </c>
      <c r="L1666">
        <v>1269313.02</v>
      </c>
      <c r="M1666">
        <v>810603.36</v>
      </c>
      <c r="N1666">
        <v>458709.66</v>
      </c>
    </row>
    <row r="1667" spans="1:14" x14ac:dyDescent="0.25">
      <c r="A1667" t="s">
        <v>14</v>
      </c>
      <c r="B1667" t="s">
        <v>433</v>
      </c>
      <c r="C1667" t="s">
        <v>44</v>
      </c>
      <c r="D1667" t="s">
        <v>17</v>
      </c>
      <c r="E1667" t="s">
        <v>23</v>
      </c>
      <c r="F1667" t="s">
        <v>175</v>
      </c>
      <c r="G1667">
        <v>813882052</v>
      </c>
      <c r="H1667" t="s">
        <v>1119</v>
      </c>
      <c r="I1667">
        <v>4640</v>
      </c>
      <c r="J1667">
        <v>109.28</v>
      </c>
      <c r="K1667">
        <v>35.840000000000003</v>
      </c>
      <c r="L1667">
        <v>507059.20000000001</v>
      </c>
      <c r="M1667">
        <v>166297.60000000001</v>
      </c>
      <c r="N1667">
        <v>340761.59999999998</v>
      </c>
    </row>
    <row r="1668" spans="1:14" x14ac:dyDescent="0.25">
      <c r="A1668" t="s">
        <v>51</v>
      </c>
      <c r="B1668" t="s">
        <v>502</v>
      </c>
      <c r="C1668" t="s">
        <v>40</v>
      </c>
      <c r="D1668" t="s">
        <v>17</v>
      </c>
      <c r="E1668" t="s">
        <v>45</v>
      </c>
      <c r="F1668" s="1">
        <v>42249</v>
      </c>
      <c r="G1668">
        <v>218608891</v>
      </c>
      <c r="H1668" s="1">
        <v>42279</v>
      </c>
      <c r="I1668">
        <v>84</v>
      </c>
      <c r="J1668">
        <v>81.73</v>
      </c>
      <c r="K1668">
        <v>56.67</v>
      </c>
      <c r="L1668">
        <v>6865.32</v>
      </c>
      <c r="M1668">
        <v>4760.28</v>
      </c>
      <c r="N1668">
        <v>2105.04</v>
      </c>
    </row>
    <row r="1669" spans="1:14" x14ac:dyDescent="0.25">
      <c r="A1669" t="s">
        <v>51</v>
      </c>
      <c r="B1669" t="s">
        <v>100</v>
      </c>
      <c r="C1669" t="s">
        <v>88</v>
      </c>
      <c r="D1669" t="s">
        <v>22</v>
      </c>
      <c r="E1669" t="s">
        <v>23</v>
      </c>
      <c r="F1669" t="s">
        <v>216</v>
      </c>
      <c r="G1669">
        <v>142728126</v>
      </c>
      <c r="H1669" t="s">
        <v>626</v>
      </c>
      <c r="I1669">
        <v>5279</v>
      </c>
      <c r="J1669">
        <v>9.33</v>
      </c>
      <c r="K1669">
        <v>6.92</v>
      </c>
      <c r="L1669">
        <v>49253.07</v>
      </c>
      <c r="M1669">
        <v>36530.68</v>
      </c>
      <c r="N1669">
        <v>12722.39</v>
      </c>
    </row>
    <row r="1670" spans="1:14" x14ac:dyDescent="0.25">
      <c r="A1670" t="s">
        <v>77</v>
      </c>
      <c r="B1670" t="s">
        <v>78</v>
      </c>
      <c r="C1670" t="s">
        <v>16</v>
      </c>
      <c r="D1670" t="s">
        <v>17</v>
      </c>
      <c r="E1670" t="s">
        <v>23</v>
      </c>
      <c r="F1670" t="s">
        <v>811</v>
      </c>
      <c r="G1670">
        <v>512851083</v>
      </c>
      <c r="H1670" s="1">
        <v>40279</v>
      </c>
      <c r="I1670">
        <v>2887</v>
      </c>
      <c r="J1670">
        <v>255.28</v>
      </c>
      <c r="K1670">
        <v>159.41999999999999</v>
      </c>
      <c r="L1670">
        <v>736993.36</v>
      </c>
      <c r="M1670">
        <v>460245.54</v>
      </c>
      <c r="N1670">
        <v>276747.82</v>
      </c>
    </row>
    <row r="1671" spans="1:14" x14ac:dyDescent="0.25">
      <c r="A1671" t="s">
        <v>42</v>
      </c>
      <c r="B1671" t="s">
        <v>107</v>
      </c>
      <c r="C1671" t="s">
        <v>131</v>
      </c>
      <c r="D1671" t="s">
        <v>22</v>
      </c>
      <c r="E1671" t="s">
        <v>45</v>
      </c>
      <c r="F1671" s="1">
        <v>42614</v>
      </c>
      <c r="G1671">
        <v>425901591</v>
      </c>
      <c r="H1671" s="1">
        <v>42675</v>
      </c>
      <c r="I1671">
        <v>2600</v>
      </c>
      <c r="J1671">
        <v>668.27</v>
      </c>
      <c r="K1671">
        <v>502.54</v>
      </c>
      <c r="L1671">
        <v>1737502</v>
      </c>
      <c r="M1671">
        <v>1306604</v>
      </c>
      <c r="N1671">
        <v>430898</v>
      </c>
    </row>
    <row r="1672" spans="1:14" x14ac:dyDescent="0.25">
      <c r="A1672" t="s">
        <v>25</v>
      </c>
      <c r="B1672" t="s">
        <v>426</v>
      </c>
      <c r="C1672" t="s">
        <v>113</v>
      </c>
      <c r="D1672" t="s">
        <v>17</v>
      </c>
      <c r="E1672" t="s">
        <v>45</v>
      </c>
      <c r="F1672" s="1">
        <v>42010</v>
      </c>
      <c r="G1672">
        <v>399115979</v>
      </c>
      <c r="H1672" t="s">
        <v>816</v>
      </c>
      <c r="I1672">
        <v>6142</v>
      </c>
      <c r="J1672">
        <v>154.06</v>
      </c>
      <c r="K1672">
        <v>90.93</v>
      </c>
      <c r="L1672">
        <v>946236.52</v>
      </c>
      <c r="M1672">
        <v>558492.06000000006</v>
      </c>
      <c r="N1672">
        <v>387744.46</v>
      </c>
    </row>
    <row r="1673" spans="1:14" x14ac:dyDescent="0.25">
      <c r="A1673" t="s">
        <v>38</v>
      </c>
      <c r="B1673" t="s">
        <v>527</v>
      </c>
      <c r="C1673" t="s">
        <v>40</v>
      </c>
      <c r="D1673" t="s">
        <v>17</v>
      </c>
      <c r="E1673" t="s">
        <v>32</v>
      </c>
      <c r="F1673" t="s">
        <v>635</v>
      </c>
      <c r="G1673">
        <v>120043075</v>
      </c>
      <c r="H1673" t="s">
        <v>966</v>
      </c>
      <c r="I1673">
        <v>2268</v>
      </c>
      <c r="J1673">
        <v>81.73</v>
      </c>
      <c r="K1673">
        <v>56.67</v>
      </c>
      <c r="L1673">
        <v>185363.64</v>
      </c>
      <c r="M1673">
        <v>128527.56</v>
      </c>
      <c r="N1673">
        <v>56836.08</v>
      </c>
    </row>
    <row r="1674" spans="1:14" x14ac:dyDescent="0.25">
      <c r="A1674" t="s">
        <v>29</v>
      </c>
      <c r="B1674" t="s">
        <v>159</v>
      </c>
      <c r="C1674" t="s">
        <v>55</v>
      </c>
      <c r="D1674" t="s">
        <v>22</v>
      </c>
      <c r="E1674" t="s">
        <v>32</v>
      </c>
      <c r="F1674" t="s">
        <v>304</v>
      </c>
      <c r="G1674">
        <v>696544206</v>
      </c>
      <c r="H1674" s="1">
        <v>42497</v>
      </c>
      <c r="I1674">
        <v>1764</v>
      </c>
      <c r="J1674">
        <v>651.21</v>
      </c>
      <c r="K1674">
        <v>524.96</v>
      </c>
      <c r="L1674">
        <v>1148734.44</v>
      </c>
      <c r="M1674">
        <v>926029.44</v>
      </c>
      <c r="N1674">
        <v>222705</v>
      </c>
    </row>
    <row r="1675" spans="1:14" x14ac:dyDescent="0.25">
      <c r="A1675" t="s">
        <v>38</v>
      </c>
      <c r="B1675" t="s">
        <v>190</v>
      </c>
      <c r="C1675" t="s">
        <v>59</v>
      </c>
      <c r="D1675" t="s">
        <v>22</v>
      </c>
      <c r="E1675" t="s">
        <v>18</v>
      </c>
      <c r="F1675" s="1">
        <v>40612</v>
      </c>
      <c r="G1675">
        <v>606793200</v>
      </c>
      <c r="H1675" t="s">
        <v>1165</v>
      </c>
      <c r="I1675">
        <v>2447</v>
      </c>
      <c r="J1675">
        <v>437.2</v>
      </c>
      <c r="K1675">
        <v>263.33</v>
      </c>
      <c r="L1675">
        <v>1069828.3999999999</v>
      </c>
      <c r="M1675">
        <v>644368.51</v>
      </c>
      <c r="N1675">
        <v>425459.89</v>
      </c>
    </row>
    <row r="1676" spans="1:14" x14ac:dyDescent="0.25">
      <c r="A1676" t="s">
        <v>51</v>
      </c>
      <c r="B1676" t="s">
        <v>525</v>
      </c>
      <c r="C1676" t="s">
        <v>27</v>
      </c>
      <c r="D1676" t="s">
        <v>17</v>
      </c>
      <c r="E1676" t="s">
        <v>18</v>
      </c>
      <c r="F1676" s="1">
        <v>40788</v>
      </c>
      <c r="G1676">
        <v>649276387</v>
      </c>
      <c r="H1676" t="s">
        <v>1374</v>
      </c>
      <c r="I1676">
        <v>4166</v>
      </c>
      <c r="J1676">
        <v>47.45</v>
      </c>
      <c r="K1676">
        <v>31.79</v>
      </c>
      <c r="L1676">
        <v>197676.7</v>
      </c>
      <c r="M1676">
        <v>132437.14000000001</v>
      </c>
      <c r="N1676">
        <v>65239.56</v>
      </c>
    </row>
    <row r="1677" spans="1:14" x14ac:dyDescent="0.25">
      <c r="A1677" t="s">
        <v>25</v>
      </c>
      <c r="B1677" t="s">
        <v>339</v>
      </c>
      <c r="C1677" t="s">
        <v>131</v>
      </c>
      <c r="D1677" t="s">
        <v>22</v>
      </c>
      <c r="E1677" t="s">
        <v>18</v>
      </c>
      <c r="F1677" t="s">
        <v>396</v>
      </c>
      <c r="G1677">
        <v>792792594</v>
      </c>
      <c r="H1677" s="1">
        <v>42401</v>
      </c>
      <c r="I1677">
        <v>3801</v>
      </c>
      <c r="J1677">
        <v>668.27</v>
      </c>
      <c r="K1677">
        <v>502.54</v>
      </c>
      <c r="L1677">
        <v>2540094.27</v>
      </c>
      <c r="M1677">
        <v>1910154.54</v>
      </c>
      <c r="N1677">
        <v>629939.73</v>
      </c>
    </row>
    <row r="1678" spans="1:14" x14ac:dyDescent="0.25">
      <c r="A1678" t="s">
        <v>25</v>
      </c>
      <c r="B1678" t="s">
        <v>211</v>
      </c>
      <c r="C1678" t="s">
        <v>59</v>
      </c>
      <c r="D1678" t="s">
        <v>22</v>
      </c>
      <c r="E1678" t="s">
        <v>23</v>
      </c>
      <c r="F1678" t="s">
        <v>1114</v>
      </c>
      <c r="G1678">
        <v>626453149</v>
      </c>
      <c r="H1678" s="1">
        <v>41553</v>
      </c>
      <c r="I1678">
        <v>263</v>
      </c>
      <c r="J1678">
        <v>437.2</v>
      </c>
      <c r="K1678">
        <v>263.33</v>
      </c>
      <c r="L1678">
        <v>114983.6</v>
      </c>
      <c r="M1678">
        <v>69255.789999999994</v>
      </c>
      <c r="N1678">
        <v>45727.81</v>
      </c>
    </row>
    <row r="1679" spans="1:14" x14ac:dyDescent="0.25">
      <c r="A1679" t="s">
        <v>51</v>
      </c>
      <c r="B1679" t="s">
        <v>295</v>
      </c>
      <c r="C1679" t="s">
        <v>40</v>
      </c>
      <c r="D1679" t="s">
        <v>22</v>
      </c>
      <c r="E1679" t="s">
        <v>18</v>
      </c>
      <c r="F1679" s="1">
        <v>40462</v>
      </c>
      <c r="G1679">
        <v>709681880</v>
      </c>
      <c r="H1679" t="s">
        <v>716</v>
      </c>
      <c r="I1679">
        <v>9494</v>
      </c>
      <c r="J1679">
        <v>81.73</v>
      </c>
      <c r="K1679">
        <v>56.67</v>
      </c>
      <c r="L1679">
        <v>775944.62</v>
      </c>
      <c r="M1679">
        <v>538024.98</v>
      </c>
      <c r="N1679">
        <v>237919.64</v>
      </c>
    </row>
    <row r="1680" spans="1:14" x14ac:dyDescent="0.25">
      <c r="A1680" t="s">
        <v>38</v>
      </c>
      <c r="B1680" t="s">
        <v>85</v>
      </c>
      <c r="C1680" t="s">
        <v>69</v>
      </c>
      <c r="D1680" t="s">
        <v>17</v>
      </c>
      <c r="E1680" t="s">
        <v>23</v>
      </c>
      <c r="F1680" t="s">
        <v>863</v>
      </c>
      <c r="G1680">
        <v>322215116</v>
      </c>
      <c r="H1680" s="1">
        <v>42683</v>
      </c>
      <c r="I1680">
        <v>9468</v>
      </c>
      <c r="J1680">
        <v>421.89</v>
      </c>
      <c r="K1680">
        <v>364.69</v>
      </c>
      <c r="L1680">
        <v>3994454.52</v>
      </c>
      <c r="M1680">
        <v>3452884.92</v>
      </c>
      <c r="N1680">
        <v>541569.6</v>
      </c>
    </row>
    <row r="1681" spans="1:14" x14ac:dyDescent="0.25">
      <c r="A1681" t="s">
        <v>14</v>
      </c>
      <c r="B1681" t="s">
        <v>208</v>
      </c>
      <c r="C1681" t="s">
        <v>131</v>
      </c>
      <c r="D1681" t="s">
        <v>22</v>
      </c>
      <c r="E1681" t="s">
        <v>23</v>
      </c>
      <c r="F1681" s="1">
        <v>41313</v>
      </c>
      <c r="G1681">
        <v>614101684</v>
      </c>
      <c r="H1681" s="1">
        <v>41434</v>
      </c>
      <c r="I1681">
        <v>5190</v>
      </c>
      <c r="J1681">
        <v>668.27</v>
      </c>
      <c r="K1681">
        <v>502.54</v>
      </c>
      <c r="L1681">
        <v>3468321.3</v>
      </c>
      <c r="M1681">
        <v>2608182.6</v>
      </c>
      <c r="N1681">
        <v>860138.7</v>
      </c>
    </row>
    <row r="1682" spans="1:14" x14ac:dyDescent="0.25">
      <c r="A1682" t="s">
        <v>38</v>
      </c>
      <c r="B1682" t="s">
        <v>85</v>
      </c>
      <c r="C1682" t="s">
        <v>40</v>
      </c>
      <c r="D1682" t="s">
        <v>17</v>
      </c>
      <c r="E1682" t="s">
        <v>45</v>
      </c>
      <c r="F1682" t="s">
        <v>1375</v>
      </c>
      <c r="G1682">
        <v>555702912</v>
      </c>
      <c r="H1682" s="1">
        <v>42371</v>
      </c>
      <c r="I1682">
        <v>3696</v>
      </c>
      <c r="J1682">
        <v>81.73</v>
      </c>
      <c r="K1682">
        <v>56.67</v>
      </c>
      <c r="L1682">
        <v>302074.08</v>
      </c>
      <c r="M1682">
        <v>209452.32</v>
      </c>
      <c r="N1682">
        <v>92621.759999999995</v>
      </c>
    </row>
    <row r="1683" spans="1:14" x14ac:dyDescent="0.25">
      <c r="A1683" t="s">
        <v>38</v>
      </c>
      <c r="B1683" t="s">
        <v>68</v>
      </c>
      <c r="C1683" t="s">
        <v>31</v>
      </c>
      <c r="D1683" t="s">
        <v>22</v>
      </c>
      <c r="E1683" t="s">
        <v>18</v>
      </c>
      <c r="F1683" t="s">
        <v>761</v>
      </c>
      <c r="G1683">
        <v>987692630</v>
      </c>
      <c r="H1683" s="1">
        <v>40977</v>
      </c>
      <c r="I1683">
        <v>9053</v>
      </c>
      <c r="J1683">
        <v>205.7</v>
      </c>
      <c r="K1683">
        <v>117.11</v>
      </c>
      <c r="L1683">
        <v>1862202.1</v>
      </c>
      <c r="M1683">
        <v>1060196.83</v>
      </c>
      <c r="N1683">
        <v>802005.27</v>
      </c>
    </row>
    <row r="1684" spans="1:14" x14ac:dyDescent="0.25">
      <c r="A1684" t="s">
        <v>29</v>
      </c>
      <c r="B1684" t="s">
        <v>467</v>
      </c>
      <c r="C1684" t="s">
        <v>88</v>
      </c>
      <c r="D1684" t="s">
        <v>17</v>
      </c>
      <c r="E1684" t="s">
        <v>23</v>
      </c>
      <c r="F1684" s="1">
        <v>42645</v>
      </c>
      <c r="G1684">
        <v>571057164</v>
      </c>
      <c r="H1684" s="1">
        <v>42493</v>
      </c>
      <c r="I1684">
        <v>7360</v>
      </c>
      <c r="J1684">
        <v>9.33</v>
      </c>
      <c r="K1684">
        <v>6.92</v>
      </c>
      <c r="L1684">
        <v>68668.800000000003</v>
      </c>
      <c r="M1684">
        <v>50931.199999999997</v>
      </c>
      <c r="N1684">
        <v>17737.599999999999</v>
      </c>
    </row>
    <row r="1685" spans="1:14" x14ac:dyDescent="0.25">
      <c r="A1685" t="s">
        <v>25</v>
      </c>
      <c r="B1685" t="s">
        <v>284</v>
      </c>
      <c r="C1685" t="s">
        <v>21</v>
      </c>
      <c r="D1685" t="s">
        <v>22</v>
      </c>
      <c r="E1685" t="s">
        <v>32</v>
      </c>
      <c r="F1685" t="s">
        <v>1250</v>
      </c>
      <c r="G1685">
        <v>737095344</v>
      </c>
      <c r="H1685" t="s">
        <v>1376</v>
      </c>
      <c r="I1685">
        <v>1747</v>
      </c>
      <c r="J1685">
        <v>152.58000000000001</v>
      </c>
      <c r="K1685">
        <v>97.44</v>
      </c>
      <c r="L1685">
        <v>266557.26</v>
      </c>
      <c r="M1685">
        <v>170227.68</v>
      </c>
      <c r="N1685">
        <v>96329.58</v>
      </c>
    </row>
    <row r="1686" spans="1:14" x14ac:dyDescent="0.25">
      <c r="A1686" t="s">
        <v>77</v>
      </c>
      <c r="B1686" t="s">
        <v>320</v>
      </c>
      <c r="C1686" t="s">
        <v>27</v>
      </c>
      <c r="D1686" t="s">
        <v>17</v>
      </c>
      <c r="E1686" t="s">
        <v>45</v>
      </c>
      <c r="F1686" t="s">
        <v>195</v>
      </c>
      <c r="G1686">
        <v>737418496</v>
      </c>
      <c r="H1686" t="s">
        <v>209</v>
      </c>
      <c r="I1686">
        <v>7375</v>
      </c>
      <c r="J1686">
        <v>47.45</v>
      </c>
      <c r="K1686">
        <v>31.79</v>
      </c>
      <c r="L1686">
        <v>349943.75</v>
      </c>
      <c r="M1686">
        <v>234451.25</v>
      </c>
      <c r="N1686">
        <v>115492.5</v>
      </c>
    </row>
    <row r="1687" spans="1:14" x14ac:dyDescent="0.25">
      <c r="A1687" t="s">
        <v>51</v>
      </c>
      <c r="B1687" t="s">
        <v>100</v>
      </c>
      <c r="C1687" t="s">
        <v>44</v>
      </c>
      <c r="D1687" t="s">
        <v>17</v>
      </c>
      <c r="E1687" t="s">
        <v>18</v>
      </c>
      <c r="F1687" s="1">
        <v>42587</v>
      </c>
      <c r="G1687">
        <v>793950450</v>
      </c>
      <c r="H1687" t="s">
        <v>588</v>
      </c>
      <c r="I1687">
        <v>6436</v>
      </c>
      <c r="J1687">
        <v>109.28</v>
      </c>
      <c r="K1687">
        <v>35.840000000000003</v>
      </c>
      <c r="L1687">
        <v>703326.08</v>
      </c>
      <c r="M1687">
        <v>230666.23999999999</v>
      </c>
      <c r="N1687">
        <v>472659.84</v>
      </c>
    </row>
    <row r="1688" spans="1:14" x14ac:dyDescent="0.25">
      <c r="A1688" t="s">
        <v>51</v>
      </c>
      <c r="B1688" t="s">
        <v>367</v>
      </c>
      <c r="C1688" t="s">
        <v>40</v>
      </c>
      <c r="D1688" t="s">
        <v>17</v>
      </c>
      <c r="E1688" t="s">
        <v>45</v>
      </c>
      <c r="F1688" s="1">
        <v>42466</v>
      </c>
      <c r="G1688">
        <v>748927533</v>
      </c>
      <c r="H1688" t="s">
        <v>352</v>
      </c>
      <c r="I1688">
        <v>3155</v>
      </c>
      <c r="J1688">
        <v>81.73</v>
      </c>
      <c r="K1688">
        <v>56.67</v>
      </c>
      <c r="L1688">
        <v>257858.15</v>
      </c>
      <c r="M1688">
        <v>178793.85</v>
      </c>
      <c r="N1688">
        <v>79064.3</v>
      </c>
    </row>
    <row r="1689" spans="1:14" x14ac:dyDescent="0.25">
      <c r="A1689" t="s">
        <v>51</v>
      </c>
      <c r="B1689" t="s">
        <v>420</v>
      </c>
      <c r="C1689" t="s">
        <v>55</v>
      </c>
      <c r="D1689" t="s">
        <v>17</v>
      </c>
      <c r="E1689" t="s">
        <v>18</v>
      </c>
      <c r="F1689" s="1">
        <v>42127</v>
      </c>
      <c r="G1689">
        <v>514898574</v>
      </c>
      <c r="H1689" t="s">
        <v>1291</v>
      </c>
      <c r="I1689">
        <v>8785</v>
      </c>
      <c r="J1689">
        <v>651.21</v>
      </c>
      <c r="K1689">
        <v>524.96</v>
      </c>
      <c r="L1689">
        <v>5720879.8499999996</v>
      </c>
      <c r="M1689">
        <v>4611773.5999999996</v>
      </c>
      <c r="N1689">
        <v>1109106.25</v>
      </c>
    </row>
    <row r="1690" spans="1:14" x14ac:dyDescent="0.25">
      <c r="A1690" t="s">
        <v>29</v>
      </c>
      <c r="B1690" t="s">
        <v>30</v>
      </c>
      <c r="C1690" t="s">
        <v>88</v>
      </c>
      <c r="D1690" t="s">
        <v>22</v>
      </c>
      <c r="E1690" t="s">
        <v>45</v>
      </c>
      <c r="F1690" t="s">
        <v>1377</v>
      </c>
      <c r="G1690">
        <v>524724900</v>
      </c>
      <c r="H1690" s="1">
        <v>41162</v>
      </c>
      <c r="I1690">
        <v>6613</v>
      </c>
      <c r="J1690">
        <v>9.33</v>
      </c>
      <c r="K1690">
        <v>6.92</v>
      </c>
      <c r="L1690">
        <v>61699.29</v>
      </c>
      <c r="M1690">
        <v>45761.96</v>
      </c>
      <c r="N1690">
        <v>15937.33</v>
      </c>
    </row>
    <row r="1691" spans="1:14" x14ac:dyDescent="0.25">
      <c r="A1691" t="s">
        <v>42</v>
      </c>
      <c r="B1691" t="s">
        <v>107</v>
      </c>
      <c r="C1691" t="s">
        <v>16</v>
      </c>
      <c r="D1691" t="s">
        <v>17</v>
      </c>
      <c r="E1691" t="s">
        <v>32</v>
      </c>
      <c r="F1691" t="s">
        <v>1378</v>
      </c>
      <c r="G1691">
        <v>381580340</v>
      </c>
      <c r="H1691" s="1">
        <v>41315</v>
      </c>
      <c r="I1691">
        <v>6957</v>
      </c>
      <c r="J1691">
        <v>255.28</v>
      </c>
      <c r="K1691">
        <v>159.41999999999999</v>
      </c>
      <c r="L1691">
        <v>1775982.96</v>
      </c>
      <c r="M1691">
        <v>1109084.94</v>
      </c>
      <c r="N1691">
        <v>666898.02</v>
      </c>
    </row>
    <row r="1692" spans="1:14" x14ac:dyDescent="0.25">
      <c r="A1692" t="s">
        <v>51</v>
      </c>
      <c r="B1692" t="s">
        <v>166</v>
      </c>
      <c r="C1692" t="s">
        <v>69</v>
      </c>
      <c r="D1692" t="s">
        <v>17</v>
      </c>
      <c r="E1692" t="s">
        <v>23</v>
      </c>
      <c r="F1692" s="1">
        <v>42654</v>
      </c>
      <c r="G1692">
        <v>208951222</v>
      </c>
      <c r="H1692" s="1">
        <v>42654</v>
      </c>
      <c r="I1692">
        <v>2165</v>
      </c>
      <c r="J1692">
        <v>421.89</v>
      </c>
      <c r="K1692">
        <v>364.69</v>
      </c>
      <c r="L1692">
        <v>913391.85</v>
      </c>
      <c r="M1692">
        <v>789553.85</v>
      </c>
      <c r="N1692">
        <v>123838</v>
      </c>
    </row>
    <row r="1693" spans="1:14" x14ac:dyDescent="0.25">
      <c r="A1693" t="s">
        <v>51</v>
      </c>
      <c r="B1693" t="s">
        <v>250</v>
      </c>
      <c r="C1693" t="s">
        <v>40</v>
      </c>
      <c r="D1693" t="s">
        <v>22</v>
      </c>
      <c r="E1693" t="s">
        <v>23</v>
      </c>
      <c r="F1693" t="s">
        <v>1168</v>
      </c>
      <c r="G1693">
        <v>200636374</v>
      </c>
      <c r="H1693" s="1">
        <v>40240</v>
      </c>
      <c r="I1693">
        <v>1617</v>
      </c>
      <c r="J1693">
        <v>81.73</v>
      </c>
      <c r="K1693">
        <v>56.67</v>
      </c>
      <c r="L1693">
        <v>132157.41</v>
      </c>
      <c r="M1693">
        <v>91635.39</v>
      </c>
      <c r="N1693">
        <v>40522.019999999997</v>
      </c>
    </row>
    <row r="1694" spans="1:14" x14ac:dyDescent="0.25">
      <c r="A1694" t="s">
        <v>29</v>
      </c>
      <c r="B1694" t="s">
        <v>124</v>
      </c>
      <c r="C1694" t="s">
        <v>21</v>
      </c>
      <c r="D1694" t="s">
        <v>17</v>
      </c>
      <c r="E1694" t="s">
        <v>45</v>
      </c>
      <c r="F1694" t="s">
        <v>1283</v>
      </c>
      <c r="G1694">
        <v>170747125</v>
      </c>
      <c r="H1694" s="1">
        <v>41395</v>
      </c>
      <c r="I1694">
        <v>6723</v>
      </c>
      <c r="J1694">
        <v>152.58000000000001</v>
      </c>
      <c r="K1694">
        <v>97.44</v>
      </c>
      <c r="L1694">
        <v>1025795.34</v>
      </c>
      <c r="M1694">
        <v>655089.12</v>
      </c>
      <c r="N1694">
        <v>370706.22</v>
      </c>
    </row>
    <row r="1695" spans="1:14" x14ac:dyDescent="0.25">
      <c r="A1695" t="s">
        <v>29</v>
      </c>
      <c r="B1695" t="s">
        <v>124</v>
      </c>
      <c r="C1695" t="s">
        <v>27</v>
      </c>
      <c r="D1695" t="s">
        <v>22</v>
      </c>
      <c r="E1695" t="s">
        <v>32</v>
      </c>
      <c r="F1695" s="1">
        <v>40642</v>
      </c>
      <c r="G1695">
        <v>903707301</v>
      </c>
      <c r="H1695" s="1">
        <v>40672</v>
      </c>
      <c r="I1695">
        <v>5928</v>
      </c>
      <c r="J1695">
        <v>47.45</v>
      </c>
      <c r="K1695">
        <v>31.79</v>
      </c>
      <c r="L1695">
        <v>281283.59999999998</v>
      </c>
      <c r="M1695">
        <v>188451.12</v>
      </c>
      <c r="N1695">
        <v>92832.48</v>
      </c>
    </row>
    <row r="1696" spans="1:14" x14ac:dyDescent="0.25">
      <c r="A1696" t="s">
        <v>51</v>
      </c>
      <c r="B1696" t="s">
        <v>115</v>
      </c>
      <c r="C1696" t="s">
        <v>113</v>
      </c>
      <c r="D1696" t="s">
        <v>22</v>
      </c>
      <c r="E1696" t="s">
        <v>23</v>
      </c>
      <c r="F1696" t="s">
        <v>1379</v>
      </c>
      <c r="G1696">
        <v>104253232</v>
      </c>
      <c r="H1696" t="s">
        <v>1054</v>
      </c>
      <c r="I1696">
        <v>9703</v>
      </c>
      <c r="J1696">
        <v>154.06</v>
      </c>
      <c r="K1696">
        <v>90.93</v>
      </c>
      <c r="L1696">
        <v>1494844.18</v>
      </c>
      <c r="M1696">
        <v>882293.79</v>
      </c>
      <c r="N1696">
        <v>612550.39</v>
      </c>
    </row>
    <row r="1697" spans="1:14" x14ac:dyDescent="0.25">
      <c r="A1697" t="s">
        <v>38</v>
      </c>
      <c r="B1697" t="s">
        <v>346</v>
      </c>
      <c r="C1697" t="s">
        <v>40</v>
      </c>
      <c r="D1697" t="s">
        <v>22</v>
      </c>
      <c r="E1697" t="s">
        <v>23</v>
      </c>
      <c r="F1697" t="s">
        <v>690</v>
      </c>
      <c r="G1697">
        <v>947433745</v>
      </c>
      <c r="H1697" t="s">
        <v>1380</v>
      </c>
      <c r="I1697">
        <v>5554</v>
      </c>
      <c r="J1697">
        <v>81.73</v>
      </c>
      <c r="K1697">
        <v>56.67</v>
      </c>
      <c r="L1697">
        <v>453928.42</v>
      </c>
      <c r="M1697">
        <v>314745.18</v>
      </c>
      <c r="N1697">
        <v>139183.24</v>
      </c>
    </row>
    <row r="1698" spans="1:14" x14ac:dyDescent="0.25">
      <c r="A1698" t="s">
        <v>42</v>
      </c>
      <c r="B1698" t="s">
        <v>90</v>
      </c>
      <c r="C1698" t="s">
        <v>16</v>
      </c>
      <c r="D1698" t="s">
        <v>22</v>
      </c>
      <c r="E1698" t="s">
        <v>23</v>
      </c>
      <c r="F1698" t="s">
        <v>1381</v>
      </c>
      <c r="G1698">
        <v>828610169</v>
      </c>
      <c r="H1698" t="s">
        <v>328</v>
      </c>
      <c r="I1698">
        <v>3018</v>
      </c>
      <c r="J1698">
        <v>255.28</v>
      </c>
      <c r="K1698">
        <v>159.41999999999999</v>
      </c>
      <c r="L1698">
        <v>770435.04</v>
      </c>
      <c r="M1698">
        <v>481129.56</v>
      </c>
      <c r="N1698">
        <v>289305.48</v>
      </c>
    </row>
    <row r="1699" spans="1:14" x14ac:dyDescent="0.25">
      <c r="A1699" t="s">
        <v>14</v>
      </c>
      <c r="B1699" t="s">
        <v>208</v>
      </c>
      <c r="C1699" t="s">
        <v>21</v>
      </c>
      <c r="D1699" t="s">
        <v>22</v>
      </c>
      <c r="E1699" t="s">
        <v>23</v>
      </c>
      <c r="F1699" s="1">
        <v>42736</v>
      </c>
      <c r="G1699">
        <v>813456332</v>
      </c>
      <c r="H1699" t="s">
        <v>624</v>
      </c>
      <c r="I1699">
        <v>8660</v>
      </c>
      <c r="J1699">
        <v>152.58000000000001</v>
      </c>
      <c r="K1699">
        <v>97.44</v>
      </c>
      <c r="L1699">
        <v>1321342.8</v>
      </c>
      <c r="M1699">
        <v>843830.4</v>
      </c>
      <c r="N1699">
        <v>477512.4</v>
      </c>
    </row>
    <row r="1700" spans="1:14" x14ac:dyDescent="0.25">
      <c r="A1700" t="s">
        <v>14</v>
      </c>
      <c r="B1700" t="s">
        <v>94</v>
      </c>
      <c r="C1700" t="s">
        <v>113</v>
      </c>
      <c r="D1700" t="s">
        <v>17</v>
      </c>
      <c r="E1700" t="s">
        <v>32</v>
      </c>
      <c r="F1700" s="1">
        <v>42039</v>
      </c>
      <c r="G1700">
        <v>687958562</v>
      </c>
      <c r="H1700" s="1">
        <v>42221</v>
      </c>
      <c r="I1700">
        <v>1081</v>
      </c>
      <c r="J1700">
        <v>154.06</v>
      </c>
      <c r="K1700">
        <v>90.93</v>
      </c>
      <c r="L1700">
        <v>166538.85999999999</v>
      </c>
      <c r="M1700">
        <v>98295.33</v>
      </c>
      <c r="N1700">
        <v>68243.53</v>
      </c>
    </row>
    <row r="1701" spans="1:14" x14ac:dyDescent="0.25">
      <c r="A1701" t="s">
        <v>51</v>
      </c>
      <c r="B1701" t="s">
        <v>305</v>
      </c>
      <c r="C1701" t="s">
        <v>131</v>
      </c>
      <c r="D1701" t="s">
        <v>22</v>
      </c>
      <c r="E1701" t="s">
        <v>32</v>
      </c>
      <c r="F1701" t="s">
        <v>326</v>
      </c>
      <c r="G1701">
        <v>308415687</v>
      </c>
      <c r="H1701" t="s">
        <v>1011</v>
      </c>
      <c r="I1701">
        <v>5910</v>
      </c>
      <c r="J1701">
        <v>668.27</v>
      </c>
      <c r="K1701">
        <v>502.54</v>
      </c>
      <c r="L1701">
        <v>3949475.7</v>
      </c>
      <c r="M1701">
        <v>2970011.4</v>
      </c>
      <c r="N1701">
        <v>979464.3</v>
      </c>
    </row>
    <row r="1702" spans="1:14" x14ac:dyDescent="0.25">
      <c r="A1702" t="s">
        <v>38</v>
      </c>
      <c r="B1702" t="s">
        <v>1268</v>
      </c>
      <c r="C1702" t="s">
        <v>21</v>
      </c>
      <c r="D1702" t="s">
        <v>22</v>
      </c>
      <c r="E1702" t="s">
        <v>23</v>
      </c>
      <c r="F1702" t="s">
        <v>993</v>
      </c>
      <c r="G1702">
        <v>951439034</v>
      </c>
      <c r="H1702" t="s">
        <v>415</v>
      </c>
      <c r="I1702">
        <v>808</v>
      </c>
      <c r="J1702">
        <v>152.58000000000001</v>
      </c>
      <c r="K1702">
        <v>97.44</v>
      </c>
      <c r="L1702">
        <v>123284.64</v>
      </c>
      <c r="M1702">
        <v>78731.520000000004</v>
      </c>
      <c r="N1702">
        <v>44553.120000000003</v>
      </c>
    </row>
    <row r="1703" spans="1:14" x14ac:dyDescent="0.25">
      <c r="A1703" t="s">
        <v>42</v>
      </c>
      <c r="B1703" t="s">
        <v>146</v>
      </c>
      <c r="C1703" t="s">
        <v>21</v>
      </c>
      <c r="D1703" t="s">
        <v>17</v>
      </c>
      <c r="E1703" t="s">
        <v>45</v>
      </c>
      <c r="F1703" t="s">
        <v>906</v>
      </c>
      <c r="G1703">
        <v>363952434</v>
      </c>
      <c r="H1703" t="s">
        <v>1185</v>
      </c>
      <c r="I1703">
        <v>468</v>
      </c>
      <c r="J1703">
        <v>152.58000000000001</v>
      </c>
      <c r="K1703">
        <v>97.44</v>
      </c>
      <c r="L1703">
        <v>71407.44</v>
      </c>
      <c r="M1703">
        <v>45601.919999999998</v>
      </c>
      <c r="N1703">
        <v>25805.52</v>
      </c>
    </row>
    <row r="1704" spans="1:14" x14ac:dyDescent="0.25">
      <c r="A1704" t="s">
        <v>29</v>
      </c>
      <c r="B1704" t="s">
        <v>393</v>
      </c>
      <c r="C1704" t="s">
        <v>40</v>
      </c>
      <c r="D1704" t="s">
        <v>17</v>
      </c>
      <c r="E1704" t="s">
        <v>32</v>
      </c>
      <c r="F1704" t="s">
        <v>1116</v>
      </c>
      <c r="G1704">
        <v>413192212</v>
      </c>
      <c r="H1704" t="s">
        <v>1382</v>
      </c>
      <c r="I1704">
        <v>1612</v>
      </c>
      <c r="J1704">
        <v>81.73</v>
      </c>
      <c r="K1704">
        <v>56.67</v>
      </c>
      <c r="L1704">
        <v>131748.76</v>
      </c>
      <c r="M1704">
        <v>91352.04</v>
      </c>
      <c r="N1704">
        <v>40396.720000000001</v>
      </c>
    </row>
    <row r="1705" spans="1:14" x14ac:dyDescent="0.25">
      <c r="A1705" t="s">
        <v>29</v>
      </c>
      <c r="B1705" t="s">
        <v>619</v>
      </c>
      <c r="C1705" t="s">
        <v>16</v>
      </c>
      <c r="D1705" t="s">
        <v>17</v>
      </c>
      <c r="E1705" t="s">
        <v>32</v>
      </c>
      <c r="F1705" s="1">
        <v>42287</v>
      </c>
      <c r="G1705">
        <v>336707198</v>
      </c>
      <c r="H1705" t="s">
        <v>254</v>
      </c>
      <c r="I1705">
        <v>7997</v>
      </c>
      <c r="J1705">
        <v>255.28</v>
      </c>
      <c r="K1705">
        <v>159.41999999999999</v>
      </c>
      <c r="L1705">
        <v>2041474.16</v>
      </c>
      <c r="M1705">
        <v>1274881.74</v>
      </c>
      <c r="N1705">
        <v>766592.42</v>
      </c>
    </row>
    <row r="1706" spans="1:14" x14ac:dyDescent="0.25">
      <c r="A1706" t="s">
        <v>38</v>
      </c>
      <c r="B1706" t="s">
        <v>156</v>
      </c>
      <c r="C1706" t="s">
        <v>40</v>
      </c>
      <c r="D1706" t="s">
        <v>17</v>
      </c>
      <c r="E1706" t="s">
        <v>32</v>
      </c>
      <c r="F1706" t="s">
        <v>761</v>
      </c>
      <c r="G1706">
        <v>792358720</v>
      </c>
      <c r="H1706" t="s">
        <v>1383</v>
      </c>
      <c r="I1706">
        <v>5408</v>
      </c>
      <c r="J1706">
        <v>81.73</v>
      </c>
      <c r="K1706">
        <v>56.67</v>
      </c>
      <c r="L1706">
        <v>441995.84</v>
      </c>
      <c r="M1706">
        <v>306471.36</v>
      </c>
      <c r="N1706">
        <v>135524.48000000001</v>
      </c>
    </row>
    <row r="1707" spans="1:14" x14ac:dyDescent="0.25">
      <c r="A1707" t="s">
        <v>25</v>
      </c>
      <c r="B1707" t="s">
        <v>142</v>
      </c>
      <c r="C1707" t="s">
        <v>88</v>
      </c>
      <c r="D1707" t="s">
        <v>22</v>
      </c>
      <c r="E1707" t="s">
        <v>32</v>
      </c>
      <c r="F1707" t="s">
        <v>1384</v>
      </c>
      <c r="G1707">
        <v>708320605</v>
      </c>
      <c r="H1707" s="1">
        <v>42500</v>
      </c>
      <c r="I1707">
        <v>6662</v>
      </c>
      <c r="J1707">
        <v>9.33</v>
      </c>
      <c r="K1707">
        <v>6.92</v>
      </c>
      <c r="L1707">
        <v>62156.46</v>
      </c>
      <c r="M1707">
        <v>46101.04</v>
      </c>
      <c r="N1707">
        <v>16055.42</v>
      </c>
    </row>
    <row r="1708" spans="1:14" x14ac:dyDescent="0.25">
      <c r="A1708" t="s">
        <v>25</v>
      </c>
      <c r="B1708" t="s">
        <v>363</v>
      </c>
      <c r="C1708" t="s">
        <v>55</v>
      </c>
      <c r="D1708" t="s">
        <v>22</v>
      </c>
      <c r="E1708" t="s">
        <v>18</v>
      </c>
      <c r="F1708" s="1">
        <v>41397</v>
      </c>
      <c r="G1708">
        <v>433079183</v>
      </c>
      <c r="H1708" t="s">
        <v>879</v>
      </c>
      <c r="I1708">
        <v>6609</v>
      </c>
      <c r="J1708">
        <v>651.21</v>
      </c>
      <c r="K1708">
        <v>524.96</v>
      </c>
      <c r="L1708">
        <v>4303846.8899999997</v>
      </c>
      <c r="M1708">
        <v>3469460.64</v>
      </c>
      <c r="N1708">
        <v>834386.25</v>
      </c>
    </row>
    <row r="1709" spans="1:14" x14ac:dyDescent="0.25">
      <c r="A1709" t="s">
        <v>29</v>
      </c>
      <c r="B1709" t="s">
        <v>30</v>
      </c>
      <c r="C1709" t="s">
        <v>44</v>
      </c>
      <c r="D1709" t="s">
        <v>22</v>
      </c>
      <c r="E1709" t="s">
        <v>23</v>
      </c>
      <c r="F1709" t="s">
        <v>1050</v>
      </c>
      <c r="G1709">
        <v>385433280</v>
      </c>
      <c r="H1709" s="1">
        <v>41650</v>
      </c>
      <c r="I1709">
        <v>7128</v>
      </c>
      <c r="J1709">
        <v>109.28</v>
      </c>
      <c r="K1709">
        <v>35.840000000000003</v>
      </c>
      <c r="L1709">
        <v>778947.84</v>
      </c>
      <c r="M1709">
        <v>255467.51999999999</v>
      </c>
      <c r="N1709">
        <v>523480.32000000001</v>
      </c>
    </row>
    <row r="1710" spans="1:14" x14ac:dyDescent="0.25">
      <c r="A1710" t="s">
        <v>25</v>
      </c>
      <c r="B1710" t="s">
        <v>785</v>
      </c>
      <c r="C1710" t="s">
        <v>40</v>
      </c>
      <c r="D1710" t="s">
        <v>22</v>
      </c>
      <c r="E1710" t="s">
        <v>32</v>
      </c>
      <c r="F1710" t="s">
        <v>389</v>
      </c>
      <c r="G1710">
        <v>604494225</v>
      </c>
      <c r="H1710" t="s">
        <v>745</v>
      </c>
      <c r="I1710">
        <v>2129</v>
      </c>
      <c r="J1710">
        <v>81.73</v>
      </c>
      <c r="K1710">
        <v>56.67</v>
      </c>
      <c r="L1710">
        <v>174003.17</v>
      </c>
      <c r="M1710">
        <v>120650.43</v>
      </c>
      <c r="N1710">
        <v>53352.74</v>
      </c>
    </row>
    <row r="1711" spans="1:14" x14ac:dyDescent="0.25">
      <c r="A1711" t="s">
        <v>14</v>
      </c>
      <c r="B1711" t="s">
        <v>370</v>
      </c>
      <c r="C1711" t="s">
        <v>88</v>
      </c>
      <c r="D1711" t="s">
        <v>17</v>
      </c>
      <c r="E1711" t="s">
        <v>18</v>
      </c>
      <c r="F1711" s="1">
        <v>42798</v>
      </c>
      <c r="G1711">
        <v>299685847</v>
      </c>
      <c r="H1711" t="s">
        <v>1385</v>
      </c>
      <c r="I1711">
        <v>2557</v>
      </c>
      <c r="J1711">
        <v>9.33</v>
      </c>
      <c r="K1711">
        <v>6.92</v>
      </c>
      <c r="L1711">
        <v>23856.81</v>
      </c>
      <c r="M1711">
        <v>17694.439999999999</v>
      </c>
      <c r="N1711">
        <v>6162.37</v>
      </c>
    </row>
    <row r="1712" spans="1:14" x14ac:dyDescent="0.25">
      <c r="A1712" t="s">
        <v>29</v>
      </c>
      <c r="B1712" t="s">
        <v>485</v>
      </c>
      <c r="C1712" t="s">
        <v>31</v>
      </c>
      <c r="D1712" t="s">
        <v>17</v>
      </c>
      <c r="E1712" t="s">
        <v>32</v>
      </c>
      <c r="F1712" t="s">
        <v>1386</v>
      </c>
      <c r="G1712">
        <v>100744473</v>
      </c>
      <c r="H1712" t="s">
        <v>1387</v>
      </c>
      <c r="I1712">
        <v>1383</v>
      </c>
      <c r="J1712">
        <v>205.7</v>
      </c>
      <c r="K1712">
        <v>117.11</v>
      </c>
      <c r="L1712">
        <v>284483.09999999998</v>
      </c>
      <c r="M1712">
        <v>161963.13</v>
      </c>
      <c r="N1712">
        <v>122519.97</v>
      </c>
    </row>
    <row r="1713" spans="1:14" x14ac:dyDescent="0.25">
      <c r="A1713" t="s">
        <v>25</v>
      </c>
      <c r="B1713" t="s">
        <v>458</v>
      </c>
      <c r="C1713" t="s">
        <v>88</v>
      </c>
      <c r="D1713" t="s">
        <v>17</v>
      </c>
      <c r="E1713" t="s">
        <v>18</v>
      </c>
      <c r="F1713" t="s">
        <v>1388</v>
      </c>
      <c r="G1713">
        <v>707718932</v>
      </c>
      <c r="H1713" s="1">
        <v>40695</v>
      </c>
      <c r="I1713">
        <v>8614</v>
      </c>
      <c r="J1713">
        <v>9.33</v>
      </c>
      <c r="K1713">
        <v>6.92</v>
      </c>
      <c r="L1713">
        <v>80368.62</v>
      </c>
      <c r="M1713">
        <v>59608.88</v>
      </c>
      <c r="N1713">
        <v>20759.740000000002</v>
      </c>
    </row>
    <row r="1714" spans="1:14" x14ac:dyDescent="0.25">
      <c r="A1714" t="s">
        <v>29</v>
      </c>
      <c r="B1714" t="s">
        <v>467</v>
      </c>
      <c r="C1714" t="s">
        <v>27</v>
      </c>
      <c r="D1714" t="s">
        <v>22</v>
      </c>
      <c r="E1714" t="s">
        <v>32</v>
      </c>
      <c r="F1714" t="s">
        <v>1092</v>
      </c>
      <c r="G1714">
        <v>640970551</v>
      </c>
      <c r="H1714" s="1">
        <v>40943</v>
      </c>
      <c r="I1714">
        <v>6285</v>
      </c>
      <c r="J1714">
        <v>47.45</v>
      </c>
      <c r="K1714">
        <v>31.79</v>
      </c>
      <c r="L1714">
        <v>298223.25</v>
      </c>
      <c r="M1714">
        <v>199800.15</v>
      </c>
      <c r="N1714">
        <v>98423.1</v>
      </c>
    </row>
    <row r="1715" spans="1:14" x14ac:dyDescent="0.25">
      <c r="A1715" t="s">
        <v>51</v>
      </c>
      <c r="B1715" t="s">
        <v>129</v>
      </c>
      <c r="C1715" t="s">
        <v>31</v>
      </c>
      <c r="D1715" t="s">
        <v>17</v>
      </c>
      <c r="E1715" t="s">
        <v>45</v>
      </c>
      <c r="F1715" s="1">
        <v>41983</v>
      </c>
      <c r="G1715">
        <v>291173160</v>
      </c>
      <c r="H1715" s="1">
        <v>41681</v>
      </c>
      <c r="I1715">
        <v>3463</v>
      </c>
      <c r="J1715">
        <v>205.7</v>
      </c>
      <c r="K1715">
        <v>117.11</v>
      </c>
      <c r="L1715">
        <v>712339.1</v>
      </c>
      <c r="M1715">
        <v>405551.93</v>
      </c>
      <c r="N1715">
        <v>306787.17</v>
      </c>
    </row>
    <row r="1716" spans="1:14" x14ac:dyDescent="0.25">
      <c r="A1716" t="s">
        <v>14</v>
      </c>
      <c r="B1716" t="s">
        <v>154</v>
      </c>
      <c r="C1716" t="s">
        <v>131</v>
      </c>
      <c r="D1716" t="s">
        <v>22</v>
      </c>
      <c r="E1716" t="s">
        <v>18</v>
      </c>
      <c r="F1716" s="1">
        <v>41220</v>
      </c>
      <c r="G1716">
        <v>569313085</v>
      </c>
      <c r="H1716" t="s">
        <v>517</v>
      </c>
      <c r="I1716">
        <v>1248</v>
      </c>
      <c r="J1716">
        <v>668.27</v>
      </c>
      <c r="K1716">
        <v>502.54</v>
      </c>
      <c r="L1716">
        <v>834000.96</v>
      </c>
      <c r="M1716">
        <v>627169.92000000004</v>
      </c>
      <c r="N1716">
        <v>206831.04</v>
      </c>
    </row>
    <row r="1717" spans="1:14" x14ac:dyDescent="0.25">
      <c r="A1717" t="s">
        <v>25</v>
      </c>
      <c r="B1717" t="s">
        <v>434</v>
      </c>
      <c r="C1717" t="s">
        <v>131</v>
      </c>
      <c r="D1717" t="s">
        <v>22</v>
      </c>
      <c r="E1717" t="s">
        <v>23</v>
      </c>
      <c r="F1717" t="s">
        <v>1389</v>
      </c>
      <c r="G1717">
        <v>656689155</v>
      </c>
      <c r="H1717" s="1">
        <v>40794</v>
      </c>
      <c r="I1717">
        <v>7769</v>
      </c>
      <c r="J1717">
        <v>668.27</v>
      </c>
      <c r="K1717">
        <v>502.54</v>
      </c>
      <c r="L1717">
        <v>5191789.63</v>
      </c>
      <c r="M1717">
        <v>3904233.26</v>
      </c>
      <c r="N1717">
        <v>1287556.3700000001</v>
      </c>
    </row>
    <row r="1718" spans="1:14" x14ac:dyDescent="0.25">
      <c r="A1718" t="s">
        <v>14</v>
      </c>
      <c r="B1718" t="s">
        <v>20</v>
      </c>
      <c r="C1718" t="s">
        <v>21</v>
      </c>
      <c r="D1718" t="s">
        <v>17</v>
      </c>
      <c r="E1718" t="s">
        <v>23</v>
      </c>
      <c r="F1718" t="s">
        <v>1390</v>
      </c>
      <c r="G1718">
        <v>254912698</v>
      </c>
      <c r="H1718" s="1">
        <v>40759</v>
      </c>
      <c r="I1718">
        <v>3187</v>
      </c>
      <c r="J1718">
        <v>152.58000000000001</v>
      </c>
      <c r="K1718">
        <v>97.44</v>
      </c>
      <c r="L1718">
        <v>486272.46</v>
      </c>
      <c r="M1718">
        <v>310541.28000000003</v>
      </c>
      <c r="N1718">
        <v>175731.18</v>
      </c>
    </row>
    <row r="1719" spans="1:14" x14ac:dyDescent="0.25">
      <c r="A1719" t="s">
        <v>25</v>
      </c>
      <c r="B1719" t="s">
        <v>458</v>
      </c>
      <c r="C1719" t="s">
        <v>27</v>
      </c>
      <c r="D1719" t="s">
        <v>22</v>
      </c>
      <c r="E1719" t="s">
        <v>18</v>
      </c>
      <c r="F1719" t="s">
        <v>312</v>
      </c>
      <c r="G1719">
        <v>935907542</v>
      </c>
      <c r="H1719" t="s">
        <v>670</v>
      </c>
      <c r="I1719">
        <v>4695</v>
      </c>
      <c r="J1719">
        <v>47.45</v>
      </c>
      <c r="K1719">
        <v>31.79</v>
      </c>
      <c r="L1719">
        <v>222777.75</v>
      </c>
      <c r="M1719">
        <v>149254.04999999999</v>
      </c>
      <c r="N1719">
        <v>73523.7</v>
      </c>
    </row>
    <row r="1720" spans="1:14" x14ac:dyDescent="0.25">
      <c r="A1720" t="s">
        <v>38</v>
      </c>
      <c r="B1720" t="s">
        <v>68</v>
      </c>
      <c r="C1720" t="s">
        <v>69</v>
      </c>
      <c r="D1720" t="s">
        <v>22</v>
      </c>
      <c r="E1720" t="s">
        <v>23</v>
      </c>
      <c r="F1720" t="s">
        <v>1391</v>
      </c>
      <c r="G1720">
        <v>291910016</v>
      </c>
      <c r="H1720" t="s">
        <v>221</v>
      </c>
      <c r="I1720">
        <v>1515</v>
      </c>
      <c r="J1720">
        <v>421.89</v>
      </c>
      <c r="K1720">
        <v>364.69</v>
      </c>
      <c r="L1720">
        <v>639163.35</v>
      </c>
      <c r="M1720">
        <v>552505.35</v>
      </c>
      <c r="N1720">
        <v>86658</v>
      </c>
    </row>
    <row r="1721" spans="1:14" x14ac:dyDescent="0.25">
      <c r="A1721" t="s">
        <v>51</v>
      </c>
      <c r="B1721" t="s">
        <v>424</v>
      </c>
      <c r="C1721" t="s">
        <v>88</v>
      </c>
      <c r="D1721" t="s">
        <v>17</v>
      </c>
      <c r="E1721" t="s">
        <v>23</v>
      </c>
      <c r="F1721" t="s">
        <v>1303</v>
      </c>
      <c r="G1721">
        <v>485468947</v>
      </c>
      <c r="H1721" s="1">
        <v>42011</v>
      </c>
      <c r="I1721">
        <v>9905</v>
      </c>
      <c r="J1721">
        <v>9.33</v>
      </c>
      <c r="K1721">
        <v>6.92</v>
      </c>
      <c r="L1721">
        <v>92413.65</v>
      </c>
      <c r="M1721">
        <v>68542.600000000006</v>
      </c>
      <c r="N1721">
        <v>23871.05</v>
      </c>
    </row>
    <row r="1722" spans="1:14" x14ac:dyDescent="0.25">
      <c r="A1722" t="s">
        <v>14</v>
      </c>
      <c r="B1722" t="s">
        <v>208</v>
      </c>
      <c r="C1722" t="s">
        <v>40</v>
      </c>
      <c r="D1722" t="s">
        <v>22</v>
      </c>
      <c r="E1722" t="s">
        <v>45</v>
      </c>
      <c r="F1722" s="1">
        <v>42435</v>
      </c>
      <c r="G1722">
        <v>599445664</v>
      </c>
      <c r="H1722" t="s">
        <v>1392</v>
      </c>
      <c r="I1722">
        <v>8148</v>
      </c>
      <c r="J1722">
        <v>81.73</v>
      </c>
      <c r="K1722">
        <v>56.67</v>
      </c>
      <c r="L1722">
        <v>665936.04</v>
      </c>
      <c r="M1722">
        <v>461747.16</v>
      </c>
      <c r="N1722">
        <v>204188.88</v>
      </c>
    </row>
    <row r="1723" spans="1:14" x14ac:dyDescent="0.25">
      <c r="A1723" t="s">
        <v>51</v>
      </c>
      <c r="B1723" t="s">
        <v>219</v>
      </c>
      <c r="C1723" t="s">
        <v>16</v>
      </c>
      <c r="D1723" t="s">
        <v>22</v>
      </c>
      <c r="E1723" t="s">
        <v>23</v>
      </c>
      <c r="F1723" s="1">
        <v>41276</v>
      </c>
      <c r="G1723">
        <v>687013995</v>
      </c>
      <c r="H1723" t="s">
        <v>515</v>
      </c>
      <c r="I1723">
        <v>1563</v>
      </c>
      <c r="J1723">
        <v>255.28</v>
      </c>
      <c r="K1723">
        <v>159.41999999999999</v>
      </c>
      <c r="L1723">
        <v>399002.64</v>
      </c>
      <c r="M1723">
        <v>249173.46</v>
      </c>
      <c r="N1723">
        <v>149829.18</v>
      </c>
    </row>
    <row r="1724" spans="1:14" x14ac:dyDescent="0.25">
      <c r="A1724" t="s">
        <v>25</v>
      </c>
      <c r="B1724" t="s">
        <v>615</v>
      </c>
      <c r="C1724" t="s">
        <v>131</v>
      </c>
      <c r="D1724" t="s">
        <v>22</v>
      </c>
      <c r="E1724" t="s">
        <v>23</v>
      </c>
      <c r="F1724" t="s">
        <v>1393</v>
      </c>
      <c r="G1724">
        <v>421660268</v>
      </c>
      <c r="H1724" s="1">
        <v>42312</v>
      </c>
      <c r="I1724">
        <v>7498</v>
      </c>
      <c r="J1724">
        <v>668.27</v>
      </c>
      <c r="K1724">
        <v>502.54</v>
      </c>
      <c r="L1724">
        <v>5010688.46</v>
      </c>
      <c r="M1724">
        <v>3768044.92</v>
      </c>
      <c r="N1724">
        <v>1242643.54</v>
      </c>
    </row>
    <row r="1725" spans="1:14" x14ac:dyDescent="0.25">
      <c r="A1725" t="s">
        <v>25</v>
      </c>
      <c r="B1725" t="s">
        <v>142</v>
      </c>
      <c r="C1725" t="s">
        <v>59</v>
      </c>
      <c r="D1725" t="s">
        <v>22</v>
      </c>
      <c r="E1725" t="s">
        <v>23</v>
      </c>
      <c r="F1725" t="s">
        <v>456</v>
      </c>
      <c r="G1725">
        <v>447183310</v>
      </c>
      <c r="H1725" t="s">
        <v>1394</v>
      </c>
      <c r="I1725">
        <v>334</v>
      </c>
      <c r="J1725">
        <v>437.2</v>
      </c>
      <c r="K1725">
        <v>263.33</v>
      </c>
      <c r="L1725">
        <v>146024.79999999999</v>
      </c>
      <c r="M1725">
        <v>87952.22</v>
      </c>
      <c r="N1725">
        <v>58072.58</v>
      </c>
    </row>
    <row r="1726" spans="1:14" x14ac:dyDescent="0.25">
      <c r="A1726" t="s">
        <v>25</v>
      </c>
      <c r="B1726" t="s">
        <v>87</v>
      </c>
      <c r="C1726" t="s">
        <v>113</v>
      </c>
      <c r="D1726" t="s">
        <v>22</v>
      </c>
      <c r="E1726" t="s">
        <v>32</v>
      </c>
      <c r="F1726" s="1">
        <v>40736</v>
      </c>
      <c r="G1726">
        <v>127694451</v>
      </c>
      <c r="H1726" t="s">
        <v>666</v>
      </c>
      <c r="I1726">
        <v>6481</v>
      </c>
      <c r="J1726">
        <v>154.06</v>
      </c>
      <c r="K1726">
        <v>90.93</v>
      </c>
      <c r="L1726">
        <v>998462.86</v>
      </c>
      <c r="M1726">
        <v>589317.32999999996</v>
      </c>
      <c r="N1726">
        <v>409145.53</v>
      </c>
    </row>
    <row r="1727" spans="1:14" x14ac:dyDescent="0.25">
      <c r="A1727" t="s">
        <v>25</v>
      </c>
      <c r="B1727" t="s">
        <v>603</v>
      </c>
      <c r="C1727" t="s">
        <v>69</v>
      </c>
      <c r="D1727" t="s">
        <v>22</v>
      </c>
      <c r="E1727" t="s">
        <v>18</v>
      </c>
      <c r="F1727" t="s">
        <v>1162</v>
      </c>
      <c r="G1727">
        <v>697617518</v>
      </c>
      <c r="H1727" s="1">
        <v>41097</v>
      </c>
      <c r="I1727">
        <v>9381</v>
      </c>
      <c r="J1727">
        <v>421.89</v>
      </c>
      <c r="K1727">
        <v>364.69</v>
      </c>
      <c r="L1727">
        <v>3957750.09</v>
      </c>
      <c r="M1727">
        <v>3421156.89</v>
      </c>
      <c r="N1727">
        <v>536593.19999999995</v>
      </c>
    </row>
    <row r="1728" spans="1:14" x14ac:dyDescent="0.25">
      <c r="A1728" t="s">
        <v>25</v>
      </c>
      <c r="B1728" t="s">
        <v>234</v>
      </c>
      <c r="C1728" t="s">
        <v>40</v>
      </c>
      <c r="D1728" t="s">
        <v>22</v>
      </c>
      <c r="E1728" t="s">
        <v>32</v>
      </c>
      <c r="F1728" t="s">
        <v>932</v>
      </c>
      <c r="G1728">
        <v>311688840</v>
      </c>
      <c r="H1728" t="s">
        <v>781</v>
      </c>
      <c r="I1728">
        <v>4509</v>
      </c>
      <c r="J1728">
        <v>81.73</v>
      </c>
      <c r="K1728">
        <v>56.67</v>
      </c>
      <c r="L1728">
        <v>368520.57</v>
      </c>
      <c r="M1728">
        <v>255525.03</v>
      </c>
      <c r="N1728">
        <v>112995.54</v>
      </c>
    </row>
    <row r="1729" spans="1:14" x14ac:dyDescent="0.25">
      <c r="A1729" t="s">
        <v>38</v>
      </c>
      <c r="B1729" t="s">
        <v>177</v>
      </c>
      <c r="C1729" t="s">
        <v>131</v>
      </c>
      <c r="D1729" t="s">
        <v>22</v>
      </c>
      <c r="E1729" t="s">
        <v>18</v>
      </c>
      <c r="F1729" t="s">
        <v>1323</v>
      </c>
      <c r="G1729">
        <v>794957244</v>
      </c>
      <c r="H1729" t="s">
        <v>1395</v>
      </c>
      <c r="I1729">
        <v>4369</v>
      </c>
      <c r="J1729">
        <v>668.27</v>
      </c>
      <c r="K1729">
        <v>502.54</v>
      </c>
      <c r="L1729">
        <v>2919671.63</v>
      </c>
      <c r="M1729">
        <v>2195597.2599999998</v>
      </c>
      <c r="N1729">
        <v>724074.37</v>
      </c>
    </row>
    <row r="1730" spans="1:14" x14ac:dyDescent="0.25">
      <c r="A1730" t="s">
        <v>38</v>
      </c>
      <c r="B1730" t="s">
        <v>92</v>
      </c>
      <c r="C1730" t="s">
        <v>113</v>
      </c>
      <c r="D1730" t="s">
        <v>22</v>
      </c>
      <c r="E1730" t="s">
        <v>45</v>
      </c>
      <c r="F1730" s="1">
        <v>41063</v>
      </c>
      <c r="G1730">
        <v>892784059</v>
      </c>
      <c r="H1730" s="1">
        <v>41063</v>
      </c>
      <c r="I1730">
        <v>3497</v>
      </c>
      <c r="J1730">
        <v>154.06</v>
      </c>
      <c r="K1730">
        <v>90.93</v>
      </c>
      <c r="L1730">
        <v>538747.81999999995</v>
      </c>
      <c r="M1730">
        <v>317982.21000000002</v>
      </c>
      <c r="N1730">
        <v>220765.61</v>
      </c>
    </row>
    <row r="1731" spans="1:14" x14ac:dyDescent="0.25">
      <c r="A1731" t="s">
        <v>51</v>
      </c>
      <c r="B1731" t="s">
        <v>420</v>
      </c>
      <c r="C1731" t="s">
        <v>44</v>
      </c>
      <c r="D1731" t="s">
        <v>17</v>
      </c>
      <c r="E1731" t="s">
        <v>32</v>
      </c>
      <c r="F1731" t="s">
        <v>776</v>
      </c>
      <c r="G1731">
        <v>320843112</v>
      </c>
      <c r="H1731" t="s">
        <v>678</v>
      </c>
      <c r="I1731">
        <v>3462</v>
      </c>
      <c r="J1731">
        <v>109.28</v>
      </c>
      <c r="K1731">
        <v>35.840000000000003</v>
      </c>
      <c r="L1731">
        <v>378327.36</v>
      </c>
      <c r="M1731">
        <v>124078.08</v>
      </c>
      <c r="N1731">
        <v>254249.28</v>
      </c>
    </row>
    <row r="1732" spans="1:14" x14ac:dyDescent="0.25">
      <c r="A1732" t="s">
        <v>29</v>
      </c>
      <c r="B1732" t="s">
        <v>440</v>
      </c>
      <c r="C1732" t="s">
        <v>113</v>
      </c>
      <c r="D1732" t="s">
        <v>22</v>
      </c>
      <c r="E1732" t="s">
        <v>45</v>
      </c>
      <c r="F1732" s="1">
        <v>42162</v>
      </c>
      <c r="G1732">
        <v>215120732</v>
      </c>
      <c r="H1732" s="1">
        <v>42071</v>
      </c>
      <c r="I1732">
        <v>7860</v>
      </c>
      <c r="J1732">
        <v>154.06</v>
      </c>
      <c r="K1732">
        <v>90.93</v>
      </c>
      <c r="L1732">
        <v>1210911.6000000001</v>
      </c>
      <c r="M1732">
        <v>714709.8</v>
      </c>
      <c r="N1732">
        <v>496201.8</v>
      </c>
    </row>
    <row r="1733" spans="1:14" x14ac:dyDescent="0.25">
      <c r="A1733" t="s">
        <v>38</v>
      </c>
      <c r="B1733" t="s">
        <v>58</v>
      </c>
      <c r="C1733" t="s">
        <v>27</v>
      </c>
      <c r="D1733" t="s">
        <v>22</v>
      </c>
      <c r="E1733" t="s">
        <v>18</v>
      </c>
      <c r="F1733" s="1">
        <v>40524</v>
      </c>
      <c r="G1733">
        <v>881915748</v>
      </c>
      <c r="H1733" t="s">
        <v>613</v>
      </c>
      <c r="I1733">
        <v>7323</v>
      </c>
      <c r="J1733">
        <v>47.45</v>
      </c>
      <c r="K1733">
        <v>31.79</v>
      </c>
      <c r="L1733">
        <v>347476.35</v>
      </c>
      <c r="M1733">
        <v>232798.17</v>
      </c>
      <c r="N1733">
        <v>114678.18</v>
      </c>
    </row>
    <row r="1734" spans="1:14" x14ac:dyDescent="0.25">
      <c r="A1734" t="s">
        <v>51</v>
      </c>
      <c r="B1734" t="s">
        <v>417</v>
      </c>
      <c r="C1734" t="s">
        <v>27</v>
      </c>
      <c r="D1734" t="s">
        <v>22</v>
      </c>
      <c r="E1734" t="s">
        <v>45</v>
      </c>
      <c r="F1734" t="s">
        <v>1355</v>
      </c>
      <c r="G1734">
        <v>447839486</v>
      </c>
      <c r="H1734" t="s">
        <v>167</v>
      </c>
      <c r="I1734">
        <v>4511</v>
      </c>
      <c r="J1734">
        <v>47.45</v>
      </c>
      <c r="K1734">
        <v>31.79</v>
      </c>
      <c r="L1734">
        <v>214046.95</v>
      </c>
      <c r="M1734">
        <v>143404.69</v>
      </c>
      <c r="N1734">
        <v>70642.259999999995</v>
      </c>
    </row>
    <row r="1735" spans="1:14" x14ac:dyDescent="0.25">
      <c r="A1735" t="s">
        <v>38</v>
      </c>
      <c r="B1735" t="s">
        <v>58</v>
      </c>
      <c r="C1735" t="s">
        <v>27</v>
      </c>
      <c r="D1735" t="s">
        <v>22</v>
      </c>
      <c r="E1735" t="s">
        <v>23</v>
      </c>
      <c r="F1735" t="s">
        <v>1202</v>
      </c>
      <c r="G1735">
        <v>709815776</v>
      </c>
      <c r="H1735" t="s">
        <v>874</v>
      </c>
      <c r="I1735">
        <v>9117</v>
      </c>
      <c r="J1735">
        <v>47.45</v>
      </c>
      <c r="K1735">
        <v>31.79</v>
      </c>
      <c r="L1735">
        <v>432601.65</v>
      </c>
      <c r="M1735">
        <v>289829.43</v>
      </c>
      <c r="N1735">
        <v>142772.22</v>
      </c>
    </row>
    <row r="1736" spans="1:14" x14ac:dyDescent="0.25">
      <c r="A1736" t="s">
        <v>25</v>
      </c>
      <c r="B1736" t="s">
        <v>252</v>
      </c>
      <c r="C1736" t="s">
        <v>59</v>
      </c>
      <c r="D1736" t="s">
        <v>22</v>
      </c>
      <c r="E1736" t="s">
        <v>18</v>
      </c>
      <c r="F1736" s="1">
        <v>42166</v>
      </c>
      <c r="G1736">
        <v>385080945</v>
      </c>
      <c r="H1736" s="1">
        <v>42196</v>
      </c>
      <c r="I1736">
        <v>2864</v>
      </c>
      <c r="J1736">
        <v>437.2</v>
      </c>
      <c r="K1736">
        <v>263.33</v>
      </c>
      <c r="L1736">
        <v>1252140.8</v>
      </c>
      <c r="M1736">
        <v>754177.12</v>
      </c>
      <c r="N1736">
        <v>497963.68</v>
      </c>
    </row>
    <row r="1737" spans="1:14" x14ac:dyDescent="0.25">
      <c r="A1737" t="s">
        <v>29</v>
      </c>
      <c r="B1737" t="s">
        <v>467</v>
      </c>
      <c r="C1737" t="s">
        <v>59</v>
      </c>
      <c r="D1737" t="s">
        <v>17</v>
      </c>
      <c r="E1737" t="s">
        <v>32</v>
      </c>
      <c r="F1737" t="s">
        <v>120</v>
      </c>
      <c r="G1737">
        <v>961183822</v>
      </c>
      <c r="H1737" t="s">
        <v>191</v>
      </c>
      <c r="I1737">
        <v>4507</v>
      </c>
      <c r="J1737">
        <v>437.2</v>
      </c>
      <c r="K1737">
        <v>263.33</v>
      </c>
      <c r="L1737">
        <v>1970460.4</v>
      </c>
      <c r="M1737">
        <v>1186828.31</v>
      </c>
      <c r="N1737">
        <v>783632.09</v>
      </c>
    </row>
    <row r="1738" spans="1:14" x14ac:dyDescent="0.25">
      <c r="A1738" t="s">
        <v>38</v>
      </c>
      <c r="B1738" t="s">
        <v>388</v>
      </c>
      <c r="C1738" t="s">
        <v>31</v>
      </c>
      <c r="D1738" t="s">
        <v>22</v>
      </c>
      <c r="E1738" t="s">
        <v>18</v>
      </c>
      <c r="F1738" t="s">
        <v>924</v>
      </c>
      <c r="G1738">
        <v>845985734</v>
      </c>
      <c r="H1738" t="s">
        <v>1396</v>
      </c>
      <c r="I1738">
        <v>4833</v>
      </c>
      <c r="J1738">
        <v>205.7</v>
      </c>
      <c r="K1738">
        <v>117.11</v>
      </c>
      <c r="L1738">
        <v>994148.1</v>
      </c>
      <c r="M1738">
        <v>565992.63</v>
      </c>
      <c r="N1738">
        <v>428155.47</v>
      </c>
    </row>
    <row r="1739" spans="1:14" x14ac:dyDescent="0.25">
      <c r="A1739" t="s">
        <v>29</v>
      </c>
      <c r="B1739" t="s">
        <v>356</v>
      </c>
      <c r="C1739" t="s">
        <v>59</v>
      </c>
      <c r="D1739" t="s">
        <v>22</v>
      </c>
      <c r="E1739" t="s">
        <v>23</v>
      </c>
      <c r="F1739" s="1">
        <v>40396</v>
      </c>
      <c r="G1739">
        <v>317660510</v>
      </c>
      <c r="H1739" t="s">
        <v>1397</v>
      </c>
      <c r="I1739">
        <v>1659</v>
      </c>
      <c r="J1739">
        <v>437.2</v>
      </c>
      <c r="K1739">
        <v>263.33</v>
      </c>
      <c r="L1739">
        <v>725314.8</v>
      </c>
      <c r="M1739">
        <v>436864.47</v>
      </c>
      <c r="N1739">
        <v>288450.33</v>
      </c>
    </row>
    <row r="1740" spans="1:14" x14ac:dyDescent="0.25">
      <c r="A1740" t="s">
        <v>51</v>
      </c>
      <c r="B1740" t="s">
        <v>308</v>
      </c>
      <c r="C1740" t="s">
        <v>113</v>
      </c>
      <c r="D1740" t="s">
        <v>17</v>
      </c>
      <c r="E1740" t="s">
        <v>32</v>
      </c>
      <c r="F1740" s="1">
        <v>42313</v>
      </c>
      <c r="G1740">
        <v>174694478</v>
      </c>
      <c r="H1740" s="1">
        <v>42313</v>
      </c>
      <c r="I1740">
        <v>4833</v>
      </c>
      <c r="J1740">
        <v>154.06</v>
      </c>
      <c r="K1740">
        <v>90.93</v>
      </c>
      <c r="L1740">
        <v>744571.98</v>
      </c>
      <c r="M1740">
        <v>439464.69</v>
      </c>
      <c r="N1740">
        <v>305107.28999999998</v>
      </c>
    </row>
    <row r="1741" spans="1:14" x14ac:dyDescent="0.25">
      <c r="A1741" t="s">
        <v>42</v>
      </c>
      <c r="B1741" t="s">
        <v>150</v>
      </c>
      <c r="C1741" t="s">
        <v>44</v>
      </c>
      <c r="D1741" t="s">
        <v>22</v>
      </c>
      <c r="E1741" t="s">
        <v>18</v>
      </c>
      <c r="F1741" s="1">
        <v>42953</v>
      </c>
      <c r="G1741">
        <v>385886466</v>
      </c>
      <c r="H1741" s="1">
        <v>43015</v>
      </c>
      <c r="I1741">
        <v>1235</v>
      </c>
      <c r="J1741">
        <v>109.28</v>
      </c>
      <c r="K1741">
        <v>35.840000000000003</v>
      </c>
      <c r="L1741">
        <v>134960.79999999999</v>
      </c>
      <c r="M1741">
        <v>44262.400000000001</v>
      </c>
      <c r="N1741">
        <v>90698.4</v>
      </c>
    </row>
    <row r="1742" spans="1:14" x14ac:dyDescent="0.25">
      <c r="A1742" t="s">
        <v>29</v>
      </c>
      <c r="B1742" t="s">
        <v>545</v>
      </c>
      <c r="C1742" t="s">
        <v>59</v>
      </c>
      <c r="D1742" t="s">
        <v>22</v>
      </c>
      <c r="E1742" t="s">
        <v>23</v>
      </c>
      <c r="F1742" s="1">
        <v>40640</v>
      </c>
      <c r="G1742">
        <v>540347802</v>
      </c>
      <c r="H1742" s="1">
        <v>40854</v>
      </c>
      <c r="I1742">
        <v>9777</v>
      </c>
      <c r="J1742">
        <v>437.2</v>
      </c>
      <c r="K1742">
        <v>263.33</v>
      </c>
      <c r="L1742">
        <v>4274504.4000000004</v>
      </c>
      <c r="M1742">
        <v>2574577.41</v>
      </c>
      <c r="N1742">
        <v>1699926.99</v>
      </c>
    </row>
    <row r="1743" spans="1:14" x14ac:dyDescent="0.25">
      <c r="A1743" t="s">
        <v>51</v>
      </c>
      <c r="B1743" t="s">
        <v>260</v>
      </c>
      <c r="C1743" t="s">
        <v>44</v>
      </c>
      <c r="D1743" t="s">
        <v>17</v>
      </c>
      <c r="E1743" t="s">
        <v>45</v>
      </c>
      <c r="F1743" t="s">
        <v>390</v>
      </c>
      <c r="G1743">
        <v>297502315</v>
      </c>
      <c r="H1743" s="1">
        <v>41127</v>
      </c>
      <c r="I1743">
        <v>6401</v>
      </c>
      <c r="J1743">
        <v>109.28</v>
      </c>
      <c r="K1743">
        <v>35.840000000000003</v>
      </c>
      <c r="L1743">
        <v>699501.28</v>
      </c>
      <c r="M1743">
        <v>229411.84</v>
      </c>
      <c r="N1743">
        <v>470089.44</v>
      </c>
    </row>
    <row r="1744" spans="1:14" x14ac:dyDescent="0.25">
      <c r="A1744" t="s">
        <v>51</v>
      </c>
      <c r="B1744" t="s">
        <v>305</v>
      </c>
      <c r="C1744" t="s">
        <v>27</v>
      </c>
      <c r="D1744" t="s">
        <v>22</v>
      </c>
      <c r="E1744" t="s">
        <v>18</v>
      </c>
      <c r="F1744" s="1">
        <v>41279</v>
      </c>
      <c r="G1744">
        <v>737086331</v>
      </c>
      <c r="H1744" s="1">
        <v>41370</v>
      </c>
      <c r="I1744">
        <v>9080</v>
      </c>
      <c r="J1744">
        <v>47.45</v>
      </c>
      <c r="K1744">
        <v>31.79</v>
      </c>
      <c r="L1744">
        <v>430846</v>
      </c>
      <c r="M1744">
        <v>288653.2</v>
      </c>
      <c r="N1744">
        <v>142192.79999999999</v>
      </c>
    </row>
    <row r="1745" spans="1:14" x14ac:dyDescent="0.25">
      <c r="A1745" t="s">
        <v>25</v>
      </c>
      <c r="B1745" t="s">
        <v>426</v>
      </c>
      <c r="C1745" t="s">
        <v>131</v>
      </c>
      <c r="D1745" t="s">
        <v>22</v>
      </c>
      <c r="E1745" t="s">
        <v>18</v>
      </c>
      <c r="F1745" t="s">
        <v>697</v>
      </c>
      <c r="G1745">
        <v>309148681</v>
      </c>
      <c r="H1745" s="1">
        <v>41034</v>
      </c>
      <c r="I1745">
        <v>2819</v>
      </c>
      <c r="J1745">
        <v>668.27</v>
      </c>
      <c r="K1745">
        <v>502.54</v>
      </c>
      <c r="L1745">
        <v>1883853.13</v>
      </c>
      <c r="M1745">
        <v>1416660.26</v>
      </c>
      <c r="N1745">
        <v>467192.87</v>
      </c>
    </row>
    <row r="1746" spans="1:14" x14ac:dyDescent="0.25">
      <c r="A1746" t="s">
        <v>14</v>
      </c>
      <c r="B1746" t="s">
        <v>64</v>
      </c>
      <c r="C1746" t="s">
        <v>55</v>
      </c>
      <c r="D1746" t="s">
        <v>22</v>
      </c>
      <c r="E1746" t="s">
        <v>32</v>
      </c>
      <c r="F1746" s="1">
        <v>42552</v>
      </c>
      <c r="G1746">
        <v>684050691</v>
      </c>
      <c r="H1746" t="s">
        <v>1398</v>
      </c>
      <c r="I1746">
        <v>4655</v>
      </c>
      <c r="J1746">
        <v>651.21</v>
      </c>
      <c r="K1746">
        <v>524.96</v>
      </c>
      <c r="L1746">
        <v>3031382.55</v>
      </c>
      <c r="M1746">
        <v>2443688.7999999998</v>
      </c>
      <c r="N1746">
        <v>587693.75</v>
      </c>
    </row>
    <row r="1747" spans="1:14" x14ac:dyDescent="0.25">
      <c r="A1747" t="s">
        <v>51</v>
      </c>
      <c r="B1747" t="s">
        <v>848</v>
      </c>
      <c r="C1747" t="s">
        <v>21</v>
      </c>
      <c r="D1747" t="s">
        <v>17</v>
      </c>
      <c r="E1747" t="s">
        <v>23</v>
      </c>
      <c r="F1747" s="1">
        <v>41429</v>
      </c>
      <c r="G1747">
        <v>902466189</v>
      </c>
      <c r="H1747" t="s">
        <v>225</v>
      </c>
      <c r="I1747">
        <v>8655</v>
      </c>
      <c r="J1747">
        <v>152.58000000000001</v>
      </c>
      <c r="K1747">
        <v>97.44</v>
      </c>
      <c r="L1747">
        <v>1320579.8999999999</v>
      </c>
      <c r="M1747">
        <v>843343.2</v>
      </c>
      <c r="N1747">
        <v>477236.7</v>
      </c>
    </row>
    <row r="1748" spans="1:14" x14ac:dyDescent="0.25">
      <c r="A1748" t="s">
        <v>42</v>
      </c>
      <c r="B1748" t="s">
        <v>107</v>
      </c>
      <c r="C1748" t="s">
        <v>113</v>
      </c>
      <c r="D1748" t="s">
        <v>22</v>
      </c>
      <c r="E1748" t="s">
        <v>45</v>
      </c>
      <c r="F1748" t="s">
        <v>455</v>
      </c>
      <c r="G1748">
        <v>525381505</v>
      </c>
      <c r="H1748" t="s">
        <v>50</v>
      </c>
      <c r="I1748">
        <v>917</v>
      </c>
      <c r="J1748">
        <v>154.06</v>
      </c>
      <c r="K1748">
        <v>90.93</v>
      </c>
      <c r="L1748">
        <v>141273.01999999999</v>
      </c>
      <c r="M1748">
        <v>83382.81</v>
      </c>
      <c r="N1748">
        <v>57890.21</v>
      </c>
    </row>
    <row r="1749" spans="1:14" x14ac:dyDescent="0.25">
      <c r="A1749" t="s">
        <v>42</v>
      </c>
      <c r="B1749" t="s">
        <v>103</v>
      </c>
      <c r="C1749" t="s">
        <v>113</v>
      </c>
      <c r="D1749" t="s">
        <v>17</v>
      </c>
      <c r="E1749" t="s">
        <v>45</v>
      </c>
      <c r="F1749" t="s">
        <v>225</v>
      </c>
      <c r="G1749">
        <v>984095466</v>
      </c>
      <c r="H1749" s="1">
        <v>41613</v>
      </c>
      <c r="I1749">
        <v>4572</v>
      </c>
      <c r="J1749">
        <v>154.06</v>
      </c>
      <c r="K1749">
        <v>90.93</v>
      </c>
      <c r="L1749">
        <v>704362.32</v>
      </c>
      <c r="M1749">
        <v>415731.96</v>
      </c>
      <c r="N1749">
        <v>288630.36</v>
      </c>
    </row>
    <row r="1750" spans="1:14" x14ac:dyDescent="0.25">
      <c r="A1750" t="s">
        <v>25</v>
      </c>
      <c r="B1750" t="s">
        <v>204</v>
      </c>
      <c r="C1750" t="s">
        <v>16</v>
      </c>
      <c r="D1750" t="s">
        <v>22</v>
      </c>
      <c r="E1750" t="s">
        <v>32</v>
      </c>
      <c r="F1750" t="s">
        <v>921</v>
      </c>
      <c r="G1750">
        <v>630219399</v>
      </c>
      <c r="H1750" t="s">
        <v>982</v>
      </c>
      <c r="I1750">
        <v>4780</v>
      </c>
      <c r="J1750">
        <v>255.28</v>
      </c>
      <c r="K1750">
        <v>159.41999999999999</v>
      </c>
      <c r="L1750">
        <v>1220238.3999999999</v>
      </c>
      <c r="M1750">
        <v>762027.6</v>
      </c>
      <c r="N1750">
        <v>458210.8</v>
      </c>
    </row>
    <row r="1751" spans="1:14" x14ac:dyDescent="0.25">
      <c r="A1751" t="s">
        <v>25</v>
      </c>
      <c r="B1751" t="s">
        <v>303</v>
      </c>
      <c r="C1751" t="s">
        <v>21</v>
      </c>
      <c r="D1751" t="s">
        <v>17</v>
      </c>
      <c r="E1751" t="s">
        <v>45</v>
      </c>
      <c r="F1751" t="s">
        <v>1206</v>
      </c>
      <c r="G1751">
        <v>585677134</v>
      </c>
      <c r="H1751" s="1">
        <v>41004</v>
      </c>
      <c r="I1751">
        <v>3734</v>
      </c>
      <c r="J1751">
        <v>152.58000000000001</v>
      </c>
      <c r="K1751">
        <v>97.44</v>
      </c>
      <c r="L1751">
        <v>569733.72</v>
      </c>
      <c r="M1751">
        <v>363840.96</v>
      </c>
      <c r="N1751">
        <v>205892.76</v>
      </c>
    </row>
    <row r="1752" spans="1:14" x14ac:dyDescent="0.25">
      <c r="A1752" t="s">
        <v>25</v>
      </c>
      <c r="B1752" t="s">
        <v>469</v>
      </c>
      <c r="C1752" t="s">
        <v>131</v>
      </c>
      <c r="D1752" t="s">
        <v>17</v>
      </c>
      <c r="E1752" t="s">
        <v>23</v>
      </c>
      <c r="F1752" t="s">
        <v>1399</v>
      </c>
      <c r="G1752">
        <v>692704999</v>
      </c>
      <c r="H1752" t="s">
        <v>1400</v>
      </c>
      <c r="I1752">
        <v>5657</v>
      </c>
      <c r="J1752">
        <v>668.27</v>
      </c>
      <c r="K1752">
        <v>502.54</v>
      </c>
      <c r="L1752">
        <v>3780403.39</v>
      </c>
      <c r="M1752">
        <v>2842868.78</v>
      </c>
      <c r="N1752">
        <v>937534.61</v>
      </c>
    </row>
    <row r="1753" spans="1:14" x14ac:dyDescent="0.25">
      <c r="A1753" t="s">
        <v>51</v>
      </c>
      <c r="B1753" t="s">
        <v>166</v>
      </c>
      <c r="C1753" t="s">
        <v>21</v>
      </c>
      <c r="D1753" t="s">
        <v>22</v>
      </c>
      <c r="E1753" t="s">
        <v>45</v>
      </c>
      <c r="F1753" t="s">
        <v>1108</v>
      </c>
      <c r="G1753">
        <v>863851821</v>
      </c>
      <c r="H1753" s="1">
        <v>41093</v>
      </c>
      <c r="I1753">
        <v>1805</v>
      </c>
      <c r="J1753">
        <v>152.58000000000001</v>
      </c>
      <c r="K1753">
        <v>97.44</v>
      </c>
      <c r="L1753">
        <v>275406.90000000002</v>
      </c>
      <c r="M1753">
        <v>175879.2</v>
      </c>
      <c r="N1753">
        <v>99527.7</v>
      </c>
    </row>
    <row r="1754" spans="1:14" x14ac:dyDescent="0.25">
      <c r="A1754" t="s">
        <v>42</v>
      </c>
      <c r="B1754" t="s">
        <v>361</v>
      </c>
      <c r="C1754" t="s">
        <v>59</v>
      </c>
      <c r="D1754" t="s">
        <v>22</v>
      </c>
      <c r="E1754" t="s">
        <v>18</v>
      </c>
      <c r="F1754" t="s">
        <v>541</v>
      </c>
      <c r="G1754">
        <v>631978929</v>
      </c>
      <c r="H1754" s="1">
        <v>40918</v>
      </c>
      <c r="I1754">
        <v>5464</v>
      </c>
      <c r="J1754">
        <v>437.2</v>
      </c>
      <c r="K1754">
        <v>263.33</v>
      </c>
      <c r="L1754">
        <v>2388860.7999999998</v>
      </c>
      <c r="M1754">
        <v>1438835.12</v>
      </c>
      <c r="N1754">
        <v>950025.68</v>
      </c>
    </row>
    <row r="1755" spans="1:14" x14ac:dyDescent="0.25">
      <c r="A1755" t="s">
        <v>29</v>
      </c>
      <c r="B1755" t="s">
        <v>30</v>
      </c>
      <c r="C1755" t="s">
        <v>44</v>
      </c>
      <c r="D1755" t="s">
        <v>17</v>
      </c>
      <c r="E1755" t="s">
        <v>23</v>
      </c>
      <c r="F1755" s="1">
        <v>42374</v>
      </c>
      <c r="G1755">
        <v>500260150</v>
      </c>
      <c r="H1755" s="1">
        <v>42648</v>
      </c>
      <c r="I1755">
        <v>6950</v>
      </c>
      <c r="J1755">
        <v>109.28</v>
      </c>
      <c r="K1755">
        <v>35.840000000000003</v>
      </c>
      <c r="L1755">
        <v>759496</v>
      </c>
      <c r="M1755">
        <v>249088</v>
      </c>
      <c r="N1755">
        <v>510408</v>
      </c>
    </row>
    <row r="1756" spans="1:14" x14ac:dyDescent="0.25">
      <c r="A1756" t="s">
        <v>14</v>
      </c>
      <c r="B1756" t="s">
        <v>81</v>
      </c>
      <c r="C1756" t="s">
        <v>59</v>
      </c>
      <c r="D1756" t="s">
        <v>17</v>
      </c>
      <c r="E1756" t="s">
        <v>18</v>
      </c>
      <c r="F1756" t="s">
        <v>1401</v>
      </c>
      <c r="G1756">
        <v>592181813</v>
      </c>
      <c r="H1756" s="1">
        <v>41526</v>
      </c>
      <c r="I1756">
        <v>8613</v>
      </c>
      <c r="J1756">
        <v>437.2</v>
      </c>
      <c r="K1756">
        <v>263.33</v>
      </c>
      <c r="L1756">
        <v>3765603.6</v>
      </c>
      <c r="M1756">
        <v>2268061.29</v>
      </c>
      <c r="N1756">
        <v>1497542.31</v>
      </c>
    </row>
    <row r="1757" spans="1:14" x14ac:dyDescent="0.25">
      <c r="A1757" t="s">
        <v>77</v>
      </c>
      <c r="B1757" t="s">
        <v>622</v>
      </c>
      <c r="C1757" t="s">
        <v>69</v>
      </c>
      <c r="D1757" t="s">
        <v>17</v>
      </c>
      <c r="E1757" t="s">
        <v>23</v>
      </c>
      <c r="F1757" s="1">
        <v>42345</v>
      </c>
      <c r="G1757">
        <v>201542747</v>
      </c>
      <c r="H1757" t="s">
        <v>581</v>
      </c>
      <c r="I1757">
        <v>9832</v>
      </c>
      <c r="J1757">
        <v>421.89</v>
      </c>
      <c r="K1757">
        <v>364.69</v>
      </c>
      <c r="L1757">
        <v>4148022.48</v>
      </c>
      <c r="M1757">
        <v>3585632.08</v>
      </c>
      <c r="N1757">
        <v>562390.4</v>
      </c>
    </row>
    <row r="1758" spans="1:14" x14ac:dyDescent="0.25">
      <c r="A1758" t="s">
        <v>25</v>
      </c>
      <c r="B1758" t="s">
        <v>533</v>
      </c>
      <c r="C1758" t="s">
        <v>59</v>
      </c>
      <c r="D1758" t="s">
        <v>17</v>
      </c>
      <c r="E1758" t="s">
        <v>18</v>
      </c>
      <c r="F1758" s="1">
        <v>40788</v>
      </c>
      <c r="G1758">
        <v>942454278</v>
      </c>
      <c r="H1758" t="s">
        <v>1402</v>
      </c>
      <c r="I1758">
        <v>2019</v>
      </c>
      <c r="J1758">
        <v>437.2</v>
      </c>
      <c r="K1758">
        <v>263.33</v>
      </c>
      <c r="L1758">
        <v>882706.8</v>
      </c>
      <c r="M1758">
        <v>531663.27</v>
      </c>
      <c r="N1758">
        <v>351043.53</v>
      </c>
    </row>
    <row r="1759" spans="1:14" x14ac:dyDescent="0.25">
      <c r="A1759" t="s">
        <v>38</v>
      </c>
      <c r="B1759" t="s">
        <v>54</v>
      </c>
      <c r="C1759" t="s">
        <v>27</v>
      </c>
      <c r="D1759" t="s">
        <v>17</v>
      </c>
      <c r="E1759" t="s">
        <v>45</v>
      </c>
      <c r="F1759" t="s">
        <v>1156</v>
      </c>
      <c r="G1759">
        <v>899340236</v>
      </c>
      <c r="H1759" t="s">
        <v>1403</v>
      </c>
      <c r="I1759">
        <v>3616</v>
      </c>
      <c r="J1759">
        <v>47.45</v>
      </c>
      <c r="K1759">
        <v>31.79</v>
      </c>
      <c r="L1759">
        <v>171579.2</v>
      </c>
      <c r="M1759">
        <v>114952.64</v>
      </c>
      <c r="N1759">
        <v>56626.559999999998</v>
      </c>
    </row>
    <row r="1760" spans="1:14" x14ac:dyDescent="0.25">
      <c r="A1760" t="s">
        <v>29</v>
      </c>
      <c r="B1760" t="s">
        <v>494</v>
      </c>
      <c r="C1760" t="s">
        <v>31</v>
      </c>
      <c r="D1760" t="s">
        <v>17</v>
      </c>
      <c r="E1760" t="s">
        <v>23</v>
      </c>
      <c r="F1760" s="1">
        <v>41615</v>
      </c>
      <c r="G1760">
        <v>476936948</v>
      </c>
      <c r="H1760" t="s">
        <v>1404</v>
      </c>
      <c r="I1760">
        <v>5096</v>
      </c>
      <c r="J1760">
        <v>205.7</v>
      </c>
      <c r="K1760">
        <v>117.11</v>
      </c>
      <c r="L1760">
        <v>1048247.2</v>
      </c>
      <c r="M1760">
        <v>596792.56000000006</v>
      </c>
      <c r="N1760">
        <v>451454.64</v>
      </c>
    </row>
    <row r="1761" spans="1:14" x14ac:dyDescent="0.25">
      <c r="A1761" t="s">
        <v>25</v>
      </c>
      <c r="B1761" t="s">
        <v>339</v>
      </c>
      <c r="C1761" t="s">
        <v>55</v>
      </c>
      <c r="D1761" t="s">
        <v>22</v>
      </c>
      <c r="E1761" t="s">
        <v>45</v>
      </c>
      <c r="F1761" t="s">
        <v>592</v>
      </c>
      <c r="G1761">
        <v>150293242</v>
      </c>
      <c r="H1761" t="s">
        <v>1405</v>
      </c>
      <c r="I1761">
        <v>3965</v>
      </c>
      <c r="J1761">
        <v>651.21</v>
      </c>
      <c r="K1761">
        <v>524.96</v>
      </c>
      <c r="L1761">
        <v>2582047.65</v>
      </c>
      <c r="M1761">
        <v>2081466.4</v>
      </c>
      <c r="N1761">
        <v>500581.25</v>
      </c>
    </row>
    <row r="1762" spans="1:14" x14ac:dyDescent="0.25">
      <c r="A1762" t="s">
        <v>38</v>
      </c>
      <c r="B1762" t="s">
        <v>527</v>
      </c>
      <c r="C1762" t="s">
        <v>31</v>
      </c>
      <c r="D1762" t="s">
        <v>17</v>
      </c>
      <c r="E1762" t="s">
        <v>32</v>
      </c>
      <c r="F1762" s="1">
        <v>42523</v>
      </c>
      <c r="G1762">
        <v>914770448</v>
      </c>
      <c r="H1762" t="s">
        <v>757</v>
      </c>
      <c r="I1762">
        <v>9759</v>
      </c>
      <c r="J1762">
        <v>205.7</v>
      </c>
      <c r="K1762">
        <v>117.11</v>
      </c>
      <c r="L1762">
        <v>2007426.3</v>
      </c>
      <c r="M1762">
        <v>1142876.49</v>
      </c>
      <c r="N1762">
        <v>864549.81</v>
      </c>
    </row>
    <row r="1763" spans="1:14" x14ac:dyDescent="0.25">
      <c r="A1763" t="s">
        <v>25</v>
      </c>
      <c r="B1763" t="s">
        <v>497</v>
      </c>
      <c r="C1763" t="s">
        <v>55</v>
      </c>
      <c r="D1763" t="s">
        <v>22</v>
      </c>
      <c r="E1763" t="s">
        <v>45</v>
      </c>
      <c r="F1763" t="s">
        <v>1406</v>
      </c>
      <c r="G1763">
        <v>236042392</v>
      </c>
      <c r="H1763" t="s">
        <v>786</v>
      </c>
      <c r="I1763">
        <v>9044</v>
      </c>
      <c r="J1763">
        <v>651.21</v>
      </c>
      <c r="K1763">
        <v>524.96</v>
      </c>
      <c r="L1763">
        <v>5889543.2400000002</v>
      </c>
      <c r="M1763">
        <v>4747738.24</v>
      </c>
      <c r="N1763">
        <v>1141805</v>
      </c>
    </row>
    <row r="1764" spans="1:14" x14ac:dyDescent="0.25">
      <c r="A1764" t="s">
        <v>38</v>
      </c>
      <c r="B1764" t="s">
        <v>527</v>
      </c>
      <c r="C1764" t="s">
        <v>131</v>
      </c>
      <c r="D1764" t="s">
        <v>22</v>
      </c>
      <c r="E1764" t="s">
        <v>45</v>
      </c>
      <c r="F1764" t="s">
        <v>1407</v>
      </c>
      <c r="G1764">
        <v>600095403</v>
      </c>
      <c r="H1764" t="s">
        <v>397</v>
      </c>
      <c r="I1764">
        <v>420</v>
      </c>
      <c r="J1764">
        <v>668.27</v>
      </c>
      <c r="K1764">
        <v>502.54</v>
      </c>
      <c r="L1764">
        <v>280673.40000000002</v>
      </c>
      <c r="M1764">
        <v>211066.8</v>
      </c>
      <c r="N1764">
        <v>69606.600000000006</v>
      </c>
    </row>
    <row r="1765" spans="1:14" x14ac:dyDescent="0.25">
      <c r="A1765" t="s">
        <v>51</v>
      </c>
      <c r="B1765" t="s">
        <v>164</v>
      </c>
      <c r="C1765" t="s">
        <v>27</v>
      </c>
      <c r="D1765" t="s">
        <v>17</v>
      </c>
      <c r="E1765" t="s">
        <v>23</v>
      </c>
      <c r="F1765" t="s">
        <v>1408</v>
      </c>
      <c r="G1765">
        <v>963228309</v>
      </c>
      <c r="H1765" t="s">
        <v>587</v>
      </c>
      <c r="I1765">
        <v>9516</v>
      </c>
      <c r="J1765">
        <v>47.45</v>
      </c>
      <c r="K1765">
        <v>31.79</v>
      </c>
      <c r="L1765">
        <v>451534.2</v>
      </c>
      <c r="M1765">
        <v>302513.64</v>
      </c>
      <c r="N1765">
        <v>149020.56</v>
      </c>
    </row>
    <row r="1766" spans="1:14" x14ac:dyDescent="0.25">
      <c r="A1766" t="s">
        <v>42</v>
      </c>
      <c r="B1766" t="s">
        <v>565</v>
      </c>
      <c r="C1766" t="s">
        <v>88</v>
      </c>
      <c r="D1766" t="s">
        <v>22</v>
      </c>
      <c r="E1766" t="s">
        <v>32</v>
      </c>
      <c r="F1766" t="s">
        <v>1409</v>
      </c>
      <c r="G1766">
        <v>802052438</v>
      </c>
      <c r="H1766" s="1">
        <v>40940</v>
      </c>
      <c r="I1766">
        <v>3995</v>
      </c>
      <c r="J1766">
        <v>9.33</v>
      </c>
      <c r="K1766">
        <v>6.92</v>
      </c>
      <c r="L1766">
        <v>37273.35</v>
      </c>
      <c r="M1766">
        <v>27645.4</v>
      </c>
      <c r="N1766">
        <v>9627.9500000000007</v>
      </c>
    </row>
    <row r="1767" spans="1:14" x14ac:dyDescent="0.25">
      <c r="A1767" t="s">
        <v>51</v>
      </c>
      <c r="B1767" t="s">
        <v>575</v>
      </c>
      <c r="C1767" t="s">
        <v>131</v>
      </c>
      <c r="D1767" t="s">
        <v>22</v>
      </c>
      <c r="E1767" t="s">
        <v>32</v>
      </c>
      <c r="F1767" t="s">
        <v>373</v>
      </c>
      <c r="G1767">
        <v>563491618</v>
      </c>
      <c r="H1767" t="s">
        <v>861</v>
      </c>
      <c r="I1767">
        <v>8547</v>
      </c>
      <c r="J1767">
        <v>668.27</v>
      </c>
      <c r="K1767">
        <v>502.54</v>
      </c>
      <c r="L1767">
        <v>5711703.6900000004</v>
      </c>
      <c r="M1767">
        <v>4295209.38</v>
      </c>
      <c r="N1767">
        <v>1416494.31</v>
      </c>
    </row>
    <row r="1768" spans="1:14" x14ac:dyDescent="0.25">
      <c r="A1768" t="s">
        <v>25</v>
      </c>
      <c r="B1768" t="s">
        <v>469</v>
      </c>
      <c r="C1768" t="s">
        <v>16</v>
      </c>
      <c r="D1768" t="s">
        <v>22</v>
      </c>
      <c r="E1768" t="s">
        <v>32</v>
      </c>
      <c r="F1768" t="s">
        <v>1238</v>
      </c>
      <c r="G1768">
        <v>314782178</v>
      </c>
      <c r="H1768" s="1">
        <v>41250</v>
      </c>
      <c r="I1768">
        <v>9896</v>
      </c>
      <c r="J1768">
        <v>255.28</v>
      </c>
      <c r="K1768">
        <v>159.41999999999999</v>
      </c>
      <c r="L1768">
        <v>2526250.88</v>
      </c>
      <c r="M1768">
        <v>1577620.32</v>
      </c>
      <c r="N1768">
        <v>948630.56</v>
      </c>
    </row>
    <row r="1769" spans="1:14" x14ac:dyDescent="0.25">
      <c r="A1769" t="s">
        <v>25</v>
      </c>
      <c r="B1769" t="s">
        <v>140</v>
      </c>
      <c r="C1769" t="s">
        <v>59</v>
      </c>
      <c r="D1769" t="s">
        <v>22</v>
      </c>
      <c r="E1769" t="s">
        <v>18</v>
      </c>
      <c r="F1769" t="s">
        <v>900</v>
      </c>
      <c r="G1769">
        <v>193472945</v>
      </c>
      <c r="H1769" t="s">
        <v>650</v>
      </c>
      <c r="I1769">
        <v>1799</v>
      </c>
      <c r="J1769">
        <v>437.2</v>
      </c>
      <c r="K1769">
        <v>263.33</v>
      </c>
      <c r="L1769">
        <v>786522.8</v>
      </c>
      <c r="M1769">
        <v>473730.67</v>
      </c>
      <c r="N1769">
        <v>312792.13</v>
      </c>
    </row>
    <row r="1770" spans="1:14" x14ac:dyDescent="0.25">
      <c r="A1770" t="s">
        <v>51</v>
      </c>
      <c r="B1770" t="s">
        <v>166</v>
      </c>
      <c r="C1770" t="s">
        <v>21</v>
      </c>
      <c r="D1770" t="s">
        <v>17</v>
      </c>
      <c r="E1770" t="s">
        <v>45</v>
      </c>
      <c r="F1770" s="1">
        <v>40950</v>
      </c>
      <c r="G1770">
        <v>857425248</v>
      </c>
      <c r="H1770" t="s">
        <v>1410</v>
      </c>
      <c r="I1770">
        <v>40</v>
      </c>
      <c r="J1770">
        <v>152.58000000000001</v>
      </c>
      <c r="K1770">
        <v>97.44</v>
      </c>
      <c r="L1770">
        <v>6103.2</v>
      </c>
      <c r="M1770">
        <v>3897.6</v>
      </c>
      <c r="N1770">
        <v>2205.6</v>
      </c>
    </row>
    <row r="1771" spans="1:14" x14ac:dyDescent="0.25">
      <c r="A1771" t="s">
        <v>51</v>
      </c>
      <c r="B1771" t="s">
        <v>166</v>
      </c>
      <c r="C1771" t="s">
        <v>44</v>
      </c>
      <c r="D1771" t="s">
        <v>17</v>
      </c>
      <c r="E1771" t="s">
        <v>23</v>
      </c>
      <c r="F1771" t="s">
        <v>1411</v>
      </c>
      <c r="G1771">
        <v>334812915</v>
      </c>
      <c r="H1771" t="s">
        <v>1412</v>
      </c>
      <c r="I1771">
        <v>7437</v>
      </c>
      <c r="J1771">
        <v>109.28</v>
      </c>
      <c r="K1771">
        <v>35.840000000000003</v>
      </c>
      <c r="L1771">
        <v>812715.36</v>
      </c>
      <c r="M1771">
        <v>266542.08000000002</v>
      </c>
      <c r="N1771">
        <v>546173.28</v>
      </c>
    </row>
    <row r="1772" spans="1:14" x14ac:dyDescent="0.25">
      <c r="A1772" t="s">
        <v>42</v>
      </c>
      <c r="B1772" t="s">
        <v>552</v>
      </c>
      <c r="C1772" t="s">
        <v>55</v>
      </c>
      <c r="D1772" t="s">
        <v>22</v>
      </c>
      <c r="E1772" t="s">
        <v>45</v>
      </c>
      <c r="F1772" s="1">
        <v>40180</v>
      </c>
      <c r="G1772">
        <v>774122273</v>
      </c>
      <c r="H1772" t="s">
        <v>833</v>
      </c>
      <c r="I1772">
        <v>8838</v>
      </c>
      <c r="J1772">
        <v>651.21</v>
      </c>
      <c r="K1772">
        <v>524.96</v>
      </c>
      <c r="L1772">
        <v>5755393.9800000004</v>
      </c>
      <c r="M1772">
        <v>4639596.4800000004</v>
      </c>
      <c r="N1772">
        <v>1115797.5</v>
      </c>
    </row>
    <row r="1773" spans="1:14" x14ac:dyDescent="0.25">
      <c r="A1773" t="s">
        <v>38</v>
      </c>
      <c r="B1773" t="s">
        <v>584</v>
      </c>
      <c r="C1773" t="s">
        <v>55</v>
      </c>
      <c r="D1773" t="s">
        <v>22</v>
      </c>
      <c r="E1773" t="s">
        <v>32</v>
      </c>
      <c r="F1773" t="s">
        <v>269</v>
      </c>
      <c r="G1773">
        <v>794152152</v>
      </c>
      <c r="H1773" t="s">
        <v>733</v>
      </c>
      <c r="I1773">
        <v>6124</v>
      </c>
      <c r="J1773">
        <v>651.21</v>
      </c>
      <c r="K1773">
        <v>524.96</v>
      </c>
      <c r="L1773">
        <v>3988010.04</v>
      </c>
      <c r="M1773">
        <v>3214855.04</v>
      </c>
      <c r="N1773">
        <v>773155</v>
      </c>
    </row>
    <row r="1774" spans="1:14" x14ac:dyDescent="0.25">
      <c r="A1774" t="s">
        <v>25</v>
      </c>
      <c r="B1774" t="s">
        <v>256</v>
      </c>
      <c r="C1774" t="s">
        <v>59</v>
      </c>
      <c r="D1774" t="s">
        <v>22</v>
      </c>
      <c r="E1774" t="s">
        <v>45</v>
      </c>
      <c r="F1774" t="s">
        <v>743</v>
      </c>
      <c r="G1774">
        <v>434013879</v>
      </c>
      <c r="H1774" s="1">
        <v>40309</v>
      </c>
      <c r="I1774">
        <v>3206</v>
      </c>
      <c r="J1774">
        <v>437.2</v>
      </c>
      <c r="K1774">
        <v>263.33</v>
      </c>
      <c r="L1774">
        <v>1401663.2</v>
      </c>
      <c r="M1774">
        <v>844235.98</v>
      </c>
      <c r="N1774">
        <v>557427.22</v>
      </c>
    </row>
    <row r="1775" spans="1:14" x14ac:dyDescent="0.25">
      <c r="A1775" t="s">
        <v>29</v>
      </c>
      <c r="B1775" t="s">
        <v>585</v>
      </c>
      <c r="C1775" t="s">
        <v>16</v>
      </c>
      <c r="D1775" t="s">
        <v>17</v>
      </c>
      <c r="E1775" t="s">
        <v>32</v>
      </c>
      <c r="F1775" t="s">
        <v>1285</v>
      </c>
      <c r="G1775">
        <v>703131282</v>
      </c>
      <c r="H1775" t="s">
        <v>1274</v>
      </c>
      <c r="I1775">
        <v>1026</v>
      </c>
      <c r="J1775">
        <v>255.28</v>
      </c>
      <c r="K1775">
        <v>159.41999999999999</v>
      </c>
      <c r="L1775">
        <v>261917.28</v>
      </c>
      <c r="M1775">
        <v>163564.92000000001</v>
      </c>
      <c r="N1775">
        <v>98352.36</v>
      </c>
    </row>
    <row r="1776" spans="1:14" x14ac:dyDescent="0.25">
      <c r="A1776" t="s">
        <v>25</v>
      </c>
      <c r="B1776" t="s">
        <v>462</v>
      </c>
      <c r="C1776" t="s">
        <v>31</v>
      </c>
      <c r="D1776" t="s">
        <v>17</v>
      </c>
      <c r="E1776" t="s">
        <v>32</v>
      </c>
      <c r="F1776" t="s">
        <v>1412</v>
      </c>
      <c r="G1776">
        <v>431240689</v>
      </c>
      <c r="H1776" t="s">
        <v>1076</v>
      </c>
      <c r="I1776">
        <v>2558</v>
      </c>
      <c r="J1776">
        <v>205.7</v>
      </c>
      <c r="K1776">
        <v>117.11</v>
      </c>
      <c r="L1776">
        <v>526180.6</v>
      </c>
      <c r="M1776">
        <v>299567.38</v>
      </c>
      <c r="N1776">
        <v>226613.22</v>
      </c>
    </row>
    <row r="1777" spans="1:14" x14ac:dyDescent="0.25">
      <c r="A1777" t="s">
        <v>51</v>
      </c>
      <c r="B1777" t="s">
        <v>420</v>
      </c>
      <c r="C1777" t="s">
        <v>27</v>
      </c>
      <c r="D1777" t="s">
        <v>17</v>
      </c>
      <c r="E1777" t="s">
        <v>18</v>
      </c>
      <c r="F1777" t="s">
        <v>178</v>
      </c>
      <c r="G1777">
        <v>318390929</v>
      </c>
      <c r="H1777" t="s">
        <v>1413</v>
      </c>
      <c r="I1777">
        <v>7806</v>
      </c>
      <c r="J1777">
        <v>47.45</v>
      </c>
      <c r="K1777">
        <v>31.79</v>
      </c>
      <c r="L1777">
        <v>370394.7</v>
      </c>
      <c r="M1777">
        <v>248152.74</v>
      </c>
      <c r="N1777">
        <v>122241.96</v>
      </c>
    </row>
    <row r="1778" spans="1:14" x14ac:dyDescent="0.25">
      <c r="A1778" t="s">
        <v>29</v>
      </c>
      <c r="B1778" t="s">
        <v>375</v>
      </c>
      <c r="C1778" t="s">
        <v>113</v>
      </c>
      <c r="D1778" t="s">
        <v>17</v>
      </c>
      <c r="E1778" t="s">
        <v>23</v>
      </c>
      <c r="F1778" s="1">
        <v>41005</v>
      </c>
      <c r="G1778">
        <v>684943330</v>
      </c>
      <c r="H1778" s="1">
        <v>41127</v>
      </c>
      <c r="I1778">
        <v>8807</v>
      </c>
      <c r="J1778">
        <v>154.06</v>
      </c>
      <c r="K1778">
        <v>90.93</v>
      </c>
      <c r="L1778">
        <v>1356806.42</v>
      </c>
      <c r="M1778">
        <v>800820.51</v>
      </c>
      <c r="N1778">
        <v>555985.91</v>
      </c>
    </row>
    <row r="1779" spans="1:14" x14ac:dyDescent="0.25">
      <c r="A1779" t="s">
        <v>51</v>
      </c>
      <c r="B1779" t="s">
        <v>164</v>
      </c>
      <c r="C1779" t="s">
        <v>69</v>
      </c>
      <c r="D1779" t="s">
        <v>22</v>
      </c>
      <c r="E1779" t="s">
        <v>18</v>
      </c>
      <c r="F1779" t="s">
        <v>1412</v>
      </c>
      <c r="G1779">
        <v>121571719</v>
      </c>
      <c r="H1779" t="s">
        <v>336</v>
      </c>
      <c r="I1779">
        <v>4628</v>
      </c>
      <c r="J1779">
        <v>421.89</v>
      </c>
      <c r="K1779">
        <v>364.69</v>
      </c>
      <c r="L1779">
        <v>1952506.92</v>
      </c>
      <c r="M1779">
        <v>1687785.32</v>
      </c>
      <c r="N1779">
        <v>264721.59999999998</v>
      </c>
    </row>
    <row r="1780" spans="1:14" x14ac:dyDescent="0.25">
      <c r="A1780" t="s">
        <v>29</v>
      </c>
      <c r="B1780" t="s">
        <v>467</v>
      </c>
      <c r="C1780" t="s">
        <v>113</v>
      </c>
      <c r="D1780" t="s">
        <v>22</v>
      </c>
      <c r="E1780" t="s">
        <v>18</v>
      </c>
      <c r="F1780" t="s">
        <v>795</v>
      </c>
      <c r="G1780">
        <v>439262425</v>
      </c>
      <c r="H1780" t="s">
        <v>1414</v>
      </c>
      <c r="I1780">
        <v>6368</v>
      </c>
      <c r="J1780">
        <v>154.06</v>
      </c>
      <c r="K1780">
        <v>90.93</v>
      </c>
      <c r="L1780">
        <v>981054.08</v>
      </c>
      <c r="M1780">
        <v>579042.24</v>
      </c>
      <c r="N1780">
        <v>402011.84</v>
      </c>
    </row>
    <row r="1781" spans="1:14" x14ac:dyDescent="0.25">
      <c r="A1781" t="s">
        <v>51</v>
      </c>
      <c r="B1781" t="s">
        <v>258</v>
      </c>
      <c r="C1781" t="s">
        <v>44</v>
      </c>
      <c r="D1781" t="s">
        <v>17</v>
      </c>
      <c r="E1781" t="s">
        <v>45</v>
      </c>
      <c r="F1781" s="1">
        <v>40580</v>
      </c>
      <c r="G1781">
        <v>819314277</v>
      </c>
      <c r="H1781" t="s">
        <v>826</v>
      </c>
      <c r="I1781">
        <v>2156</v>
      </c>
      <c r="J1781">
        <v>109.28</v>
      </c>
      <c r="K1781">
        <v>35.840000000000003</v>
      </c>
      <c r="L1781">
        <v>235607.67999999999</v>
      </c>
      <c r="M1781">
        <v>77271.039999999994</v>
      </c>
      <c r="N1781">
        <v>158336.64000000001</v>
      </c>
    </row>
    <row r="1782" spans="1:14" x14ac:dyDescent="0.25">
      <c r="A1782" t="s">
        <v>29</v>
      </c>
      <c r="B1782" t="s">
        <v>323</v>
      </c>
      <c r="C1782" t="s">
        <v>40</v>
      </c>
      <c r="D1782" t="s">
        <v>17</v>
      </c>
      <c r="E1782" t="s">
        <v>23</v>
      </c>
      <c r="F1782" s="1">
        <v>43042</v>
      </c>
      <c r="G1782">
        <v>963338601</v>
      </c>
      <c r="H1782" s="1">
        <v>42982</v>
      </c>
      <c r="I1782">
        <v>2154</v>
      </c>
      <c r="J1782">
        <v>81.73</v>
      </c>
      <c r="K1782">
        <v>56.67</v>
      </c>
      <c r="L1782">
        <v>176046.42</v>
      </c>
      <c r="M1782">
        <v>122067.18</v>
      </c>
      <c r="N1782">
        <v>53979.24</v>
      </c>
    </row>
    <row r="1783" spans="1:14" x14ac:dyDescent="0.25">
      <c r="A1783" t="s">
        <v>25</v>
      </c>
      <c r="B1783" t="s">
        <v>119</v>
      </c>
      <c r="C1783" t="s">
        <v>69</v>
      </c>
      <c r="D1783" t="s">
        <v>22</v>
      </c>
      <c r="E1783" t="s">
        <v>32</v>
      </c>
      <c r="F1783" t="s">
        <v>1344</v>
      </c>
      <c r="G1783">
        <v>643259227</v>
      </c>
      <c r="H1783" t="s">
        <v>1344</v>
      </c>
      <c r="I1783">
        <v>3555</v>
      </c>
      <c r="J1783">
        <v>421.89</v>
      </c>
      <c r="K1783">
        <v>364.69</v>
      </c>
      <c r="L1783">
        <v>1499818.95</v>
      </c>
      <c r="M1783">
        <v>1296472.95</v>
      </c>
      <c r="N1783">
        <v>203346</v>
      </c>
    </row>
    <row r="1784" spans="1:14" x14ac:dyDescent="0.25">
      <c r="A1784" t="s">
        <v>25</v>
      </c>
      <c r="B1784" t="s">
        <v>26</v>
      </c>
      <c r="C1784" t="s">
        <v>59</v>
      </c>
      <c r="D1784" t="s">
        <v>17</v>
      </c>
      <c r="E1784" t="s">
        <v>45</v>
      </c>
      <c r="F1784" s="1">
        <v>42892</v>
      </c>
      <c r="G1784">
        <v>151312482</v>
      </c>
      <c r="H1784" s="1">
        <v>43076</v>
      </c>
      <c r="I1784">
        <v>5581</v>
      </c>
      <c r="J1784">
        <v>437.2</v>
      </c>
      <c r="K1784">
        <v>263.33</v>
      </c>
      <c r="L1784">
        <v>2440013.2000000002</v>
      </c>
      <c r="M1784">
        <v>1469644.73</v>
      </c>
      <c r="N1784">
        <v>970368.47</v>
      </c>
    </row>
    <row r="1785" spans="1:14" x14ac:dyDescent="0.25">
      <c r="A1785" t="s">
        <v>25</v>
      </c>
      <c r="B1785" t="s">
        <v>72</v>
      </c>
      <c r="C1785" t="s">
        <v>88</v>
      </c>
      <c r="D1785" t="s">
        <v>17</v>
      </c>
      <c r="E1785" t="s">
        <v>18</v>
      </c>
      <c r="F1785" t="s">
        <v>667</v>
      </c>
      <c r="G1785">
        <v>750047194</v>
      </c>
      <c r="H1785" t="s">
        <v>1215</v>
      </c>
      <c r="I1785">
        <v>4487</v>
      </c>
      <c r="J1785">
        <v>9.33</v>
      </c>
      <c r="K1785">
        <v>6.92</v>
      </c>
      <c r="L1785">
        <v>41863.71</v>
      </c>
      <c r="M1785">
        <v>31050.04</v>
      </c>
      <c r="N1785">
        <v>10813.67</v>
      </c>
    </row>
    <row r="1786" spans="1:14" x14ac:dyDescent="0.25">
      <c r="A1786" t="s">
        <v>29</v>
      </c>
      <c r="B1786" t="s">
        <v>243</v>
      </c>
      <c r="C1786" t="s">
        <v>31</v>
      </c>
      <c r="D1786" t="s">
        <v>17</v>
      </c>
      <c r="E1786" t="s">
        <v>23</v>
      </c>
      <c r="F1786" s="1">
        <v>42410</v>
      </c>
      <c r="G1786">
        <v>622324693</v>
      </c>
      <c r="H1786" t="s">
        <v>866</v>
      </c>
      <c r="I1786">
        <v>8561</v>
      </c>
      <c r="J1786">
        <v>205.7</v>
      </c>
      <c r="K1786">
        <v>117.11</v>
      </c>
      <c r="L1786">
        <v>1760997.7</v>
      </c>
      <c r="M1786">
        <v>1002578.71</v>
      </c>
      <c r="N1786">
        <v>758418.99</v>
      </c>
    </row>
    <row r="1787" spans="1:14" x14ac:dyDescent="0.25">
      <c r="A1787" t="s">
        <v>25</v>
      </c>
      <c r="B1787" t="s">
        <v>119</v>
      </c>
      <c r="C1787" t="s">
        <v>88</v>
      </c>
      <c r="D1787" t="s">
        <v>22</v>
      </c>
      <c r="E1787" t="s">
        <v>32</v>
      </c>
      <c r="F1787" t="s">
        <v>1415</v>
      </c>
      <c r="G1787">
        <v>721318805</v>
      </c>
      <c r="H1787" s="1">
        <v>42259</v>
      </c>
      <c r="I1787">
        <v>3118</v>
      </c>
      <c r="J1787">
        <v>9.33</v>
      </c>
      <c r="K1787">
        <v>6.92</v>
      </c>
      <c r="L1787">
        <v>29090.94</v>
      </c>
      <c r="M1787">
        <v>21576.560000000001</v>
      </c>
      <c r="N1787">
        <v>7514.38</v>
      </c>
    </row>
    <row r="1788" spans="1:14" x14ac:dyDescent="0.25">
      <c r="A1788" t="s">
        <v>51</v>
      </c>
      <c r="B1788" t="s">
        <v>848</v>
      </c>
      <c r="C1788" t="s">
        <v>16</v>
      </c>
      <c r="D1788" t="s">
        <v>22</v>
      </c>
      <c r="E1788" t="s">
        <v>45</v>
      </c>
      <c r="F1788" t="s">
        <v>994</v>
      </c>
      <c r="G1788">
        <v>720515859</v>
      </c>
      <c r="H1788" t="s">
        <v>851</v>
      </c>
      <c r="I1788">
        <v>5509</v>
      </c>
      <c r="J1788">
        <v>255.28</v>
      </c>
      <c r="K1788">
        <v>159.41999999999999</v>
      </c>
      <c r="L1788">
        <v>1406337.52</v>
      </c>
      <c r="M1788">
        <v>878244.78</v>
      </c>
      <c r="N1788">
        <v>528092.74</v>
      </c>
    </row>
    <row r="1789" spans="1:14" x14ac:dyDescent="0.25">
      <c r="A1789" t="s">
        <v>51</v>
      </c>
      <c r="B1789" t="s">
        <v>219</v>
      </c>
      <c r="C1789" t="s">
        <v>40</v>
      </c>
      <c r="D1789" t="s">
        <v>17</v>
      </c>
      <c r="E1789" t="s">
        <v>18</v>
      </c>
      <c r="F1789" t="s">
        <v>521</v>
      </c>
      <c r="G1789">
        <v>363714683</v>
      </c>
      <c r="H1789" t="s">
        <v>227</v>
      </c>
      <c r="I1789">
        <v>112</v>
      </c>
      <c r="J1789">
        <v>81.73</v>
      </c>
      <c r="K1789">
        <v>56.67</v>
      </c>
      <c r="L1789">
        <v>9153.76</v>
      </c>
      <c r="M1789">
        <v>6347.04</v>
      </c>
      <c r="N1789">
        <v>2806.72</v>
      </c>
    </row>
    <row r="1790" spans="1:14" x14ac:dyDescent="0.25">
      <c r="A1790" t="s">
        <v>38</v>
      </c>
      <c r="B1790" t="s">
        <v>430</v>
      </c>
      <c r="C1790" t="s">
        <v>88</v>
      </c>
      <c r="D1790" t="s">
        <v>22</v>
      </c>
      <c r="E1790" t="s">
        <v>18</v>
      </c>
      <c r="F1790" t="s">
        <v>1416</v>
      </c>
      <c r="G1790">
        <v>815026605</v>
      </c>
      <c r="H1790" t="s">
        <v>612</v>
      </c>
      <c r="I1790">
        <v>3339</v>
      </c>
      <c r="J1790">
        <v>9.33</v>
      </c>
      <c r="K1790">
        <v>6.92</v>
      </c>
      <c r="L1790">
        <v>31152.87</v>
      </c>
      <c r="M1790">
        <v>23105.88</v>
      </c>
      <c r="N1790">
        <v>8046.99</v>
      </c>
    </row>
    <row r="1791" spans="1:14" x14ac:dyDescent="0.25">
      <c r="A1791" t="s">
        <v>38</v>
      </c>
      <c r="B1791" t="s">
        <v>527</v>
      </c>
      <c r="C1791" t="s">
        <v>16</v>
      </c>
      <c r="D1791" t="s">
        <v>17</v>
      </c>
      <c r="E1791" t="s">
        <v>32</v>
      </c>
      <c r="F1791" t="s">
        <v>333</v>
      </c>
      <c r="G1791">
        <v>608875453</v>
      </c>
      <c r="H1791" s="1">
        <v>40490</v>
      </c>
      <c r="I1791">
        <v>8632</v>
      </c>
      <c r="J1791">
        <v>255.28</v>
      </c>
      <c r="K1791">
        <v>159.41999999999999</v>
      </c>
      <c r="L1791">
        <v>2203576.96</v>
      </c>
      <c r="M1791">
        <v>1376113.44</v>
      </c>
      <c r="N1791">
        <v>827463.52</v>
      </c>
    </row>
    <row r="1792" spans="1:14" x14ac:dyDescent="0.25">
      <c r="A1792" t="s">
        <v>25</v>
      </c>
      <c r="B1792" t="s">
        <v>603</v>
      </c>
      <c r="C1792" t="s">
        <v>27</v>
      </c>
      <c r="D1792" t="s">
        <v>22</v>
      </c>
      <c r="E1792" t="s">
        <v>45</v>
      </c>
      <c r="F1792" t="s">
        <v>1417</v>
      </c>
      <c r="G1792">
        <v>599997556</v>
      </c>
      <c r="H1792" t="s">
        <v>1161</v>
      </c>
      <c r="I1792">
        <v>1465</v>
      </c>
      <c r="J1792">
        <v>47.45</v>
      </c>
      <c r="K1792">
        <v>31.79</v>
      </c>
      <c r="L1792">
        <v>69514.25</v>
      </c>
      <c r="M1792">
        <v>46572.35</v>
      </c>
      <c r="N1792">
        <v>22941.9</v>
      </c>
    </row>
    <row r="1793" spans="1:14" x14ac:dyDescent="0.25">
      <c r="A1793" t="s">
        <v>51</v>
      </c>
      <c r="B1793" t="s">
        <v>638</v>
      </c>
      <c r="C1793" t="s">
        <v>31</v>
      </c>
      <c r="D1793" t="s">
        <v>22</v>
      </c>
      <c r="E1793" t="s">
        <v>18</v>
      </c>
      <c r="F1793" s="1">
        <v>40880</v>
      </c>
      <c r="G1793">
        <v>813441741</v>
      </c>
      <c r="H1793" t="s">
        <v>1418</v>
      </c>
      <c r="I1793">
        <v>4342</v>
      </c>
      <c r="J1793">
        <v>205.7</v>
      </c>
      <c r="K1793">
        <v>117.11</v>
      </c>
      <c r="L1793">
        <v>893149.4</v>
      </c>
      <c r="M1793">
        <v>508491.62</v>
      </c>
      <c r="N1793">
        <v>384657.78</v>
      </c>
    </row>
    <row r="1794" spans="1:14" x14ac:dyDescent="0.25">
      <c r="A1794" t="s">
        <v>29</v>
      </c>
      <c r="B1794" t="s">
        <v>315</v>
      </c>
      <c r="C1794" t="s">
        <v>31</v>
      </c>
      <c r="D1794" t="s">
        <v>17</v>
      </c>
      <c r="E1794" t="s">
        <v>32</v>
      </c>
      <c r="F1794" t="s">
        <v>980</v>
      </c>
      <c r="G1794">
        <v>894569337</v>
      </c>
      <c r="H1794" t="s">
        <v>629</v>
      </c>
      <c r="I1794">
        <v>1801</v>
      </c>
      <c r="J1794">
        <v>205.7</v>
      </c>
      <c r="K1794">
        <v>117.11</v>
      </c>
      <c r="L1794">
        <v>370465.7</v>
      </c>
      <c r="M1794">
        <v>210915.11</v>
      </c>
      <c r="N1794">
        <v>159550.59</v>
      </c>
    </row>
    <row r="1795" spans="1:14" x14ac:dyDescent="0.25">
      <c r="A1795" t="s">
        <v>29</v>
      </c>
      <c r="B1795" t="s">
        <v>153</v>
      </c>
      <c r="C1795" t="s">
        <v>16</v>
      </c>
      <c r="D1795" t="s">
        <v>22</v>
      </c>
      <c r="E1795" t="s">
        <v>18</v>
      </c>
      <c r="F1795" t="s">
        <v>965</v>
      </c>
      <c r="G1795">
        <v>559054172</v>
      </c>
      <c r="H1795" t="s">
        <v>1419</v>
      </c>
      <c r="I1795">
        <v>5408</v>
      </c>
      <c r="J1795">
        <v>255.28</v>
      </c>
      <c r="K1795">
        <v>159.41999999999999</v>
      </c>
      <c r="L1795">
        <v>1380554.24</v>
      </c>
      <c r="M1795">
        <v>862143.36</v>
      </c>
      <c r="N1795">
        <v>518410.88</v>
      </c>
    </row>
    <row r="1796" spans="1:14" x14ac:dyDescent="0.25">
      <c r="A1796" t="s">
        <v>38</v>
      </c>
      <c r="B1796" t="s">
        <v>156</v>
      </c>
      <c r="C1796" t="s">
        <v>88</v>
      </c>
      <c r="D1796" t="s">
        <v>17</v>
      </c>
      <c r="E1796" t="s">
        <v>32</v>
      </c>
      <c r="F1796" t="s">
        <v>1420</v>
      </c>
      <c r="G1796">
        <v>942882573</v>
      </c>
      <c r="H1796" t="s">
        <v>1421</v>
      </c>
      <c r="I1796">
        <v>8761</v>
      </c>
      <c r="J1796">
        <v>9.33</v>
      </c>
      <c r="K1796">
        <v>6.92</v>
      </c>
      <c r="L1796">
        <v>81740.13</v>
      </c>
      <c r="M1796">
        <v>60626.12</v>
      </c>
      <c r="N1796">
        <v>21114.01</v>
      </c>
    </row>
    <row r="1797" spans="1:14" x14ac:dyDescent="0.25">
      <c r="A1797" t="s">
        <v>51</v>
      </c>
      <c r="B1797" t="s">
        <v>424</v>
      </c>
      <c r="C1797" t="s">
        <v>44</v>
      </c>
      <c r="D1797" t="s">
        <v>17</v>
      </c>
      <c r="E1797" t="s">
        <v>18</v>
      </c>
      <c r="F1797" t="s">
        <v>132</v>
      </c>
      <c r="G1797">
        <v>552353370</v>
      </c>
      <c r="H1797" t="s">
        <v>326</v>
      </c>
      <c r="I1797">
        <v>2491</v>
      </c>
      <c r="J1797">
        <v>109.28</v>
      </c>
      <c r="K1797">
        <v>35.840000000000003</v>
      </c>
      <c r="L1797">
        <v>272216.48</v>
      </c>
      <c r="M1797">
        <v>89277.440000000002</v>
      </c>
      <c r="N1797">
        <v>182939.04</v>
      </c>
    </row>
    <row r="1798" spans="1:14" x14ac:dyDescent="0.25">
      <c r="A1798" t="s">
        <v>42</v>
      </c>
      <c r="B1798" t="s">
        <v>565</v>
      </c>
      <c r="C1798" t="s">
        <v>27</v>
      </c>
      <c r="D1798" t="s">
        <v>22</v>
      </c>
      <c r="E1798" t="s">
        <v>32</v>
      </c>
      <c r="F1798" t="s">
        <v>1012</v>
      </c>
      <c r="G1798">
        <v>214077889</v>
      </c>
      <c r="H1798" s="1">
        <v>42005</v>
      </c>
      <c r="I1798">
        <v>9260</v>
      </c>
      <c r="J1798">
        <v>47.45</v>
      </c>
      <c r="K1798">
        <v>31.79</v>
      </c>
      <c r="L1798">
        <v>439387</v>
      </c>
      <c r="M1798">
        <v>294375.40000000002</v>
      </c>
      <c r="N1798">
        <v>145011.6</v>
      </c>
    </row>
    <row r="1799" spans="1:14" x14ac:dyDescent="0.25">
      <c r="A1799" t="s">
        <v>14</v>
      </c>
      <c r="B1799" t="s">
        <v>432</v>
      </c>
      <c r="C1799" t="s">
        <v>88</v>
      </c>
      <c r="D1799" t="s">
        <v>22</v>
      </c>
      <c r="E1799" t="s">
        <v>45</v>
      </c>
      <c r="F1799" s="1">
        <v>42317</v>
      </c>
      <c r="G1799">
        <v>824979960</v>
      </c>
      <c r="H1799" t="s">
        <v>337</v>
      </c>
      <c r="I1799">
        <v>8758</v>
      </c>
      <c r="J1799">
        <v>9.33</v>
      </c>
      <c r="K1799">
        <v>6.92</v>
      </c>
      <c r="L1799">
        <v>81712.14</v>
      </c>
      <c r="M1799">
        <v>60605.36</v>
      </c>
      <c r="N1799">
        <v>21106.78</v>
      </c>
    </row>
    <row r="1800" spans="1:14" x14ac:dyDescent="0.25">
      <c r="A1800" t="s">
        <v>38</v>
      </c>
      <c r="B1800" t="s">
        <v>39</v>
      </c>
      <c r="C1800" t="s">
        <v>59</v>
      </c>
      <c r="D1800" t="s">
        <v>17</v>
      </c>
      <c r="E1800" t="s">
        <v>45</v>
      </c>
      <c r="F1800" s="1">
        <v>42439</v>
      </c>
      <c r="G1800">
        <v>202295911</v>
      </c>
      <c r="H1800" s="1">
        <v>42684</v>
      </c>
      <c r="I1800">
        <v>2710</v>
      </c>
      <c r="J1800">
        <v>437.2</v>
      </c>
      <c r="K1800">
        <v>263.33</v>
      </c>
      <c r="L1800">
        <v>1184812</v>
      </c>
      <c r="M1800">
        <v>713624.3</v>
      </c>
      <c r="N1800">
        <v>471187.7</v>
      </c>
    </row>
    <row r="1801" spans="1:14" x14ac:dyDescent="0.25">
      <c r="A1801" t="s">
        <v>51</v>
      </c>
      <c r="B1801" t="s">
        <v>420</v>
      </c>
      <c r="C1801" t="s">
        <v>16</v>
      </c>
      <c r="D1801" t="s">
        <v>22</v>
      </c>
      <c r="E1801" t="s">
        <v>45</v>
      </c>
      <c r="F1801" s="1">
        <v>42039</v>
      </c>
      <c r="G1801">
        <v>733574569</v>
      </c>
      <c r="H1801" t="s">
        <v>1422</v>
      </c>
      <c r="I1801">
        <v>9871</v>
      </c>
      <c r="J1801">
        <v>255.28</v>
      </c>
      <c r="K1801">
        <v>159.41999999999999</v>
      </c>
      <c r="L1801">
        <v>2519868.88</v>
      </c>
      <c r="M1801">
        <v>1573634.82</v>
      </c>
      <c r="N1801">
        <v>946234.06</v>
      </c>
    </row>
    <row r="1802" spans="1:14" x14ac:dyDescent="0.25">
      <c r="A1802" t="s">
        <v>25</v>
      </c>
      <c r="B1802" t="s">
        <v>87</v>
      </c>
      <c r="C1802" t="s">
        <v>27</v>
      </c>
      <c r="D1802" t="s">
        <v>17</v>
      </c>
      <c r="E1802" t="s">
        <v>18</v>
      </c>
      <c r="F1802" t="s">
        <v>623</v>
      </c>
      <c r="G1802">
        <v>826677262</v>
      </c>
      <c r="H1802" s="1">
        <v>42979</v>
      </c>
      <c r="I1802">
        <v>1027</v>
      </c>
      <c r="J1802">
        <v>47.45</v>
      </c>
      <c r="K1802">
        <v>31.79</v>
      </c>
      <c r="L1802">
        <v>48731.15</v>
      </c>
      <c r="M1802">
        <v>32648.33</v>
      </c>
      <c r="N1802">
        <v>16082.82</v>
      </c>
    </row>
    <row r="1803" spans="1:14" x14ac:dyDescent="0.25">
      <c r="A1803" t="s">
        <v>42</v>
      </c>
      <c r="B1803" t="s">
        <v>630</v>
      </c>
      <c r="C1803" t="s">
        <v>88</v>
      </c>
      <c r="D1803" t="s">
        <v>17</v>
      </c>
      <c r="E1803" t="s">
        <v>32</v>
      </c>
      <c r="F1803" t="s">
        <v>1423</v>
      </c>
      <c r="G1803">
        <v>759777820</v>
      </c>
      <c r="H1803" t="s">
        <v>519</v>
      </c>
      <c r="I1803">
        <v>3996</v>
      </c>
      <c r="J1803">
        <v>9.33</v>
      </c>
      <c r="K1803">
        <v>6.92</v>
      </c>
      <c r="L1803">
        <v>37282.68</v>
      </c>
      <c r="M1803">
        <v>27652.32</v>
      </c>
      <c r="N1803">
        <v>9630.36</v>
      </c>
    </row>
    <row r="1804" spans="1:14" x14ac:dyDescent="0.25">
      <c r="A1804" t="s">
        <v>51</v>
      </c>
      <c r="B1804" t="s">
        <v>327</v>
      </c>
      <c r="C1804" t="s">
        <v>27</v>
      </c>
      <c r="D1804" t="s">
        <v>17</v>
      </c>
      <c r="E1804" t="s">
        <v>45</v>
      </c>
      <c r="F1804" s="1">
        <v>41036</v>
      </c>
      <c r="G1804">
        <v>431362569</v>
      </c>
      <c r="H1804" s="1">
        <v>41160</v>
      </c>
      <c r="I1804">
        <v>8625</v>
      </c>
      <c r="J1804">
        <v>47.45</v>
      </c>
      <c r="K1804">
        <v>31.79</v>
      </c>
      <c r="L1804">
        <v>409256.25</v>
      </c>
      <c r="M1804">
        <v>274188.75</v>
      </c>
      <c r="N1804">
        <v>135067.5</v>
      </c>
    </row>
    <row r="1805" spans="1:14" x14ac:dyDescent="0.25">
      <c r="A1805" t="s">
        <v>14</v>
      </c>
      <c r="B1805" t="s">
        <v>433</v>
      </c>
      <c r="C1805" t="s">
        <v>16</v>
      </c>
      <c r="D1805" t="s">
        <v>22</v>
      </c>
      <c r="E1805" t="s">
        <v>32</v>
      </c>
      <c r="F1805" t="s">
        <v>1424</v>
      </c>
      <c r="G1805">
        <v>710230338</v>
      </c>
      <c r="H1805" t="s">
        <v>1425</v>
      </c>
      <c r="I1805">
        <v>1795</v>
      </c>
      <c r="J1805">
        <v>255.28</v>
      </c>
      <c r="K1805">
        <v>159.41999999999999</v>
      </c>
      <c r="L1805">
        <v>458227.6</v>
      </c>
      <c r="M1805">
        <v>286158.90000000002</v>
      </c>
      <c r="N1805">
        <v>172068.7</v>
      </c>
    </row>
    <row r="1806" spans="1:14" x14ac:dyDescent="0.25">
      <c r="A1806" t="s">
        <v>14</v>
      </c>
      <c r="B1806" t="s">
        <v>372</v>
      </c>
      <c r="C1806" t="s">
        <v>55</v>
      </c>
      <c r="D1806" t="s">
        <v>22</v>
      </c>
      <c r="E1806" t="s">
        <v>23</v>
      </c>
      <c r="F1806" s="1">
        <v>40211</v>
      </c>
      <c r="G1806">
        <v>285492455</v>
      </c>
      <c r="H1806" s="1">
        <v>40181</v>
      </c>
      <c r="I1806">
        <v>2417</v>
      </c>
      <c r="J1806">
        <v>651.21</v>
      </c>
      <c r="K1806">
        <v>524.96</v>
      </c>
      <c r="L1806">
        <v>1573974.57</v>
      </c>
      <c r="M1806">
        <v>1268828.32</v>
      </c>
      <c r="N1806">
        <v>305146.25</v>
      </c>
    </row>
    <row r="1807" spans="1:14" x14ac:dyDescent="0.25">
      <c r="A1807" t="s">
        <v>51</v>
      </c>
      <c r="B1807" t="s">
        <v>398</v>
      </c>
      <c r="C1807" t="s">
        <v>16</v>
      </c>
      <c r="D1807" t="s">
        <v>17</v>
      </c>
      <c r="E1807" t="s">
        <v>45</v>
      </c>
      <c r="F1807" s="1">
        <v>41857</v>
      </c>
      <c r="G1807">
        <v>616572749</v>
      </c>
      <c r="H1807" s="1">
        <v>41980</v>
      </c>
      <c r="I1807">
        <v>6433</v>
      </c>
      <c r="J1807">
        <v>255.28</v>
      </c>
      <c r="K1807">
        <v>159.41999999999999</v>
      </c>
      <c r="L1807">
        <v>1642216.24</v>
      </c>
      <c r="M1807">
        <v>1025548.86</v>
      </c>
      <c r="N1807">
        <v>616667.38</v>
      </c>
    </row>
    <row r="1808" spans="1:14" x14ac:dyDescent="0.25">
      <c r="A1808" t="s">
        <v>14</v>
      </c>
      <c r="B1808" t="s">
        <v>20</v>
      </c>
      <c r="C1808" t="s">
        <v>40</v>
      </c>
      <c r="D1808" t="s">
        <v>22</v>
      </c>
      <c r="E1808" t="s">
        <v>18</v>
      </c>
      <c r="F1808" s="1">
        <v>40336</v>
      </c>
      <c r="G1808">
        <v>983207547</v>
      </c>
      <c r="H1808" t="s">
        <v>1426</v>
      </c>
      <c r="I1808">
        <v>1817</v>
      </c>
      <c r="J1808">
        <v>81.73</v>
      </c>
      <c r="K1808">
        <v>56.67</v>
      </c>
      <c r="L1808">
        <v>148503.41</v>
      </c>
      <c r="M1808">
        <v>102969.39</v>
      </c>
      <c r="N1808">
        <v>45534.02</v>
      </c>
    </row>
    <row r="1809" spans="1:14" x14ac:dyDescent="0.25">
      <c r="A1809" t="s">
        <v>25</v>
      </c>
      <c r="B1809" t="s">
        <v>218</v>
      </c>
      <c r="C1809" t="s">
        <v>27</v>
      </c>
      <c r="D1809" t="s">
        <v>22</v>
      </c>
      <c r="E1809" t="s">
        <v>45</v>
      </c>
      <c r="F1809" s="1">
        <v>40670</v>
      </c>
      <c r="G1809">
        <v>735445678</v>
      </c>
      <c r="H1809" t="s">
        <v>1274</v>
      </c>
      <c r="I1809">
        <v>3574</v>
      </c>
      <c r="J1809">
        <v>47.45</v>
      </c>
      <c r="K1809">
        <v>31.79</v>
      </c>
      <c r="L1809">
        <v>169586.3</v>
      </c>
      <c r="M1809">
        <v>113617.46</v>
      </c>
      <c r="N1809">
        <v>55968.84</v>
      </c>
    </row>
    <row r="1810" spans="1:14" x14ac:dyDescent="0.25">
      <c r="A1810" t="s">
        <v>38</v>
      </c>
      <c r="B1810" t="s">
        <v>68</v>
      </c>
      <c r="C1810" t="s">
        <v>55</v>
      </c>
      <c r="D1810" t="s">
        <v>22</v>
      </c>
      <c r="E1810" t="s">
        <v>18</v>
      </c>
      <c r="F1810" s="1">
        <v>42681</v>
      </c>
      <c r="G1810">
        <v>643648469</v>
      </c>
      <c r="H1810" s="1">
        <v>42498</v>
      </c>
      <c r="I1810">
        <v>8740</v>
      </c>
      <c r="J1810">
        <v>651.21</v>
      </c>
      <c r="K1810">
        <v>524.96</v>
      </c>
      <c r="L1810">
        <v>5691575.4000000004</v>
      </c>
      <c r="M1810">
        <v>4588150.4000000004</v>
      </c>
      <c r="N1810">
        <v>1103425</v>
      </c>
    </row>
    <row r="1811" spans="1:14" x14ac:dyDescent="0.25">
      <c r="A1811" t="s">
        <v>38</v>
      </c>
      <c r="B1811" t="s">
        <v>527</v>
      </c>
      <c r="C1811" t="s">
        <v>27</v>
      </c>
      <c r="D1811" t="s">
        <v>17</v>
      </c>
      <c r="E1811" t="s">
        <v>32</v>
      </c>
      <c r="F1811" t="s">
        <v>1203</v>
      </c>
      <c r="G1811">
        <v>648489749</v>
      </c>
      <c r="H1811" s="1">
        <v>41949</v>
      </c>
      <c r="I1811">
        <v>1382</v>
      </c>
      <c r="J1811">
        <v>47.45</v>
      </c>
      <c r="K1811">
        <v>31.79</v>
      </c>
      <c r="L1811">
        <v>65575.899999999994</v>
      </c>
      <c r="M1811">
        <v>43933.78</v>
      </c>
      <c r="N1811">
        <v>21642.12</v>
      </c>
    </row>
    <row r="1812" spans="1:14" x14ac:dyDescent="0.25">
      <c r="A1812" t="s">
        <v>51</v>
      </c>
      <c r="B1812" t="s">
        <v>169</v>
      </c>
      <c r="C1812" t="s">
        <v>40</v>
      </c>
      <c r="D1812" t="s">
        <v>17</v>
      </c>
      <c r="E1812" t="s">
        <v>23</v>
      </c>
      <c r="F1812" t="s">
        <v>1427</v>
      </c>
      <c r="G1812">
        <v>310955846</v>
      </c>
      <c r="H1812" s="1">
        <v>40453</v>
      </c>
      <c r="I1812">
        <v>7600</v>
      </c>
      <c r="J1812">
        <v>81.73</v>
      </c>
      <c r="K1812">
        <v>56.67</v>
      </c>
      <c r="L1812">
        <v>621148</v>
      </c>
      <c r="M1812">
        <v>430692</v>
      </c>
      <c r="N1812">
        <v>190456</v>
      </c>
    </row>
    <row r="1813" spans="1:14" x14ac:dyDescent="0.25">
      <c r="A1813" t="s">
        <v>51</v>
      </c>
      <c r="B1813" t="s">
        <v>593</v>
      </c>
      <c r="C1813" t="s">
        <v>16</v>
      </c>
      <c r="D1813" t="s">
        <v>17</v>
      </c>
      <c r="E1813" t="s">
        <v>23</v>
      </c>
      <c r="F1813" t="s">
        <v>1231</v>
      </c>
      <c r="G1813">
        <v>162345588</v>
      </c>
      <c r="H1813" t="s">
        <v>1428</v>
      </c>
      <c r="I1813">
        <v>522</v>
      </c>
      <c r="J1813">
        <v>255.28</v>
      </c>
      <c r="K1813">
        <v>159.41999999999999</v>
      </c>
      <c r="L1813">
        <v>133256.16</v>
      </c>
      <c r="M1813">
        <v>83217.240000000005</v>
      </c>
      <c r="N1813">
        <v>50038.92</v>
      </c>
    </row>
    <row r="1814" spans="1:14" x14ac:dyDescent="0.25">
      <c r="A1814" t="s">
        <v>25</v>
      </c>
      <c r="B1814" t="s">
        <v>142</v>
      </c>
      <c r="C1814" t="s">
        <v>113</v>
      </c>
      <c r="D1814" t="s">
        <v>22</v>
      </c>
      <c r="E1814" t="s">
        <v>32</v>
      </c>
      <c r="F1814" t="s">
        <v>997</v>
      </c>
      <c r="G1814">
        <v>354270303</v>
      </c>
      <c r="H1814" t="s">
        <v>1343</v>
      </c>
      <c r="I1814">
        <v>5310</v>
      </c>
      <c r="J1814">
        <v>154.06</v>
      </c>
      <c r="K1814">
        <v>90.93</v>
      </c>
      <c r="L1814">
        <v>818058.6</v>
      </c>
      <c r="M1814">
        <v>482838.3</v>
      </c>
      <c r="N1814">
        <v>335220.3</v>
      </c>
    </row>
    <row r="1815" spans="1:14" x14ac:dyDescent="0.25">
      <c r="A1815" t="s">
        <v>42</v>
      </c>
      <c r="B1815" t="s">
        <v>552</v>
      </c>
      <c r="C1815" t="s">
        <v>16</v>
      </c>
      <c r="D1815" t="s">
        <v>22</v>
      </c>
      <c r="E1815" t="s">
        <v>23</v>
      </c>
      <c r="F1815" s="1">
        <v>42464</v>
      </c>
      <c r="G1815">
        <v>208653819</v>
      </c>
      <c r="H1815" t="s">
        <v>732</v>
      </c>
      <c r="I1815">
        <v>4157</v>
      </c>
      <c r="J1815">
        <v>255.28</v>
      </c>
      <c r="K1815">
        <v>159.41999999999999</v>
      </c>
      <c r="L1815">
        <v>1061198.96</v>
      </c>
      <c r="M1815">
        <v>662708.93999999994</v>
      </c>
      <c r="N1815">
        <v>398490.02</v>
      </c>
    </row>
    <row r="1816" spans="1:14" x14ac:dyDescent="0.25">
      <c r="A1816" t="s">
        <v>29</v>
      </c>
      <c r="B1816" t="s">
        <v>375</v>
      </c>
      <c r="C1816" t="s">
        <v>16</v>
      </c>
      <c r="D1816" t="s">
        <v>17</v>
      </c>
      <c r="E1816" t="s">
        <v>23</v>
      </c>
      <c r="F1816" s="1">
        <v>40335</v>
      </c>
      <c r="G1816">
        <v>467732465</v>
      </c>
      <c r="H1816" t="s">
        <v>1429</v>
      </c>
      <c r="I1816">
        <v>1285</v>
      </c>
      <c r="J1816">
        <v>255.28</v>
      </c>
      <c r="K1816">
        <v>159.41999999999999</v>
      </c>
      <c r="L1816">
        <v>328034.8</v>
      </c>
      <c r="M1816">
        <v>204854.7</v>
      </c>
      <c r="N1816">
        <v>123180.1</v>
      </c>
    </row>
    <row r="1817" spans="1:14" x14ac:dyDescent="0.25">
      <c r="A1817" t="s">
        <v>42</v>
      </c>
      <c r="B1817" t="s">
        <v>630</v>
      </c>
      <c r="C1817" t="s">
        <v>69</v>
      </c>
      <c r="D1817" t="s">
        <v>22</v>
      </c>
      <c r="E1817" t="s">
        <v>18</v>
      </c>
      <c r="F1817" s="1">
        <v>42736</v>
      </c>
      <c r="G1817">
        <v>144055068</v>
      </c>
      <c r="H1817" s="1">
        <v>42949</v>
      </c>
      <c r="I1817">
        <v>7951</v>
      </c>
      <c r="J1817">
        <v>421.89</v>
      </c>
      <c r="K1817">
        <v>364.69</v>
      </c>
      <c r="L1817">
        <v>3354447.39</v>
      </c>
      <c r="M1817">
        <v>2899650.19</v>
      </c>
      <c r="N1817">
        <v>454797.2</v>
      </c>
    </row>
    <row r="1818" spans="1:14" x14ac:dyDescent="0.25">
      <c r="A1818" t="s">
        <v>51</v>
      </c>
      <c r="B1818" t="s">
        <v>305</v>
      </c>
      <c r="C1818" t="s">
        <v>113</v>
      </c>
      <c r="D1818" t="s">
        <v>17</v>
      </c>
      <c r="E1818" t="s">
        <v>32</v>
      </c>
      <c r="F1818" t="s">
        <v>412</v>
      </c>
      <c r="G1818">
        <v>570482957</v>
      </c>
      <c r="H1818" s="1">
        <v>41339</v>
      </c>
      <c r="I1818">
        <v>7439</v>
      </c>
      <c r="J1818">
        <v>154.06</v>
      </c>
      <c r="K1818">
        <v>90.93</v>
      </c>
      <c r="L1818">
        <v>1146052.3400000001</v>
      </c>
      <c r="M1818">
        <v>676428.27</v>
      </c>
      <c r="N1818">
        <v>469624.07</v>
      </c>
    </row>
    <row r="1819" spans="1:14" x14ac:dyDescent="0.25">
      <c r="A1819" t="s">
        <v>38</v>
      </c>
      <c r="B1819" t="s">
        <v>117</v>
      </c>
      <c r="C1819" t="s">
        <v>131</v>
      </c>
      <c r="D1819" t="s">
        <v>17</v>
      </c>
      <c r="E1819" t="s">
        <v>18</v>
      </c>
      <c r="F1819" t="s">
        <v>800</v>
      </c>
      <c r="G1819">
        <v>450189960</v>
      </c>
      <c r="H1819" s="1">
        <v>40859</v>
      </c>
      <c r="I1819">
        <v>68</v>
      </c>
      <c r="J1819">
        <v>668.27</v>
      </c>
      <c r="K1819">
        <v>502.54</v>
      </c>
      <c r="L1819">
        <v>45442.36</v>
      </c>
      <c r="M1819">
        <v>34172.720000000001</v>
      </c>
      <c r="N1819">
        <v>11269.64</v>
      </c>
    </row>
    <row r="1820" spans="1:14" x14ac:dyDescent="0.25">
      <c r="A1820" t="s">
        <v>25</v>
      </c>
      <c r="B1820" t="s">
        <v>426</v>
      </c>
      <c r="C1820" t="s">
        <v>31</v>
      </c>
      <c r="D1820" t="s">
        <v>22</v>
      </c>
      <c r="E1820" t="s">
        <v>45</v>
      </c>
      <c r="F1820" s="1">
        <v>40280</v>
      </c>
      <c r="G1820">
        <v>806662404</v>
      </c>
      <c r="H1820" s="1">
        <v>40371</v>
      </c>
      <c r="I1820">
        <v>8186</v>
      </c>
      <c r="J1820">
        <v>205.7</v>
      </c>
      <c r="K1820">
        <v>117.11</v>
      </c>
      <c r="L1820">
        <v>1683860.2</v>
      </c>
      <c r="M1820">
        <v>958662.46</v>
      </c>
      <c r="N1820">
        <v>725197.74</v>
      </c>
    </row>
    <row r="1821" spans="1:14" x14ac:dyDescent="0.25">
      <c r="A1821" t="s">
        <v>25</v>
      </c>
      <c r="B1821" t="s">
        <v>172</v>
      </c>
      <c r="C1821" t="s">
        <v>40</v>
      </c>
      <c r="D1821" t="s">
        <v>22</v>
      </c>
      <c r="E1821" t="s">
        <v>23</v>
      </c>
      <c r="F1821" t="s">
        <v>1188</v>
      </c>
      <c r="G1821">
        <v>933699119</v>
      </c>
      <c r="H1821" t="s">
        <v>544</v>
      </c>
      <c r="I1821">
        <v>1173</v>
      </c>
      <c r="J1821">
        <v>81.73</v>
      </c>
      <c r="K1821">
        <v>56.67</v>
      </c>
      <c r="L1821">
        <v>95869.29</v>
      </c>
      <c r="M1821">
        <v>66473.91</v>
      </c>
      <c r="N1821">
        <v>29395.38</v>
      </c>
    </row>
    <row r="1822" spans="1:14" x14ac:dyDescent="0.25">
      <c r="A1822" t="s">
        <v>51</v>
      </c>
      <c r="B1822" t="s">
        <v>258</v>
      </c>
      <c r="C1822" t="s">
        <v>40</v>
      </c>
      <c r="D1822" t="s">
        <v>22</v>
      </c>
      <c r="E1822" t="s">
        <v>23</v>
      </c>
      <c r="F1822" t="s">
        <v>1310</v>
      </c>
      <c r="G1822">
        <v>645411431</v>
      </c>
      <c r="H1822" s="1">
        <v>43075</v>
      </c>
      <c r="I1822">
        <v>440</v>
      </c>
      <c r="J1822">
        <v>81.73</v>
      </c>
      <c r="K1822">
        <v>56.67</v>
      </c>
      <c r="L1822">
        <v>35961.199999999997</v>
      </c>
      <c r="M1822">
        <v>24934.799999999999</v>
      </c>
      <c r="N1822">
        <v>11026.4</v>
      </c>
    </row>
    <row r="1823" spans="1:14" x14ac:dyDescent="0.25">
      <c r="A1823" t="s">
        <v>25</v>
      </c>
      <c r="B1823" t="s">
        <v>119</v>
      </c>
      <c r="C1823" t="s">
        <v>16</v>
      </c>
      <c r="D1823" t="s">
        <v>22</v>
      </c>
      <c r="E1823" t="s">
        <v>23</v>
      </c>
      <c r="F1823" t="s">
        <v>1430</v>
      </c>
      <c r="G1823">
        <v>726223170</v>
      </c>
      <c r="H1823" t="s">
        <v>1431</v>
      </c>
      <c r="I1823">
        <v>4429</v>
      </c>
      <c r="J1823">
        <v>255.28</v>
      </c>
      <c r="K1823">
        <v>159.41999999999999</v>
      </c>
      <c r="L1823">
        <v>1130635.1200000001</v>
      </c>
      <c r="M1823">
        <v>706071.18</v>
      </c>
      <c r="N1823">
        <v>424563.94</v>
      </c>
    </row>
    <row r="1824" spans="1:14" x14ac:dyDescent="0.25">
      <c r="A1824" t="s">
        <v>51</v>
      </c>
      <c r="B1824" t="s">
        <v>877</v>
      </c>
      <c r="C1824" t="s">
        <v>31</v>
      </c>
      <c r="D1824" t="s">
        <v>17</v>
      </c>
      <c r="E1824" t="s">
        <v>45</v>
      </c>
      <c r="F1824" t="s">
        <v>1179</v>
      </c>
      <c r="G1824">
        <v>680870664</v>
      </c>
      <c r="H1824" t="s">
        <v>75</v>
      </c>
      <c r="I1824">
        <v>3615</v>
      </c>
      <c r="J1824">
        <v>205.7</v>
      </c>
      <c r="K1824">
        <v>117.11</v>
      </c>
      <c r="L1824">
        <v>743605.5</v>
      </c>
      <c r="M1824">
        <v>423352.65</v>
      </c>
      <c r="N1824">
        <v>320252.84999999998</v>
      </c>
    </row>
    <row r="1825" spans="1:14" x14ac:dyDescent="0.25">
      <c r="A1825" t="s">
        <v>14</v>
      </c>
      <c r="B1825" t="s">
        <v>226</v>
      </c>
      <c r="C1825" t="s">
        <v>69</v>
      </c>
      <c r="D1825" t="s">
        <v>22</v>
      </c>
      <c r="E1825" t="s">
        <v>32</v>
      </c>
      <c r="F1825" t="s">
        <v>67</v>
      </c>
      <c r="G1825">
        <v>984402740</v>
      </c>
      <c r="H1825" t="s">
        <v>349</v>
      </c>
      <c r="I1825">
        <v>5501</v>
      </c>
      <c r="J1825">
        <v>421.89</v>
      </c>
      <c r="K1825">
        <v>364.69</v>
      </c>
      <c r="L1825">
        <v>2320816.89</v>
      </c>
      <c r="M1825">
        <v>2006159.69</v>
      </c>
      <c r="N1825">
        <v>314657.2</v>
      </c>
    </row>
    <row r="1826" spans="1:14" x14ac:dyDescent="0.25">
      <c r="A1826" t="s">
        <v>14</v>
      </c>
      <c r="B1826" t="s">
        <v>835</v>
      </c>
      <c r="C1826" t="s">
        <v>55</v>
      </c>
      <c r="D1826" t="s">
        <v>17</v>
      </c>
      <c r="E1826" t="s">
        <v>23</v>
      </c>
      <c r="F1826" t="s">
        <v>161</v>
      </c>
      <c r="G1826">
        <v>832180726</v>
      </c>
      <c r="H1826" t="s">
        <v>161</v>
      </c>
      <c r="I1826">
        <v>9625</v>
      </c>
      <c r="J1826">
        <v>651.21</v>
      </c>
      <c r="K1826">
        <v>524.96</v>
      </c>
      <c r="L1826">
        <v>6267896.25</v>
      </c>
      <c r="M1826">
        <v>5052740</v>
      </c>
      <c r="N1826">
        <v>1215156.25</v>
      </c>
    </row>
    <row r="1827" spans="1:14" x14ac:dyDescent="0.25">
      <c r="A1827" t="s">
        <v>38</v>
      </c>
      <c r="B1827" t="s">
        <v>190</v>
      </c>
      <c r="C1827" t="s">
        <v>88</v>
      </c>
      <c r="D1827" t="s">
        <v>17</v>
      </c>
      <c r="E1827" t="s">
        <v>32</v>
      </c>
      <c r="F1827" t="s">
        <v>265</v>
      </c>
      <c r="G1827">
        <v>389878451</v>
      </c>
      <c r="H1827" s="1">
        <v>40731</v>
      </c>
      <c r="I1827">
        <v>2553</v>
      </c>
      <c r="J1827">
        <v>9.33</v>
      </c>
      <c r="K1827">
        <v>6.92</v>
      </c>
      <c r="L1827">
        <v>23819.49</v>
      </c>
      <c r="M1827">
        <v>17666.759999999998</v>
      </c>
      <c r="N1827">
        <v>6152.73</v>
      </c>
    </row>
    <row r="1828" spans="1:14" x14ac:dyDescent="0.25">
      <c r="A1828" t="s">
        <v>42</v>
      </c>
      <c r="B1828" t="s">
        <v>174</v>
      </c>
      <c r="C1828" t="s">
        <v>59</v>
      </c>
      <c r="D1828" t="s">
        <v>17</v>
      </c>
      <c r="E1828" t="s">
        <v>18</v>
      </c>
      <c r="F1828" s="1">
        <v>42767</v>
      </c>
      <c r="G1828">
        <v>343482244</v>
      </c>
      <c r="H1828" t="s">
        <v>730</v>
      </c>
      <c r="I1828">
        <v>2884</v>
      </c>
      <c r="J1828">
        <v>437.2</v>
      </c>
      <c r="K1828">
        <v>263.33</v>
      </c>
      <c r="L1828">
        <v>1260884.8</v>
      </c>
      <c r="M1828">
        <v>759443.72</v>
      </c>
      <c r="N1828">
        <v>501441.08</v>
      </c>
    </row>
    <row r="1829" spans="1:14" x14ac:dyDescent="0.25">
      <c r="A1829" t="s">
        <v>51</v>
      </c>
      <c r="B1829" t="s">
        <v>169</v>
      </c>
      <c r="C1829" t="s">
        <v>55</v>
      </c>
      <c r="D1829" t="s">
        <v>22</v>
      </c>
      <c r="E1829" t="s">
        <v>18</v>
      </c>
      <c r="F1829" t="s">
        <v>550</v>
      </c>
      <c r="G1829">
        <v>549290931</v>
      </c>
      <c r="H1829" t="s">
        <v>819</v>
      </c>
      <c r="I1829">
        <v>6248</v>
      </c>
      <c r="J1829">
        <v>651.21</v>
      </c>
      <c r="K1829">
        <v>524.96</v>
      </c>
      <c r="L1829">
        <v>4068760.08</v>
      </c>
      <c r="M1829">
        <v>3279950.08</v>
      </c>
      <c r="N1829">
        <v>788810</v>
      </c>
    </row>
    <row r="1830" spans="1:14" x14ac:dyDescent="0.25">
      <c r="A1830" t="s">
        <v>51</v>
      </c>
      <c r="B1830" t="s">
        <v>360</v>
      </c>
      <c r="C1830" t="s">
        <v>27</v>
      </c>
      <c r="D1830" t="s">
        <v>22</v>
      </c>
      <c r="E1830" t="s">
        <v>23</v>
      </c>
      <c r="F1830" t="s">
        <v>967</v>
      </c>
      <c r="G1830">
        <v>483915841</v>
      </c>
      <c r="H1830" t="s">
        <v>438</v>
      </c>
      <c r="I1830">
        <v>306</v>
      </c>
      <c r="J1830">
        <v>47.45</v>
      </c>
      <c r="K1830">
        <v>31.79</v>
      </c>
      <c r="L1830">
        <v>14519.7</v>
      </c>
      <c r="M1830">
        <v>9727.74</v>
      </c>
      <c r="N1830">
        <v>4791.96</v>
      </c>
    </row>
    <row r="1831" spans="1:14" x14ac:dyDescent="0.25">
      <c r="A1831" t="s">
        <v>14</v>
      </c>
      <c r="B1831" t="s">
        <v>66</v>
      </c>
      <c r="C1831" t="s">
        <v>131</v>
      </c>
      <c r="D1831" t="s">
        <v>22</v>
      </c>
      <c r="E1831" t="s">
        <v>18</v>
      </c>
      <c r="F1831" s="1">
        <v>41760</v>
      </c>
      <c r="G1831">
        <v>594280803</v>
      </c>
      <c r="H1831" t="s">
        <v>212</v>
      </c>
      <c r="I1831">
        <v>9751</v>
      </c>
      <c r="J1831">
        <v>668.27</v>
      </c>
      <c r="K1831">
        <v>502.54</v>
      </c>
      <c r="L1831">
        <v>6516300.7699999996</v>
      </c>
      <c r="M1831">
        <v>4900267.54</v>
      </c>
      <c r="N1831">
        <v>1616033.23</v>
      </c>
    </row>
    <row r="1832" spans="1:14" x14ac:dyDescent="0.25">
      <c r="A1832" t="s">
        <v>51</v>
      </c>
      <c r="B1832" t="s">
        <v>295</v>
      </c>
      <c r="C1832" t="s">
        <v>40</v>
      </c>
      <c r="D1832" t="s">
        <v>17</v>
      </c>
      <c r="E1832" t="s">
        <v>45</v>
      </c>
      <c r="F1832" s="1">
        <v>41463</v>
      </c>
      <c r="G1832">
        <v>947622144</v>
      </c>
      <c r="H1832" t="s">
        <v>930</v>
      </c>
      <c r="I1832">
        <v>1305</v>
      </c>
      <c r="J1832">
        <v>81.73</v>
      </c>
      <c r="K1832">
        <v>56.67</v>
      </c>
      <c r="L1832">
        <v>106657.65</v>
      </c>
      <c r="M1832">
        <v>73954.350000000006</v>
      </c>
      <c r="N1832">
        <v>32703.3</v>
      </c>
    </row>
    <row r="1833" spans="1:14" x14ac:dyDescent="0.25">
      <c r="A1833" t="s">
        <v>14</v>
      </c>
      <c r="B1833" t="s">
        <v>81</v>
      </c>
      <c r="C1833" t="s">
        <v>131</v>
      </c>
      <c r="D1833" t="s">
        <v>17</v>
      </c>
      <c r="E1833" t="s">
        <v>18</v>
      </c>
      <c r="F1833" s="1">
        <v>40363</v>
      </c>
      <c r="G1833">
        <v>781488692</v>
      </c>
      <c r="H1833" s="1">
        <v>40242</v>
      </c>
      <c r="I1833">
        <v>8725</v>
      </c>
      <c r="J1833">
        <v>668.27</v>
      </c>
      <c r="K1833">
        <v>502.54</v>
      </c>
      <c r="L1833">
        <v>5830655.75</v>
      </c>
      <c r="M1833">
        <v>4384661.5</v>
      </c>
      <c r="N1833">
        <v>1445994.25</v>
      </c>
    </row>
    <row r="1834" spans="1:14" x14ac:dyDescent="0.25">
      <c r="A1834" t="s">
        <v>14</v>
      </c>
      <c r="B1834" t="s">
        <v>432</v>
      </c>
      <c r="C1834" t="s">
        <v>113</v>
      </c>
      <c r="D1834" t="s">
        <v>22</v>
      </c>
      <c r="E1834" t="s">
        <v>23</v>
      </c>
      <c r="F1834" s="1">
        <v>41585</v>
      </c>
      <c r="G1834">
        <v>753741776</v>
      </c>
      <c r="H1834" t="s">
        <v>992</v>
      </c>
      <c r="I1834">
        <v>7796</v>
      </c>
      <c r="J1834">
        <v>154.06</v>
      </c>
      <c r="K1834">
        <v>90.93</v>
      </c>
      <c r="L1834">
        <v>1201051.76</v>
      </c>
      <c r="M1834">
        <v>708890.28</v>
      </c>
      <c r="N1834">
        <v>492161.48</v>
      </c>
    </row>
    <row r="1835" spans="1:14" x14ac:dyDescent="0.25">
      <c r="A1835" t="s">
        <v>25</v>
      </c>
      <c r="B1835" t="s">
        <v>26</v>
      </c>
      <c r="C1835" t="s">
        <v>69</v>
      </c>
      <c r="D1835" t="s">
        <v>17</v>
      </c>
      <c r="E1835" t="s">
        <v>18</v>
      </c>
      <c r="F1835" s="1">
        <v>42248</v>
      </c>
      <c r="G1835">
        <v>692555224</v>
      </c>
      <c r="H1835" s="1">
        <v>42006</v>
      </c>
      <c r="I1835">
        <v>1336</v>
      </c>
      <c r="J1835">
        <v>421.89</v>
      </c>
      <c r="K1835">
        <v>364.69</v>
      </c>
      <c r="L1835">
        <v>563645.04</v>
      </c>
      <c r="M1835">
        <v>487225.84</v>
      </c>
      <c r="N1835">
        <v>76419.199999999997</v>
      </c>
    </row>
    <row r="1836" spans="1:14" x14ac:dyDescent="0.25">
      <c r="A1836" t="s">
        <v>14</v>
      </c>
      <c r="B1836" t="s">
        <v>213</v>
      </c>
      <c r="C1836" t="s">
        <v>40</v>
      </c>
      <c r="D1836" t="s">
        <v>17</v>
      </c>
      <c r="E1836" t="s">
        <v>18</v>
      </c>
      <c r="F1836" t="s">
        <v>931</v>
      </c>
      <c r="G1836">
        <v>946415364</v>
      </c>
      <c r="H1836" t="s">
        <v>1176</v>
      </c>
      <c r="I1836">
        <v>4193</v>
      </c>
      <c r="J1836">
        <v>81.73</v>
      </c>
      <c r="K1836">
        <v>56.67</v>
      </c>
      <c r="L1836">
        <v>342693.89</v>
      </c>
      <c r="M1836">
        <v>237617.31</v>
      </c>
      <c r="N1836">
        <v>105076.58</v>
      </c>
    </row>
    <row r="1837" spans="1:14" x14ac:dyDescent="0.25">
      <c r="A1837" t="s">
        <v>25</v>
      </c>
      <c r="B1837" t="s">
        <v>87</v>
      </c>
      <c r="C1837" t="s">
        <v>113</v>
      </c>
      <c r="D1837" t="s">
        <v>17</v>
      </c>
      <c r="E1837" t="s">
        <v>32</v>
      </c>
      <c r="F1837" t="s">
        <v>829</v>
      </c>
      <c r="G1837">
        <v>134121024</v>
      </c>
      <c r="H1837" s="1">
        <v>40759</v>
      </c>
      <c r="I1837">
        <v>8246</v>
      </c>
      <c r="J1837">
        <v>154.06</v>
      </c>
      <c r="K1837">
        <v>90.93</v>
      </c>
      <c r="L1837">
        <v>1270378.76</v>
      </c>
      <c r="M1837">
        <v>749808.78</v>
      </c>
      <c r="N1837">
        <v>520569.98</v>
      </c>
    </row>
    <row r="1838" spans="1:14" x14ac:dyDescent="0.25">
      <c r="A1838" t="s">
        <v>14</v>
      </c>
      <c r="B1838" t="s">
        <v>94</v>
      </c>
      <c r="C1838" t="s">
        <v>27</v>
      </c>
      <c r="D1838" t="s">
        <v>17</v>
      </c>
      <c r="E1838" t="s">
        <v>23</v>
      </c>
      <c r="F1838" t="s">
        <v>730</v>
      </c>
      <c r="G1838">
        <v>994783532</v>
      </c>
      <c r="H1838" s="1">
        <v>43072</v>
      </c>
      <c r="I1838">
        <v>7408</v>
      </c>
      <c r="J1838">
        <v>47.45</v>
      </c>
      <c r="K1838">
        <v>31.79</v>
      </c>
      <c r="L1838">
        <v>351509.6</v>
      </c>
      <c r="M1838">
        <v>235500.32</v>
      </c>
      <c r="N1838">
        <v>116009.28</v>
      </c>
    </row>
    <row r="1839" spans="1:14" x14ac:dyDescent="0.25">
      <c r="A1839" t="s">
        <v>14</v>
      </c>
      <c r="B1839" t="s">
        <v>433</v>
      </c>
      <c r="C1839" t="s">
        <v>27</v>
      </c>
      <c r="D1839" t="s">
        <v>17</v>
      </c>
      <c r="E1839" t="s">
        <v>18</v>
      </c>
      <c r="F1839" t="s">
        <v>1063</v>
      </c>
      <c r="G1839">
        <v>937826716</v>
      </c>
      <c r="H1839" s="1">
        <v>41588</v>
      </c>
      <c r="I1839">
        <v>2621</v>
      </c>
      <c r="J1839">
        <v>47.45</v>
      </c>
      <c r="K1839">
        <v>31.79</v>
      </c>
      <c r="L1839">
        <v>124366.45</v>
      </c>
      <c r="M1839">
        <v>83321.59</v>
      </c>
      <c r="N1839">
        <v>41044.86</v>
      </c>
    </row>
    <row r="1840" spans="1:14" x14ac:dyDescent="0.25">
      <c r="A1840" t="s">
        <v>51</v>
      </c>
      <c r="B1840" t="s">
        <v>115</v>
      </c>
      <c r="C1840" t="s">
        <v>55</v>
      </c>
      <c r="D1840" t="s">
        <v>17</v>
      </c>
      <c r="E1840" t="s">
        <v>18</v>
      </c>
      <c r="F1840" t="s">
        <v>968</v>
      </c>
      <c r="G1840">
        <v>592986905</v>
      </c>
      <c r="H1840" t="s">
        <v>515</v>
      </c>
      <c r="I1840">
        <v>6858</v>
      </c>
      <c r="J1840">
        <v>651.21</v>
      </c>
      <c r="K1840">
        <v>524.96</v>
      </c>
      <c r="L1840">
        <v>4465998.18</v>
      </c>
      <c r="M1840">
        <v>3600175.68</v>
      </c>
      <c r="N1840">
        <v>865822.5</v>
      </c>
    </row>
    <row r="1841" spans="1:14" x14ac:dyDescent="0.25">
      <c r="A1841" t="s">
        <v>25</v>
      </c>
      <c r="B1841" t="s">
        <v>87</v>
      </c>
      <c r="C1841" t="s">
        <v>44</v>
      </c>
      <c r="D1841" t="s">
        <v>22</v>
      </c>
      <c r="E1841" t="s">
        <v>23</v>
      </c>
      <c r="F1841" t="s">
        <v>1104</v>
      </c>
      <c r="G1841">
        <v>660312926</v>
      </c>
      <c r="H1841" s="1">
        <v>42856</v>
      </c>
      <c r="I1841">
        <v>123</v>
      </c>
      <c r="J1841">
        <v>109.28</v>
      </c>
      <c r="K1841">
        <v>35.840000000000003</v>
      </c>
      <c r="L1841">
        <v>13441.44</v>
      </c>
      <c r="M1841">
        <v>4408.32</v>
      </c>
      <c r="N1841">
        <v>9033.1200000000008</v>
      </c>
    </row>
    <row r="1842" spans="1:14" x14ac:dyDescent="0.25">
      <c r="A1842" t="s">
        <v>29</v>
      </c>
      <c r="B1842" t="s">
        <v>271</v>
      </c>
      <c r="C1842" t="s">
        <v>27</v>
      </c>
      <c r="D1842" t="s">
        <v>17</v>
      </c>
      <c r="E1842" t="s">
        <v>45</v>
      </c>
      <c r="F1842" s="1">
        <v>41336</v>
      </c>
      <c r="G1842">
        <v>560166108</v>
      </c>
      <c r="H1842" s="1">
        <v>41397</v>
      </c>
      <c r="I1842">
        <v>4454</v>
      </c>
      <c r="J1842">
        <v>47.45</v>
      </c>
      <c r="K1842">
        <v>31.79</v>
      </c>
      <c r="L1842">
        <v>211342.3</v>
      </c>
      <c r="M1842">
        <v>141592.66</v>
      </c>
      <c r="N1842">
        <v>69749.64</v>
      </c>
    </row>
    <row r="1843" spans="1:14" x14ac:dyDescent="0.25">
      <c r="A1843" t="s">
        <v>42</v>
      </c>
      <c r="B1843" t="s">
        <v>361</v>
      </c>
      <c r="C1843" t="s">
        <v>31</v>
      </c>
      <c r="D1843" t="s">
        <v>22</v>
      </c>
      <c r="E1843" t="s">
        <v>32</v>
      </c>
      <c r="F1843" t="s">
        <v>1432</v>
      </c>
      <c r="G1843">
        <v>683220279</v>
      </c>
      <c r="H1843" s="1">
        <v>42887</v>
      </c>
      <c r="I1843">
        <v>8918</v>
      </c>
      <c r="J1843">
        <v>205.7</v>
      </c>
      <c r="K1843">
        <v>117.11</v>
      </c>
      <c r="L1843">
        <v>1834432.6</v>
      </c>
      <c r="M1843">
        <v>1044386.98</v>
      </c>
      <c r="N1843">
        <v>790045.62</v>
      </c>
    </row>
    <row r="1844" spans="1:14" x14ac:dyDescent="0.25">
      <c r="A1844" t="s">
        <v>25</v>
      </c>
      <c r="B1844" t="s">
        <v>196</v>
      </c>
      <c r="C1844" t="s">
        <v>59</v>
      </c>
      <c r="D1844" t="s">
        <v>17</v>
      </c>
      <c r="E1844" t="s">
        <v>23</v>
      </c>
      <c r="F1844" s="1">
        <v>41858</v>
      </c>
      <c r="G1844">
        <v>140461766</v>
      </c>
      <c r="H1844" t="s">
        <v>973</v>
      </c>
      <c r="I1844">
        <v>4613</v>
      </c>
      <c r="J1844">
        <v>437.2</v>
      </c>
      <c r="K1844">
        <v>263.33</v>
      </c>
      <c r="L1844">
        <v>2016803.6</v>
      </c>
      <c r="M1844">
        <v>1214741.29</v>
      </c>
      <c r="N1844">
        <v>802062.31</v>
      </c>
    </row>
    <row r="1845" spans="1:14" x14ac:dyDescent="0.25">
      <c r="A1845" t="s">
        <v>29</v>
      </c>
      <c r="B1845" t="s">
        <v>124</v>
      </c>
      <c r="C1845" t="s">
        <v>16</v>
      </c>
      <c r="D1845" t="s">
        <v>17</v>
      </c>
      <c r="E1845" t="s">
        <v>18</v>
      </c>
      <c r="F1845" t="s">
        <v>540</v>
      </c>
      <c r="G1845">
        <v>813189399</v>
      </c>
      <c r="H1845" t="s">
        <v>769</v>
      </c>
      <c r="I1845">
        <v>9669</v>
      </c>
      <c r="J1845">
        <v>255.28</v>
      </c>
      <c r="K1845">
        <v>159.41999999999999</v>
      </c>
      <c r="L1845">
        <v>2468302.3199999998</v>
      </c>
      <c r="M1845">
        <v>1541431.98</v>
      </c>
      <c r="N1845">
        <v>926870.34</v>
      </c>
    </row>
    <row r="1846" spans="1:14" x14ac:dyDescent="0.25">
      <c r="A1846" t="s">
        <v>14</v>
      </c>
      <c r="B1846" t="s">
        <v>372</v>
      </c>
      <c r="C1846" t="s">
        <v>69</v>
      </c>
      <c r="D1846" t="s">
        <v>17</v>
      </c>
      <c r="E1846" t="s">
        <v>18</v>
      </c>
      <c r="F1846" t="s">
        <v>477</v>
      </c>
      <c r="G1846">
        <v>603014504</v>
      </c>
      <c r="H1846" s="1">
        <v>42676</v>
      </c>
      <c r="I1846">
        <v>4247</v>
      </c>
      <c r="J1846">
        <v>421.89</v>
      </c>
      <c r="K1846">
        <v>364.69</v>
      </c>
      <c r="L1846">
        <v>1791766.83</v>
      </c>
      <c r="M1846">
        <v>1548838.43</v>
      </c>
      <c r="N1846">
        <v>242928.4</v>
      </c>
    </row>
    <row r="1847" spans="1:14" x14ac:dyDescent="0.25">
      <c r="A1847" t="s">
        <v>51</v>
      </c>
      <c r="B1847" t="s">
        <v>128</v>
      </c>
      <c r="C1847" t="s">
        <v>113</v>
      </c>
      <c r="D1847" t="s">
        <v>17</v>
      </c>
      <c r="E1847" t="s">
        <v>45</v>
      </c>
      <c r="F1847" s="1">
        <v>42711</v>
      </c>
      <c r="G1847">
        <v>181860911</v>
      </c>
      <c r="H1847" t="s">
        <v>1296</v>
      </c>
      <c r="I1847">
        <v>5540</v>
      </c>
      <c r="J1847">
        <v>154.06</v>
      </c>
      <c r="K1847">
        <v>90.93</v>
      </c>
      <c r="L1847">
        <v>853492.4</v>
      </c>
      <c r="M1847">
        <v>503752.2</v>
      </c>
      <c r="N1847">
        <v>349740.2</v>
      </c>
    </row>
    <row r="1848" spans="1:14" x14ac:dyDescent="0.25">
      <c r="A1848" t="s">
        <v>25</v>
      </c>
      <c r="B1848" t="s">
        <v>196</v>
      </c>
      <c r="C1848" t="s">
        <v>31</v>
      </c>
      <c r="D1848" t="s">
        <v>22</v>
      </c>
      <c r="E1848" t="s">
        <v>23</v>
      </c>
      <c r="F1848" t="s">
        <v>249</v>
      </c>
      <c r="G1848">
        <v>741964948</v>
      </c>
      <c r="H1848" t="s">
        <v>948</v>
      </c>
      <c r="I1848">
        <v>2771</v>
      </c>
      <c r="J1848">
        <v>205.7</v>
      </c>
      <c r="K1848">
        <v>117.11</v>
      </c>
      <c r="L1848">
        <v>569994.69999999995</v>
      </c>
      <c r="M1848">
        <v>324511.81</v>
      </c>
      <c r="N1848">
        <v>245482.89</v>
      </c>
    </row>
    <row r="1849" spans="1:14" x14ac:dyDescent="0.25">
      <c r="A1849" t="s">
        <v>51</v>
      </c>
      <c r="B1849" t="s">
        <v>231</v>
      </c>
      <c r="C1849" t="s">
        <v>69</v>
      </c>
      <c r="D1849" t="s">
        <v>17</v>
      </c>
      <c r="E1849" t="s">
        <v>45</v>
      </c>
      <c r="F1849" s="1">
        <v>40393</v>
      </c>
      <c r="G1849">
        <v>845875442</v>
      </c>
      <c r="H1849" t="s">
        <v>905</v>
      </c>
      <c r="I1849">
        <v>2195</v>
      </c>
      <c r="J1849">
        <v>421.89</v>
      </c>
      <c r="K1849">
        <v>364.69</v>
      </c>
      <c r="L1849">
        <v>926048.55</v>
      </c>
      <c r="M1849">
        <v>800494.55</v>
      </c>
      <c r="N1849">
        <v>125554</v>
      </c>
    </row>
    <row r="1850" spans="1:14" x14ac:dyDescent="0.25">
      <c r="A1850" t="s">
        <v>25</v>
      </c>
      <c r="B1850" t="s">
        <v>142</v>
      </c>
      <c r="C1850" t="s">
        <v>21</v>
      </c>
      <c r="D1850" t="s">
        <v>22</v>
      </c>
      <c r="E1850" t="s">
        <v>23</v>
      </c>
      <c r="F1850" t="s">
        <v>331</v>
      </c>
      <c r="G1850">
        <v>476453721</v>
      </c>
      <c r="H1850" s="1">
        <v>43016</v>
      </c>
      <c r="I1850">
        <v>2099</v>
      </c>
      <c r="J1850">
        <v>152.58000000000001</v>
      </c>
      <c r="K1850">
        <v>97.44</v>
      </c>
      <c r="L1850">
        <v>320265.42</v>
      </c>
      <c r="M1850">
        <v>204526.56</v>
      </c>
      <c r="N1850">
        <v>115738.86</v>
      </c>
    </row>
    <row r="1851" spans="1:14" x14ac:dyDescent="0.25">
      <c r="A1851" t="s">
        <v>38</v>
      </c>
      <c r="B1851" t="s">
        <v>156</v>
      </c>
      <c r="C1851" t="s">
        <v>21</v>
      </c>
      <c r="D1851" t="s">
        <v>17</v>
      </c>
      <c r="E1851" t="s">
        <v>45</v>
      </c>
      <c r="F1851" t="s">
        <v>989</v>
      </c>
      <c r="G1851">
        <v>586873614</v>
      </c>
      <c r="H1851" t="s">
        <v>1433</v>
      </c>
      <c r="I1851">
        <v>7799</v>
      </c>
      <c r="J1851">
        <v>152.58000000000001</v>
      </c>
      <c r="K1851">
        <v>97.44</v>
      </c>
      <c r="L1851">
        <v>1189971.42</v>
      </c>
      <c r="M1851">
        <v>759934.56</v>
      </c>
      <c r="N1851">
        <v>430036.86</v>
      </c>
    </row>
    <row r="1852" spans="1:14" x14ac:dyDescent="0.25">
      <c r="A1852" t="s">
        <v>29</v>
      </c>
      <c r="B1852" t="s">
        <v>61</v>
      </c>
      <c r="C1852" t="s">
        <v>69</v>
      </c>
      <c r="D1852" t="s">
        <v>17</v>
      </c>
      <c r="E1852" t="s">
        <v>32</v>
      </c>
      <c r="F1852" t="s">
        <v>324</v>
      </c>
      <c r="G1852">
        <v>850621449</v>
      </c>
      <c r="H1852" s="1">
        <v>42771</v>
      </c>
      <c r="I1852">
        <v>6644</v>
      </c>
      <c r="J1852">
        <v>421.89</v>
      </c>
      <c r="K1852">
        <v>364.69</v>
      </c>
      <c r="L1852">
        <v>2803037.16</v>
      </c>
      <c r="M1852">
        <v>2423000.36</v>
      </c>
      <c r="N1852">
        <v>380036.8</v>
      </c>
    </row>
    <row r="1853" spans="1:14" x14ac:dyDescent="0.25">
      <c r="A1853" t="s">
        <v>25</v>
      </c>
      <c r="B1853" t="s">
        <v>140</v>
      </c>
      <c r="C1853" t="s">
        <v>88</v>
      </c>
      <c r="D1853" t="s">
        <v>17</v>
      </c>
      <c r="E1853" t="s">
        <v>18</v>
      </c>
      <c r="F1853" t="s">
        <v>1434</v>
      </c>
      <c r="G1853">
        <v>111496055</v>
      </c>
      <c r="H1853" s="1">
        <v>40639</v>
      </c>
      <c r="I1853">
        <v>3015</v>
      </c>
      <c r="J1853">
        <v>9.33</v>
      </c>
      <c r="K1853">
        <v>6.92</v>
      </c>
      <c r="L1853">
        <v>28129.95</v>
      </c>
      <c r="M1853">
        <v>20863.8</v>
      </c>
      <c r="N1853">
        <v>7266.15</v>
      </c>
    </row>
    <row r="1854" spans="1:14" x14ac:dyDescent="0.25">
      <c r="A1854" t="s">
        <v>29</v>
      </c>
      <c r="B1854" t="s">
        <v>585</v>
      </c>
      <c r="C1854" t="s">
        <v>113</v>
      </c>
      <c r="D1854" t="s">
        <v>22</v>
      </c>
      <c r="E1854" t="s">
        <v>32</v>
      </c>
      <c r="F1854" t="s">
        <v>1435</v>
      </c>
      <c r="G1854">
        <v>433608758</v>
      </c>
      <c r="H1854" t="s">
        <v>236</v>
      </c>
      <c r="I1854">
        <v>3322</v>
      </c>
      <c r="J1854">
        <v>154.06</v>
      </c>
      <c r="K1854">
        <v>90.93</v>
      </c>
      <c r="L1854">
        <v>511787.32</v>
      </c>
      <c r="M1854">
        <v>302069.46000000002</v>
      </c>
      <c r="N1854">
        <v>209717.86</v>
      </c>
    </row>
    <row r="1855" spans="1:14" x14ac:dyDescent="0.25">
      <c r="A1855" t="s">
        <v>29</v>
      </c>
      <c r="B1855" t="s">
        <v>375</v>
      </c>
      <c r="C1855" t="s">
        <v>44</v>
      </c>
      <c r="D1855" t="s">
        <v>17</v>
      </c>
      <c r="E1855" t="s">
        <v>45</v>
      </c>
      <c r="F1855" t="s">
        <v>391</v>
      </c>
      <c r="G1855">
        <v>351383388</v>
      </c>
      <c r="H1855" t="s">
        <v>1436</v>
      </c>
      <c r="I1855">
        <v>1008</v>
      </c>
      <c r="J1855">
        <v>109.28</v>
      </c>
      <c r="K1855">
        <v>35.840000000000003</v>
      </c>
      <c r="L1855">
        <v>110154.24000000001</v>
      </c>
      <c r="M1855">
        <v>36126.720000000001</v>
      </c>
      <c r="N1855">
        <v>74027.520000000004</v>
      </c>
    </row>
    <row r="1856" spans="1:14" x14ac:dyDescent="0.25">
      <c r="A1856" t="s">
        <v>14</v>
      </c>
      <c r="B1856" t="s">
        <v>627</v>
      </c>
      <c r="C1856" t="s">
        <v>69</v>
      </c>
      <c r="D1856" t="s">
        <v>22</v>
      </c>
      <c r="E1856" t="s">
        <v>45</v>
      </c>
      <c r="F1856" t="s">
        <v>123</v>
      </c>
      <c r="G1856">
        <v>719556272</v>
      </c>
      <c r="H1856" s="1">
        <v>42739</v>
      </c>
      <c r="I1856">
        <v>1546</v>
      </c>
      <c r="J1856">
        <v>421.89</v>
      </c>
      <c r="K1856">
        <v>364.69</v>
      </c>
      <c r="L1856">
        <v>652241.93999999994</v>
      </c>
      <c r="M1856">
        <v>563810.74</v>
      </c>
      <c r="N1856">
        <v>88431.2</v>
      </c>
    </row>
    <row r="1857" spans="1:14" x14ac:dyDescent="0.25">
      <c r="A1857" t="s">
        <v>14</v>
      </c>
      <c r="B1857" t="s">
        <v>372</v>
      </c>
      <c r="C1857" t="s">
        <v>131</v>
      </c>
      <c r="D1857" t="s">
        <v>22</v>
      </c>
      <c r="E1857" t="s">
        <v>32</v>
      </c>
      <c r="F1857" t="s">
        <v>1115</v>
      </c>
      <c r="G1857">
        <v>663176238</v>
      </c>
      <c r="H1857" t="s">
        <v>1217</v>
      </c>
      <c r="I1857">
        <v>7441</v>
      </c>
      <c r="J1857">
        <v>668.27</v>
      </c>
      <c r="K1857">
        <v>502.54</v>
      </c>
      <c r="L1857">
        <v>4972597.07</v>
      </c>
      <c r="M1857">
        <v>3739400.14</v>
      </c>
      <c r="N1857">
        <v>1233196.93</v>
      </c>
    </row>
    <row r="1858" spans="1:14" x14ac:dyDescent="0.25">
      <c r="A1858" t="s">
        <v>51</v>
      </c>
      <c r="B1858" t="s">
        <v>327</v>
      </c>
      <c r="C1858" t="s">
        <v>16</v>
      </c>
      <c r="D1858" t="s">
        <v>22</v>
      </c>
      <c r="E1858" t="s">
        <v>18</v>
      </c>
      <c r="F1858" s="1">
        <v>41431</v>
      </c>
      <c r="G1858">
        <v>727604615</v>
      </c>
      <c r="H1858" s="1">
        <v>41462</v>
      </c>
      <c r="I1858">
        <v>3229</v>
      </c>
      <c r="J1858">
        <v>255.28</v>
      </c>
      <c r="K1858">
        <v>159.41999999999999</v>
      </c>
      <c r="L1858">
        <v>824299.12</v>
      </c>
      <c r="M1858">
        <v>514767.18</v>
      </c>
      <c r="N1858">
        <v>309531.94</v>
      </c>
    </row>
    <row r="1859" spans="1:14" x14ac:dyDescent="0.25">
      <c r="A1859" t="s">
        <v>25</v>
      </c>
      <c r="B1859" t="s">
        <v>569</v>
      </c>
      <c r="C1859" t="s">
        <v>113</v>
      </c>
      <c r="D1859" t="s">
        <v>17</v>
      </c>
      <c r="E1859" t="s">
        <v>32</v>
      </c>
      <c r="F1859" t="s">
        <v>319</v>
      </c>
      <c r="G1859">
        <v>628515231</v>
      </c>
      <c r="H1859" s="1">
        <v>42371</v>
      </c>
      <c r="I1859">
        <v>479</v>
      </c>
      <c r="J1859">
        <v>154.06</v>
      </c>
      <c r="K1859">
        <v>90.93</v>
      </c>
      <c r="L1859">
        <v>73794.740000000005</v>
      </c>
      <c r="M1859">
        <v>43555.47</v>
      </c>
      <c r="N1859">
        <v>30239.27</v>
      </c>
    </row>
    <row r="1860" spans="1:14" x14ac:dyDescent="0.25">
      <c r="A1860" t="s">
        <v>25</v>
      </c>
      <c r="B1860" t="s">
        <v>569</v>
      </c>
      <c r="C1860" t="s">
        <v>55</v>
      </c>
      <c r="D1860" t="s">
        <v>22</v>
      </c>
      <c r="E1860" t="s">
        <v>18</v>
      </c>
      <c r="F1860" s="1">
        <v>40212</v>
      </c>
      <c r="G1860">
        <v>601894414</v>
      </c>
      <c r="H1860" t="s">
        <v>530</v>
      </c>
      <c r="I1860">
        <v>2787</v>
      </c>
      <c r="J1860">
        <v>651.21</v>
      </c>
      <c r="K1860">
        <v>524.96</v>
      </c>
      <c r="L1860">
        <v>1814922.27</v>
      </c>
      <c r="M1860">
        <v>1463063.52</v>
      </c>
      <c r="N1860">
        <v>351858.75</v>
      </c>
    </row>
    <row r="1861" spans="1:14" x14ac:dyDescent="0.25">
      <c r="A1861" t="s">
        <v>25</v>
      </c>
      <c r="B1861" t="s">
        <v>47</v>
      </c>
      <c r="C1861" t="s">
        <v>21</v>
      </c>
      <c r="D1861" t="s">
        <v>22</v>
      </c>
      <c r="E1861" t="s">
        <v>32</v>
      </c>
      <c r="F1861" t="s">
        <v>1437</v>
      </c>
      <c r="G1861">
        <v>954040992</v>
      </c>
      <c r="H1861" t="s">
        <v>998</v>
      </c>
      <c r="I1861">
        <v>785</v>
      </c>
      <c r="J1861">
        <v>152.58000000000001</v>
      </c>
      <c r="K1861">
        <v>97.44</v>
      </c>
      <c r="L1861">
        <v>119775.3</v>
      </c>
      <c r="M1861">
        <v>76490.399999999994</v>
      </c>
      <c r="N1861">
        <v>43284.9</v>
      </c>
    </row>
    <row r="1862" spans="1:14" x14ac:dyDescent="0.25">
      <c r="A1862" t="s">
        <v>38</v>
      </c>
      <c r="B1862" t="s">
        <v>92</v>
      </c>
      <c r="C1862" t="s">
        <v>59</v>
      </c>
      <c r="D1862" t="s">
        <v>22</v>
      </c>
      <c r="E1862" t="s">
        <v>18</v>
      </c>
      <c r="F1862" t="s">
        <v>841</v>
      </c>
      <c r="G1862">
        <v>711566293</v>
      </c>
      <c r="H1862" t="s">
        <v>911</v>
      </c>
      <c r="I1862">
        <v>7133</v>
      </c>
      <c r="J1862">
        <v>437.2</v>
      </c>
      <c r="K1862">
        <v>263.33</v>
      </c>
      <c r="L1862">
        <v>3118547.6</v>
      </c>
      <c r="M1862">
        <v>1878332.89</v>
      </c>
      <c r="N1862">
        <v>1240214.71</v>
      </c>
    </row>
    <row r="1863" spans="1:14" x14ac:dyDescent="0.25">
      <c r="A1863" t="s">
        <v>42</v>
      </c>
      <c r="B1863" t="s">
        <v>90</v>
      </c>
      <c r="C1863" t="s">
        <v>27</v>
      </c>
      <c r="D1863" t="s">
        <v>22</v>
      </c>
      <c r="E1863" t="s">
        <v>18</v>
      </c>
      <c r="F1863" t="s">
        <v>723</v>
      </c>
      <c r="G1863">
        <v>771394145</v>
      </c>
      <c r="H1863" t="s">
        <v>280</v>
      </c>
      <c r="I1863">
        <v>1524</v>
      </c>
      <c r="J1863">
        <v>47.45</v>
      </c>
      <c r="K1863">
        <v>31.79</v>
      </c>
      <c r="L1863">
        <v>72313.8</v>
      </c>
      <c r="M1863">
        <v>48447.96</v>
      </c>
      <c r="N1863">
        <v>23865.84</v>
      </c>
    </row>
    <row r="1864" spans="1:14" x14ac:dyDescent="0.25">
      <c r="A1864" t="s">
        <v>38</v>
      </c>
      <c r="B1864" t="s">
        <v>584</v>
      </c>
      <c r="C1864" t="s">
        <v>113</v>
      </c>
      <c r="D1864" t="s">
        <v>22</v>
      </c>
      <c r="E1864" t="s">
        <v>18</v>
      </c>
      <c r="F1864" t="s">
        <v>1426</v>
      </c>
      <c r="G1864">
        <v>750760877</v>
      </c>
      <c r="H1864" s="1">
        <v>40368</v>
      </c>
      <c r="I1864">
        <v>5682</v>
      </c>
      <c r="J1864">
        <v>154.06</v>
      </c>
      <c r="K1864">
        <v>90.93</v>
      </c>
      <c r="L1864">
        <v>875368.92</v>
      </c>
      <c r="M1864">
        <v>516664.26</v>
      </c>
      <c r="N1864">
        <v>358704.66</v>
      </c>
    </row>
    <row r="1865" spans="1:14" x14ac:dyDescent="0.25">
      <c r="A1865" t="s">
        <v>51</v>
      </c>
      <c r="B1865" t="s">
        <v>260</v>
      </c>
      <c r="C1865" t="s">
        <v>16</v>
      </c>
      <c r="D1865" t="s">
        <v>22</v>
      </c>
      <c r="E1865" t="s">
        <v>32</v>
      </c>
      <c r="F1865" s="1">
        <v>42439</v>
      </c>
      <c r="G1865">
        <v>337215316</v>
      </c>
      <c r="H1865" s="1">
        <v>42685</v>
      </c>
      <c r="I1865">
        <v>8360</v>
      </c>
      <c r="J1865">
        <v>255.28</v>
      </c>
      <c r="K1865">
        <v>159.41999999999999</v>
      </c>
      <c r="L1865">
        <v>2134140.7999999998</v>
      </c>
      <c r="M1865">
        <v>1332751.2</v>
      </c>
      <c r="N1865">
        <v>801389.6</v>
      </c>
    </row>
    <row r="1866" spans="1:14" x14ac:dyDescent="0.25">
      <c r="A1866" t="s">
        <v>14</v>
      </c>
      <c r="B1866" t="s">
        <v>432</v>
      </c>
      <c r="C1866" t="s">
        <v>16</v>
      </c>
      <c r="D1866" t="s">
        <v>22</v>
      </c>
      <c r="E1866" t="s">
        <v>32</v>
      </c>
      <c r="F1866" s="1">
        <v>40302</v>
      </c>
      <c r="G1866">
        <v>638618791</v>
      </c>
      <c r="H1866" t="s">
        <v>764</v>
      </c>
      <c r="I1866">
        <v>347</v>
      </c>
      <c r="J1866">
        <v>255.28</v>
      </c>
      <c r="K1866">
        <v>159.41999999999999</v>
      </c>
      <c r="L1866">
        <v>88582.16</v>
      </c>
      <c r="M1866">
        <v>55318.74</v>
      </c>
      <c r="N1866">
        <v>33263.42</v>
      </c>
    </row>
    <row r="1867" spans="1:14" x14ac:dyDescent="0.25">
      <c r="A1867" t="s">
        <v>42</v>
      </c>
      <c r="B1867" t="s">
        <v>552</v>
      </c>
      <c r="C1867" t="s">
        <v>69</v>
      </c>
      <c r="D1867" t="s">
        <v>17</v>
      </c>
      <c r="E1867" t="s">
        <v>32</v>
      </c>
      <c r="F1867" t="s">
        <v>1438</v>
      </c>
      <c r="G1867">
        <v>133145129</v>
      </c>
      <c r="H1867" t="s">
        <v>1205</v>
      </c>
      <c r="I1867">
        <v>9457</v>
      </c>
      <c r="J1867">
        <v>421.89</v>
      </c>
      <c r="K1867">
        <v>364.69</v>
      </c>
      <c r="L1867">
        <v>3989813.73</v>
      </c>
      <c r="M1867">
        <v>3448873.33</v>
      </c>
      <c r="N1867">
        <v>540940.4</v>
      </c>
    </row>
    <row r="1868" spans="1:14" x14ac:dyDescent="0.25">
      <c r="A1868" t="s">
        <v>29</v>
      </c>
      <c r="B1868" t="s">
        <v>467</v>
      </c>
      <c r="C1868" t="s">
        <v>131</v>
      </c>
      <c r="D1868" t="s">
        <v>22</v>
      </c>
      <c r="E1868" t="s">
        <v>23</v>
      </c>
      <c r="F1868" t="s">
        <v>1223</v>
      </c>
      <c r="G1868">
        <v>519280660</v>
      </c>
      <c r="H1868" s="1">
        <v>40333</v>
      </c>
      <c r="I1868">
        <v>5542</v>
      </c>
      <c r="J1868">
        <v>668.27</v>
      </c>
      <c r="K1868">
        <v>502.54</v>
      </c>
      <c r="L1868">
        <v>3703552.34</v>
      </c>
      <c r="M1868">
        <v>2785076.68</v>
      </c>
      <c r="N1868">
        <v>918475.66</v>
      </c>
    </row>
    <row r="1869" spans="1:14" x14ac:dyDescent="0.25">
      <c r="A1869" t="s">
        <v>25</v>
      </c>
      <c r="B1869" t="s">
        <v>26</v>
      </c>
      <c r="C1869" t="s">
        <v>55</v>
      </c>
      <c r="D1869" t="s">
        <v>17</v>
      </c>
      <c r="E1869" t="s">
        <v>18</v>
      </c>
      <c r="F1869" s="1">
        <v>41887</v>
      </c>
      <c r="G1869">
        <v>865824210</v>
      </c>
      <c r="H1869" t="s">
        <v>1439</v>
      </c>
      <c r="I1869">
        <v>5479</v>
      </c>
      <c r="J1869">
        <v>651.21</v>
      </c>
      <c r="K1869">
        <v>524.96</v>
      </c>
      <c r="L1869">
        <v>3567979.59</v>
      </c>
      <c r="M1869">
        <v>2876255.84</v>
      </c>
      <c r="N1869">
        <v>691723.75</v>
      </c>
    </row>
    <row r="1870" spans="1:14" x14ac:dyDescent="0.25">
      <c r="A1870" t="s">
        <v>25</v>
      </c>
      <c r="B1870" t="s">
        <v>140</v>
      </c>
      <c r="C1870" t="s">
        <v>44</v>
      </c>
      <c r="D1870" t="s">
        <v>22</v>
      </c>
      <c r="E1870" t="s">
        <v>18</v>
      </c>
      <c r="F1870" t="s">
        <v>625</v>
      </c>
      <c r="G1870">
        <v>761887109</v>
      </c>
      <c r="H1870" t="s">
        <v>801</v>
      </c>
      <c r="I1870">
        <v>8181</v>
      </c>
      <c r="J1870">
        <v>109.28</v>
      </c>
      <c r="K1870">
        <v>35.840000000000003</v>
      </c>
      <c r="L1870">
        <v>894019.68</v>
      </c>
      <c r="M1870">
        <v>293207.03999999998</v>
      </c>
      <c r="N1870">
        <v>600812.64</v>
      </c>
    </row>
    <row r="1871" spans="1:14" x14ac:dyDescent="0.25">
      <c r="A1871" t="s">
        <v>51</v>
      </c>
      <c r="B1871" t="s">
        <v>593</v>
      </c>
      <c r="C1871" t="s">
        <v>69</v>
      </c>
      <c r="D1871" t="s">
        <v>22</v>
      </c>
      <c r="E1871" t="s">
        <v>18</v>
      </c>
      <c r="F1871" s="1">
        <v>42533</v>
      </c>
      <c r="G1871">
        <v>766893184</v>
      </c>
      <c r="H1871" s="1">
        <v>43009</v>
      </c>
      <c r="I1871">
        <v>9590</v>
      </c>
      <c r="J1871">
        <v>421.89</v>
      </c>
      <c r="K1871">
        <v>364.69</v>
      </c>
      <c r="L1871">
        <v>4045925.1</v>
      </c>
      <c r="M1871">
        <v>3497377.1</v>
      </c>
      <c r="N1871">
        <v>548548</v>
      </c>
    </row>
    <row r="1872" spans="1:14" x14ac:dyDescent="0.25">
      <c r="A1872" t="s">
        <v>25</v>
      </c>
      <c r="B1872" t="s">
        <v>752</v>
      </c>
      <c r="C1872" t="s">
        <v>55</v>
      </c>
      <c r="D1872" t="s">
        <v>17</v>
      </c>
      <c r="E1872" t="s">
        <v>32</v>
      </c>
      <c r="F1872" t="s">
        <v>1440</v>
      </c>
      <c r="G1872">
        <v>160578763</v>
      </c>
      <c r="H1872" t="s">
        <v>1441</v>
      </c>
      <c r="I1872">
        <v>7679</v>
      </c>
      <c r="J1872">
        <v>651.21</v>
      </c>
      <c r="K1872">
        <v>524.96</v>
      </c>
      <c r="L1872">
        <v>5000641.59</v>
      </c>
      <c r="M1872">
        <v>4031167.84</v>
      </c>
      <c r="N1872">
        <v>969473.75</v>
      </c>
    </row>
    <row r="1873" spans="1:14" x14ac:dyDescent="0.25">
      <c r="A1873" t="s">
        <v>25</v>
      </c>
      <c r="B1873" t="s">
        <v>204</v>
      </c>
      <c r="C1873" t="s">
        <v>113</v>
      </c>
      <c r="D1873" t="s">
        <v>22</v>
      </c>
      <c r="E1873" t="s">
        <v>18</v>
      </c>
      <c r="F1873" s="1">
        <v>40758</v>
      </c>
      <c r="G1873">
        <v>992992675</v>
      </c>
      <c r="H1873" s="1">
        <v>40789</v>
      </c>
      <c r="I1873">
        <v>7454</v>
      </c>
      <c r="J1873">
        <v>154.06</v>
      </c>
      <c r="K1873">
        <v>90.93</v>
      </c>
      <c r="L1873">
        <v>1148363.24</v>
      </c>
      <c r="M1873">
        <v>677792.22</v>
      </c>
      <c r="N1873">
        <v>470571.02</v>
      </c>
    </row>
    <row r="1874" spans="1:14" x14ac:dyDescent="0.25">
      <c r="A1874" t="s">
        <v>51</v>
      </c>
      <c r="B1874" t="s">
        <v>192</v>
      </c>
      <c r="C1874" t="s">
        <v>131</v>
      </c>
      <c r="D1874" t="s">
        <v>17</v>
      </c>
      <c r="E1874" t="s">
        <v>18</v>
      </c>
      <c r="F1874" s="1">
        <v>42832</v>
      </c>
      <c r="G1874">
        <v>434496247</v>
      </c>
      <c r="H1874" s="1">
        <v>43016</v>
      </c>
      <c r="I1874">
        <v>5950</v>
      </c>
      <c r="J1874">
        <v>668.27</v>
      </c>
      <c r="K1874">
        <v>502.54</v>
      </c>
      <c r="L1874">
        <v>3976206.5</v>
      </c>
      <c r="M1874">
        <v>2990113</v>
      </c>
      <c r="N1874">
        <v>986093.5</v>
      </c>
    </row>
    <row r="1875" spans="1:14" x14ac:dyDescent="0.25">
      <c r="A1875" t="s">
        <v>51</v>
      </c>
      <c r="B1875" t="s">
        <v>638</v>
      </c>
      <c r="C1875" t="s">
        <v>31</v>
      </c>
      <c r="D1875" t="s">
        <v>17</v>
      </c>
      <c r="E1875" t="s">
        <v>32</v>
      </c>
      <c r="F1875" t="s">
        <v>1381</v>
      </c>
      <c r="G1875">
        <v>225763309</v>
      </c>
      <c r="H1875" s="1">
        <v>42522</v>
      </c>
      <c r="I1875">
        <v>7235</v>
      </c>
      <c r="J1875">
        <v>205.7</v>
      </c>
      <c r="K1875">
        <v>117.11</v>
      </c>
      <c r="L1875">
        <v>1488239.5</v>
      </c>
      <c r="M1875">
        <v>847290.85</v>
      </c>
      <c r="N1875">
        <v>640948.65</v>
      </c>
    </row>
    <row r="1876" spans="1:14" x14ac:dyDescent="0.25">
      <c r="A1876" t="s">
        <v>51</v>
      </c>
      <c r="B1876" t="s">
        <v>231</v>
      </c>
      <c r="C1876" t="s">
        <v>16</v>
      </c>
      <c r="D1876" t="s">
        <v>22</v>
      </c>
      <c r="E1876" t="s">
        <v>23</v>
      </c>
      <c r="F1876" s="1">
        <v>40854</v>
      </c>
      <c r="G1876">
        <v>827780187</v>
      </c>
      <c r="H1876" t="s">
        <v>1274</v>
      </c>
      <c r="I1876">
        <v>7407</v>
      </c>
      <c r="J1876">
        <v>255.28</v>
      </c>
      <c r="K1876">
        <v>159.41999999999999</v>
      </c>
      <c r="L1876">
        <v>1890858.96</v>
      </c>
      <c r="M1876">
        <v>1180823.94</v>
      </c>
      <c r="N1876">
        <v>710035.02</v>
      </c>
    </row>
    <row r="1877" spans="1:14" x14ac:dyDescent="0.25">
      <c r="A1877" t="s">
        <v>14</v>
      </c>
      <c r="B1877" t="s">
        <v>226</v>
      </c>
      <c r="C1877" t="s">
        <v>21</v>
      </c>
      <c r="D1877" t="s">
        <v>17</v>
      </c>
      <c r="E1877" t="s">
        <v>23</v>
      </c>
      <c r="F1877" s="1">
        <v>41853</v>
      </c>
      <c r="G1877">
        <v>971845710</v>
      </c>
      <c r="H1877" t="s">
        <v>1442</v>
      </c>
      <c r="I1877">
        <v>9597</v>
      </c>
      <c r="J1877">
        <v>152.58000000000001</v>
      </c>
      <c r="K1877">
        <v>97.44</v>
      </c>
      <c r="L1877">
        <v>1464310.26</v>
      </c>
      <c r="M1877">
        <v>935131.68</v>
      </c>
      <c r="N1877">
        <v>529178.57999999996</v>
      </c>
    </row>
    <row r="1878" spans="1:14" x14ac:dyDescent="0.25">
      <c r="A1878" t="s">
        <v>77</v>
      </c>
      <c r="B1878" t="s">
        <v>622</v>
      </c>
      <c r="C1878" t="s">
        <v>27</v>
      </c>
      <c r="D1878" t="s">
        <v>17</v>
      </c>
      <c r="E1878" t="s">
        <v>32</v>
      </c>
      <c r="F1878" t="s">
        <v>526</v>
      </c>
      <c r="G1878">
        <v>809571206</v>
      </c>
      <c r="H1878" s="1">
        <v>41214</v>
      </c>
      <c r="I1878">
        <v>8965</v>
      </c>
      <c r="J1878">
        <v>47.45</v>
      </c>
      <c r="K1878">
        <v>31.79</v>
      </c>
      <c r="L1878">
        <v>425389.25</v>
      </c>
      <c r="M1878">
        <v>284997.34999999998</v>
      </c>
      <c r="N1878">
        <v>140391.9</v>
      </c>
    </row>
    <row r="1879" spans="1:14" x14ac:dyDescent="0.25">
      <c r="A1879" t="s">
        <v>14</v>
      </c>
      <c r="B1879" t="s">
        <v>370</v>
      </c>
      <c r="C1879" t="s">
        <v>55</v>
      </c>
      <c r="D1879" t="s">
        <v>17</v>
      </c>
      <c r="E1879" t="s">
        <v>45</v>
      </c>
      <c r="F1879" t="s">
        <v>1197</v>
      </c>
      <c r="G1879">
        <v>562880504</v>
      </c>
      <c r="H1879" t="s">
        <v>1443</v>
      </c>
      <c r="I1879">
        <v>7704</v>
      </c>
      <c r="J1879">
        <v>651.21</v>
      </c>
      <c r="K1879">
        <v>524.96</v>
      </c>
      <c r="L1879">
        <v>5016921.84</v>
      </c>
      <c r="M1879">
        <v>4044291.84</v>
      </c>
      <c r="N1879">
        <v>972630</v>
      </c>
    </row>
    <row r="1880" spans="1:14" x14ac:dyDescent="0.25">
      <c r="A1880" t="s">
        <v>51</v>
      </c>
      <c r="B1880" t="s">
        <v>258</v>
      </c>
      <c r="C1880" t="s">
        <v>69</v>
      </c>
      <c r="D1880" t="s">
        <v>22</v>
      </c>
      <c r="E1880" t="s">
        <v>45</v>
      </c>
      <c r="F1880" s="1">
        <v>40706</v>
      </c>
      <c r="G1880">
        <v>974009931</v>
      </c>
      <c r="H1880" t="s">
        <v>1444</v>
      </c>
      <c r="I1880">
        <v>38</v>
      </c>
      <c r="J1880">
        <v>421.89</v>
      </c>
      <c r="K1880">
        <v>364.69</v>
      </c>
      <c r="L1880">
        <v>16031.82</v>
      </c>
      <c r="M1880">
        <v>13858.22</v>
      </c>
      <c r="N1880">
        <v>2173.6</v>
      </c>
    </row>
    <row r="1881" spans="1:14" x14ac:dyDescent="0.25">
      <c r="A1881" t="s">
        <v>29</v>
      </c>
      <c r="B1881" t="s">
        <v>485</v>
      </c>
      <c r="C1881" t="s">
        <v>88</v>
      </c>
      <c r="D1881" t="s">
        <v>22</v>
      </c>
      <c r="E1881" t="s">
        <v>23</v>
      </c>
      <c r="F1881" s="1">
        <v>41740</v>
      </c>
      <c r="G1881">
        <v>155508315</v>
      </c>
      <c r="H1881" t="s">
        <v>484</v>
      </c>
      <c r="I1881">
        <v>7221</v>
      </c>
      <c r="J1881">
        <v>9.33</v>
      </c>
      <c r="K1881">
        <v>6.92</v>
      </c>
      <c r="L1881">
        <v>67371.929999999993</v>
      </c>
      <c r="M1881">
        <v>49969.32</v>
      </c>
      <c r="N1881">
        <v>17402.61</v>
      </c>
    </row>
    <row r="1882" spans="1:14" x14ac:dyDescent="0.25">
      <c r="A1882" t="s">
        <v>51</v>
      </c>
      <c r="B1882" t="s">
        <v>305</v>
      </c>
      <c r="C1882" t="s">
        <v>131</v>
      </c>
      <c r="D1882" t="s">
        <v>17</v>
      </c>
      <c r="E1882" t="s">
        <v>18</v>
      </c>
      <c r="F1882" s="1">
        <v>41856</v>
      </c>
      <c r="G1882">
        <v>340236985</v>
      </c>
      <c r="H1882" t="s">
        <v>1302</v>
      </c>
      <c r="I1882">
        <v>2540</v>
      </c>
      <c r="J1882">
        <v>668.27</v>
      </c>
      <c r="K1882">
        <v>502.54</v>
      </c>
      <c r="L1882">
        <v>1697405.8</v>
      </c>
      <c r="M1882">
        <v>1276451.6000000001</v>
      </c>
      <c r="N1882">
        <v>420954.2</v>
      </c>
    </row>
    <row r="1883" spans="1:14" x14ac:dyDescent="0.25">
      <c r="A1883" t="s">
        <v>25</v>
      </c>
      <c r="B1883" t="s">
        <v>569</v>
      </c>
      <c r="C1883" t="s">
        <v>44</v>
      </c>
      <c r="D1883" t="s">
        <v>17</v>
      </c>
      <c r="E1883" t="s">
        <v>18</v>
      </c>
      <c r="F1883" s="1">
        <v>42252</v>
      </c>
      <c r="G1883">
        <v>231369769</v>
      </c>
      <c r="H1883" t="s">
        <v>1445</v>
      </c>
      <c r="I1883">
        <v>6311</v>
      </c>
      <c r="J1883">
        <v>109.28</v>
      </c>
      <c r="K1883">
        <v>35.840000000000003</v>
      </c>
      <c r="L1883">
        <v>689666.08</v>
      </c>
      <c r="M1883">
        <v>226186.23999999999</v>
      </c>
      <c r="N1883">
        <v>463479.84</v>
      </c>
    </row>
    <row r="1884" spans="1:14" x14ac:dyDescent="0.25">
      <c r="A1884" t="s">
        <v>25</v>
      </c>
      <c r="B1884" t="s">
        <v>363</v>
      </c>
      <c r="C1884" t="s">
        <v>59</v>
      </c>
      <c r="D1884" t="s">
        <v>17</v>
      </c>
      <c r="E1884" t="s">
        <v>18</v>
      </c>
      <c r="F1884" t="s">
        <v>723</v>
      </c>
      <c r="G1884">
        <v>852392995</v>
      </c>
      <c r="H1884" t="s">
        <v>773</v>
      </c>
      <c r="I1884">
        <v>884</v>
      </c>
      <c r="J1884">
        <v>437.2</v>
      </c>
      <c r="K1884">
        <v>263.33</v>
      </c>
      <c r="L1884">
        <v>386484.8</v>
      </c>
      <c r="M1884">
        <v>232783.72</v>
      </c>
      <c r="N1884">
        <v>153701.07999999999</v>
      </c>
    </row>
    <row r="1885" spans="1:14" x14ac:dyDescent="0.25">
      <c r="A1885" t="s">
        <v>25</v>
      </c>
      <c r="B1885" t="s">
        <v>458</v>
      </c>
      <c r="C1885" t="s">
        <v>21</v>
      </c>
      <c r="D1885" t="s">
        <v>22</v>
      </c>
      <c r="E1885" t="s">
        <v>18</v>
      </c>
      <c r="F1885" s="1">
        <v>41069</v>
      </c>
      <c r="G1885">
        <v>597105491</v>
      </c>
      <c r="H1885" t="s">
        <v>657</v>
      </c>
      <c r="I1885">
        <v>5639</v>
      </c>
      <c r="J1885">
        <v>152.58000000000001</v>
      </c>
      <c r="K1885">
        <v>97.44</v>
      </c>
      <c r="L1885">
        <v>860398.62</v>
      </c>
      <c r="M1885">
        <v>549464.16</v>
      </c>
      <c r="N1885">
        <v>310934.46000000002</v>
      </c>
    </row>
    <row r="1886" spans="1:14" x14ac:dyDescent="0.25">
      <c r="A1886" t="s">
        <v>38</v>
      </c>
      <c r="B1886" t="s">
        <v>329</v>
      </c>
      <c r="C1886" t="s">
        <v>88</v>
      </c>
      <c r="D1886" t="s">
        <v>22</v>
      </c>
      <c r="E1886" t="s">
        <v>32</v>
      </c>
      <c r="F1886" t="s">
        <v>1446</v>
      </c>
      <c r="G1886">
        <v>179618585</v>
      </c>
      <c r="H1886" t="s">
        <v>1447</v>
      </c>
      <c r="I1886">
        <v>1986</v>
      </c>
      <c r="J1886">
        <v>9.33</v>
      </c>
      <c r="K1886">
        <v>6.92</v>
      </c>
      <c r="L1886">
        <v>18529.38</v>
      </c>
      <c r="M1886">
        <v>13743.12</v>
      </c>
      <c r="N1886">
        <v>4786.26</v>
      </c>
    </row>
    <row r="1887" spans="1:14" x14ac:dyDescent="0.25">
      <c r="A1887" t="s">
        <v>51</v>
      </c>
      <c r="B1887" t="s">
        <v>210</v>
      </c>
      <c r="C1887" t="s">
        <v>88</v>
      </c>
      <c r="D1887" t="s">
        <v>22</v>
      </c>
      <c r="E1887" t="s">
        <v>45</v>
      </c>
      <c r="F1887" t="s">
        <v>1448</v>
      </c>
      <c r="G1887">
        <v>384356105</v>
      </c>
      <c r="H1887" t="s">
        <v>1439</v>
      </c>
      <c r="I1887">
        <v>8368</v>
      </c>
      <c r="J1887">
        <v>9.33</v>
      </c>
      <c r="K1887">
        <v>6.92</v>
      </c>
      <c r="L1887">
        <v>78073.440000000002</v>
      </c>
      <c r="M1887">
        <v>57906.559999999998</v>
      </c>
      <c r="N1887">
        <v>20166.88</v>
      </c>
    </row>
    <row r="1888" spans="1:14" x14ac:dyDescent="0.25">
      <c r="A1888" t="s">
        <v>25</v>
      </c>
      <c r="B1888" t="s">
        <v>529</v>
      </c>
      <c r="C1888" t="s">
        <v>88</v>
      </c>
      <c r="D1888" t="s">
        <v>22</v>
      </c>
      <c r="E1888" t="s">
        <v>32</v>
      </c>
      <c r="F1888" s="1">
        <v>42463</v>
      </c>
      <c r="G1888">
        <v>716054379</v>
      </c>
      <c r="H1888" t="s">
        <v>1449</v>
      </c>
      <c r="I1888">
        <v>5258</v>
      </c>
      <c r="J1888">
        <v>9.33</v>
      </c>
      <c r="K1888">
        <v>6.92</v>
      </c>
      <c r="L1888">
        <v>49057.14</v>
      </c>
      <c r="M1888">
        <v>36385.360000000001</v>
      </c>
      <c r="N1888">
        <v>12671.78</v>
      </c>
    </row>
    <row r="1889" spans="1:14" x14ac:dyDescent="0.25">
      <c r="A1889" t="s">
        <v>51</v>
      </c>
      <c r="B1889" t="s">
        <v>274</v>
      </c>
      <c r="C1889" t="s">
        <v>131</v>
      </c>
      <c r="D1889" t="s">
        <v>17</v>
      </c>
      <c r="E1889" t="s">
        <v>32</v>
      </c>
      <c r="F1889" t="s">
        <v>869</v>
      </c>
      <c r="G1889">
        <v>749762237</v>
      </c>
      <c r="H1889" s="1">
        <v>41678</v>
      </c>
      <c r="I1889">
        <v>162</v>
      </c>
      <c r="J1889">
        <v>668.27</v>
      </c>
      <c r="K1889">
        <v>502.54</v>
      </c>
      <c r="L1889">
        <v>108259.74</v>
      </c>
      <c r="M1889">
        <v>81411.48</v>
      </c>
      <c r="N1889">
        <v>26848.26</v>
      </c>
    </row>
    <row r="1890" spans="1:14" x14ac:dyDescent="0.25">
      <c r="A1890" t="s">
        <v>42</v>
      </c>
      <c r="B1890" t="s">
        <v>552</v>
      </c>
      <c r="C1890" t="s">
        <v>27</v>
      </c>
      <c r="D1890" t="s">
        <v>22</v>
      </c>
      <c r="E1890" t="s">
        <v>45</v>
      </c>
      <c r="F1890" s="1">
        <v>40241</v>
      </c>
      <c r="G1890">
        <v>580841004</v>
      </c>
      <c r="H1890" t="s">
        <v>1450</v>
      </c>
      <c r="I1890">
        <v>2616</v>
      </c>
      <c r="J1890">
        <v>47.45</v>
      </c>
      <c r="K1890">
        <v>31.79</v>
      </c>
      <c r="L1890">
        <v>124129.2</v>
      </c>
      <c r="M1890">
        <v>83162.64</v>
      </c>
      <c r="N1890">
        <v>40966.559999999998</v>
      </c>
    </row>
    <row r="1891" spans="1:14" x14ac:dyDescent="0.25">
      <c r="A1891" t="s">
        <v>29</v>
      </c>
      <c r="B1891" t="s">
        <v>124</v>
      </c>
      <c r="C1891" t="s">
        <v>88</v>
      </c>
      <c r="D1891" t="s">
        <v>17</v>
      </c>
      <c r="E1891" t="s">
        <v>18</v>
      </c>
      <c r="F1891" t="s">
        <v>1451</v>
      </c>
      <c r="G1891">
        <v>374964511</v>
      </c>
      <c r="H1891" s="1">
        <v>42625</v>
      </c>
      <c r="I1891">
        <v>9186</v>
      </c>
      <c r="J1891">
        <v>9.33</v>
      </c>
      <c r="K1891">
        <v>6.92</v>
      </c>
      <c r="L1891">
        <v>85705.38</v>
      </c>
      <c r="M1891">
        <v>63567.12</v>
      </c>
      <c r="N1891">
        <v>22138.26</v>
      </c>
    </row>
    <row r="1892" spans="1:14" x14ac:dyDescent="0.25">
      <c r="A1892" t="s">
        <v>51</v>
      </c>
      <c r="B1892" t="s">
        <v>100</v>
      </c>
      <c r="C1892" t="s">
        <v>27</v>
      </c>
      <c r="D1892" t="s">
        <v>17</v>
      </c>
      <c r="E1892" t="s">
        <v>32</v>
      </c>
      <c r="F1892" s="1">
        <v>40756</v>
      </c>
      <c r="G1892">
        <v>818119084</v>
      </c>
      <c r="H1892" t="s">
        <v>941</v>
      </c>
      <c r="I1892">
        <v>8472</v>
      </c>
      <c r="J1892">
        <v>47.45</v>
      </c>
      <c r="K1892">
        <v>31.79</v>
      </c>
      <c r="L1892">
        <v>401996.4</v>
      </c>
      <c r="M1892">
        <v>269324.88</v>
      </c>
      <c r="N1892">
        <v>132671.51999999999</v>
      </c>
    </row>
    <row r="1893" spans="1:14" x14ac:dyDescent="0.25">
      <c r="A1893" t="s">
        <v>42</v>
      </c>
      <c r="B1893" t="s">
        <v>290</v>
      </c>
      <c r="C1893" t="s">
        <v>31</v>
      </c>
      <c r="D1893" t="s">
        <v>22</v>
      </c>
      <c r="E1893" t="s">
        <v>18</v>
      </c>
      <c r="F1893" t="s">
        <v>431</v>
      </c>
      <c r="G1893">
        <v>866603553</v>
      </c>
      <c r="H1893" s="1">
        <v>41092</v>
      </c>
      <c r="I1893">
        <v>6104</v>
      </c>
      <c r="J1893">
        <v>205.7</v>
      </c>
      <c r="K1893">
        <v>117.11</v>
      </c>
      <c r="L1893">
        <v>1255592.8</v>
      </c>
      <c r="M1893">
        <v>714839.44</v>
      </c>
      <c r="N1893">
        <v>540753.36</v>
      </c>
    </row>
    <row r="1894" spans="1:14" x14ac:dyDescent="0.25">
      <c r="A1894" t="s">
        <v>77</v>
      </c>
      <c r="B1894" t="s">
        <v>794</v>
      </c>
      <c r="C1894" t="s">
        <v>131</v>
      </c>
      <c r="D1894" t="s">
        <v>17</v>
      </c>
      <c r="E1894" t="s">
        <v>18</v>
      </c>
      <c r="F1894" s="1">
        <v>42984</v>
      </c>
      <c r="G1894">
        <v>897029244</v>
      </c>
      <c r="H1894" t="s">
        <v>854</v>
      </c>
      <c r="I1894">
        <v>9742</v>
      </c>
      <c r="J1894">
        <v>668.27</v>
      </c>
      <c r="K1894">
        <v>502.54</v>
      </c>
      <c r="L1894">
        <v>6510286.3399999999</v>
      </c>
      <c r="M1894">
        <v>4895744.68</v>
      </c>
      <c r="N1894">
        <v>1614541.66</v>
      </c>
    </row>
    <row r="1895" spans="1:14" x14ac:dyDescent="0.25">
      <c r="A1895" t="s">
        <v>14</v>
      </c>
      <c r="B1895" t="s">
        <v>208</v>
      </c>
      <c r="C1895" t="s">
        <v>27</v>
      </c>
      <c r="D1895" t="s">
        <v>17</v>
      </c>
      <c r="E1895" t="s">
        <v>18</v>
      </c>
      <c r="F1895" t="s">
        <v>750</v>
      </c>
      <c r="G1895">
        <v>456319987</v>
      </c>
      <c r="H1895" s="1">
        <v>41650</v>
      </c>
      <c r="I1895">
        <v>4080</v>
      </c>
      <c r="J1895">
        <v>47.45</v>
      </c>
      <c r="K1895">
        <v>31.79</v>
      </c>
      <c r="L1895">
        <v>193596</v>
      </c>
      <c r="M1895">
        <v>129703.2</v>
      </c>
      <c r="N1895">
        <v>63892.800000000003</v>
      </c>
    </row>
    <row r="1896" spans="1:14" x14ac:dyDescent="0.25">
      <c r="A1896" t="s">
        <v>25</v>
      </c>
      <c r="B1896" t="s">
        <v>72</v>
      </c>
      <c r="C1896" t="s">
        <v>55</v>
      </c>
      <c r="D1896" t="s">
        <v>22</v>
      </c>
      <c r="E1896" t="s">
        <v>23</v>
      </c>
      <c r="F1896" t="s">
        <v>1016</v>
      </c>
      <c r="G1896">
        <v>511712110</v>
      </c>
      <c r="H1896" s="1">
        <v>42190</v>
      </c>
      <c r="I1896">
        <v>5839</v>
      </c>
      <c r="J1896">
        <v>651.21</v>
      </c>
      <c r="K1896">
        <v>524.96</v>
      </c>
      <c r="L1896">
        <v>3802415.19</v>
      </c>
      <c r="M1896">
        <v>3065241.44</v>
      </c>
      <c r="N1896">
        <v>737173.75</v>
      </c>
    </row>
    <row r="1897" spans="1:14" x14ac:dyDescent="0.25">
      <c r="A1897" t="s">
        <v>29</v>
      </c>
      <c r="B1897" t="s">
        <v>586</v>
      </c>
      <c r="C1897" t="s">
        <v>88</v>
      </c>
      <c r="D1897" t="s">
        <v>17</v>
      </c>
      <c r="E1897" t="s">
        <v>23</v>
      </c>
      <c r="F1897" s="1">
        <v>41000</v>
      </c>
      <c r="G1897">
        <v>300754439</v>
      </c>
      <c r="H1897" s="1">
        <v>41062</v>
      </c>
      <c r="I1897">
        <v>8777</v>
      </c>
      <c r="J1897">
        <v>9.33</v>
      </c>
      <c r="K1897">
        <v>6.92</v>
      </c>
      <c r="L1897">
        <v>81889.41</v>
      </c>
      <c r="M1897">
        <v>60736.84</v>
      </c>
      <c r="N1897">
        <v>21152.57</v>
      </c>
    </row>
    <row r="1898" spans="1:14" x14ac:dyDescent="0.25">
      <c r="A1898" t="s">
        <v>25</v>
      </c>
      <c r="B1898" t="s">
        <v>134</v>
      </c>
      <c r="C1898" t="s">
        <v>16</v>
      </c>
      <c r="D1898" t="s">
        <v>22</v>
      </c>
      <c r="E1898" t="s">
        <v>23</v>
      </c>
      <c r="F1898" s="1">
        <v>41829</v>
      </c>
      <c r="G1898">
        <v>481308305</v>
      </c>
      <c r="H1898" t="s">
        <v>133</v>
      </c>
      <c r="I1898">
        <v>8678</v>
      </c>
      <c r="J1898">
        <v>255.28</v>
      </c>
      <c r="K1898">
        <v>159.41999999999999</v>
      </c>
      <c r="L1898">
        <v>2215319.84</v>
      </c>
      <c r="M1898">
        <v>1383446.76</v>
      </c>
      <c r="N1898">
        <v>831873.08</v>
      </c>
    </row>
    <row r="1899" spans="1:14" x14ac:dyDescent="0.25">
      <c r="A1899" t="s">
        <v>51</v>
      </c>
      <c r="B1899" t="s">
        <v>420</v>
      </c>
      <c r="C1899" t="s">
        <v>55</v>
      </c>
      <c r="D1899" t="s">
        <v>17</v>
      </c>
      <c r="E1899" t="s">
        <v>45</v>
      </c>
      <c r="F1899" t="s">
        <v>663</v>
      </c>
      <c r="G1899">
        <v>881547534</v>
      </c>
      <c r="H1899" s="1">
        <v>41894</v>
      </c>
      <c r="I1899">
        <v>8360</v>
      </c>
      <c r="J1899">
        <v>651.21</v>
      </c>
      <c r="K1899">
        <v>524.96</v>
      </c>
      <c r="L1899">
        <v>5444115.5999999996</v>
      </c>
      <c r="M1899">
        <v>4388665.5999999996</v>
      </c>
      <c r="N1899">
        <v>1055450</v>
      </c>
    </row>
    <row r="1900" spans="1:14" x14ac:dyDescent="0.25">
      <c r="A1900" t="s">
        <v>38</v>
      </c>
      <c r="B1900" t="s">
        <v>117</v>
      </c>
      <c r="C1900" t="s">
        <v>16</v>
      </c>
      <c r="D1900" t="s">
        <v>22</v>
      </c>
      <c r="E1900" t="s">
        <v>23</v>
      </c>
      <c r="F1900" t="s">
        <v>1343</v>
      </c>
      <c r="G1900">
        <v>949958455</v>
      </c>
      <c r="H1900" s="1">
        <v>41365</v>
      </c>
      <c r="I1900">
        <v>2672</v>
      </c>
      <c r="J1900">
        <v>255.28</v>
      </c>
      <c r="K1900">
        <v>159.41999999999999</v>
      </c>
      <c r="L1900">
        <v>682108.16</v>
      </c>
      <c r="M1900">
        <v>425970.24</v>
      </c>
      <c r="N1900">
        <v>256137.92</v>
      </c>
    </row>
    <row r="1901" spans="1:14" x14ac:dyDescent="0.25">
      <c r="A1901" t="s">
        <v>14</v>
      </c>
      <c r="B1901" t="s">
        <v>432</v>
      </c>
      <c r="C1901" t="s">
        <v>55</v>
      </c>
      <c r="D1901" t="s">
        <v>17</v>
      </c>
      <c r="E1901" t="s">
        <v>23</v>
      </c>
      <c r="F1901" t="s">
        <v>1452</v>
      </c>
      <c r="G1901">
        <v>205339896</v>
      </c>
      <c r="H1901" t="s">
        <v>1453</v>
      </c>
      <c r="I1901">
        <v>3493</v>
      </c>
      <c r="J1901">
        <v>651.21</v>
      </c>
      <c r="K1901">
        <v>524.96</v>
      </c>
      <c r="L1901">
        <v>2274676.5299999998</v>
      </c>
      <c r="M1901">
        <v>1833685.28</v>
      </c>
      <c r="N1901">
        <v>440991.25</v>
      </c>
    </row>
    <row r="1902" spans="1:14" x14ac:dyDescent="0.25">
      <c r="A1902" t="s">
        <v>51</v>
      </c>
      <c r="B1902" t="s">
        <v>664</v>
      </c>
      <c r="C1902" t="s">
        <v>27</v>
      </c>
      <c r="D1902" t="s">
        <v>17</v>
      </c>
      <c r="E1902" t="s">
        <v>45</v>
      </c>
      <c r="F1902" s="1">
        <v>42496</v>
      </c>
      <c r="G1902">
        <v>486803185</v>
      </c>
      <c r="H1902" s="1">
        <v>42589</v>
      </c>
      <c r="I1902">
        <v>4735</v>
      </c>
      <c r="J1902">
        <v>47.45</v>
      </c>
      <c r="K1902">
        <v>31.79</v>
      </c>
      <c r="L1902">
        <v>224675.75</v>
      </c>
      <c r="M1902">
        <v>150525.65</v>
      </c>
      <c r="N1902">
        <v>74150.100000000006</v>
      </c>
    </row>
    <row r="1903" spans="1:14" x14ac:dyDescent="0.25">
      <c r="A1903" t="s">
        <v>38</v>
      </c>
      <c r="B1903" t="s">
        <v>68</v>
      </c>
      <c r="C1903" t="s">
        <v>16</v>
      </c>
      <c r="D1903" t="s">
        <v>17</v>
      </c>
      <c r="E1903" t="s">
        <v>18</v>
      </c>
      <c r="F1903" t="s">
        <v>444</v>
      </c>
      <c r="G1903">
        <v>103772151</v>
      </c>
      <c r="H1903" t="s">
        <v>1136</v>
      </c>
      <c r="I1903">
        <v>7340</v>
      </c>
      <c r="J1903">
        <v>255.28</v>
      </c>
      <c r="K1903">
        <v>159.41999999999999</v>
      </c>
      <c r="L1903">
        <v>1873755.2</v>
      </c>
      <c r="M1903">
        <v>1170142.8</v>
      </c>
      <c r="N1903">
        <v>703612.4</v>
      </c>
    </row>
    <row r="1904" spans="1:14" x14ac:dyDescent="0.25">
      <c r="A1904" t="s">
        <v>29</v>
      </c>
      <c r="B1904" t="s">
        <v>393</v>
      </c>
      <c r="C1904" t="s">
        <v>21</v>
      </c>
      <c r="D1904" t="s">
        <v>17</v>
      </c>
      <c r="E1904" t="s">
        <v>45</v>
      </c>
      <c r="F1904" t="s">
        <v>1454</v>
      </c>
      <c r="G1904">
        <v>585983121</v>
      </c>
      <c r="H1904" s="1">
        <v>40787</v>
      </c>
      <c r="I1904">
        <v>4282</v>
      </c>
      <c r="J1904">
        <v>152.58000000000001</v>
      </c>
      <c r="K1904">
        <v>97.44</v>
      </c>
      <c r="L1904">
        <v>653347.56000000006</v>
      </c>
      <c r="M1904">
        <v>417238.08</v>
      </c>
      <c r="N1904">
        <v>236109.48</v>
      </c>
    </row>
    <row r="1905" spans="1:14" x14ac:dyDescent="0.25">
      <c r="A1905" t="s">
        <v>51</v>
      </c>
      <c r="B1905" t="s">
        <v>301</v>
      </c>
      <c r="C1905" t="s">
        <v>44</v>
      </c>
      <c r="D1905" t="s">
        <v>22</v>
      </c>
      <c r="E1905" t="s">
        <v>32</v>
      </c>
      <c r="F1905" t="s">
        <v>1128</v>
      </c>
      <c r="G1905">
        <v>833484923</v>
      </c>
      <c r="H1905" s="1">
        <v>42381</v>
      </c>
      <c r="I1905">
        <v>5566</v>
      </c>
      <c r="J1905">
        <v>109.28</v>
      </c>
      <c r="K1905">
        <v>35.840000000000003</v>
      </c>
      <c r="L1905">
        <v>608252.48</v>
      </c>
      <c r="M1905">
        <v>199485.44</v>
      </c>
      <c r="N1905">
        <v>408767.04</v>
      </c>
    </row>
    <row r="1906" spans="1:14" x14ac:dyDescent="0.25">
      <c r="A1906" t="s">
        <v>25</v>
      </c>
      <c r="B1906" t="s">
        <v>529</v>
      </c>
      <c r="C1906" t="s">
        <v>131</v>
      </c>
      <c r="D1906" t="s">
        <v>17</v>
      </c>
      <c r="E1906" t="s">
        <v>23</v>
      </c>
      <c r="F1906" t="s">
        <v>799</v>
      </c>
      <c r="G1906">
        <v>266638886</v>
      </c>
      <c r="H1906" t="s">
        <v>1273</v>
      </c>
      <c r="I1906">
        <v>3227</v>
      </c>
      <c r="J1906">
        <v>668.27</v>
      </c>
      <c r="K1906">
        <v>502.54</v>
      </c>
      <c r="L1906">
        <v>2156507.29</v>
      </c>
      <c r="M1906">
        <v>1621696.58</v>
      </c>
      <c r="N1906">
        <v>534810.71</v>
      </c>
    </row>
    <row r="1907" spans="1:14" x14ac:dyDescent="0.25">
      <c r="A1907" t="s">
        <v>29</v>
      </c>
      <c r="B1907" t="s">
        <v>586</v>
      </c>
      <c r="C1907" t="s">
        <v>27</v>
      </c>
      <c r="D1907" t="s">
        <v>22</v>
      </c>
      <c r="E1907" t="s">
        <v>18</v>
      </c>
      <c r="F1907" t="s">
        <v>46</v>
      </c>
      <c r="G1907">
        <v>176118838</v>
      </c>
      <c r="H1907" t="s">
        <v>1316</v>
      </c>
      <c r="I1907">
        <v>6333</v>
      </c>
      <c r="J1907">
        <v>47.45</v>
      </c>
      <c r="K1907">
        <v>31.79</v>
      </c>
      <c r="L1907">
        <v>300500.84999999998</v>
      </c>
      <c r="M1907">
        <v>201326.07</v>
      </c>
      <c r="N1907">
        <v>99174.78</v>
      </c>
    </row>
    <row r="1908" spans="1:14" x14ac:dyDescent="0.25">
      <c r="A1908" t="s">
        <v>29</v>
      </c>
      <c r="B1908" t="s">
        <v>61</v>
      </c>
      <c r="C1908" t="s">
        <v>59</v>
      </c>
      <c r="D1908" t="s">
        <v>17</v>
      </c>
      <c r="E1908" t="s">
        <v>18</v>
      </c>
      <c r="F1908" t="s">
        <v>910</v>
      </c>
      <c r="G1908">
        <v>572911107</v>
      </c>
      <c r="H1908" s="1">
        <v>42555</v>
      </c>
      <c r="I1908">
        <v>5983</v>
      </c>
      <c r="J1908">
        <v>437.2</v>
      </c>
      <c r="K1908">
        <v>263.33</v>
      </c>
      <c r="L1908">
        <v>2615767.6</v>
      </c>
      <c r="M1908">
        <v>1575503.39</v>
      </c>
      <c r="N1908">
        <v>1040264.21</v>
      </c>
    </row>
    <row r="1909" spans="1:14" x14ac:dyDescent="0.25">
      <c r="A1909" t="s">
        <v>25</v>
      </c>
      <c r="B1909" t="s">
        <v>386</v>
      </c>
      <c r="C1909" t="s">
        <v>69</v>
      </c>
      <c r="D1909" t="s">
        <v>17</v>
      </c>
      <c r="E1909" t="s">
        <v>45</v>
      </c>
      <c r="F1909" t="s">
        <v>1127</v>
      </c>
      <c r="G1909">
        <v>638314521</v>
      </c>
      <c r="H1909" t="s">
        <v>1455</v>
      </c>
      <c r="I1909">
        <v>306</v>
      </c>
      <c r="J1909">
        <v>421.89</v>
      </c>
      <c r="K1909">
        <v>364.69</v>
      </c>
      <c r="L1909">
        <v>129098.34</v>
      </c>
      <c r="M1909">
        <v>111595.14</v>
      </c>
      <c r="N1909">
        <v>17503.2</v>
      </c>
    </row>
    <row r="1910" spans="1:14" x14ac:dyDescent="0.25">
      <c r="A1910" t="s">
        <v>38</v>
      </c>
      <c r="B1910" t="s">
        <v>39</v>
      </c>
      <c r="C1910" t="s">
        <v>40</v>
      </c>
      <c r="D1910" t="s">
        <v>17</v>
      </c>
      <c r="E1910" t="s">
        <v>45</v>
      </c>
      <c r="F1910" s="1">
        <v>42130</v>
      </c>
      <c r="G1910">
        <v>973940408</v>
      </c>
      <c r="H1910" s="1">
        <v>42131</v>
      </c>
      <c r="I1910">
        <v>9465</v>
      </c>
      <c r="J1910">
        <v>81.73</v>
      </c>
      <c r="K1910">
        <v>56.67</v>
      </c>
      <c r="L1910">
        <v>773574.45</v>
      </c>
      <c r="M1910">
        <v>536381.55000000005</v>
      </c>
      <c r="N1910">
        <v>237192.9</v>
      </c>
    </row>
    <row r="1911" spans="1:14" x14ac:dyDescent="0.25">
      <c r="A1911" t="s">
        <v>51</v>
      </c>
      <c r="B1911" t="s">
        <v>327</v>
      </c>
      <c r="C1911" t="s">
        <v>113</v>
      </c>
      <c r="D1911" t="s">
        <v>17</v>
      </c>
      <c r="E1911" t="s">
        <v>45</v>
      </c>
      <c r="F1911" t="s">
        <v>1144</v>
      </c>
      <c r="G1911">
        <v>451712596</v>
      </c>
      <c r="H1911" t="s">
        <v>416</v>
      </c>
      <c r="I1911">
        <v>650</v>
      </c>
      <c r="J1911">
        <v>154.06</v>
      </c>
      <c r="K1911">
        <v>90.93</v>
      </c>
      <c r="L1911">
        <v>100139</v>
      </c>
      <c r="M1911">
        <v>59104.5</v>
      </c>
      <c r="N1911">
        <v>41034.5</v>
      </c>
    </row>
    <row r="1912" spans="1:14" x14ac:dyDescent="0.25">
      <c r="A1912" t="s">
        <v>51</v>
      </c>
      <c r="B1912" t="s">
        <v>276</v>
      </c>
      <c r="C1912" t="s">
        <v>59</v>
      </c>
      <c r="D1912" t="s">
        <v>17</v>
      </c>
      <c r="E1912" t="s">
        <v>23</v>
      </c>
      <c r="F1912" s="1">
        <v>41132</v>
      </c>
      <c r="G1912">
        <v>263867413</v>
      </c>
      <c r="H1912" t="s">
        <v>647</v>
      </c>
      <c r="I1912">
        <v>3086</v>
      </c>
      <c r="J1912">
        <v>437.2</v>
      </c>
      <c r="K1912">
        <v>263.33</v>
      </c>
      <c r="L1912">
        <v>1349199.2</v>
      </c>
      <c r="M1912">
        <v>812636.38</v>
      </c>
      <c r="N1912">
        <v>536562.81999999995</v>
      </c>
    </row>
    <row r="1913" spans="1:14" x14ac:dyDescent="0.25">
      <c r="A1913" t="s">
        <v>14</v>
      </c>
      <c r="B1913" t="s">
        <v>627</v>
      </c>
      <c r="C1913" t="s">
        <v>27</v>
      </c>
      <c r="D1913" t="s">
        <v>17</v>
      </c>
      <c r="E1913" t="s">
        <v>18</v>
      </c>
      <c r="F1913" t="s">
        <v>1267</v>
      </c>
      <c r="G1913">
        <v>772953689</v>
      </c>
      <c r="H1913" t="s">
        <v>397</v>
      </c>
      <c r="I1913">
        <v>3028</v>
      </c>
      <c r="J1913">
        <v>47.45</v>
      </c>
      <c r="K1913">
        <v>31.79</v>
      </c>
      <c r="L1913">
        <v>143678.6</v>
      </c>
      <c r="M1913">
        <v>96260.12</v>
      </c>
      <c r="N1913">
        <v>47418.48</v>
      </c>
    </row>
    <row r="1914" spans="1:14" x14ac:dyDescent="0.25">
      <c r="A1914" t="s">
        <v>29</v>
      </c>
      <c r="B1914" t="s">
        <v>243</v>
      </c>
      <c r="C1914" t="s">
        <v>21</v>
      </c>
      <c r="D1914" t="s">
        <v>22</v>
      </c>
      <c r="E1914" t="s">
        <v>18</v>
      </c>
      <c r="F1914" s="1">
        <v>40698</v>
      </c>
      <c r="G1914">
        <v>161832749</v>
      </c>
      <c r="H1914" t="s">
        <v>943</v>
      </c>
      <c r="I1914">
        <v>8762</v>
      </c>
      <c r="J1914">
        <v>152.58000000000001</v>
      </c>
      <c r="K1914">
        <v>97.44</v>
      </c>
      <c r="L1914">
        <v>1336905.96</v>
      </c>
      <c r="M1914">
        <v>853769.28</v>
      </c>
      <c r="N1914">
        <v>483136.68</v>
      </c>
    </row>
    <row r="1915" spans="1:14" x14ac:dyDescent="0.25">
      <c r="A1915" t="s">
        <v>29</v>
      </c>
      <c r="B1915" t="s">
        <v>545</v>
      </c>
      <c r="C1915" t="s">
        <v>69</v>
      </c>
      <c r="D1915" t="s">
        <v>17</v>
      </c>
      <c r="E1915" t="s">
        <v>32</v>
      </c>
      <c r="F1915" t="s">
        <v>425</v>
      </c>
      <c r="G1915">
        <v>283678424</v>
      </c>
      <c r="H1915" s="1">
        <v>42070</v>
      </c>
      <c r="I1915">
        <v>5604</v>
      </c>
      <c r="J1915">
        <v>421.89</v>
      </c>
      <c r="K1915">
        <v>364.69</v>
      </c>
      <c r="L1915">
        <v>2364271.56</v>
      </c>
      <c r="M1915">
        <v>2043722.76</v>
      </c>
      <c r="N1915">
        <v>320548.8</v>
      </c>
    </row>
    <row r="1916" spans="1:14" x14ac:dyDescent="0.25">
      <c r="A1916" t="s">
        <v>25</v>
      </c>
      <c r="B1916" t="s">
        <v>119</v>
      </c>
      <c r="C1916" t="s">
        <v>59</v>
      </c>
      <c r="D1916" t="s">
        <v>17</v>
      </c>
      <c r="E1916" t="s">
        <v>18</v>
      </c>
      <c r="F1916" t="s">
        <v>316</v>
      </c>
      <c r="G1916">
        <v>811977040</v>
      </c>
      <c r="H1916" t="s">
        <v>1225</v>
      </c>
      <c r="I1916">
        <v>905</v>
      </c>
      <c r="J1916">
        <v>437.2</v>
      </c>
      <c r="K1916">
        <v>263.33</v>
      </c>
      <c r="L1916">
        <v>395666</v>
      </c>
      <c r="M1916">
        <v>238313.65</v>
      </c>
      <c r="N1916">
        <v>157352.35</v>
      </c>
    </row>
    <row r="1917" spans="1:14" x14ac:dyDescent="0.25">
      <c r="A1917" t="s">
        <v>51</v>
      </c>
      <c r="B1917" t="s">
        <v>108</v>
      </c>
      <c r="C1917" t="s">
        <v>59</v>
      </c>
      <c r="D1917" t="s">
        <v>22</v>
      </c>
      <c r="E1917" t="s">
        <v>18</v>
      </c>
      <c r="F1917" t="s">
        <v>1456</v>
      </c>
      <c r="G1917">
        <v>590527427</v>
      </c>
      <c r="H1917" t="s">
        <v>589</v>
      </c>
      <c r="I1917">
        <v>9043</v>
      </c>
      <c r="J1917">
        <v>437.2</v>
      </c>
      <c r="K1917">
        <v>263.33</v>
      </c>
      <c r="L1917">
        <v>3953599.6</v>
      </c>
      <c r="M1917">
        <v>2381293.19</v>
      </c>
      <c r="N1917">
        <v>1572306.41</v>
      </c>
    </row>
    <row r="1918" spans="1:14" x14ac:dyDescent="0.25">
      <c r="A1918" t="s">
        <v>29</v>
      </c>
      <c r="B1918" t="s">
        <v>121</v>
      </c>
      <c r="C1918" t="s">
        <v>40</v>
      </c>
      <c r="D1918" t="s">
        <v>22</v>
      </c>
      <c r="E1918" t="s">
        <v>23</v>
      </c>
      <c r="F1918" t="s">
        <v>1367</v>
      </c>
      <c r="G1918">
        <v>783440911</v>
      </c>
      <c r="H1918" s="1">
        <v>42619</v>
      </c>
      <c r="I1918">
        <v>6430</v>
      </c>
      <c r="J1918">
        <v>81.73</v>
      </c>
      <c r="K1918">
        <v>56.67</v>
      </c>
      <c r="L1918">
        <v>525523.9</v>
      </c>
      <c r="M1918">
        <v>364388.1</v>
      </c>
      <c r="N1918">
        <v>161135.79999999999</v>
      </c>
    </row>
    <row r="1919" spans="1:14" x14ac:dyDescent="0.25">
      <c r="A1919" t="s">
        <v>51</v>
      </c>
      <c r="B1919" t="s">
        <v>301</v>
      </c>
      <c r="C1919" t="s">
        <v>40</v>
      </c>
      <c r="D1919" t="s">
        <v>17</v>
      </c>
      <c r="E1919" t="s">
        <v>23</v>
      </c>
      <c r="F1919" t="s">
        <v>337</v>
      </c>
      <c r="G1919">
        <v>825141322</v>
      </c>
      <c r="H1919" t="s">
        <v>1407</v>
      </c>
      <c r="I1919">
        <v>6509</v>
      </c>
      <c r="J1919">
        <v>81.73</v>
      </c>
      <c r="K1919">
        <v>56.67</v>
      </c>
      <c r="L1919">
        <v>531980.56999999995</v>
      </c>
      <c r="M1919">
        <v>368865.03</v>
      </c>
      <c r="N1919">
        <v>163115.54</v>
      </c>
    </row>
    <row r="1920" spans="1:14" x14ac:dyDescent="0.25">
      <c r="A1920" t="s">
        <v>51</v>
      </c>
      <c r="B1920" t="s">
        <v>424</v>
      </c>
      <c r="C1920" t="s">
        <v>88</v>
      </c>
      <c r="D1920" t="s">
        <v>22</v>
      </c>
      <c r="E1920" t="s">
        <v>18</v>
      </c>
      <c r="F1920" t="s">
        <v>683</v>
      </c>
      <c r="G1920">
        <v>670364987</v>
      </c>
      <c r="H1920" s="1">
        <v>42252</v>
      </c>
      <c r="I1920">
        <v>4752</v>
      </c>
      <c r="J1920">
        <v>9.33</v>
      </c>
      <c r="K1920">
        <v>6.92</v>
      </c>
      <c r="L1920">
        <v>44336.160000000003</v>
      </c>
      <c r="M1920">
        <v>32883.839999999997</v>
      </c>
      <c r="N1920">
        <v>11452.32</v>
      </c>
    </row>
    <row r="1921" spans="1:14" x14ac:dyDescent="0.25">
      <c r="A1921" t="s">
        <v>25</v>
      </c>
      <c r="B1921" t="s">
        <v>172</v>
      </c>
      <c r="C1921" t="s">
        <v>69</v>
      </c>
      <c r="D1921" t="s">
        <v>17</v>
      </c>
      <c r="E1921" t="s">
        <v>18</v>
      </c>
      <c r="F1921" s="1">
        <v>40431</v>
      </c>
      <c r="G1921">
        <v>344160735</v>
      </c>
      <c r="H1921" t="s">
        <v>791</v>
      </c>
      <c r="I1921">
        <v>3664</v>
      </c>
      <c r="J1921">
        <v>421.89</v>
      </c>
      <c r="K1921">
        <v>364.69</v>
      </c>
      <c r="L1921">
        <v>1545804.96</v>
      </c>
      <c r="M1921">
        <v>1336224.1599999999</v>
      </c>
      <c r="N1921">
        <v>209580.79999999999</v>
      </c>
    </row>
    <row r="1922" spans="1:14" x14ac:dyDescent="0.25">
      <c r="A1922" t="s">
        <v>51</v>
      </c>
      <c r="B1922" t="s">
        <v>367</v>
      </c>
      <c r="C1922" t="s">
        <v>31</v>
      </c>
      <c r="D1922" t="s">
        <v>17</v>
      </c>
      <c r="E1922" t="s">
        <v>18</v>
      </c>
      <c r="F1922" s="1">
        <v>41830</v>
      </c>
      <c r="G1922">
        <v>391889894</v>
      </c>
      <c r="H1922" t="s">
        <v>806</v>
      </c>
      <c r="I1922">
        <v>7783</v>
      </c>
      <c r="J1922">
        <v>205.7</v>
      </c>
      <c r="K1922">
        <v>117.11</v>
      </c>
      <c r="L1922">
        <v>1600963.1</v>
      </c>
      <c r="M1922">
        <v>911467.13</v>
      </c>
      <c r="N1922">
        <v>689495.97</v>
      </c>
    </row>
    <row r="1923" spans="1:14" x14ac:dyDescent="0.25">
      <c r="A1923" t="s">
        <v>51</v>
      </c>
      <c r="B1923" t="s">
        <v>274</v>
      </c>
      <c r="C1923" t="s">
        <v>27</v>
      </c>
      <c r="D1923" t="s">
        <v>22</v>
      </c>
      <c r="E1923" t="s">
        <v>45</v>
      </c>
      <c r="F1923" t="s">
        <v>1030</v>
      </c>
      <c r="G1923">
        <v>529226291</v>
      </c>
      <c r="H1923" t="s">
        <v>646</v>
      </c>
      <c r="I1923">
        <v>8675</v>
      </c>
      <c r="J1923">
        <v>47.45</v>
      </c>
      <c r="K1923">
        <v>31.79</v>
      </c>
      <c r="L1923">
        <v>411628.75</v>
      </c>
      <c r="M1923">
        <v>275778.25</v>
      </c>
      <c r="N1923">
        <v>135850.5</v>
      </c>
    </row>
    <row r="1924" spans="1:14" x14ac:dyDescent="0.25">
      <c r="A1924" t="s">
        <v>51</v>
      </c>
      <c r="B1924" t="s">
        <v>129</v>
      </c>
      <c r="C1924" t="s">
        <v>131</v>
      </c>
      <c r="D1924" t="s">
        <v>22</v>
      </c>
      <c r="E1924" t="s">
        <v>18</v>
      </c>
      <c r="F1924" t="s">
        <v>296</v>
      </c>
      <c r="G1924">
        <v>992156255</v>
      </c>
      <c r="H1924" t="s">
        <v>1108</v>
      </c>
      <c r="I1924">
        <v>9939</v>
      </c>
      <c r="J1924">
        <v>668.27</v>
      </c>
      <c r="K1924">
        <v>502.54</v>
      </c>
      <c r="L1924">
        <v>6641935.5300000003</v>
      </c>
      <c r="M1924">
        <v>4994745.0599999996</v>
      </c>
      <c r="N1924">
        <v>1647190.47</v>
      </c>
    </row>
    <row r="1925" spans="1:14" x14ac:dyDescent="0.25">
      <c r="A1925" t="s">
        <v>42</v>
      </c>
      <c r="B1925" t="s">
        <v>146</v>
      </c>
      <c r="C1925" t="s">
        <v>31</v>
      </c>
      <c r="D1925" t="s">
        <v>17</v>
      </c>
      <c r="E1925" t="s">
        <v>45</v>
      </c>
      <c r="F1925" t="s">
        <v>1457</v>
      </c>
      <c r="G1925">
        <v>286978614</v>
      </c>
      <c r="H1925" t="s">
        <v>1458</v>
      </c>
      <c r="I1925">
        <v>2204</v>
      </c>
      <c r="J1925">
        <v>205.7</v>
      </c>
      <c r="K1925">
        <v>117.11</v>
      </c>
      <c r="L1925">
        <v>453362.8</v>
      </c>
      <c r="M1925">
        <v>258110.44</v>
      </c>
      <c r="N1925">
        <v>195252.36</v>
      </c>
    </row>
    <row r="1926" spans="1:14" x14ac:dyDescent="0.25">
      <c r="A1926" t="s">
        <v>14</v>
      </c>
      <c r="B1926" t="s">
        <v>488</v>
      </c>
      <c r="C1926" t="s">
        <v>40</v>
      </c>
      <c r="D1926" t="s">
        <v>22</v>
      </c>
      <c r="E1926" t="s">
        <v>32</v>
      </c>
      <c r="F1926" s="1">
        <v>41614</v>
      </c>
      <c r="G1926">
        <v>140304696</v>
      </c>
      <c r="H1926" s="1">
        <v>41493</v>
      </c>
      <c r="I1926">
        <v>8132</v>
      </c>
      <c r="J1926">
        <v>81.73</v>
      </c>
      <c r="K1926">
        <v>56.67</v>
      </c>
      <c r="L1926">
        <v>664628.36</v>
      </c>
      <c r="M1926">
        <v>460840.44</v>
      </c>
      <c r="N1926">
        <v>203787.92</v>
      </c>
    </row>
    <row r="1927" spans="1:14" x14ac:dyDescent="0.25">
      <c r="A1927" t="s">
        <v>25</v>
      </c>
      <c r="B1927" t="s">
        <v>185</v>
      </c>
      <c r="C1927" t="s">
        <v>131</v>
      </c>
      <c r="D1927" t="s">
        <v>17</v>
      </c>
      <c r="E1927" t="s">
        <v>45</v>
      </c>
      <c r="F1927" s="1">
        <v>42798</v>
      </c>
      <c r="G1927">
        <v>549058330</v>
      </c>
      <c r="H1927" s="1">
        <v>43044</v>
      </c>
      <c r="I1927">
        <v>7416</v>
      </c>
      <c r="J1927">
        <v>668.27</v>
      </c>
      <c r="K1927">
        <v>502.54</v>
      </c>
      <c r="L1927">
        <v>4955890.32</v>
      </c>
      <c r="M1927">
        <v>3726836.64</v>
      </c>
      <c r="N1927">
        <v>1229053.68</v>
      </c>
    </row>
    <row r="1928" spans="1:14" x14ac:dyDescent="0.25">
      <c r="A1928" t="s">
        <v>38</v>
      </c>
      <c r="B1928" t="s">
        <v>177</v>
      </c>
      <c r="C1928" t="s">
        <v>44</v>
      </c>
      <c r="D1928" t="s">
        <v>22</v>
      </c>
      <c r="E1928" t="s">
        <v>32</v>
      </c>
      <c r="F1928" s="1">
        <v>40914</v>
      </c>
      <c r="G1928">
        <v>230475842</v>
      </c>
      <c r="H1928" s="1">
        <v>41127</v>
      </c>
      <c r="I1928">
        <v>1778</v>
      </c>
      <c r="J1928">
        <v>109.28</v>
      </c>
      <c r="K1928">
        <v>35.840000000000003</v>
      </c>
      <c r="L1928">
        <v>194299.84</v>
      </c>
      <c r="M1928">
        <v>63723.519999999997</v>
      </c>
      <c r="N1928">
        <v>130576.32000000001</v>
      </c>
    </row>
    <row r="1929" spans="1:14" x14ac:dyDescent="0.25">
      <c r="A1929" t="s">
        <v>51</v>
      </c>
      <c r="B1929" t="s">
        <v>223</v>
      </c>
      <c r="C1929" t="s">
        <v>88</v>
      </c>
      <c r="D1929" t="s">
        <v>22</v>
      </c>
      <c r="E1929" t="s">
        <v>32</v>
      </c>
      <c r="F1929" s="1">
        <v>40546</v>
      </c>
      <c r="G1929">
        <v>672106063</v>
      </c>
      <c r="H1929" s="1">
        <v>40819</v>
      </c>
      <c r="I1929">
        <v>9975</v>
      </c>
      <c r="J1929">
        <v>9.33</v>
      </c>
      <c r="K1929">
        <v>6.92</v>
      </c>
      <c r="L1929">
        <v>93066.75</v>
      </c>
      <c r="M1929">
        <v>69027</v>
      </c>
      <c r="N1929">
        <v>24039.75</v>
      </c>
    </row>
    <row r="1930" spans="1:14" x14ac:dyDescent="0.25">
      <c r="A1930" t="s">
        <v>51</v>
      </c>
      <c r="B1930" t="s">
        <v>166</v>
      </c>
      <c r="C1930" t="s">
        <v>88</v>
      </c>
      <c r="D1930" t="s">
        <v>17</v>
      </c>
      <c r="E1930" t="s">
        <v>18</v>
      </c>
      <c r="F1930" t="s">
        <v>998</v>
      </c>
      <c r="G1930">
        <v>281810319</v>
      </c>
      <c r="H1930" s="1">
        <v>40553</v>
      </c>
      <c r="I1930">
        <v>2791</v>
      </c>
      <c r="J1930">
        <v>9.33</v>
      </c>
      <c r="K1930">
        <v>6.92</v>
      </c>
      <c r="L1930">
        <v>26040.03</v>
      </c>
      <c r="M1930">
        <v>19313.72</v>
      </c>
      <c r="N1930">
        <v>6726.31</v>
      </c>
    </row>
    <row r="1931" spans="1:14" x14ac:dyDescent="0.25">
      <c r="A1931" t="s">
        <v>29</v>
      </c>
      <c r="B1931" t="s">
        <v>619</v>
      </c>
      <c r="C1931" t="s">
        <v>16</v>
      </c>
      <c r="D1931" t="s">
        <v>22</v>
      </c>
      <c r="E1931" t="s">
        <v>45</v>
      </c>
      <c r="F1931" t="s">
        <v>1451</v>
      </c>
      <c r="G1931">
        <v>237762439</v>
      </c>
      <c r="H1931" s="1">
        <v>42472</v>
      </c>
      <c r="I1931">
        <v>8044</v>
      </c>
      <c r="J1931">
        <v>255.28</v>
      </c>
      <c r="K1931">
        <v>159.41999999999999</v>
      </c>
      <c r="L1931">
        <v>2053472.32</v>
      </c>
      <c r="M1931">
        <v>1282374.48</v>
      </c>
      <c r="N1931">
        <v>771097.84</v>
      </c>
    </row>
    <row r="1932" spans="1:14" x14ac:dyDescent="0.25">
      <c r="A1932" t="s">
        <v>38</v>
      </c>
      <c r="B1932" t="s">
        <v>346</v>
      </c>
      <c r="C1932" t="s">
        <v>40</v>
      </c>
      <c r="D1932" t="s">
        <v>22</v>
      </c>
      <c r="E1932" t="s">
        <v>45</v>
      </c>
      <c r="F1932" t="s">
        <v>337</v>
      </c>
      <c r="G1932">
        <v>438448750</v>
      </c>
      <c r="H1932" t="s">
        <v>1459</v>
      </c>
      <c r="I1932">
        <v>5583</v>
      </c>
      <c r="J1932">
        <v>81.73</v>
      </c>
      <c r="K1932">
        <v>56.67</v>
      </c>
      <c r="L1932">
        <v>456298.59</v>
      </c>
      <c r="M1932">
        <v>316388.61</v>
      </c>
      <c r="N1932">
        <v>139909.98000000001</v>
      </c>
    </row>
    <row r="1933" spans="1:14" x14ac:dyDescent="0.25">
      <c r="A1933" t="s">
        <v>29</v>
      </c>
      <c r="B1933" t="s">
        <v>585</v>
      </c>
      <c r="C1933" t="s">
        <v>31</v>
      </c>
      <c r="D1933" t="s">
        <v>17</v>
      </c>
      <c r="E1933" t="s">
        <v>18</v>
      </c>
      <c r="F1933" t="s">
        <v>324</v>
      </c>
      <c r="G1933">
        <v>852668082</v>
      </c>
      <c r="H1933" t="s">
        <v>676</v>
      </c>
      <c r="I1933">
        <v>2289</v>
      </c>
      <c r="J1933">
        <v>205.7</v>
      </c>
      <c r="K1933">
        <v>117.11</v>
      </c>
      <c r="L1933">
        <v>470847.3</v>
      </c>
      <c r="M1933">
        <v>268064.78999999998</v>
      </c>
      <c r="N1933">
        <v>202782.51</v>
      </c>
    </row>
    <row r="1934" spans="1:14" x14ac:dyDescent="0.25">
      <c r="A1934" t="s">
        <v>29</v>
      </c>
      <c r="B1934" t="s">
        <v>375</v>
      </c>
      <c r="C1934" t="s">
        <v>113</v>
      </c>
      <c r="D1934" t="s">
        <v>17</v>
      </c>
      <c r="E1934" t="s">
        <v>45</v>
      </c>
      <c r="F1934" s="1">
        <v>42404</v>
      </c>
      <c r="G1934">
        <v>169531762</v>
      </c>
      <c r="H1934" t="s">
        <v>1420</v>
      </c>
      <c r="I1934">
        <v>7071</v>
      </c>
      <c r="J1934">
        <v>154.06</v>
      </c>
      <c r="K1934">
        <v>90.93</v>
      </c>
      <c r="L1934">
        <v>1089358.26</v>
      </c>
      <c r="M1934">
        <v>642966.03</v>
      </c>
      <c r="N1934">
        <v>446392.23</v>
      </c>
    </row>
    <row r="1935" spans="1:14" x14ac:dyDescent="0.25">
      <c r="A1935" t="s">
        <v>51</v>
      </c>
      <c r="B1935" t="s">
        <v>301</v>
      </c>
      <c r="C1935" t="s">
        <v>88</v>
      </c>
      <c r="D1935" t="s">
        <v>22</v>
      </c>
      <c r="E1935" t="s">
        <v>45</v>
      </c>
      <c r="F1935" t="s">
        <v>1460</v>
      </c>
      <c r="G1935">
        <v>748463618</v>
      </c>
      <c r="H1935" t="s">
        <v>448</v>
      </c>
      <c r="I1935">
        <v>5872</v>
      </c>
      <c r="J1935">
        <v>9.33</v>
      </c>
      <c r="K1935">
        <v>6.92</v>
      </c>
      <c r="L1935">
        <v>54785.760000000002</v>
      </c>
      <c r="M1935">
        <v>40634.239999999998</v>
      </c>
      <c r="N1935">
        <v>14151.52</v>
      </c>
    </row>
    <row r="1936" spans="1:14" x14ac:dyDescent="0.25">
      <c r="A1936" t="s">
        <v>25</v>
      </c>
      <c r="B1936" t="s">
        <v>462</v>
      </c>
      <c r="C1936" t="s">
        <v>69</v>
      </c>
      <c r="D1936" t="s">
        <v>17</v>
      </c>
      <c r="E1936" t="s">
        <v>45</v>
      </c>
      <c r="F1936" s="1">
        <v>41619</v>
      </c>
      <c r="G1936">
        <v>969199979</v>
      </c>
      <c r="H1936" s="1">
        <v>41467</v>
      </c>
      <c r="I1936">
        <v>6666</v>
      </c>
      <c r="J1936">
        <v>421.89</v>
      </c>
      <c r="K1936">
        <v>364.69</v>
      </c>
      <c r="L1936">
        <v>2812318.74</v>
      </c>
      <c r="M1936">
        <v>2431023.54</v>
      </c>
      <c r="N1936">
        <v>381295.2</v>
      </c>
    </row>
    <row r="1937" spans="1:14" x14ac:dyDescent="0.25">
      <c r="A1937" t="s">
        <v>14</v>
      </c>
      <c r="B1937" t="s">
        <v>213</v>
      </c>
      <c r="C1937" t="s">
        <v>27</v>
      </c>
      <c r="D1937" t="s">
        <v>22</v>
      </c>
      <c r="E1937" t="s">
        <v>23</v>
      </c>
      <c r="F1937" t="s">
        <v>1461</v>
      </c>
      <c r="G1937">
        <v>181789672</v>
      </c>
      <c r="H1937" t="s">
        <v>300</v>
      </c>
      <c r="I1937">
        <v>4459</v>
      </c>
      <c r="J1937">
        <v>47.45</v>
      </c>
      <c r="K1937">
        <v>31.79</v>
      </c>
      <c r="L1937">
        <v>211579.55</v>
      </c>
      <c r="M1937">
        <v>141751.60999999999</v>
      </c>
      <c r="N1937">
        <v>69827.94</v>
      </c>
    </row>
    <row r="1938" spans="1:14" x14ac:dyDescent="0.25">
      <c r="A1938" t="s">
        <v>25</v>
      </c>
      <c r="B1938" t="s">
        <v>426</v>
      </c>
      <c r="C1938" t="s">
        <v>16</v>
      </c>
      <c r="D1938" t="s">
        <v>22</v>
      </c>
      <c r="E1938" t="s">
        <v>32</v>
      </c>
      <c r="F1938" t="s">
        <v>946</v>
      </c>
      <c r="G1938">
        <v>956594026</v>
      </c>
      <c r="H1938" t="s">
        <v>1462</v>
      </c>
      <c r="I1938">
        <v>6285</v>
      </c>
      <c r="J1938">
        <v>255.28</v>
      </c>
      <c r="K1938">
        <v>159.41999999999999</v>
      </c>
      <c r="L1938">
        <v>1604434.8</v>
      </c>
      <c r="M1938">
        <v>1001954.7</v>
      </c>
      <c r="N1938">
        <v>602480.1</v>
      </c>
    </row>
    <row r="1939" spans="1:14" x14ac:dyDescent="0.25">
      <c r="A1939" t="s">
        <v>77</v>
      </c>
      <c r="B1939" t="s">
        <v>320</v>
      </c>
      <c r="C1939" t="s">
        <v>69</v>
      </c>
      <c r="D1939" t="s">
        <v>17</v>
      </c>
      <c r="E1939" t="s">
        <v>23</v>
      </c>
      <c r="F1939" s="1">
        <v>40335</v>
      </c>
      <c r="G1939">
        <v>534286868</v>
      </c>
      <c r="H1939" t="s">
        <v>1426</v>
      </c>
      <c r="I1939">
        <v>6212</v>
      </c>
      <c r="J1939">
        <v>421.89</v>
      </c>
      <c r="K1939">
        <v>364.69</v>
      </c>
      <c r="L1939">
        <v>2620780.6800000002</v>
      </c>
      <c r="M1939">
        <v>2265454.2799999998</v>
      </c>
      <c r="N1939">
        <v>355326.4</v>
      </c>
    </row>
    <row r="1940" spans="1:14" x14ac:dyDescent="0.25">
      <c r="A1940" t="s">
        <v>42</v>
      </c>
      <c r="B1940" t="s">
        <v>103</v>
      </c>
      <c r="C1940" t="s">
        <v>40</v>
      </c>
      <c r="D1940" t="s">
        <v>17</v>
      </c>
      <c r="E1940" t="s">
        <v>18</v>
      </c>
      <c r="F1940" t="s">
        <v>633</v>
      </c>
      <c r="G1940">
        <v>275854527</v>
      </c>
      <c r="H1940" t="s">
        <v>1348</v>
      </c>
      <c r="I1940">
        <v>340</v>
      </c>
      <c r="J1940">
        <v>81.73</v>
      </c>
      <c r="K1940">
        <v>56.67</v>
      </c>
      <c r="L1940">
        <v>27788.2</v>
      </c>
      <c r="M1940">
        <v>19267.8</v>
      </c>
      <c r="N1940">
        <v>8520.4</v>
      </c>
    </row>
    <row r="1941" spans="1:14" x14ac:dyDescent="0.25">
      <c r="A1941" t="s">
        <v>25</v>
      </c>
      <c r="B1941" t="s">
        <v>196</v>
      </c>
      <c r="C1941" t="s">
        <v>27</v>
      </c>
      <c r="D1941" t="s">
        <v>17</v>
      </c>
      <c r="E1941" t="s">
        <v>45</v>
      </c>
      <c r="F1941" t="s">
        <v>1299</v>
      </c>
      <c r="G1941">
        <v>712595832</v>
      </c>
      <c r="H1941" t="s">
        <v>1291</v>
      </c>
      <c r="I1941">
        <v>1797</v>
      </c>
      <c r="J1941">
        <v>47.45</v>
      </c>
      <c r="K1941">
        <v>31.79</v>
      </c>
      <c r="L1941">
        <v>85267.65</v>
      </c>
      <c r="M1941">
        <v>57126.63</v>
      </c>
      <c r="N1941">
        <v>28141.02</v>
      </c>
    </row>
    <row r="1942" spans="1:14" x14ac:dyDescent="0.25">
      <c r="A1942" t="s">
        <v>14</v>
      </c>
      <c r="B1942" t="s">
        <v>81</v>
      </c>
      <c r="C1942" t="s">
        <v>40</v>
      </c>
      <c r="D1942" t="s">
        <v>17</v>
      </c>
      <c r="E1942" t="s">
        <v>45</v>
      </c>
      <c r="F1942" t="s">
        <v>1463</v>
      </c>
      <c r="G1942">
        <v>196122109</v>
      </c>
      <c r="H1942" t="s">
        <v>554</v>
      </c>
      <c r="I1942">
        <v>5745</v>
      </c>
      <c r="J1942">
        <v>81.73</v>
      </c>
      <c r="K1942">
        <v>56.67</v>
      </c>
      <c r="L1942">
        <v>469538.85</v>
      </c>
      <c r="M1942">
        <v>325569.15000000002</v>
      </c>
      <c r="N1942">
        <v>143969.70000000001</v>
      </c>
    </row>
    <row r="1943" spans="1:14" x14ac:dyDescent="0.25">
      <c r="A1943" t="s">
        <v>25</v>
      </c>
      <c r="B1943" t="s">
        <v>469</v>
      </c>
      <c r="C1943" t="s">
        <v>16</v>
      </c>
      <c r="D1943" t="s">
        <v>22</v>
      </c>
      <c r="E1943" t="s">
        <v>23</v>
      </c>
      <c r="F1943" t="s">
        <v>560</v>
      </c>
      <c r="G1943">
        <v>748357188</v>
      </c>
      <c r="H1943" t="s">
        <v>617</v>
      </c>
      <c r="I1943">
        <v>4377</v>
      </c>
      <c r="J1943">
        <v>255.28</v>
      </c>
      <c r="K1943">
        <v>159.41999999999999</v>
      </c>
      <c r="L1943">
        <v>1117360.56</v>
      </c>
      <c r="M1943">
        <v>697781.34</v>
      </c>
      <c r="N1943">
        <v>419579.22</v>
      </c>
    </row>
    <row r="1944" spans="1:14" x14ac:dyDescent="0.25">
      <c r="A1944" t="s">
        <v>77</v>
      </c>
      <c r="B1944" t="s">
        <v>794</v>
      </c>
      <c r="C1944" t="s">
        <v>59</v>
      </c>
      <c r="D1944" t="s">
        <v>17</v>
      </c>
      <c r="E1944" t="s">
        <v>23</v>
      </c>
      <c r="F1944" t="s">
        <v>1148</v>
      </c>
      <c r="G1944">
        <v>411537396</v>
      </c>
      <c r="H1944" s="1">
        <v>41345</v>
      </c>
      <c r="I1944">
        <v>1916</v>
      </c>
      <c r="J1944">
        <v>437.2</v>
      </c>
      <c r="K1944">
        <v>263.33</v>
      </c>
      <c r="L1944">
        <v>837675.2</v>
      </c>
      <c r="M1944">
        <v>504540.28</v>
      </c>
      <c r="N1944">
        <v>333134.92</v>
      </c>
    </row>
    <row r="1945" spans="1:14" x14ac:dyDescent="0.25">
      <c r="A1945" t="s">
        <v>25</v>
      </c>
      <c r="B1945" t="s">
        <v>87</v>
      </c>
      <c r="C1945" t="s">
        <v>88</v>
      </c>
      <c r="D1945" t="s">
        <v>22</v>
      </c>
      <c r="E1945" t="s">
        <v>32</v>
      </c>
      <c r="F1945" t="s">
        <v>644</v>
      </c>
      <c r="G1945">
        <v>898211562</v>
      </c>
      <c r="H1945" s="1">
        <v>41611</v>
      </c>
      <c r="I1945">
        <v>9616</v>
      </c>
      <c r="J1945">
        <v>9.33</v>
      </c>
      <c r="K1945">
        <v>6.92</v>
      </c>
      <c r="L1945">
        <v>89717.28</v>
      </c>
      <c r="M1945">
        <v>66542.720000000001</v>
      </c>
      <c r="N1945">
        <v>23174.560000000001</v>
      </c>
    </row>
    <row r="1946" spans="1:14" x14ac:dyDescent="0.25">
      <c r="A1946" t="s">
        <v>42</v>
      </c>
      <c r="B1946" t="s">
        <v>361</v>
      </c>
      <c r="C1946" t="s">
        <v>88</v>
      </c>
      <c r="D1946" t="s">
        <v>22</v>
      </c>
      <c r="E1946" t="s">
        <v>18</v>
      </c>
      <c r="F1946" s="1">
        <v>42349</v>
      </c>
      <c r="G1946">
        <v>841241014</v>
      </c>
      <c r="H1946" t="s">
        <v>1395</v>
      </c>
      <c r="I1946">
        <v>765</v>
      </c>
      <c r="J1946">
        <v>9.33</v>
      </c>
      <c r="K1946">
        <v>6.92</v>
      </c>
      <c r="L1946">
        <v>7137.45</v>
      </c>
      <c r="M1946">
        <v>5293.8</v>
      </c>
      <c r="N1946">
        <v>1843.65</v>
      </c>
    </row>
    <row r="1947" spans="1:14" x14ac:dyDescent="0.25">
      <c r="A1947" t="s">
        <v>51</v>
      </c>
      <c r="B1947" t="s">
        <v>108</v>
      </c>
      <c r="C1947" t="s">
        <v>16</v>
      </c>
      <c r="D1947" t="s">
        <v>17</v>
      </c>
      <c r="E1947" t="s">
        <v>32</v>
      </c>
      <c r="F1947" t="s">
        <v>1116</v>
      </c>
      <c r="G1947">
        <v>743799579</v>
      </c>
      <c r="H1947" s="1">
        <v>40586</v>
      </c>
      <c r="I1947">
        <v>5679</v>
      </c>
      <c r="J1947">
        <v>255.28</v>
      </c>
      <c r="K1947">
        <v>159.41999999999999</v>
      </c>
      <c r="L1947">
        <v>1449735.12</v>
      </c>
      <c r="M1947">
        <v>905346.18</v>
      </c>
      <c r="N1947">
        <v>544388.93999999994</v>
      </c>
    </row>
    <row r="1948" spans="1:14" x14ac:dyDescent="0.25">
      <c r="A1948" t="s">
        <v>25</v>
      </c>
      <c r="B1948" t="s">
        <v>615</v>
      </c>
      <c r="C1948" t="s">
        <v>55</v>
      </c>
      <c r="D1948" t="s">
        <v>22</v>
      </c>
      <c r="E1948" t="s">
        <v>23</v>
      </c>
      <c r="F1948" t="s">
        <v>953</v>
      </c>
      <c r="G1948">
        <v>729373586</v>
      </c>
      <c r="H1948" s="1">
        <v>41766</v>
      </c>
      <c r="I1948">
        <v>6707</v>
      </c>
      <c r="J1948">
        <v>651.21</v>
      </c>
      <c r="K1948">
        <v>524.96</v>
      </c>
      <c r="L1948">
        <v>4367665.47</v>
      </c>
      <c r="M1948">
        <v>3520906.72</v>
      </c>
      <c r="N1948">
        <v>846758.75</v>
      </c>
    </row>
    <row r="1949" spans="1:14" x14ac:dyDescent="0.25">
      <c r="A1949" t="s">
        <v>25</v>
      </c>
      <c r="B1949" t="s">
        <v>266</v>
      </c>
      <c r="C1949" t="s">
        <v>88</v>
      </c>
      <c r="D1949" t="s">
        <v>22</v>
      </c>
      <c r="E1949" t="s">
        <v>18</v>
      </c>
      <c r="F1949" t="s">
        <v>810</v>
      </c>
      <c r="G1949">
        <v>991761863</v>
      </c>
      <c r="H1949" t="s">
        <v>1219</v>
      </c>
      <c r="I1949">
        <v>3229</v>
      </c>
      <c r="J1949">
        <v>9.33</v>
      </c>
      <c r="K1949">
        <v>6.92</v>
      </c>
      <c r="L1949">
        <v>30126.57</v>
      </c>
      <c r="M1949">
        <v>22344.68</v>
      </c>
      <c r="N1949">
        <v>7781.89</v>
      </c>
    </row>
    <row r="1950" spans="1:14" x14ac:dyDescent="0.25">
      <c r="A1950" t="s">
        <v>51</v>
      </c>
      <c r="B1950" t="s">
        <v>151</v>
      </c>
      <c r="C1950" t="s">
        <v>59</v>
      </c>
      <c r="D1950" t="s">
        <v>17</v>
      </c>
      <c r="E1950" t="s">
        <v>32</v>
      </c>
      <c r="F1950" t="s">
        <v>1239</v>
      </c>
      <c r="G1950">
        <v>445075738</v>
      </c>
      <c r="H1950" t="s">
        <v>1277</v>
      </c>
      <c r="I1950">
        <v>6656</v>
      </c>
      <c r="J1950">
        <v>437.2</v>
      </c>
      <c r="K1950">
        <v>263.33</v>
      </c>
      <c r="L1950">
        <v>2910003.2000000002</v>
      </c>
      <c r="M1950">
        <v>1752724.48</v>
      </c>
      <c r="N1950">
        <v>1157278.72</v>
      </c>
    </row>
    <row r="1951" spans="1:14" x14ac:dyDescent="0.25">
      <c r="A1951" t="s">
        <v>38</v>
      </c>
      <c r="B1951" t="s">
        <v>83</v>
      </c>
      <c r="C1951" t="s">
        <v>44</v>
      </c>
      <c r="D1951" t="s">
        <v>17</v>
      </c>
      <c r="E1951" t="s">
        <v>32</v>
      </c>
      <c r="F1951" t="s">
        <v>1164</v>
      </c>
      <c r="G1951">
        <v>773739039</v>
      </c>
      <c r="H1951" t="s">
        <v>1376</v>
      </c>
      <c r="I1951">
        <v>5431</v>
      </c>
      <c r="J1951">
        <v>109.28</v>
      </c>
      <c r="K1951">
        <v>35.840000000000003</v>
      </c>
      <c r="L1951">
        <v>593499.68000000005</v>
      </c>
      <c r="M1951">
        <v>194647.04000000001</v>
      </c>
      <c r="N1951">
        <v>398852.64</v>
      </c>
    </row>
    <row r="1952" spans="1:14" x14ac:dyDescent="0.25">
      <c r="A1952" t="s">
        <v>42</v>
      </c>
      <c r="B1952" t="s">
        <v>565</v>
      </c>
      <c r="C1952" t="s">
        <v>40</v>
      </c>
      <c r="D1952" t="s">
        <v>22</v>
      </c>
      <c r="E1952" t="s">
        <v>18</v>
      </c>
      <c r="F1952" s="1">
        <v>41676</v>
      </c>
      <c r="G1952">
        <v>582488095</v>
      </c>
      <c r="H1952" t="s">
        <v>1078</v>
      </c>
      <c r="I1952">
        <v>26</v>
      </c>
      <c r="J1952">
        <v>81.73</v>
      </c>
      <c r="K1952">
        <v>56.67</v>
      </c>
      <c r="L1952">
        <v>2124.98</v>
      </c>
      <c r="M1952">
        <v>1473.42</v>
      </c>
      <c r="N1952">
        <v>651.55999999999995</v>
      </c>
    </row>
    <row r="1953" spans="1:14" x14ac:dyDescent="0.25">
      <c r="A1953" t="s">
        <v>38</v>
      </c>
      <c r="B1953" t="s">
        <v>54</v>
      </c>
      <c r="C1953" t="s">
        <v>31</v>
      </c>
      <c r="D1953" t="s">
        <v>17</v>
      </c>
      <c r="E1953" t="s">
        <v>23</v>
      </c>
      <c r="F1953" t="s">
        <v>349</v>
      </c>
      <c r="G1953">
        <v>346371734</v>
      </c>
      <c r="H1953" t="s">
        <v>1210</v>
      </c>
      <c r="I1953">
        <v>7948</v>
      </c>
      <c r="J1953">
        <v>205.7</v>
      </c>
      <c r="K1953">
        <v>117.11</v>
      </c>
      <c r="L1953">
        <v>1634903.6</v>
      </c>
      <c r="M1953">
        <v>930790.28</v>
      </c>
      <c r="N1953">
        <v>704113.32</v>
      </c>
    </row>
    <row r="1954" spans="1:14" x14ac:dyDescent="0.25">
      <c r="A1954" t="s">
        <v>25</v>
      </c>
      <c r="B1954" t="s">
        <v>201</v>
      </c>
      <c r="C1954" t="s">
        <v>40</v>
      </c>
      <c r="D1954" t="s">
        <v>22</v>
      </c>
      <c r="E1954" t="s">
        <v>23</v>
      </c>
      <c r="F1954" t="s">
        <v>1307</v>
      </c>
      <c r="G1954">
        <v>160751283</v>
      </c>
      <c r="H1954" t="s">
        <v>1409</v>
      </c>
      <c r="I1954">
        <v>8732</v>
      </c>
      <c r="J1954">
        <v>81.73</v>
      </c>
      <c r="K1954">
        <v>56.67</v>
      </c>
      <c r="L1954">
        <v>713666.36</v>
      </c>
      <c r="M1954">
        <v>494842.44</v>
      </c>
      <c r="N1954">
        <v>218823.92</v>
      </c>
    </row>
    <row r="1955" spans="1:14" x14ac:dyDescent="0.25">
      <c r="A1955" t="s">
        <v>29</v>
      </c>
      <c r="B1955" t="s">
        <v>545</v>
      </c>
      <c r="C1955" t="s">
        <v>55</v>
      </c>
      <c r="D1955" t="s">
        <v>22</v>
      </c>
      <c r="E1955" t="s">
        <v>32</v>
      </c>
      <c r="F1955" s="1">
        <v>42312</v>
      </c>
      <c r="G1955">
        <v>191300570</v>
      </c>
      <c r="H1955" s="1">
        <v>42160</v>
      </c>
      <c r="I1955">
        <v>8945</v>
      </c>
      <c r="J1955">
        <v>651.21</v>
      </c>
      <c r="K1955">
        <v>524.96</v>
      </c>
      <c r="L1955">
        <v>5825073.4500000002</v>
      </c>
      <c r="M1955">
        <v>4695767.2</v>
      </c>
      <c r="N1955">
        <v>1129306.25</v>
      </c>
    </row>
    <row r="1956" spans="1:14" x14ac:dyDescent="0.25">
      <c r="A1956" t="s">
        <v>14</v>
      </c>
      <c r="B1956" t="s">
        <v>372</v>
      </c>
      <c r="C1956" t="s">
        <v>21</v>
      </c>
      <c r="D1956" t="s">
        <v>17</v>
      </c>
      <c r="E1956" t="s">
        <v>18</v>
      </c>
      <c r="F1956" t="s">
        <v>551</v>
      </c>
      <c r="G1956">
        <v>224005925</v>
      </c>
      <c r="H1956" t="s">
        <v>1197</v>
      </c>
      <c r="I1956">
        <v>7186</v>
      </c>
      <c r="J1956">
        <v>152.58000000000001</v>
      </c>
      <c r="K1956">
        <v>97.44</v>
      </c>
      <c r="L1956">
        <v>1096439.8799999999</v>
      </c>
      <c r="M1956">
        <v>700203.84</v>
      </c>
      <c r="N1956">
        <v>396236.04</v>
      </c>
    </row>
    <row r="1957" spans="1:14" x14ac:dyDescent="0.25">
      <c r="A1957" t="s">
        <v>38</v>
      </c>
      <c r="B1957" t="s">
        <v>85</v>
      </c>
      <c r="C1957" t="s">
        <v>27</v>
      </c>
      <c r="D1957" t="s">
        <v>17</v>
      </c>
      <c r="E1957" t="s">
        <v>32</v>
      </c>
      <c r="F1957" t="s">
        <v>145</v>
      </c>
      <c r="G1957">
        <v>115166175</v>
      </c>
      <c r="H1957" t="s">
        <v>1156</v>
      </c>
      <c r="I1957">
        <v>9085</v>
      </c>
      <c r="J1957">
        <v>47.45</v>
      </c>
      <c r="K1957">
        <v>31.79</v>
      </c>
      <c r="L1957">
        <v>431083.25</v>
      </c>
      <c r="M1957">
        <v>288812.15000000002</v>
      </c>
      <c r="N1957">
        <v>142271.1</v>
      </c>
    </row>
    <row r="1958" spans="1:14" x14ac:dyDescent="0.25">
      <c r="A1958" t="s">
        <v>25</v>
      </c>
      <c r="B1958" t="s">
        <v>458</v>
      </c>
      <c r="C1958" t="s">
        <v>131</v>
      </c>
      <c r="D1958" t="s">
        <v>17</v>
      </c>
      <c r="E1958" t="s">
        <v>45</v>
      </c>
      <c r="F1958" t="s">
        <v>1181</v>
      </c>
      <c r="G1958">
        <v>241392648</v>
      </c>
      <c r="H1958" t="s">
        <v>821</v>
      </c>
      <c r="I1958">
        <v>2304</v>
      </c>
      <c r="J1958">
        <v>668.27</v>
      </c>
      <c r="K1958">
        <v>502.54</v>
      </c>
      <c r="L1958">
        <v>1539694.08</v>
      </c>
      <c r="M1958">
        <v>1157852.1599999999</v>
      </c>
      <c r="N1958">
        <v>381841.91999999998</v>
      </c>
    </row>
    <row r="1959" spans="1:14" x14ac:dyDescent="0.25">
      <c r="A1959" t="s">
        <v>14</v>
      </c>
      <c r="B1959" t="s">
        <v>226</v>
      </c>
      <c r="C1959" t="s">
        <v>88</v>
      </c>
      <c r="D1959" t="s">
        <v>17</v>
      </c>
      <c r="E1959" t="s">
        <v>23</v>
      </c>
      <c r="F1959" t="s">
        <v>524</v>
      </c>
      <c r="G1959">
        <v>149609172</v>
      </c>
      <c r="H1959" s="1">
        <v>42403</v>
      </c>
      <c r="I1959">
        <v>1533</v>
      </c>
      <c r="J1959">
        <v>9.33</v>
      </c>
      <c r="K1959">
        <v>6.92</v>
      </c>
      <c r="L1959">
        <v>14302.89</v>
      </c>
      <c r="M1959">
        <v>10608.36</v>
      </c>
      <c r="N1959">
        <v>3694.53</v>
      </c>
    </row>
    <row r="1960" spans="1:14" x14ac:dyDescent="0.25">
      <c r="A1960" t="s">
        <v>51</v>
      </c>
      <c r="B1960" t="s">
        <v>578</v>
      </c>
      <c r="C1960" t="s">
        <v>55</v>
      </c>
      <c r="D1960" t="s">
        <v>22</v>
      </c>
      <c r="E1960" t="s">
        <v>23</v>
      </c>
      <c r="F1960" t="s">
        <v>857</v>
      </c>
      <c r="G1960">
        <v>807052075</v>
      </c>
      <c r="H1960" t="s">
        <v>1288</v>
      </c>
      <c r="I1960">
        <v>3498</v>
      </c>
      <c r="J1960">
        <v>651.21</v>
      </c>
      <c r="K1960">
        <v>524.96</v>
      </c>
      <c r="L1960">
        <v>2277932.58</v>
      </c>
      <c r="M1960">
        <v>1836310.08</v>
      </c>
      <c r="N1960">
        <v>441622.5</v>
      </c>
    </row>
    <row r="1961" spans="1:14" x14ac:dyDescent="0.25">
      <c r="A1961" t="s">
        <v>14</v>
      </c>
      <c r="B1961" t="s">
        <v>383</v>
      </c>
      <c r="C1961" t="s">
        <v>16</v>
      </c>
      <c r="D1961" t="s">
        <v>17</v>
      </c>
      <c r="E1961" t="s">
        <v>18</v>
      </c>
      <c r="F1961" t="s">
        <v>1260</v>
      </c>
      <c r="G1961">
        <v>551270186</v>
      </c>
      <c r="H1961" s="1">
        <v>41886</v>
      </c>
      <c r="I1961">
        <v>1953</v>
      </c>
      <c r="J1961">
        <v>255.28</v>
      </c>
      <c r="K1961">
        <v>159.41999999999999</v>
      </c>
      <c r="L1961">
        <v>498561.84</v>
      </c>
      <c r="M1961">
        <v>311347.26</v>
      </c>
      <c r="N1961">
        <v>187214.58</v>
      </c>
    </row>
    <row r="1962" spans="1:14" x14ac:dyDescent="0.25">
      <c r="A1962" t="s">
        <v>38</v>
      </c>
      <c r="B1962" t="s">
        <v>388</v>
      </c>
      <c r="C1962" t="s">
        <v>44</v>
      </c>
      <c r="D1962" t="s">
        <v>17</v>
      </c>
      <c r="E1962" t="s">
        <v>18</v>
      </c>
      <c r="F1962" t="s">
        <v>714</v>
      </c>
      <c r="G1962">
        <v>940124833</v>
      </c>
      <c r="H1962" s="1">
        <v>42435</v>
      </c>
      <c r="I1962">
        <v>2685</v>
      </c>
      <c r="J1962">
        <v>109.28</v>
      </c>
      <c r="K1962">
        <v>35.840000000000003</v>
      </c>
      <c r="L1962">
        <v>293416.8</v>
      </c>
      <c r="M1962">
        <v>96230.399999999994</v>
      </c>
      <c r="N1962">
        <v>197186.4</v>
      </c>
    </row>
    <row r="1963" spans="1:14" x14ac:dyDescent="0.25">
      <c r="A1963" t="s">
        <v>25</v>
      </c>
      <c r="B1963" t="s">
        <v>242</v>
      </c>
      <c r="C1963" t="s">
        <v>69</v>
      </c>
      <c r="D1963" t="s">
        <v>17</v>
      </c>
      <c r="E1963" t="s">
        <v>45</v>
      </c>
      <c r="F1963" t="s">
        <v>1299</v>
      </c>
      <c r="G1963">
        <v>901789844</v>
      </c>
      <c r="H1963" s="1">
        <v>42129</v>
      </c>
      <c r="I1963">
        <v>8509</v>
      </c>
      <c r="J1963">
        <v>421.89</v>
      </c>
      <c r="K1963">
        <v>364.69</v>
      </c>
      <c r="L1963">
        <v>3589862.01</v>
      </c>
      <c r="M1963">
        <v>3103147.21</v>
      </c>
      <c r="N1963">
        <v>486714.8</v>
      </c>
    </row>
    <row r="1964" spans="1:14" x14ac:dyDescent="0.25">
      <c r="A1964" t="s">
        <v>42</v>
      </c>
      <c r="B1964" t="s">
        <v>150</v>
      </c>
      <c r="C1964" t="s">
        <v>69</v>
      </c>
      <c r="D1964" t="s">
        <v>17</v>
      </c>
      <c r="E1964" t="s">
        <v>32</v>
      </c>
      <c r="F1964" t="s">
        <v>1059</v>
      </c>
      <c r="G1964">
        <v>784751546</v>
      </c>
      <c r="H1964" s="1">
        <v>40852</v>
      </c>
      <c r="I1964">
        <v>4276</v>
      </c>
      <c r="J1964">
        <v>421.89</v>
      </c>
      <c r="K1964">
        <v>364.69</v>
      </c>
      <c r="L1964">
        <v>1804001.64</v>
      </c>
      <c r="M1964">
        <v>1559414.44</v>
      </c>
      <c r="N1964">
        <v>244587.2</v>
      </c>
    </row>
    <row r="1965" spans="1:14" x14ac:dyDescent="0.25">
      <c r="A1965" t="s">
        <v>51</v>
      </c>
      <c r="B1965" t="s">
        <v>327</v>
      </c>
      <c r="C1965" t="s">
        <v>40</v>
      </c>
      <c r="D1965" t="s">
        <v>17</v>
      </c>
      <c r="E1965" t="s">
        <v>18</v>
      </c>
      <c r="F1965" t="s">
        <v>1249</v>
      </c>
      <c r="G1965">
        <v>107808768</v>
      </c>
      <c r="H1965" t="s">
        <v>334</v>
      </c>
      <c r="I1965">
        <v>1865</v>
      </c>
      <c r="J1965">
        <v>81.73</v>
      </c>
      <c r="K1965">
        <v>56.67</v>
      </c>
      <c r="L1965">
        <v>152426.45000000001</v>
      </c>
      <c r="M1965">
        <v>105689.55</v>
      </c>
      <c r="N1965">
        <v>46736.9</v>
      </c>
    </row>
    <row r="1966" spans="1:14" x14ac:dyDescent="0.25">
      <c r="A1966" t="s">
        <v>29</v>
      </c>
      <c r="B1966" t="s">
        <v>159</v>
      </c>
      <c r="C1966" t="s">
        <v>16</v>
      </c>
      <c r="D1966" t="s">
        <v>22</v>
      </c>
      <c r="E1966" t="s">
        <v>32</v>
      </c>
      <c r="F1966" s="1">
        <v>42707</v>
      </c>
      <c r="G1966">
        <v>710072839</v>
      </c>
      <c r="H1966" s="1">
        <v>42433</v>
      </c>
      <c r="I1966">
        <v>5187</v>
      </c>
      <c r="J1966">
        <v>255.28</v>
      </c>
      <c r="K1966">
        <v>159.41999999999999</v>
      </c>
      <c r="L1966">
        <v>1324137.3600000001</v>
      </c>
      <c r="M1966">
        <v>826911.54</v>
      </c>
      <c r="N1966">
        <v>497225.82</v>
      </c>
    </row>
    <row r="1967" spans="1:14" x14ac:dyDescent="0.25">
      <c r="A1967" t="s">
        <v>51</v>
      </c>
      <c r="B1967" t="s">
        <v>420</v>
      </c>
      <c r="C1967" t="s">
        <v>88</v>
      </c>
      <c r="D1967" t="s">
        <v>17</v>
      </c>
      <c r="E1967" t="s">
        <v>32</v>
      </c>
      <c r="F1967" s="1">
        <v>41031</v>
      </c>
      <c r="G1967">
        <v>900967586</v>
      </c>
      <c r="H1967" s="1">
        <v>40971</v>
      </c>
      <c r="I1967">
        <v>5185</v>
      </c>
      <c r="J1967">
        <v>9.33</v>
      </c>
      <c r="K1967">
        <v>6.92</v>
      </c>
      <c r="L1967">
        <v>48376.05</v>
      </c>
      <c r="M1967">
        <v>35880.199999999997</v>
      </c>
      <c r="N1967">
        <v>12495.85</v>
      </c>
    </row>
    <row r="1968" spans="1:14" x14ac:dyDescent="0.25">
      <c r="A1968" t="s">
        <v>25</v>
      </c>
      <c r="B1968" t="s">
        <v>211</v>
      </c>
      <c r="C1968" t="s">
        <v>55</v>
      </c>
      <c r="D1968" t="s">
        <v>17</v>
      </c>
      <c r="E1968" t="s">
        <v>18</v>
      </c>
      <c r="F1968" t="s">
        <v>1451</v>
      </c>
      <c r="G1968">
        <v>410229337</v>
      </c>
      <c r="H1968" t="s">
        <v>809</v>
      </c>
      <c r="I1968">
        <v>4832</v>
      </c>
      <c r="J1968">
        <v>651.21</v>
      </c>
      <c r="K1968">
        <v>524.96</v>
      </c>
      <c r="L1968">
        <v>3146646.72</v>
      </c>
      <c r="M1968">
        <v>2536606.7200000002</v>
      </c>
      <c r="N1968">
        <v>610040</v>
      </c>
    </row>
    <row r="1969" spans="1:14" x14ac:dyDescent="0.25">
      <c r="A1969" t="s">
        <v>25</v>
      </c>
      <c r="B1969" t="s">
        <v>119</v>
      </c>
      <c r="C1969" t="s">
        <v>27</v>
      </c>
      <c r="D1969" t="s">
        <v>17</v>
      </c>
      <c r="E1969" t="s">
        <v>32</v>
      </c>
      <c r="F1969" s="1">
        <v>42829</v>
      </c>
      <c r="G1969">
        <v>837906920</v>
      </c>
      <c r="H1969" t="s">
        <v>1288</v>
      </c>
      <c r="I1969">
        <v>4133</v>
      </c>
      <c r="J1969">
        <v>47.45</v>
      </c>
      <c r="K1969">
        <v>31.79</v>
      </c>
      <c r="L1969">
        <v>196110.85</v>
      </c>
      <c r="M1969">
        <v>131388.07</v>
      </c>
      <c r="N1969">
        <v>64722.78</v>
      </c>
    </row>
    <row r="1970" spans="1:14" x14ac:dyDescent="0.25">
      <c r="A1970" t="s">
        <v>25</v>
      </c>
      <c r="B1970" t="s">
        <v>569</v>
      </c>
      <c r="C1970" t="s">
        <v>131</v>
      </c>
      <c r="D1970" t="s">
        <v>17</v>
      </c>
      <c r="E1970" t="s">
        <v>23</v>
      </c>
      <c r="F1970" t="s">
        <v>328</v>
      </c>
      <c r="G1970">
        <v>704361665</v>
      </c>
      <c r="H1970" s="1">
        <v>42372</v>
      </c>
      <c r="I1970">
        <v>5124</v>
      </c>
      <c r="J1970">
        <v>668.27</v>
      </c>
      <c r="K1970">
        <v>502.54</v>
      </c>
      <c r="L1970">
        <v>3424215.48</v>
      </c>
      <c r="M1970">
        <v>2575014.96</v>
      </c>
      <c r="N1970">
        <v>849200.52</v>
      </c>
    </row>
    <row r="1971" spans="1:14" x14ac:dyDescent="0.25">
      <c r="A1971" t="s">
        <v>25</v>
      </c>
      <c r="B1971" t="s">
        <v>72</v>
      </c>
      <c r="C1971" t="s">
        <v>21</v>
      </c>
      <c r="D1971" t="s">
        <v>22</v>
      </c>
      <c r="E1971" t="s">
        <v>18</v>
      </c>
      <c r="F1971" s="1">
        <v>41585</v>
      </c>
      <c r="G1971">
        <v>400267398</v>
      </c>
      <c r="H1971" t="s">
        <v>1404</v>
      </c>
      <c r="I1971">
        <v>6873</v>
      </c>
      <c r="J1971">
        <v>152.58000000000001</v>
      </c>
      <c r="K1971">
        <v>97.44</v>
      </c>
      <c r="L1971">
        <v>1048682.3400000001</v>
      </c>
      <c r="M1971">
        <v>669705.12</v>
      </c>
      <c r="N1971">
        <v>378977.22</v>
      </c>
    </row>
    <row r="1972" spans="1:14" x14ac:dyDescent="0.25">
      <c r="A1972" t="s">
        <v>51</v>
      </c>
      <c r="B1972" t="s">
        <v>250</v>
      </c>
      <c r="C1972" t="s">
        <v>113</v>
      </c>
      <c r="D1972" t="s">
        <v>22</v>
      </c>
      <c r="E1972" t="s">
        <v>18</v>
      </c>
      <c r="F1972" t="s">
        <v>1179</v>
      </c>
      <c r="G1972">
        <v>836610448</v>
      </c>
      <c r="H1972" t="s">
        <v>1464</v>
      </c>
      <c r="I1972">
        <v>478</v>
      </c>
      <c r="J1972">
        <v>154.06</v>
      </c>
      <c r="K1972">
        <v>90.93</v>
      </c>
      <c r="L1972">
        <v>73640.679999999993</v>
      </c>
      <c r="M1972">
        <v>43464.54</v>
      </c>
      <c r="N1972">
        <v>30176.14</v>
      </c>
    </row>
    <row r="1973" spans="1:14" x14ac:dyDescent="0.25">
      <c r="A1973" t="s">
        <v>51</v>
      </c>
      <c r="B1973" t="s">
        <v>305</v>
      </c>
      <c r="C1973" t="s">
        <v>31</v>
      </c>
      <c r="D1973" t="s">
        <v>17</v>
      </c>
      <c r="E1973" t="s">
        <v>45</v>
      </c>
      <c r="F1973" t="s">
        <v>786</v>
      </c>
      <c r="G1973">
        <v>294689643</v>
      </c>
      <c r="H1973" s="1">
        <v>41822</v>
      </c>
      <c r="I1973">
        <v>4069</v>
      </c>
      <c r="J1973">
        <v>205.7</v>
      </c>
      <c r="K1973">
        <v>117.11</v>
      </c>
      <c r="L1973">
        <v>836993.3</v>
      </c>
      <c r="M1973">
        <v>476520.59</v>
      </c>
      <c r="N1973">
        <v>360472.71</v>
      </c>
    </row>
    <row r="1974" spans="1:14" x14ac:dyDescent="0.25">
      <c r="A1974" t="s">
        <v>51</v>
      </c>
      <c r="B1974" t="s">
        <v>638</v>
      </c>
      <c r="C1974" t="s">
        <v>27</v>
      </c>
      <c r="D1974" t="s">
        <v>17</v>
      </c>
      <c r="E1974" t="s">
        <v>18</v>
      </c>
      <c r="F1974" s="1">
        <v>42067</v>
      </c>
      <c r="G1974">
        <v>276116311</v>
      </c>
      <c r="H1974" t="s">
        <v>245</v>
      </c>
      <c r="I1974">
        <v>7807</v>
      </c>
      <c r="J1974">
        <v>47.45</v>
      </c>
      <c r="K1974">
        <v>31.79</v>
      </c>
      <c r="L1974">
        <v>370442.15</v>
      </c>
      <c r="M1974">
        <v>248184.53</v>
      </c>
      <c r="N1974">
        <v>122257.62</v>
      </c>
    </row>
    <row r="1975" spans="1:14" x14ac:dyDescent="0.25">
      <c r="A1975" t="s">
        <v>38</v>
      </c>
      <c r="B1975" t="s">
        <v>187</v>
      </c>
      <c r="C1975" t="s">
        <v>69</v>
      </c>
      <c r="D1975" t="s">
        <v>22</v>
      </c>
      <c r="E1975" t="s">
        <v>18</v>
      </c>
      <c r="F1975" t="s">
        <v>1374</v>
      </c>
      <c r="G1975">
        <v>552814280</v>
      </c>
      <c r="H1975" s="1">
        <v>40821</v>
      </c>
      <c r="I1975">
        <v>8885</v>
      </c>
      <c r="J1975">
        <v>421.89</v>
      </c>
      <c r="K1975">
        <v>364.69</v>
      </c>
      <c r="L1975">
        <v>3748492.65</v>
      </c>
      <c r="M1975">
        <v>3240270.65</v>
      </c>
      <c r="N1975">
        <v>508222</v>
      </c>
    </row>
    <row r="1976" spans="1:14" x14ac:dyDescent="0.25">
      <c r="A1976" t="s">
        <v>29</v>
      </c>
      <c r="B1976" t="s">
        <v>61</v>
      </c>
      <c r="C1976" t="s">
        <v>55</v>
      </c>
      <c r="D1976" t="s">
        <v>22</v>
      </c>
      <c r="E1976" t="s">
        <v>45</v>
      </c>
      <c r="F1976" t="s">
        <v>803</v>
      </c>
      <c r="G1976">
        <v>517019879</v>
      </c>
      <c r="H1976" t="s">
        <v>453</v>
      </c>
      <c r="I1976">
        <v>6526</v>
      </c>
      <c r="J1976">
        <v>651.21</v>
      </c>
      <c r="K1976">
        <v>524.96</v>
      </c>
      <c r="L1976">
        <v>4249796.46</v>
      </c>
      <c r="M1976">
        <v>3425888.96</v>
      </c>
      <c r="N1976">
        <v>823907.5</v>
      </c>
    </row>
    <row r="1977" spans="1:14" x14ac:dyDescent="0.25">
      <c r="A1977" t="s">
        <v>25</v>
      </c>
      <c r="B1977" t="s">
        <v>418</v>
      </c>
      <c r="C1977" t="s">
        <v>69</v>
      </c>
      <c r="D1977" t="s">
        <v>17</v>
      </c>
      <c r="E1977" t="s">
        <v>23</v>
      </c>
      <c r="F1977" t="s">
        <v>1465</v>
      </c>
      <c r="G1977">
        <v>531281936</v>
      </c>
      <c r="H1977" s="1">
        <v>41704</v>
      </c>
      <c r="I1977">
        <v>6986</v>
      </c>
      <c r="J1977">
        <v>421.89</v>
      </c>
      <c r="K1977">
        <v>364.69</v>
      </c>
      <c r="L1977">
        <v>2947323.54</v>
      </c>
      <c r="M1977">
        <v>2547724.34</v>
      </c>
      <c r="N1977">
        <v>399599.2</v>
      </c>
    </row>
    <row r="1978" spans="1:14" x14ac:dyDescent="0.25">
      <c r="A1978" t="s">
        <v>14</v>
      </c>
      <c r="B1978" t="s">
        <v>208</v>
      </c>
      <c r="C1978" t="s">
        <v>27</v>
      </c>
      <c r="D1978" t="s">
        <v>17</v>
      </c>
      <c r="E1978" t="s">
        <v>23</v>
      </c>
      <c r="F1978" s="1">
        <v>41365</v>
      </c>
      <c r="G1978">
        <v>578461778</v>
      </c>
      <c r="H1978" s="1">
        <v>41518</v>
      </c>
      <c r="I1978">
        <v>8550</v>
      </c>
      <c r="J1978">
        <v>47.45</v>
      </c>
      <c r="K1978">
        <v>31.79</v>
      </c>
      <c r="L1978">
        <v>405697.5</v>
      </c>
      <c r="M1978">
        <v>271804.5</v>
      </c>
      <c r="N1978">
        <v>133893</v>
      </c>
    </row>
    <row r="1979" spans="1:14" x14ac:dyDescent="0.25">
      <c r="A1979" t="s">
        <v>51</v>
      </c>
      <c r="B1979" t="s">
        <v>219</v>
      </c>
      <c r="C1979" t="s">
        <v>113</v>
      </c>
      <c r="D1979" t="s">
        <v>22</v>
      </c>
      <c r="E1979" t="s">
        <v>32</v>
      </c>
      <c r="F1979" t="s">
        <v>362</v>
      </c>
      <c r="G1979">
        <v>711733233</v>
      </c>
      <c r="H1979" s="1">
        <v>41155</v>
      </c>
      <c r="I1979">
        <v>6535</v>
      </c>
      <c r="J1979">
        <v>154.06</v>
      </c>
      <c r="K1979">
        <v>90.93</v>
      </c>
      <c r="L1979">
        <v>1006782.1</v>
      </c>
      <c r="M1979">
        <v>594227.55000000005</v>
      </c>
      <c r="N1979">
        <v>412554.55</v>
      </c>
    </row>
    <row r="1980" spans="1:14" x14ac:dyDescent="0.25">
      <c r="A1980" t="s">
        <v>29</v>
      </c>
      <c r="B1980" t="s">
        <v>545</v>
      </c>
      <c r="C1980" t="s">
        <v>16</v>
      </c>
      <c r="D1980" t="s">
        <v>22</v>
      </c>
      <c r="E1980" t="s">
        <v>32</v>
      </c>
      <c r="F1980" t="s">
        <v>1069</v>
      </c>
      <c r="G1980">
        <v>604582631</v>
      </c>
      <c r="H1980" t="s">
        <v>1378</v>
      </c>
      <c r="I1980">
        <v>8291</v>
      </c>
      <c r="J1980">
        <v>255.28</v>
      </c>
      <c r="K1980">
        <v>159.41999999999999</v>
      </c>
      <c r="L1980">
        <v>2116526.48</v>
      </c>
      <c r="M1980">
        <v>1321751.22</v>
      </c>
      <c r="N1980">
        <v>794775.26</v>
      </c>
    </row>
    <row r="1981" spans="1:14" x14ac:dyDescent="0.25">
      <c r="A1981" t="s">
        <v>25</v>
      </c>
      <c r="B1981" t="s">
        <v>462</v>
      </c>
      <c r="C1981" t="s">
        <v>59</v>
      </c>
      <c r="D1981" t="s">
        <v>17</v>
      </c>
      <c r="E1981" t="s">
        <v>23</v>
      </c>
      <c r="F1981" t="s">
        <v>1039</v>
      </c>
      <c r="G1981">
        <v>900808799</v>
      </c>
      <c r="H1981" t="s">
        <v>188</v>
      </c>
      <c r="I1981">
        <v>8196</v>
      </c>
      <c r="J1981">
        <v>437.2</v>
      </c>
      <c r="K1981">
        <v>263.33</v>
      </c>
      <c r="L1981">
        <v>3583291.2</v>
      </c>
      <c r="M1981">
        <v>2158252.6800000002</v>
      </c>
      <c r="N1981">
        <v>1425038.52</v>
      </c>
    </row>
    <row r="1982" spans="1:14" x14ac:dyDescent="0.25">
      <c r="A1982" t="s">
        <v>29</v>
      </c>
      <c r="B1982" t="s">
        <v>248</v>
      </c>
      <c r="C1982" t="s">
        <v>16</v>
      </c>
      <c r="D1982" t="s">
        <v>17</v>
      </c>
      <c r="E1982" t="s">
        <v>32</v>
      </c>
      <c r="F1982" t="s">
        <v>1209</v>
      </c>
      <c r="G1982">
        <v>964523065</v>
      </c>
      <c r="H1982" t="s">
        <v>1466</v>
      </c>
      <c r="I1982">
        <v>2664</v>
      </c>
      <c r="J1982">
        <v>255.28</v>
      </c>
      <c r="K1982">
        <v>159.41999999999999</v>
      </c>
      <c r="L1982">
        <v>680065.92</v>
      </c>
      <c r="M1982">
        <v>424694.88</v>
      </c>
      <c r="N1982">
        <v>255371.04</v>
      </c>
    </row>
    <row r="1983" spans="1:14" x14ac:dyDescent="0.25">
      <c r="A1983" t="s">
        <v>51</v>
      </c>
      <c r="B1983" t="s">
        <v>308</v>
      </c>
      <c r="C1983" t="s">
        <v>131</v>
      </c>
      <c r="D1983" t="s">
        <v>17</v>
      </c>
      <c r="E1983" t="s">
        <v>45</v>
      </c>
      <c r="F1983" s="1">
        <v>42129</v>
      </c>
      <c r="G1983">
        <v>230149257</v>
      </c>
      <c r="H1983" t="s">
        <v>1467</v>
      </c>
      <c r="I1983">
        <v>5134</v>
      </c>
      <c r="J1983">
        <v>668.27</v>
      </c>
      <c r="K1983">
        <v>502.54</v>
      </c>
      <c r="L1983">
        <v>3430898.18</v>
      </c>
      <c r="M1983">
        <v>2580040.36</v>
      </c>
      <c r="N1983">
        <v>850857.82</v>
      </c>
    </row>
    <row r="1984" spans="1:14" x14ac:dyDescent="0.25">
      <c r="A1984" t="s">
        <v>42</v>
      </c>
      <c r="B1984" t="s">
        <v>107</v>
      </c>
      <c r="C1984" t="s">
        <v>59</v>
      </c>
      <c r="D1984" t="s">
        <v>22</v>
      </c>
      <c r="E1984" t="s">
        <v>23</v>
      </c>
      <c r="F1984" t="s">
        <v>636</v>
      </c>
      <c r="G1984">
        <v>452423703</v>
      </c>
      <c r="H1984" t="s">
        <v>930</v>
      </c>
      <c r="I1984">
        <v>1082</v>
      </c>
      <c r="J1984">
        <v>437.2</v>
      </c>
      <c r="K1984">
        <v>263.33</v>
      </c>
      <c r="L1984">
        <v>473050.4</v>
      </c>
      <c r="M1984">
        <v>284923.06</v>
      </c>
      <c r="N1984">
        <v>188127.34</v>
      </c>
    </row>
    <row r="1985" spans="1:14" x14ac:dyDescent="0.25">
      <c r="A1985" t="s">
        <v>25</v>
      </c>
      <c r="B1985" t="s">
        <v>26</v>
      </c>
      <c r="C1985" t="s">
        <v>69</v>
      </c>
      <c r="D1985" t="s">
        <v>17</v>
      </c>
      <c r="E1985" t="s">
        <v>45</v>
      </c>
      <c r="F1985" t="s">
        <v>932</v>
      </c>
      <c r="G1985">
        <v>756395232</v>
      </c>
      <c r="H1985" t="s">
        <v>1468</v>
      </c>
      <c r="I1985">
        <v>3013</v>
      </c>
      <c r="J1985">
        <v>421.89</v>
      </c>
      <c r="K1985">
        <v>364.69</v>
      </c>
      <c r="L1985">
        <v>1271154.57</v>
      </c>
      <c r="M1985">
        <v>1098810.97</v>
      </c>
      <c r="N1985">
        <v>172343.6</v>
      </c>
    </row>
    <row r="1986" spans="1:14" x14ac:dyDescent="0.25">
      <c r="A1986" t="s">
        <v>51</v>
      </c>
      <c r="B1986" t="s">
        <v>100</v>
      </c>
      <c r="C1986" t="s">
        <v>113</v>
      </c>
      <c r="D1986" t="s">
        <v>17</v>
      </c>
      <c r="E1986" t="s">
        <v>32</v>
      </c>
      <c r="F1986" t="s">
        <v>1133</v>
      </c>
      <c r="G1986">
        <v>787425172</v>
      </c>
      <c r="H1986" t="s">
        <v>1391</v>
      </c>
      <c r="I1986">
        <v>5462</v>
      </c>
      <c r="J1986">
        <v>154.06</v>
      </c>
      <c r="K1986">
        <v>90.93</v>
      </c>
      <c r="L1986">
        <v>841475.72</v>
      </c>
      <c r="M1986">
        <v>496659.66</v>
      </c>
      <c r="N1986">
        <v>344816.06</v>
      </c>
    </row>
    <row r="1987" spans="1:14" x14ac:dyDescent="0.25">
      <c r="A1987" t="s">
        <v>25</v>
      </c>
      <c r="B1987" t="s">
        <v>615</v>
      </c>
      <c r="C1987" t="s">
        <v>44</v>
      </c>
      <c r="D1987" t="s">
        <v>17</v>
      </c>
      <c r="E1987" t="s">
        <v>23</v>
      </c>
      <c r="F1987" s="1">
        <v>40949</v>
      </c>
      <c r="G1987">
        <v>261187350</v>
      </c>
      <c r="H1987" s="1">
        <v>40978</v>
      </c>
      <c r="I1987">
        <v>9996</v>
      </c>
      <c r="J1987">
        <v>109.28</v>
      </c>
      <c r="K1987">
        <v>35.840000000000003</v>
      </c>
      <c r="L1987">
        <v>1092362.8799999999</v>
      </c>
      <c r="M1987">
        <v>358256.64000000001</v>
      </c>
      <c r="N1987">
        <v>734106.24</v>
      </c>
    </row>
    <row r="1988" spans="1:14" x14ac:dyDescent="0.25">
      <c r="A1988" t="s">
        <v>38</v>
      </c>
      <c r="B1988" t="s">
        <v>329</v>
      </c>
      <c r="C1988" t="s">
        <v>59</v>
      </c>
      <c r="D1988" t="s">
        <v>17</v>
      </c>
      <c r="E1988" t="s">
        <v>32</v>
      </c>
      <c r="F1988" t="s">
        <v>1469</v>
      </c>
      <c r="G1988">
        <v>313668096</v>
      </c>
      <c r="H1988" s="1">
        <v>41734</v>
      </c>
      <c r="I1988">
        <v>215</v>
      </c>
      <c r="J1988">
        <v>437.2</v>
      </c>
      <c r="K1988">
        <v>263.33</v>
      </c>
      <c r="L1988">
        <v>93998</v>
      </c>
      <c r="M1988">
        <v>56615.95</v>
      </c>
      <c r="N1988">
        <v>37382.050000000003</v>
      </c>
    </row>
    <row r="1989" spans="1:14" x14ac:dyDescent="0.25">
      <c r="A1989" t="s">
        <v>14</v>
      </c>
      <c r="B1989" t="s">
        <v>20</v>
      </c>
      <c r="C1989" t="s">
        <v>69</v>
      </c>
      <c r="D1989" t="s">
        <v>22</v>
      </c>
      <c r="E1989" t="s">
        <v>23</v>
      </c>
      <c r="F1989" s="1">
        <v>41760</v>
      </c>
      <c r="G1989">
        <v>351166236</v>
      </c>
      <c r="H1989" t="s">
        <v>921</v>
      </c>
      <c r="I1989">
        <v>6748</v>
      </c>
      <c r="J1989">
        <v>421.89</v>
      </c>
      <c r="K1989">
        <v>364.69</v>
      </c>
      <c r="L1989">
        <v>2846913.72</v>
      </c>
      <c r="M1989">
        <v>2460928.12</v>
      </c>
      <c r="N1989">
        <v>385985.6</v>
      </c>
    </row>
    <row r="1990" spans="1:14" x14ac:dyDescent="0.25">
      <c r="A1990" t="s">
        <v>29</v>
      </c>
      <c r="B1990" t="s">
        <v>243</v>
      </c>
      <c r="C1990" t="s">
        <v>59</v>
      </c>
      <c r="D1990" t="s">
        <v>22</v>
      </c>
      <c r="E1990" t="s">
        <v>23</v>
      </c>
      <c r="F1990" t="s">
        <v>1470</v>
      </c>
      <c r="G1990">
        <v>300293099</v>
      </c>
      <c r="H1990" t="s">
        <v>157</v>
      </c>
      <c r="I1990">
        <v>2256</v>
      </c>
      <c r="J1990">
        <v>437.2</v>
      </c>
      <c r="K1990">
        <v>263.33</v>
      </c>
      <c r="L1990">
        <v>986323.2</v>
      </c>
      <c r="M1990">
        <v>594072.48</v>
      </c>
      <c r="N1990">
        <v>392250.72</v>
      </c>
    </row>
    <row r="1991" spans="1:14" x14ac:dyDescent="0.25">
      <c r="A1991" t="s">
        <v>29</v>
      </c>
      <c r="B1991" t="s">
        <v>467</v>
      </c>
      <c r="C1991" t="s">
        <v>131</v>
      </c>
      <c r="D1991" t="s">
        <v>17</v>
      </c>
      <c r="E1991" t="s">
        <v>45</v>
      </c>
      <c r="F1991" s="1">
        <v>40666</v>
      </c>
      <c r="G1991">
        <v>157972514</v>
      </c>
      <c r="H1991" s="1">
        <v>40637</v>
      </c>
      <c r="I1991">
        <v>6432</v>
      </c>
      <c r="J1991">
        <v>668.27</v>
      </c>
      <c r="K1991">
        <v>502.54</v>
      </c>
      <c r="L1991">
        <v>4298312.6399999997</v>
      </c>
      <c r="M1991">
        <v>3232337.28</v>
      </c>
      <c r="N1991">
        <v>1065975.3600000001</v>
      </c>
    </row>
    <row r="1992" spans="1:14" x14ac:dyDescent="0.25">
      <c r="A1992" t="s">
        <v>38</v>
      </c>
      <c r="B1992" t="s">
        <v>527</v>
      </c>
      <c r="C1992" t="s">
        <v>113</v>
      </c>
      <c r="D1992" t="s">
        <v>22</v>
      </c>
      <c r="E1992" t="s">
        <v>18</v>
      </c>
      <c r="F1992" t="s">
        <v>1471</v>
      </c>
      <c r="G1992">
        <v>441440808</v>
      </c>
      <c r="H1992" t="s">
        <v>484</v>
      </c>
      <c r="I1992">
        <v>1000</v>
      </c>
      <c r="J1992">
        <v>154.06</v>
      </c>
      <c r="K1992">
        <v>90.93</v>
      </c>
      <c r="L1992">
        <v>154060</v>
      </c>
      <c r="M1992">
        <v>90930</v>
      </c>
      <c r="N1992">
        <v>63130</v>
      </c>
    </row>
    <row r="1993" spans="1:14" x14ac:dyDescent="0.25">
      <c r="A1993" t="s">
        <v>51</v>
      </c>
      <c r="B1993" t="s">
        <v>151</v>
      </c>
      <c r="C1993" t="s">
        <v>40</v>
      </c>
      <c r="D1993" t="s">
        <v>22</v>
      </c>
      <c r="E1993" t="s">
        <v>45</v>
      </c>
      <c r="F1993" t="s">
        <v>1472</v>
      </c>
      <c r="G1993">
        <v>838246810</v>
      </c>
      <c r="H1993" t="s">
        <v>1473</v>
      </c>
      <c r="I1993">
        <v>4714</v>
      </c>
      <c r="J1993">
        <v>81.73</v>
      </c>
      <c r="K1993">
        <v>56.67</v>
      </c>
      <c r="L1993">
        <v>385275.22</v>
      </c>
      <c r="M1993">
        <v>267142.38</v>
      </c>
      <c r="N1993">
        <v>118132.84</v>
      </c>
    </row>
    <row r="1994" spans="1:14" x14ac:dyDescent="0.25">
      <c r="A1994" t="s">
        <v>38</v>
      </c>
      <c r="B1994" t="s">
        <v>156</v>
      </c>
      <c r="C1994" t="s">
        <v>131</v>
      </c>
      <c r="D1994" t="s">
        <v>22</v>
      </c>
      <c r="E1994" t="s">
        <v>18</v>
      </c>
      <c r="F1994" s="1">
        <v>41554</v>
      </c>
      <c r="G1994">
        <v>656251847</v>
      </c>
      <c r="H1994" t="s">
        <v>635</v>
      </c>
      <c r="I1994">
        <v>8360</v>
      </c>
      <c r="J1994">
        <v>668.27</v>
      </c>
      <c r="K1994">
        <v>502.54</v>
      </c>
      <c r="L1994">
        <v>5586737.2000000002</v>
      </c>
      <c r="M1994">
        <v>4201234.4000000004</v>
      </c>
      <c r="N1994">
        <v>1385502.8</v>
      </c>
    </row>
    <row r="1995" spans="1:14" x14ac:dyDescent="0.25">
      <c r="A1995" t="s">
        <v>29</v>
      </c>
      <c r="B1995" t="s">
        <v>35</v>
      </c>
      <c r="C1995" t="s">
        <v>131</v>
      </c>
      <c r="D1995" t="s">
        <v>22</v>
      </c>
      <c r="E1995" t="s">
        <v>23</v>
      </c>
      <c r="F1995" t="s">
        <v>1113</v>
      </c>
      <c r="G1995">
        <v>173629748</v>
      </c>
      <c r="H1995" t="s">
        <v>1113</v>
      </c>
      <c r="I1995">
        <v>9756</v>
      </c>
      <c r="J1995">
        <v>668.27</v>
      </c>
      <c r="K1995">
        <v>502.54</v>
      </c>
      <c r="L1995">
        <v>6519642.1200000001</v>
      </c>
      <c r="M1995">
        <v>4902780.24</v>
      </c>
      <c r="N1995">
        <v>1616861.88</v>
      </c>
    </row>
    <row r="1996" spans="1:14" x14ac:dyDescent="0.25">
      <c r="A1996" t="s">
        <v>25</v>
      </c>
      <c r="B1996" t="s">
        <v>239</v>
      </c>
      <c r="C1996" t="s">
        <v>44</v>
      </c>
      <c r="D1996" t="s">
        <v>22</v>
      </c>
      <c r="E1996" t="s">
        <v>32</v>
      </c>
      <c r="F1996" t="s">
        <v>1474</v>
      </c>
      <c r="G1996">
        <v>188866841</v>
      </c>
      <c r="H1996" t="s">
        <v>499</v>
      </c>
      <c r="I1996">
        <v>8750</v>
      </c>
      <c r="J1996">
        <v>109.28</v>
      </c>
      <c r="K1996">
        <v>35.840000000000003</v>
      </c>
      <c r="L1996">
        <v>956200</v>
      </c>
      <c r="M1996">
        <v>313600</v>
      </c>
      <c r="N1996">
        <v>642600</v>
      </c>
    </row>
    <row r="1997" spans="1:14" x14ac:dyDescent="0.25">
      <c r="A1997" t="s">
        <v>42</v>
      </c>
      <c r="B1997" t="s">
        <v>361</v>
      </c>
      <c r="C1997" t="s">
        <v>27</v>
      </c>
      <c r="D1997" t="s">
        <v>22</v>
      </c>
      <c r="E1997" t="s">
        <v>32</v>
      </c>
      <c r="F1997" s="1">
        <v>41277</v>
      </c>
      <c r="G1997">
        <v>670761954</v>
      </c>
      <c r="H1997" s="1">
        <v>41582</v>
      </c>
      <c r="I1997">
        <v>2223</v>
      </c>
      <c r="J1997">
        <v>47.45</v>
      </c>
      <c r="K1997">
        <v>31.79</v>
      </c>
      <c r="L1997">
        <v>105481.35</v>
      </c>
      <c r="M1997">
        <v>70669.17</v>
      </c>
      <c r="N1997">
        <v>34812.18</v>
      </c>
    </row>
    <row r="1998" spans="1:14" x14ac:dyDescent="0.25">
      <c r="A1998" t="s">
        <v>51</v>
      </c>
      <c r="B1998" t="s">
        <v>164</v>
      </c>
      <c r="C1998" t="s">
        <v>31</v>
      </c>
      <c r="D1998" t="s">
        <v>22</v>
      </c>
      <c r="E1998" t="s">
        <v>18</v>
      </c>
      <c r="F1998" s="1">
        <v>42464</v>
      </c>
      <c r="G1998">
        <v>308426415</v>
      </c>
      <c r="H1998" s="1">
        <v>42525</v>
      </c>
      <c r="I1998">
        <v>9085</v>
      </c>
      <c r="J1998">
        <v>205.7</v>
      </c>
      <c r="K1998">
        <v>117.11</v>
      </c>
      <c r="L1998">
        <v>1868784.5</v>
      </c>
      <c r="M1998">
        <v>1063944.3500000001</v>
      </c>
      <c r="N1998">
        <v>804840.15</v>
      </c>
    </row>
    <row r="1999" spans="1:14" x14ac:dyDescent="0.25">
      <c r="A1999" t="s">
        <v>29</v>
      </c>
      <c r="B1999" t="s">
        <v>121</v>
      </c>
      <c r="C1999" t="s">
        <v>31</v>
      </c>
      <c r="D1999" t="s">
        <v>17</v>
      </c>
      <c r="E1999" t="s">
        <v>23</v>
      </c>
      <c r="F1999" s="1">
        <v>42257</v>
      </c>
      <c r="G1999">
        <v>561284053</v>
      </c>
      <c r="H1999" t="s">
        <v>1267</v>
      </c>
      <c r="I1999">
        <v>5279</v>
      </c>
      <c r="J1999">
        <v>205.7</v>
      </c>
      <c r="K1999">
        <v>117.11</v>
      </c>
      <c r="L1999">
        <v>1085890.3</v>
      </c>
      <c r="M1999">
        <v>618223.68999999994</v>
      </c>
      <c r="N1999">
        <v>467666.61</v>
      </c>
    </row>
    <row r="2000" spans="1:14" x14ac:dyDescent="0.25">
      <c r="A2000" t="s">
        <v>25</v>
      </c>
      <c r="B2000" t="s">
        <v>252</v>
      </c>
      <c r="C2000" t="s">
        <v>131</v>
      </c>
      <c r="D2000" t="s">
        <v>17</v>
      </c>
      <c r="E2000" t="s">
        <v>23</v>
      </c>
      <c r="F2000" t="s">
        <v>555</v>
      </c>
      <c r="G2000">
        <v>709071195</v>
      </c>
      <c r="H2000" s="1">
        <v>40947</v>
      </c>
      <c r="I2000">
        <v>8778</v>
      </c>
      <c r="J2000">
        <v>668.27</v>
      </c>
      <c r="K2000">
        <v>502.54</v>
      </c>
      <c r="L2000">
        <v>5866074.0599999996</v>
      </c>
      <c r="M2000">
        <v>4411296.12</v>
      </c>
      <c r="N2000">
        <v>1454777.94</v>
      </c>
    </row>
    <row r="2001" spans="1:14" x14ac:dyDescent="0.25">
      <c r="A2001" t="s">
        <v>51</v>
      </c>
      <c r="B2001" t="s">
        <v>414</v>
      </c>
      <c r="C2001" t="s">
        <v>131</v>
      </c>
      <c r="D2001" t="s">
        <v>17</v>
      </c>
      <c r="E2001" t="s">
        <v>18</v>
      </c>
      <c r="F2001" s="1">
        <v>40889</v>
      </c>
      <c r="G2001">
        <v>101836669</v>
      </c>
      <c r="H2001" t="s">
        <v>1335</v>
      </c>
      <c r="I2001">
        <v>4588</v>
      </c>
      <c r="J2001">
        <v>668.27</v>
      </c>
      <c r="K2001">
        <v>502.54</v>
      </c>
      <c r="L2001">
        <v>3066022.76</v>
      </c>
      <c r="M2001">
        <v>2305653.52</v>
      </c>
      <c r="N2001">
        <v>760369.24</v>
      </c>
    </row>
    <row r="2002" spans="1:14" x14ac:dyDescent="0.25">
      <c r="A2002" t="s">
        <v>38</v>
      </c>
      <c r="B2002" t="s">
        <v>117</v>
      </c>
      <c r="C2002" t="s">
        <v>40</v>
      </c>
      <c r="D2002" t="s">
        <v>17</v>
      </c>
      <c r="E2002" t="s">
        <v>18</v>
      </c>
      <c r="F2002" t="s">
        <v>1475</v>
      </c>
      <c r="G2002">
        <v>409941804</v>
      </c>
      <c r="H2002" s="1">
        <v>41492</v>
      </c>
      <c r="I2002">
        <v>9744</v>
      </c>
      <c r="J2002">
        <v>81.73</v>
      </c>
      <c r="K2002">
        <v>56.67</v>
      </c>
      <c r="L2002">
        <v>796377.12</v>
      </c>
      <c r="M2002">
        <v>552192.48</v>
      </c>
      <c r="N2002">
        <v>244184.64</v>
      </c>
    </row>
    <row r="2003" spans="1:14" x14ac:dyDescent="0.25">
      <c r="A2003" t="s">
        <v>25</v>
      </c>
      <c r="B2003" t="s">
        <v>609</v>
      </c>
      <c r="C2003" t="s">
        <v>31</v>
      </c>
      <c r="D2003" t="s">
        <v>17</v>
      </c>
      <c r="E2003" t="s">
        <v>32</v>
      </c>
      <c r="F2003" t="s">
        <v>843</v>
      </c>
      <c r="G2003">
        <v>674060428</v>
      </c>
      <c r="H2003" t="s">
        <v>1366</v>
      </c>
      <c r="I2003">
        <v>8315</v>
      </c>
      <c r="J2003">
        <v>205.7</v>
      </c>
      <c r="K2003">
        <v>117.11</v>
      </c>
      <c r="L2003">
        <v>1710395.5</v>
      </c>
      <c r="M2003">
        <v>973769.65</v>
      </c>
      <c r="N2003">
        <v>736625.85</v>
      </c>
    </row>
    <row r="2004" spans="1:14" x14ac:dyDescent="0.25">
      <c r="A2004" t="s">
        <v>38</v>
      </c>
      <c r="B2004" t="s">
        <v>49</v>
      </c>
      <c r="C2004" t="s">
        <v>55</v>
      </c>
      <c r="D2004" t="s">
        <v>22</v>
      </c>
      <c r="E2004" t="s">
        <v>23</v>
      </c>
      <c r="F2004" t="s">
        <v>1476</v>
      </c>
      <c r="G2004">
        <v>455178868</v>
      </c>
      <c r="H2004" t="s">
        <v>1477</v>
      </c>
      <c r="I2004">
        <v>6397</v>
      </c>
      <c r="J2004">
        <v>651.21</v>
      </c>
      <c r="K2004">
        <v>524.96</v>
      </c>
      <c r="L2004">
        <v>4165790.37</v>
      </c>
      <c r="M2004">
        <v>3358169.12</v>
      </c>
      <c r="N2004">
        <v>807621.25</v>
      </c>
    </row>
    <row r="2005" spans="1:14" x14ac:dyDescent="0.25">
      <c r="A2005" t="s">
        <v>25</v>
      </c>
      <c r="B2005" t="s">
        <v>142</v>
      </c>
      <c r="C2005" t="s">
        <v>59</v>
      </c>
      <c r="D2005" t="s">
        <v>22</v>
      </c>
      <c r="E2005" t="s">
        <v>23</v>
      </c>
      <c r="F2005" t="s">
        <v>298</v>
      </c>
      <c r="G2005">
        <v>284595954</v>
      </c>
      <c r="H2005" t="s">
        <v>1054</v>
      </c>
      <c r="I2005">
        <v>7122</v>
      </c>
      <c r="J2005">
        <v>437.2</v>
      </c>
      <c r="K2005">
        <v>263.33</v>
      </c>
      <c r="L2005">
        <v>3113738.4</v>
      </c>
      <c r="M2005">
        <v>1875436.26</v>
      </c>
      <c r="N2005">
        <v>1238302.1399999999</v>
      </c>
    </row>
    <row r="2006" spans="1:14" x14ac:dyDescent="0.25">
      <c r="A2006" t="s">
        <v>51</v>
      </c>
      <c r="B2006" t="s">
        <v>164</v>
      </c>
      <c r="C2006" t="s">
        <v>69</v>
      </c>
      <c r="D2006" t="s">
        <v>17</v>
      </c>
      <c r="E2006" t="s">
        <v>23</v>
      </c>
      <c r="F2006" t="s">
        <v>1478</v>
      </c>
      <c r="G2006">
        <v>313923013</v>
      </c>
      <c r="H2006" t="s">
        <v>1275</v>
      </c>
      <c r="I2006">
        <v>5650</v>
      </c>
      <c r="J2006">
        <v>421.89</v>
      </c>
      <c r="K2006">
        <v>364.69</v>
      </c>
      <c r="L2006">
        <v>2383678.5</v>
      </c>
      <c r="M2006">
        <v>2060498.5</v>
      </c>
      <c r="N2006">
        <v>323180</v>
      </c>
    </row>
    <row r="2007" spans="1:14" x14ac:dyDescent="0.25">
      <c r="A2007" t="s">
        <v>38</v>
      </c>
      <c r="B2007" t="s">
        <v>329</v>
      </c>
      <c r="C2007" t="s">
        <v>44</v>
      </c>
      <c r="D2007" t="s">
        <v>17</v>
      </c>
      <c r="E2007" t="s">
        <v>32</v>
      </c>
      <c r="F2007" t="s">
        <v>1199</v>
      </c>
      <c r="G2007">
        <v>765083873</v>
      </c>
      <c r="H2007" s="1">
        <v>42491</v>
      </c>
      <c r="I2007">
        <v>4175</v>
      </c>
      <c r="J2007">
        <v>109.28</v>
      </c>
      <c r="K2007">
        <v>35.840000000000003</v>
      </c>
      <c r="L2007">
        <v>456244</v>
      </c>
      <c r="M2007">
        <v>149632</v>
      </c>
      <c r="N2007">
        <v>306612</v>
      </c>
    </row>
    <row r="2008" spans="1:14" x14ac:dyDescent="0.25">
      <c r="A2008" t="s">
        <v>25</v>
      </c>
      <c r="B2008" t="s">
        <v>533</v>
      </c>
      <c r="C2008" t="s">
        <v>16</v>
      </c>
      <c r="D2008" t="s">
        <v>22</v>
      </c>
      <c r="E2008" t="s">
        <v>23</v>
      </c>
      <c r="F2008" s="1">
        <v>42526</v>
      </c>
      <c r="G2008">
        <v>580314862</v>
      </c>
      <c r="H2008" s="1">
        <v>42709</v>
      </c>
      <c r="I2008">
        <v>6918</v>
      </c>
      <c r="J2008">
        <v>255.28</v>
      </c>
      <c r="K2008">
        <v>159.41999999999999</v>
      </c>
      <c r="L2008">
        <v>1766027.04</v>
      </c>
      <c r="M2008">
        <v>1102867.56</v>
      </c>
      <c r="N2008">
        <v>663159.48</v>
      </c>
    </row>
    <row r="2009" spans="1:14" x14ac:dyDescent="0.25">
      <c r="A2009" t="s">
        <v>14</v>
      </c>
      <c r="B2009" t="s">
        <v>433</v>
      </c>
      <c r="C2009" t="s">
        <v>69</v>
      </c>
      <c r="D2009" t="s">
        <v>22</v>
      </c>
      <c r="E2009" t="s">
        <v>23</v>
      </c>
      <c r="F2009" s="1">
        <v>40798</v>
      </c>
      <c r="G2009">
        <v>572164809</v>
      </c>
      <c r="H2009" t="s">
        <v>1108</v>
      </c>
      <c r="I2009">
        <v>5137</v>
      </c>
      <c r="J2009">
        <v>421.89</v>
      </c>
      <c r="K2009">
        <v>364.69</v>
      </c>
      <c r="L2009">
        <v>2167248.9300000002</v>
      </c>
      <c r="M2009">
        <v>1873412.53</v>
      </c>
      <c r="N2009">
        <v>293836.40000000002</v>
      </c>
    </row>
    <row r="2010" spans="1:14" x14ac:dyDescent="0.25">
      <c r="A2010" t="s">
        <v>29</v>
      </c>
      <c r="B2010" t="s">
        <v>30</v>
      </c>
      <c r="C2010" t="s">
        <v>27</v>
      </c>
      <c r="D2010" t="s">
        <v>17</v>
      </c>
      <c r="E2010" t="s">
        <v>23</v>
      </c>
      <c r="F2010" s="1">
        <v>40486</v>
      </c>
      <c r="G2010">
        <v>273495042</v>
      </c>
      <c r="H2010" s="1">
        <v>40183</v>
      </c>
      <c r="I2010">
        <v>2115</v>
      </c>
      <c r="J2010">
        <v>47.45</v>
      </c>
      <c r="K2010">
        <v>31.79</v>
      </c>
      <c r="L2010">
        <v>100356.75</v>
      </c>
      <c r="M2010">
        <v>67235.850000000006</v>
      </c>
      <c r="N2010">
        <v>33120.9</v>
      </c>
    </row>
    <row r="2011" spans="1:14" x14ac:dyDescent="0.25">
      <c r="A2011" t="s">
        <v>38</v>
      </c>
      <c r="B2011" t="s">
        <v>190</v>
      </c>
      <c r="C2011" t="s">
        <v>69</v>
      </c>
      <c r="D2011" t="s">
        <v>22</v>
      </c>
      <c r="E2011" t="s">
        <v>45</v>
      </c>
      <c r="F2011" s="1">
        <v>42525</v>
      </c>
      <c r="G2011">
        <v>187479388</v>
      </c>
      <c r="H2011" t="s">
        <v>1466</v>
      </c>
      <c r="I2011">
        <v>8172</v>
      </c>
      <c r="J2011">
        <v>421.89</v>
      </c>
      <c r="K2011">
        <v>364.69</v>
      </c>
      <c r="L2011">
        <v>3447685.08</v>
      </c>
      <c r="M2011">
        <v>2980246.68</v>
      </c>
      <c r="N2011">
        <v>467438.4</v>
      </c>
    </row>
    <row r="2012" spans="1:14" x14ac:dyDescent="0.25">
      <c r="A2012" t="s">
        <v>25</v>
      </c>
      <c r="B2012" t="s">
        <v>112</v>
      </c>
      <c r="C2012" t="s">
        <v>21</v>
      </c>
      <c r="D2012" t="s">
        <v>17</v>
      </c>
      <c r="E2012" t="s">
        <v>32</v>
      </c>
      <c r="F2012" t="s">
        <v>1479</v>
      </c>
      <c r="G2012">
        <v>437604176</v>
      </c>
      <c r="H2012" s="1">
        <v>41459</v>
      </c>
      <c r="I2012">
        <v>5655</v>
      </c>
      <c r="J2012">
        <v>152.58000000000001</v>
      </c>
      <c r="K2012">
        <v>97.44</v>
      </c>
      <c r="L2012">
        <v>862839.9</v>
      </c>
      <c r="M2012">
        <v>551023.19999999995</v>
      </c>
      <c r="N2012">
        <v>311816.7</v>
      </c>
    </row>
    <row r="2013" spans="1:14" x14ac:dyDescent="0.25">
      <c r="A2013" t="s">
        <v>77</v>
      </c>
      <c r="B2013" t="s">
        <v>320</v>
      </c>
      <c r="C2013" t="s">
        <v>27</v>
      </c>
      <c r="D2013" t="s">
        <v>22</v>
      </c>
      <c r="E2013" t="s">
        <v>18</v>
      </c>
      <c r="F2013" t="s">
        <v>962</v>
      </c>
      <c r="G2013">
        <v>317668235</v>
      </c>
      <c r="H2013" s="1">
        <v>40735</v>
      </c>
      <c r="I2013">
        <v>3945</v>
      </c>
      <c r="J2013">
        <v>47.45</v>
      </c>
      <c r="K2013">
        <v>31.79</v>
      </c>
      <c r="L2013">
        <v>187190.25</v>
      </c>
      <c r="M2013">
        <v>125411.55</v>
      </c>
      <c r="N2013">
        <v>61778.7</v>
      </c>
    </row>
    <row r="2014" spans="1:14" x14ac:dyDescent="0.25">
      <c r="A2014" t="s">
        <v>38</v>
      </c>
      <c r="B2014" t="s">
        <v>451</v>
      </c>
      <c r="C2014" t="s">
        <v>59</v>
      </c>
      <c r="D2014" t="s">
        <v>22</v>
      </c>
      <c r="E2014" t="s">
        <v>45</v>
      </c>
      <c r="F2014" s="1">
        <v>42374</v>
      </c>
      <c r="G2014">
        <v>541782891</v>
      </c>
      <c r="H2014" t="s">
        <v>492</v>
      </c>
      <c r="I2014">
        <v>4452</v>
      </c>
      <c r="J2014">
        <v>437.2</v>
      </c>
      <c r="K2014">
        <v>263.33</v>
      </c>
      <c r="L2014">
        <v>1946414.4</v>
      </c>
      <c r="M2014">
        <v>1172345.1599999999</v>
      </c>
      <c r="N2014">
        <v>774069.24</v>
      </c>
    </row>
    <row r="2015" spans="1:14" x14ac:dyDescent="0.25">
      <c r="A2015" t="s">
        <v>14</v>
      </c>
      <c r="B2015" t="s">
        <v>66</v>
      </c>
      <c r="C2015" t="s">
        <v>55</v>
      </c>
      <c r="D2015" t="s">
        <v>17</v>
      </c>
      <c r="E2015" t="s">
        <v>18</v>
      </c>
      <c r="F2015" t="s">
        <v>1114</v>
      </c>
      <c r="G2015">
        <v>994371974</v>
      </c>
      <c r="H2015" s="1">
        <v>41614</v>
      </c>
      <c r="I2015">
        <v>5619</v>
      </c>
      <c r="J2015">
        <v>651.21</v>
      </c>
      <c r="K2015">
        <v>524.96</v>
      </c>
      <c r="L2015">
        <v>3659148.99</v>
      </c>
      <c r="M2015">
        <v>2949750.24</v>
      </c>
      <c r="N2015">
        <v>709398.75</v>
      </c>
    </row>
    <row r="2016" spans="1:14" x14ac:dyDescent="0.25">
      <c r="A2016" t="s">
        <v>51</v>
      </c>
      <c r="B2016" t="s">
        <v>115</v>
      </c>
      <c r="C2016" t="s">
        <v>31</v>
      </c>
      <c r="D2016" t="s">
        <v>17</v>
      </c>
      <c r="E2016" t="s">
        <v>32</v>
      </c>
      <c r="F2016" t="s">
        <v>1197</v>
      </c>
      <c r="G2016">
        <v>280171811</v>
      </c>
      <c r="H2016" s="1">
        <v>41459</v>
      </c>
      <c r="I2016">
        <v>7920</v>
      </c>
      <c r="J2016">
        <v>205.7</v>
      </c>
      <c r="K2016">
        <v>117.11</v>
      </c>
      <c r="L2016">
        <v>1629144</v>
      </c>
      <c r="M2016">
        <v>927511.2</v>
      </c>
      <c r="N2016">
        <v>701632.8</v>
      </c>
    </row>
    <row r="2017" spans="1:14" x14ac:dyDescent="0.25">
      <c r="A2017" t="s">
        <v>51</v>
      </c>
      <c r="B2017" t="s">
        <v>115</v>
      </c>
      <c r="C2017" t="s">
        <v>131</v>
      </c>
      <c r="D2017" t="s">
        <v>17</v>
      </c>
      <c r="E2017" t="s">
        <v>18</v>
      </c>
      <c r="F2017" t="s">
        <v>1430</v>
      </c>
      <c r="G2017">
        <v>674231231</v>
      </c>
      <c r="H2017" t="s">
        <v>1253</v>
      </c>
      <c r="I2017">
        <v>8859</v>
      </c>
      <c r="J2017">
        <v>668.27</v>
      </c>
      <c r="K2017">
        <v>502.54</v>
      </c>
      <c r="L2017">
        <v>5920203.9299999997</v>
      </c>
      <c r="M2017">
        <v>4452001.8600000003</v>
      </c>
      <c r="N2017">
        <v>1468202.07</v>
      </c>
    </row>
    <row r="2018" spans="1:14" x14ac:dyDescent="0.25">
      <c r="A2018" t="s">
        <v>51</v>
      </c>
      <c r="B2018" t="s">
        <v>274</v>
      </c>
      <c r="C2018" t="s">
        <v>55</v>
      </c>
      <c r="D2018" t="s">
        <v>17</v>
      </c>
      <c r="E2018" t="s">
        <v>23</v>
      </c>
      <c r="F2018" t="s">
        <v>906</v>
      </c>
      <c r="G2018">
        <v>471911561</v>
      </c>
      <c r="H2018" t="s">
        <v>1151</v>
      </c>
      <c r="I2018">
        <v>7973</v>
      </c>
      <c r="J2018">
        <v>651.21</v>
      </c>
      <c r="K2018">
        <v>524.96</v>
      </c>
      <c r="L2018">
        <v>5192097.33</v>
      </c>
      <c r="M2018">
        <v>4185506.08</v>
      </c>
      <c r="N2018">
        <v>1006591.25</v>
      </c>
    </row>
    <row r="2019" spans="1:14" x14ac:dyDescent="0.25">
      <c r="A2019" t="s">
        <v>29</v>
      </c>
      <c r="B2019" t="s">
        <v>467</v>
      </c>
      <c r="C2019" t="s">
        <v>21</v>
      </c>
      <c r="D2019" t="s">
        <v>17</v>
      </c>
      <c r="E2019" t="s">
        <v>45</v>
      </c>
      <c r="F2019" t="s">
        <v>482</v>
      </c>
      <c r="G2019">
        <v>738886630</v>
      </c>
      <c r="H2019" t="s">
        <v>901</v>
      </c>
      <c r="I2019">
        <v>1828</v>
      </c>
      <c r="J2019">
        <v>152.58000000000001</v>
      </c>
      <c r="K2019">
        <v>97.44</v>
      </c>
      <c r="L2019">
        <v>278916.24</v>
      </c>
      <c r="M2019">
        <v>178120.32000000001</v>
      </c>
      <c r="N2019">
        <v>100795.92</v>
      </c>
    </row>
    <row r="2020" spans="1:14" x14ac:dyDescent="0.25">
      <c r="A2020" t="s">
        <v>77</v>
      </c>
      <c r="B2020" t="s">
        <v>622</v>
      </c>
      <c r="C2020" t="s">
        <v>27</v>
      </c>
      <c r="D2020" t="s">
        <v>17</v>
      </c>
      <c r="E2020" t="s">
        <v>18</v>
      </c>
      <c r="F2020" t="s">
        <v>1325</v>
      </c>
      <c r="G2020">
        <v>361142766</v>
      </c>
      <c r="H2020" s="1">
        <v>42133</v>
      </c>
      <c r="I2020">
        <v>9025</v>
      </c>
      <c r="J2020">
        <v>47.45</v>
      </c>
      <c r="K2020">
        <v>31.79</v>
      </c>
      <c r="L2020">
        <v>428236.25</v>
      </c>
      <c r="M2020">
        <v>286904.75</v>
      </c>
      <c r="N2020">
        <v>141331.5</v>
      </c>
    </row>
    <row r="2021" spans="1:14" x14ac:dyDescent="0.25">
      <c r="A2021" t="s">
        <v>25</v>
      </c>
      <c r="B2021" t="s">
        <v>469</v>
      </c>
      <c r="C2021" t="s">
        <v>27</v>
      </c>
      <c r="D2021" t="s">
        <v>22</v>
      </c>
      <c r="E2021" t="s">
        <v>45</v>
      </c>
      <c r="F2021" s="1">
        <v>41771</v>
      </c>
      <c r="G2021">
        <v>994978797</v>
      </c>
      <c r="H2021" s="1">
        <v>42036</v>
      </c>
      <c r="I2021">
        <v>5192</v>
      </c>
      <c r="J2021">
        <v>47.45</v>
      </c>
      <c r="K2021">
        <v>31.79</v>
      </c>
      <c r="L2021">
        <v>246360.4</v>
      </c>
      <c r="M2021">
        <v>165053.68</v>
      </c>
      <c r="N2021">
        <v>81306.720000000001</v>
      </c>
    </row>
    <row r="2022" spans="1:14" x14ac:dyDescent="0.25">
      <c r="A2022" t="s">
        <v>25</v>
      </c>
      <c r="B2022" t="s">
        <v>462</v>
      </c>
      <c r="C2022" t="s">
        <v>27</v>
      </c>
      <c r="D2022" t="s">
        <v>22</v>
      </c>
      <c r="E2022" t="s">
        <v>45</v>
      </c>
      <c r="F2022" t="s">
        <v>1480</v>
      </c>
      <c r="G2022">
        <v>317006051</v>
      </c>
      <c r="H2022" s="1">
        <v>42861</v>
      </c>
      <c r="I2022">
        <v>7990</v>
      </c>
      <c r="J2022">
        <v>47.45</v>
      </c>
      <c r="K2022">
        <v>31.79</v>
      </c>
      <c r="L2022">
        <v>379125.5</v>
      </c>
      <c r="M2022">
        <v>254002.1</v>
      </c>
      <c r="N2022">
        <v>125123.4</v>
      </c>
    </row>
    <row r="2023" spans="1:14" x14ac:dyDescent="0.25">
      <c r="A2023" t="s">
        <v>51</v>
      </c>
      <c r="B2023" t="s">
        <v>250</v>
      </c>
      <c r="C2023" t="s">
        <v>21</v>
      </c>
      <c r="D2023" t="s">
        <v>17</v>
      </c>
      <c r="E2023" t="s">
        <v>18</v>
      </c>
      <c r="F2023" t="s">
        <v>1138</v>
      </c>
      <c r="G2023">
        <v>574148356</v>
      </c>
      <c r="H2023" s="1">
        <v>40273</v>
      </c>
      <c r="I2023">
        <v>2112</v>
      </c>
      <c r="J2023">
        <v>152.58000000000001</v>
      </c>
      <c r="K2023">
        <v>97.44</v>
      </c>
      <c r="L2023">
        <v>322248.96000000002</v>
      </c>
      <c r="M2023">
        <v>205793.28</v>
      </c>
      <c r="N2023">
        <v>116455.67999999999</v>
      </c>
    </row>
    <row r="2024" spans="1:14" x14ac:dyDescent="0.25">
      <c r="A2024" t="s">
        <v>25</v>
      </c>
      <c r="B2024" t="s">
        <v>96</v>
      </c>
      <c r="C2024" t="s">
        <v>40</v>
      </c>
      <c r="D2024" t="s">
        <v>17</v>
      </c>
      <c r="E2024" t="s">
        <v>45</v>
      </c>
      <c r="F2024" t="s">
        <v>766</v>
      </c>
      <c r="G2024">
        <v>933642041</v>
      </c>
      <c r="H2024" t="s">
        <v>272</v>
      </c>
      <c r="I2024">
        <v>4282</v>
      </c>
      <c r="J2024">
        <v>81.73</v>
      </c>
      <c r="K2024">
        <v>56.67</v>
      </c>
      <c r="L2024">
        <v>349967.86</v>
      </c>
      <c r="M2024">
        <v>242660.94</v>
      </c>
      <c r="N2024">
        <v>107306.92</v>
      </c>
    </row>
    <row r="2025" spans="1:14" x14ac:dyDescent="0.25">
      <c r="A2025" t="s">
        <v>29</v>
      </c>
      <c r="B2025" t="s">
        <v>248</v>
      </c>
      <c r="C2025" t="s">
        <v>16</v>
      </c>
      <c r="D2025" t="s">
        <v>17</v>
      </c>
      <c r="E2025" t="s">
        <v>18</v>
      </c>
      <c r="F2025" t="s">
        <v>867</v>
      </c>
      <c r="G2025">
        <v>633035933</v>
      </c>
      <c r="H2025" t="s">
        <v>145</v>
      </c>
      <c r="I2025">
        <v>8255</v>
      </c>
      <c r="J2025">
        <v>255.28</v>
      </c>
      <c r="K2025">
        <v>159.41999999999999</v>
      </c>
      <c r="L2025">
        <v>2107336.4</v>
      </c>
      <c r="M2025">
        <v>1316012.1000000001</v>
      </c>
      <c r="N2025">
        <v>791324.3</v>
      </c>
    </row>
    <row r="2026" spans="1:14" x14ac:dyDescent="0.25">
      <c r="A2026" t="s">
        <v>29</v>
      </c>
      <c r="B2026" t="s">
        <v>124</v>
      </c>
      <c r="C2026" t="s">
        <v>21</v>
      </c>
      <c r="D2026" t="s">
        <v>17</v>
      </c>
      <c r="E2026" t="s">
        <v>23</v>
      </c>
      <c r="F2026" s="1">
        <v>40340</v>
      </c>
      <c r="G2026">
        <v>330191361</v>
      </c>
      <c r="H2026" t="s">
        <v>641</v>
      </c>
      <c r="I2026">
        <v>9816</v>
      </c>
      <c r="J2026">
        <v>152.58000000000001</v>
      </c>
      <c r="K2026">
        <v>97.44</v>
      </c>
      <c r="L2026">
        <v>1497725.28</v>
      </c>
      <c r="M2026">
        <v>956471.04</v>
      </c>
      <c r="N2026">
        <v>541254.24</v>
      </c>
    </row>
    <row r="2027" spans="1:14" x14ac:dyDescent="0.25">
      <c r="A2027" t="s">
        <v>29</v>
      </c>
      <c r="B2027" t="s">
        <v>124</v>
      </c>
      <c r="C2027" t="s">
        <v>44</v>
      </c>
      <c r="D2027" t="s">
        <v>17</v>
      </c>
      <c r="E2027" t="s">
        <v>18</v>
      </c>
      <c r="F2027" t="s">
        <v>1481</v>
      </c>
      <c r="G2027">
        <v>753282153</v>
      </c>
      <c r="H2027" t="s">
        <v>1196</v>
      </c>
      <c r="I2027">
        <v>1784</v>
      </c>
      <c r="J2027">
        <v>109.28</v>
      </c>
      <c r="K2027">
        <v>35.840000000000003</v>
      </c>
      <c r="L2027">
        <v>194955.51999999999</v>
      </c>
      <c r="M2027">
        <v>63938.559999999998</v>
      </c>
      <c r="N2027">
        <v>131016.96000000001</v>
      </c>
    </row>
    <row r="2028" spans="1:14" x14ac:dyDescent="0.25">
      <c r="A2028" t="s">
        <v>51</v>
      </c>
      <c r="B2028" t="s">
        <v>593</v>
      </c>
      <c r="C2028" t="s">
        <v>88</v>
      </c>
      <c r="D2028" t="s">
        <v>22</v>
      </c>
      <c r="E2028" t="s">
        <v>23</v>
      </c>
      <c r="F2028" t="s">
        <v>84</v>
      </c>
      <c r="G2028">
        <v>450794637</v>
      </c>
      <c r="H2028" s="1">
        <v>40484</v>
      </c>
      <c r="I2028">
        <v>9006</v>
      </c>
      <c r="J2028">
        <v>9.33</v>
      </c>
      <c r="K2028">
        <v>6.92</v>
      </c>
      <c r="L2028">
        <v>84025.98</v>
      </c>
      <c r="M2028">
        <v>62321.52</v>
      </c>
      <c r="N2028">
        <v>21704.46</v>
      </c>
    </row>
    <row r="2029" spans="1:14" x14ac:dyDescent="0.25">
      <c r="A2029" t="s">
        <v>38</v>
      </c>
      <c r="B2029" t="s">
        <v>117</v>
      </c>
      <c r="C2029" t="s">
        <v>31</v>
      </c>
      <c r="D2029" t="s">
        <v>22</v>
      </c>
      <c r="E2029" t="s">
        <v>18</v>
      </c>
      <c r="F2029" s="1">
        <v>41277</v>
      </c>
      <c r="G2029">
        <v>741527640</v>
      </c>
      <c r="H2029" t="s">
        <v>1482</v>
      </c>
      <c r="I2029">
        <v>3362</v>
      </c>
      <c r="J2029">
        <v>205.7</v>
      </c>
      <c r="K2029">
        <v>117.11</v>
      </c>
      <c r="L2029">
        <v>691563.4</v>
      </c>
      <c r="M2029">
        <v>393723.82</v>
      </c>
      <c r="N2029">
        <v>297839.58</v>
      </c>
    </row>
    <row r="2030" spans="1:14" x14ac:dyDescent="0.25">
      <c r="A2030" t="s">
        <v>25</v>
      </c>
      <c r="B2030" t="s">
        <v>469</v>
      </c>
      <c r="C2030" t="s">
        <v>55</v>
      </c>
      <c r="D2030" t="s">
        <v>22</v>
      </c>
      <c r="E2030" t="s">
        <v>18</v>
      </c>
      <c r="F2030" s="1">
        <v>42619</v>
      </c>
      <c r="G2030">
        <v>764592492</v>
      </c>
      <c r="H2030" t="s">
        <v>1392</v>
      </c>
      <c r="I2030">
        <v>8764</v>
      </c>
      <c r="J2030">
        <v>651.21</v>
      </c>
      <c r="K2030">
        <v>524.96</v>
      </c>
      <c r="L2030">
        <v>5707204.4400000004</v>
      </c>
      <c r="M2030">
        <v>4600749.4400000004</v>
      </c>
      <c r="N2030">
        <v>1106455</v>
      </c>
    </row>
    <row r="2031" spans="1:14" x14ac:dyDescent="0.25">
      <c r="A2031" t="s">
        <v>14</v>
      </c>
      <c r="B2031" t="s">
        <v>15</v>
      </c>
      <c r="C2031" t="s">
        <v>44</v>
      </c>
      <c r="D2031" t="s">
        <v>22</v>
      </c>
      <c r="E2031" t="s">
        <v>45</v>
      </c>
      <c r="F2031" s="1">
        <v>42348</v>
      </c>
      <c r="G2031">
        <v>629413020</v>
      </c>
      <c r="H2031" s="1">
        <v>42016</v>
      </c>
      <c r="I2031">
        <v>6154</v>
      </c>
      <c r="J2031">
        <v>109.28</v>
      </c>
      <c r="K2031">
        <v>35.840000000000003</v>
      </c>
      <c r="L2031">
        <v>672509.12</v>
      </c>
      <c r="M2031">
        <v>220559.35999999999</v>
      </c>
      <c r="N2031">
        <v>451949.76</v>
      </c>
    </row>
    <row r="2032" spans="1:14" x14ac:dyDescent="0.25">
      <c r="A2032" t="s">
        <v>42</v>
      </c>
      <c r="B2032" t="s">
        <v>43</v>
      </c>
      <c r="C2032" t="s">
        <v>88</v>
      </c>
      <c r="D2032" t="s">
        <v>22</v>
      </c>
      <c r="E2032" t="s">
        <v>23</v>
      </c>
      <c r="F2032" t="s">
        <v>1287</v>
      </c>
      <c r="G2032">
        <v>965725553</v>
      </c>
      <c r="H2032" s="1">
        <v>42226</v>
      </c>
      <c r="I2032">
        <v>8506</v>
      </c>
      <c r="J2032">
        <v>9.33</v>
      </c>
      <c r="K2032">
        <v>6.92</v>
      </c>
      <c r="L2032">
        <v>79360.98</v>
      </c>
      <c r="M2032">
        <v>58861.52</v>
      </c>
      <c r="N2032">
        <v>20499.46</v>
      </c>
    </row>
    <row r="2033" spans="1:14" x14ac:dyDescent="0.25">
      <c r="A2033" t="s">
        <v>38</v>
      </c>
      <c r="B2033" t="s">
        <v>430</v>
      </c>
      <c r="C2033" t="s">
        <v>113</v>
      </c>
      <c r="D2033" t="s">
        <v>17</v>
      </c>
      <c r="E2033" t="s">
        <v>45</v>
      </c>
      <c r="F2033" t="s">
        <v>246</v>
      </c>
      <c r="G2033">
        <v>673578917</v>
      </c>
      <c r="H2033" t="s">
        <v>618</v>
      </c>
      <c r="I2033">
        <v>5825</v>
      </c>
      <c r="J2033">
        <v>154.06</v>
      </c>
      <c r="K2033">
        <v>90.93</v>
      </c>
      <c r="L2033">
        <v>897399.5</v>
      </c>
      <c r="M2033">
        <v>529667.25</v>
      </c>
      <c r="N2033">
        <v>367732.25</v>
      </c>
    </row>
    <row r="2034" spans="1:14" x14ac:dyDescent="0.25">
      <c r="A2034" t="s">
        <v>51</v>
      </c>
      <c r="B2034" t="s">
        <v>276</v>
      </c>
      <c r="C2034" t="s">
        <v>21</v>
      </c>
      <c r="D2034" t="s">
        <v>22</v>
      </c>
      <c r="E2034" t="s">
        <v>45</v>
      </c>
      <c r="F2034" s="1">
        <v>40218</v>
      </c>
      <c r="G2034">
        <v>973334443</v>
      </c>
      <c r="H2034" t="s">
        <v>1357</v>
      </c>
      <c r="I2034">
        <v>146</v>
      </c>
      <c r="J2034">
        <v>152.58000000000001</v>
      </c>
      <c r="K2034">
        <v>97.44</v>
      </c>
      <c r="L2034">
        <v>22276.68</v>
      </c>
      <c r="M2034">
        <v>14226.24</v>
      </c>
      <c r="N2034">
        <v>8050.44</v>
      </c>
    </row>
    <row r="2035" spans="1:14" x14ac:dyDescent="0.25">
      <c r="A2035" t="s">
        <v>14</v>
      </c>
      <c r="B2035" t="s">
        <v>213</v>
      </c>
      <c r="C2035" t="s">
        <v>16</v>
      </c>
      <c r="D2035" t="s">
        <v>17</v>
      </c>
      <c r="E2035" t="s">
        <v>32</v>
      </c>
      <c r="F2035" t="s">
        <v>772</v>
      </c>
      <c r="G2035">
        <v>455665957</v>
      </c>
      <c r="H2035" t="s">
        <v>1483</v>
      </c>
      <c r="I2035">
        <v>538</v>
      </c>
      <c r="J2035">
        <v>255.28</v>
      </c>
      <c r="K2035">
        <v>159.41999999999999</v>
      </c>
      <c r="L2035">
        <v>137340.64000000001</v>
      </c>
      <c r="M2035">
        <v>85767.96</v>
      </c>
      <c r="N2035">
        <v>51572.68</v>
      </c>
    </row>
    <row r="2036" spans="1:14" x14ac:dyDescent="0.25">
      <c r="A2036" t="s">
        <v>25</v>
      </c>
      <c r="B2036" t="s">
        <v>343</v>
      </c>
      <c r="C2036" t="s">
        <v>44</v>
      </c>
      <c r="D2036" t="s">
        <v>22</v>
      </c>
      <c r="E2036" t="s">
        <v>23</v>
      </c>
      <c r="F2036" t="s">
        <v>925</v>
      </c>
      <c r="G2036">
        <v>931559789</v>
      </c>
      <c r="H2036" s="1">
        <v>41401</v>
      </c>
      <c r="I2036">
        <v>8098</v>
      </c>
      <c r="J2036">
        <v>109.28</v>
      </c>
      <c r="K2036">
        <v>35.840000000000003</v>
      </c>
      <c r="L2036">
        <v>884949.44</v>
      </c>
      <c r="M2036">
        <v>290232.32000000001</v>
      </c>
      <c r="N2036">
        <v>594717.12</v>
      </c>
    </row>
    <row r="2037" spans="1:14" x14ac:dyDescent="0.25">
      <c r="A2037" t="s">
        <v>25</v>
      </c>
      <c r="B2037" t="s">
        <v>497</v>
      </c>
      <c r="C2037" t="s">
        <v>27</v>
      </c>
      <c r="D2037" t="s">
        <v>22</v>
      </c>
      <c r="E2037" t="s">
        <v>32</v>
      </c>
      <c r="F2037" t="s">
        <v>1459</v>
      </c>
      <c r="G2037">
        <v>682314765</v>
      </c>
      <c r="H2037" t="s">
        <v>1095</v>
      </c>
      <c r="I2037">
        <v>956</v>
      </c>
      <c r="J2037">
        <v>47.45</v>
      </c>
      <c r="K2037">
        <v>31.79</v>
      </c>
      <c r="L2037">
        <v>45362.2</v>
      </c>
      <c r="M2037">
        <v>30391.24</v>
      </c>
      <c r="N2037">
        <v>14970.96</v>
      </c>
    </row>
    <row r="2038" spans="1:14" x14ac:dyDescent="0.25">
      <c r="A2038" t="s">
        <v>14</v>
      </c>
      <c r="B2038" t="s">
        <v>94</v>
      </c>
      <c r="C2038" t="s">
        <v>55</v>
      </c>
      <c r="D2038" t="s">
        <v>22</v>
      </c>
      <c r="E2038" t="s">
        <v>23</v>
      </c>
      <c r="F2038" t="s">
        <v>1484</v>
      </c>
      <c r="G2038">
        <v>309542214</v>
      </c>
      <c r="H2038" s="1">
        <v>42133</v>
      </c>
      <c r="I2038">
        <v>9275</v>
      </c>
      <c r="J2038">
        <v>651.21</v>
      </c>
      <c r="K2038">
        <v>524.96</v>
      </c>
      <c r="L2038">
        <v>6039972.75</v>
      </c>
      <c r="M2038">
        <v>4869004</v>
      </c>
      <c r="N2038">
        <v>1170968.75</v>
      </c>
    </row>
    <row r="2039" spans="1:14" x14ac:dyDescent="0.25">
      <c r="A2039" t="s">
        <v>25</v>
      </c>
      <c r="B2039" t="s">
        <v>426</v>
      </c>
      <c r="C2039" t="s">
        <v>21</v>
      </c>
      <c r="D2039" t="s">
        <v>17</v>
      </c>
      <c r="E2039" t="s">
        <v>23</v>
      </c>
      <c r="F2039" s="1">
        <v>42685</v>
      </c>
      <c r="G2039">
        <v>485165965</v>
      </c>
      <c r="H2039" t="s">
        <v>892</v>
      </c>
      <c r="I2039">
        <v>245</v>
      </c>
      <c r="J2039">
        <v>152.58000000000001</v>
      </c>
      <c r="K2039">
        <v>97.44</v>
      </c>
      <c r="L2039">
        <v>37382.1</v>
      </c>
      <c r="M2039">
        <v>23872.799999999999</v>
      </c>
      <c r="N2039">
        <v>13509.3</v>
      </c>
    </row>
    <row r="2040" spans="1:14" x14ac:dyDescent="0.25">
      <c r="A2040" t="s">
        <v>25</v>
      </c>
      <c r="B2040" t="s">
        <v>172</v>
      </c>
      <c r="C2040" t="s">
        <v>27</v>
      </c>
      <c r="D2040" t="s">
        <v>17</v>
      </c>
      <c r="E2040" t="s">
        <v>23</v>
      </c>
      <c r="F2040" s="1">
        <v>40271</v>
      </c>
      <c r="G2040">
        <v>601422345</v>
      </c>
      <c r="H2040" t="s">
        <v>163</v>
      </c>
      <c r="I2040">
        <v>3092</v>
      </c>
      <c r="J2040">
        <v>47.45</v>
      </c>
      <c r="K2040">
        <v>31.79</v>
      </c>
      <c r="L2040">
        <v>146715.4</v>
      </c>
      <c r="M2040">
        <v>98294.68</v>
      </c>
      <c r="N2040">
        <v>48420.72</v>
      </c>
    </row>
    <row r="2041" spans="1:14" x14ac:dyDescent="0.25">
      <c r="A2041" t="s">
        <v>38</v>
      </c>
      <c r="B2041" t="s">
        <v>187</v>
      </c>
      <c r="C2041" t="s">
        <v>88</v>
      </c>
      <c r="D2041" t="s">
        <v>17</v>
      </c>
      <c r="E2041" t="s">
        <v>32</v>
      </c>
      <c r="F2041" t="s">
        <v>297</v>
      </c>
      <c r="G2041">
        <v>120860183</v>
      </c>
      <c r="H2041" s="1">
        <v>41400</v>
      </c>
      <c r="I2041">
        <v>4069</v>
      </c>
      <c r="J2041">
        <v>9.33</v>
      </c>
      <c r="K2041">
        <v>6.92</v>
      </c>
      <c r="L2041">
        <v>37963.769999999997</v>
      </c>
      <c r="M2041">
        <v>28157.48</v>
      </c>
      <c r="N2041">
        <v>9806.2900000000009</v>
      </c>
    </row>
    <row r="2042" spans="1:14" x14ac:dyDescent="0.25">
      <c r="A2042" t="s">
        <v>38</v>
      </c>
      <c r="B2042" t="s">
        <v>105</v>
      </c>
      <c r="C2042" t="s">
        <v>88</v>
      </c>
      <c r="D2042" t="s">
        <v>22</v>
      </c>
      <c r="E2042" t="s">
        <v>23</v>
      </c>
      <c r="F2042" t="s">
        <v>683</v>
      </c>
      <c r="G2042">
        <v>826340806</v>
      </c>
      <c r="H2042" s="1">
        <v>42190</v>
      </c>
      <c r="I2042">
        <v>1462</v>
      </c>
      <c r="J2042">
        <v>9.33</v>
      </c>
      <c r="K2042">
        <v>6.92</v>
      </c>
      <c r="L2042">
        <v>13640.46</v>
      </c>
      <c r="M2042">
        <v>10117.040000000001</v>
      </c>
      <c r="N2042">
        <v>3523.42</v>
      </c>
    </row>
    <row r="2043" spans="1:14" x14ac:dyDescent="0.25">
      <c r="A2043" t="s">
        <v>51</v>
      </c>
      <c r="B2043" t="s">
        <v>575</v>
      </c>
      <c r="C2043" t="s">
        <v>55</v>
      </c>
      <c r="D2043" t="s">
        <v>17</v>
      </c>
      <c r="E2043" t="s">
        <v>32</v>
      </c>
      <c r="F2043" t="s">
        <v>801</v>
      </c>
      <c r="G2043">
        <v>971038043</v>
      </c>
      <c r="H2043" s="1">
        <v>42593</v>
      </c>
      <c r="I2043">
        <v>590</v>
      </c>
      <c r="J2043">
        <v>651.21</v>
      </c>
      <c r="K2043">
        <v>524.96</v>
      </c>
      <c r="L2043">
        <v>384213.9</v>
      </c>
      <c r="M2043">
        <v>309726.40000000002</v>
      </c>
      <c r="N2043">
        <v>74487.5</v>
      </c>
    </row>
    <row r="2044" spans="1:14" x14ac:dyDescent="0.25">
      <c r="A2044" t="s">
        <v>14</v>
      </c>
      <c r="B2044" t="s">
        <v>94</v>
      </c>
      <c r="C2044" t="s">
        <v>16</v>
      </c>
      <c r="D2044" t="s">
        <v>22</v>
      </c>
      <c r="E2044" t="s">
        <v>45</v>
      </c>
      <c r="F2044" t="s">
        <v>1485</v>
      </c>
      <c r="G2044">
        <v>228438222</v>
      </c>
      <c r="H2044" s="1">
        <v>41253</v>
      </c>
      <c r="I2044">
        <v>8801</v>
      </c>
      <c r="J2044">
        <v>255.28</v>
      </c>
      <c r="K2044">
        <v>159.41999999999999</v>
      </c>
      <c r="L2044">
        <v>2246719.2799999998</v>
      </c>
      <c r="M2044">
        <v>1403055.42</v>
      </c>
      <c r="N2044">
        <v>843663.86</v>
      </c>
    </row>
    <row r="2045" spans="1:14" x14ac:dyDescent="0.25">
      <c r="A2045" t="s">
        <v>42</v>
      </c>
      <c r="B2045" t="s">
        <v>103</v>
      </c>
      <c r="C2045" t="s">
        <v>55</v>
      </c>
      <c r="D2045" t="s">
        <v>22</v>
      </c>
      <c r="E2045" t="s">
        <v>32</v>
      </c>
      <c r="F2045" t="s">
        <v>1039</v>
      </c>
      <c r="G2045">
        <v>142340171</v>
      </c>
      <c r="H2045" s="1">
        <v>42742</v>
      </c>
      <c r="I2045">
        <v>475</v>
      </c>
      <c r="J2045">
        <v>651.21</v>
      </c>
      <c r="K2045">
        <v>524.96</v>
      </c>
      <c r="L2045">
        <v>309324.75</v>
      </c>
      <c r="M2045">
        <v>249356</v>
      </c>
      <c r="N2045">
        <v>59968.75</v>
      </c>
    </row>
    <row r="2046" spans="1:14" x14ac:dyDescent="0.25">
      <c r="A2046" t="s">
        <v>38</v>
      </c>
      <c r="B2046" t="s">
        <v>68</v>
      </c>
      <c r="C2046" t="s">
        <v>131</v>
      </c>
      <c r="D2046" t="s">
        <v>22</v>
      </c>
      <c r="E2046" t="s">
        <v>23</v>
      </c>
      <c r="F2046" t="s">
        <v>167</v>
      </c>
      <c r="G2046">
        <v>976855218</v>
      </c>
      <c r="H2046" s="1">
        <v>42590</v>
      </c>
      <c r="I2046">
        <v>2022</v>
      </c>
      <c r="J2046">
        <v>668.27</v>
      </c>
      <c r="K2046">
        <v>502.54</v>
      </c>
      <c r="L2046">
        <v>1351241.94</v>
      </c>
      <c r="M2046">
        <v>1016135.88</v>
      </c>
      <c r="N2046">
        <v>335106.06</v>
      </c>
    </row>
    <row r="2047" spans="1:14" x14ac:dyDescent="0.25">
      <c r="A2047" t="s">
        <v>51</v>
      </c>
      <c r="B2047" t="s">
        <v>100</v>
      </c>
      <c r="C2047" t="s">
        <v>16</v>
      </c>
      <c r="D2047" t="s">
        <v>17</v>
      </c>
      <c r="E2047" t="s">
        <v>18</v>
      </c>
      <c r="F2047" s="1">
        <v>42252</v>
      </c>
      <c r="G2047">
        <v>366407191</v>
      </c>
      <c r="H2047" t="s">
        <v>347</v>
      </c>
      <c r="I2047">
        <v>6885</v>
      </c>
      <c r="J2047">
        <v>255.28</v>
      </c>
      <c r="K2047">
        <v>159.41999999999999</v>
      </c>
      <c r="L2047">
        <v>1757602.8</v>
      </c>
      <c r="M2047">
        <v>1097606.7</v>
      </c>
      <c r="N2047">
        <v>659996.1</v>
      </c>
    </row>
    <row r="2048" spans="1:14" x14ac:dyDescent="0.25">
      <c r="A2048" t="s">
        <v>38</v>
      </c>
      <c r="B2048" t="s">
        <v>177</v>
      </c>
      <c r="C2048" t="s">
        <v>88</v>
      </c>
      <c r="D2048" t="s">
        <v>22</v>
      </c>
      <c r="E2048" t="s">
        <v>32</v>
      </c>
      <c r="F2048" s="1">
        <v>40948</v>
      </c>
      <c r="G2048">
        <v>965732419</v>
      </c>
      <c r="H2048" t="s">
        <v>568</v>
      </c>
      <c r="I2048">
        <v>538</v>
      </c>
      <c r="J2048">
        <v>9.33</v>
      </c>
      <c r="K2048">
        <v>6.92</v>
      </c>
      <c r="L2048">
        <v>5019.54</v>
      </c>
      <c r="M2048">
        <v>3722.96</v>
      </c>
      <c r="N2048">
        <v>1296.58</v>
      </c>
    </row>
    <row r="2049" spans="1:14" x14ac:dyDescent="0.25">
      <c r="A2049" t="s">
        <v>25</v>
      </c>
      <c r="B2049" t="s">
        <v>374</v>
      </c>
      <c r="C2049" t="s">
        <v>131</v>
      </c>
      <c r="D2049" t="s">
        <v>22</v>
      </c>
      <c r="E2049" t="s">
        <v>18</v>
      </c>
      <c r="F2049" t="s">
        <v>1486</v>
      </c>
      <c r="G2049">
        <v>999879729</v>
      </c>
      <c r="H2049" s="1">
        <v>41065</v>
      </c>
      <c r="I2049">
        <v>5486</v>
      </c>
      <c r="J2049">
        <v>668.27</v>
      </c>
      <c r="K2049">
        <v>502.54</v>
      </c>
      <c r="L2049">
        <v>3666129.22</v>
      </c>
      <c r="M2049">
        <v>2756934.44</v>
      </c>
      <c r="N2049">
        <v>909194.78</v>
      </c>
    </row>
    <row r="2050" spans="1:14" x14ac:dyDescent="0.25">
      <c r="A2050" t="s">
        <v>51</v>
      </c>
      <c r="B2050" t="s">
        <v>295</v>
      </c>
      <c r="C2050" t="s">
        <v>21</v>
      </c>
      <c r="D2050" t="s">
        <v>17</v>
      </c>
      <c r="E2050" t="s">
        <v>18</v>
      </c>
      <c r="F2050" t="s">
        <v>1002</v>
      </c>
      <c r="G2050">
        <v>114210450</v>
      </c>
      <c r="H2050" t="s">
        <v>1434</v>
      </c>
      <c r="I2050">
        <v>6265</v>
      </c>
      <c r="J2050">
        <v>152.58000000000001</v>
      </c>
      <c r="K2050">
        <v>97.44</v>
      </c>
      <c r="L2050">
        <v>955913.7</v>
      </c>
      <c r="M2050">
        <v>610461.6</v>
      </c>
      <c r="N2050">
        <v>345452.1</v>
      </c>
    </row>
    <row r="2051" spans="1:14" x14ac:dyDescent="0.25">
      <c r="A2051" t="s">
        <v>42</v>
      </c>
      <c r="B2051" t="s">
        <v>107</v>
      </c>
      <c r="C2051" t="s">
        <v>131</v>
      </c>
      <c r="D2051" t="s">
        <v>17</v>
      </c>
      <c r="E2051" t="s">
        <v>45</v>
      </c>
      <c r="F2051" s="1">
        <v>40705</v>
      </c>
      <c r="G2051">
        <v>724398410</v>
      </c>
      <c r="H2051" s="1">
        <v>40735</v>
      </c>
      <c r="I2051">
        <v>4442</v>
      </c>
      <c r="J2051">
        <v>668.27</v>
      </c>
      <c r="K2051">
        <v>502.54</v>
      </c>
      <c r="L2051">
        <v>2968455.34</v>
      </c>
      <c r="M2051">
        <v>2232282.6800000002</v>
      </c>
      <c r="N2051">
        <v>736172.66</v>
      </c>
    </row>
    <row r="2052" spans="1:14" x14ac:dyDescent="0.25">
      <c r="A2052" t="s">
        <v>14</v>
      </c>
      <c r="B2052" t="s">
        <v>64</v>
      </c>
      <c r="C2052" t="s">
        <v>27</v>
      </c>
      <c r="D2052" t="s">
        <v>17</v>
      </c>
      <c r="E2052" t="s">
        <v>18</v>
      </c>
      <c r="F2052" t="s">
        <v>1098</v>
      </c>
      <c r="G2052">
        <v>366429936</v>
      </c>
      <c r="H2052" t="s">
        <v>1101</v>
      </c>
      <c r="I2052">
        <v>3616</v>
      </c>
      <c r="J2052">
        <v>47.45</v>
      </c>
      <c r="K2052">
        <v>31.79</v>
      </c>
      <c r="L2052">
        <v>171579.2</v>
      </c>
      <c r="M2052">
        <v>114952.64</v>
      </c>
      <c r="N2052">
        <v>56626.559999999998</v>
      </c>
    </row>
    <row r="2053" spans="1:14" x14ac:dyDescent="0.25">
      <c r="A2053" t="s">
        <v>25</v>
      </c>
      <c r="B2053" t="s">
        <v>201</v>
      </c>
      <c r="C2053" t="s">
        <v>59</v>
      </c>
      <c r="D2053" t="s">
        <v>22</v>
      </c>
      <c r="E2053" t="s">
        <v>45</v>
      </c>
      <c r="F2053" s="1">
        <v>41032</v>
      </c>
      <c r="G2053">
        <v>246603858</v>
      </c>
      <c r="H2053" t="s">
        <v>1487</v>
      </c>
      <c r="I2053">
        <v>4417</v>
      </c>
      <c r="J2053">
        <v>437.2</v>
      </c>
      <c r="K2053">
        <v>263.33</v>
      </c>
      <c r="L2053">
        <v>1931112.4</v>
      </c>
      <c r="M2053">
        <v>1163128.6100000001</v>
      </c>
      <c r="N2053">
        <v>767983.79</v>
      </c>
    </row>
    <row r="2054" spans="1:14" x14ac:dyDescent="0.25">
      <c r="A2054" t="s">
        <v>25</v>
      </c>
      <c r="B2054" t="s">
        <v>569</v>
      </c>
      <c r="C2054" t="s">
        <v>27</v>
      </c>
      <c r="D2054" t="s">
        <v>17</v>
      </c>
      <c r="E2054" t="s">
        <v>32</v>
      </c>
      <c r="F2054" t="s">
        <v>1276</v>
      </c>
      <c r="G2054">
        <v>291531503</v>
      </c>
      <c r="H2054" t="s">
        <v>1035</v>
      </c>
      <c r="I2054">
        <v>9505</v>
      </c>
      <c r="J2054">
        <v>47.45</v>
      </c>
      <c r="K2054">
        <v>31.79</v>
      </c>
      <c r="L2054">
        <v>451012.25</v>
      </c>
      <c r="M2054">
        <v>302163.95</v>
      </c>
      <c r="N2054">
        <v>148848.29999999999</v>
      </c>
    </row>
    <row r="2055" spans="1:14" x14ac:dyDescent="0.25">
      <c r="A2055" t="s">
        <v>14</v>
      </c>
      <c r="B2055" t="s">
        <v>372</v>
      </c>
      <c r="C2055" t="s">
        <v>21</v>
      </c>
      <c r="D2055" t="s">
        <v>22</v>
      </c>
      <c r="E2055" t="s">
        <v>32</v>
      </c>
      <c r="F2055" t="s">
        <v>1488</v>
      </c>
      <c r="G2055">
        <v>498136699</v>
      </c>
      <c r="H2055" s="1">
        <v>41582</v>
      </c>
      <c r="I2055">
        <v>8574</v>
      </c>
      <c r="J2055">
        <v>152.58000000000001</v>
      </c>
      <c r="K2055">
        <v>97.44</v>
      </c>
      <c r="L2055">
        <v>1308220.92</v>
      </c>
      <c r="M2055">
        <v>835450.56</v>
      </c>
      <c r="N2055">
        <v>472770.36</v>
      </c>
    </row>
    <row r="2056" spans="1:14" x14ac:dyDescent="0.25">
      <c r="A2056" t="s">
        <v>25</v>
      </c>
      <c r="B2056" t="s">
        <v>339</v>
      </c>
      <c r="C2056" t="s">
        <v>31</v>
      </c>
      <c r="D2056" t="s">
        <v>22</v>
      </c>
      <c r="E2056" t="s">
        <v>45</v>
      </c>
      <c r="F2056" t="s">
        <v>1489</v>
      </c>
      <c r="G2056">
        <v>483655774</v>
      </c>
      <c r="H2056" s="1">
        <v>42863</v>
      </c>
      <c r="I2056">
        <v>3346</v>
      </c>
      <c r="J2056">
        <v>205.7</v>
      </c>
      <c r="K2056">
        <v>117.11</v>
      </c>
      <c r="L2056">
        <v>688272.2</v>
      </c>
      <c r="M2056">
        <v>391850.06</v>
      </c>
      <c r="N2056">
        <v>296422.14</v>
      </c>
    </row>
    <row r="2057" spans="1:14" x14ac:dyDescent="0.25">
      <c r="A2057" t="s">
        <v>51</v>
      </c>
      <c r="B2057" t="s">
        <v>593</v>
      </c>
      <c r="C2057" t="s">
        <v>59</v>
      </c>
      <c r="D2057" t="s">
        <v>22</v>
      </c>
      <c r="E2057" t="s">
        <v>32</v>
      </c>
      <c r="F2057" t="s">
        <v>1490</v>
      </c>
      <c r="G2057">
        <v>835637557</v>
      </c>
      <c r="H2057" t="s">
        <v>956</v>
      </c>
      <c r="I2057">
        <v>2578</v>
      </c>
      <c r="J2057">
        <v>437.2</v>
      </c>
      <c r="K2057">
        <v>263.33</v>
      </c>
      <c r="L2057">
        <v>1127101.6000000001</v>
      </c>
      <c r="M2057">
        <v>678864.74</v>
      </c>
      <c r="N2057">
        <v>448236.86</v>
      </c>
    </row>
    <row r="2058" spans="1:14" x14ac:dyDescent="0.25">
      <c r="A2058" t="s">
        <v>14</v>
      </c>
      <c r="B2058" t="s">
        <v>66</v>
      </c>
      <c r="C2058" t="s">
        <v>88</v>
      </c>
      <c r="D2058" t="s">
        <v>22</v>
      </c>
      <c r="E2058" t="s">
        <v>23</v>
      </c>
      <c r="F2058" s="1">
        <v>42349</v>
      </c>
      <c r="G2058">
        <v>861943376</v>
      </c>
      <c r="H2058" t="s">
        <v>1491</v>
      </c>
      <c r="I2058">
        <v>7054</v>
      </c>
      <c r="J2058">
        <v>9.33</v>
      </c>
      <c r="K2058">
        <v>6.92</v>
      </c>
      <c r="L2058">
        <v>65813.820000000007</v>
      </c>
      <c r="M2058">
        <v>48813.68</v>
      </c>
      <c r="N2058">
        <v>17000.14</v>
      </c>
    </row>
    <row r="2059" spans="1:14" x14ac:dyDescent="0.25">
      <c r="A2059" t="s">
        <v>25</v>
      </c>
      <c r="B2059" t="s">
        <v>284</v>
      </c>
      <c r="C2059" t="s">
        <v>40</v>
      </c>
      <c r="D2059" t="s">
        <v>17</v>
      </c>
      <c r="E2059" t="s">
        <v>23</v>
      </c>
      <c r="F2059" s="1">
        <v>40463</v>
      </c>
      <c r="G2059">
        <v>840747058</v>
      </c>
      <c r="H2059" t="s">
        <v>459</v>
      </c>
      <c r="I2059">
        <v>4593</v>
      </c>
      <c r="J2059">
        <v>81.73</v>
      </c>
      <c r="K2059">
        <v>56.67</v>
      </c>
      <c r="L2059">
        <v>375385.89</v>
      </c>
      <c r="M2059">
        <v>260285.31</v>
      </c>
      <c r="N2059">
        <v>115100.58</v>
      </c>
    </row>
    <row r="2060" spans="1:14" x14ac:dyDescent="0.25">
      <c r="A2060" t="s">
        <v>51</v>
      </c>
      <c r="B2060" t="s">
        <v>350</v>
      </c>
      <c r="C2060" t="s">
        <v>31</v>
      </c>
      <c r="D2060" t="s">
        <v>17</v>
      </c>
      <c r="E2060" t="s">
        <v>18</v>
      </c>
      <c r="F2060" s="1">
        <v>41280</v>
      </c>
      <c r="G2060">
        <v>670534932</v>
      </c>
      <c r="H2060" s="1">
        <v>41280</v>
      </c>
      <c r="I2060">
        <v>5042</v>
      </c>
      <c r="J2060">
        <v>205.7</v>
      </c>
      <c r="K2060">
        <v>117.11</v>
      </c>
      <c r="L2060">
        <v>1037139.4</v>
      </c>
      <c r="M2060">
        <v>590468.62</v>
      </c>
      <c r="N2060">
        <v>446670.78</v>
      </c>
    </row>
    <row r="2061" spans="1:14" x14ac:dyDescent="0.25">
      <c r="A2061" t="s">
        <v>51</v>
      </c>
      <c r="B2061" t="s">
        <v>192</v>
      </c>
      <c r="C2061" t="s">
        <v>16</v>
      </c>
      <c r="D2061" t="s">
        <v>22</v>
      </c>
      <c r="E2061" t="s">
        <v>45</v>
      </c>
      <c r="F2061" t="s">
        <v>1400</v>
      </c>
      <c r="G2061">
        <v>320105826</v>
      </c>
      <c r="H2061" t="s">
        <v>1338</v>
      </c>
      <c r="I2061">
        <v>5282</v>
      </c>
      <c r="J2061">
        <v>255.28</v>
      </c>
      <c r="K2061">
        <v>159.41999999999999</v>
      </c>
      <c r="L2061">
        <v>1348388.96</v>
      </c>
      <c r="M2061">
        <v>842056.44</v>
      </c>
      <c r="N2061">
        <v>506332.52</v>
      </c>
    </row>
    <row r="2062" spans="1:14" x14ac:dyDescent="0.25">
      <c r="A2062" t="s">
        <v>51</v>
      </c>
      <c r="B2062" t="s">
        <v>360</v>
      </c>
      <c r="C2062" t="s">
        <v>16</v>
      </c>
      <c r="D2062" t="s">
        <v>17</v>
      </c>
      <c r="E2062" t="s">
        <v>32</v>
      </c>
      <c r="F2062" t="s">
        <v>1301</v>
      </c>
      <c r="G2062">
        <v>278571069</v>
      </c>
      <c r="H2062" t="s">
        <v>1436</v>
      </c>
      <c r="I2062">
        <v>4225</v>
      </c>
      <c r="J2062">
        <v>255.28</v>
      </c>
      <c r="K2062">
        <v>159.41999999999999</v>
      </c>
      <c r="L2062">
        <v>1078558</v>
      </c>
      <c r="M2062">
        <v>673549.5</v>
      </c>
      <c r="N2062">
        <v>405008.5</v>
      </c>
    </row>
    <row r="2063" spans="1:14" x14ac:dyDescent="0.25">
      <c r="A2063" t="s">
        <v>25</v>
      </c>
      <c r="B2063" t="s">
        <v>47</v>
      </c>
      <c r="C2063" t="s">
        <v>59</v>
      </c>
      <c r="D2063" t="s">
        <v>22</v>
      </c>
      <c r="E2063" t="s">
        <v>45</v>
      </c>
      <c r="F2063" s="1">
        <v>41245</v>
      </c>
      <c r="G2063">
        <v>205354487</v>
      </c>
      <c r="H2063" t="s">
        <v>1492</v>
      </c>
      <c r="I2063">
        <v>7811</v>
      </c>
      <c r="J2063">
        <v>437.2</v>
      </c>
      <c r="K2063">
        <v>263.33</v>
      </c>
      <c r="L2063">
        <v>3414969.2</v>
      </c>
      <c r="M2063">
        <v>2056870.63</v>
      </c>
      <c r="N2063">
        <v>1358098.57</v>
      </c>
    </row>
    <row r="2064" spans="1:14" x14ac:dyDescent="0.25">
      <c r="A2064" t="s">
        <v>25</v>
      </c>
      <c r="B2064" t="s">
        <v>134</v>
      </c>
      <c r="C2064" t="s">
        <v>31</v>
      </c>
      <c r="D2064" t="s">
        <v>17</v>
      </c>
      <c r="E2064" t="s">
        <v>45</v>
      </c>
      <c r="F2064" t="s">
        <v>1493</v>
      </c>
      <c r="G2064">
        <v>280192410</v>
      </c>
      <c r="H2064" t="s">
        <v>1494</v>
      </c>
      <c r="I2064">
        <v>4016</v>
      </c>
      <c r="J2064">
        <v>205.7</v>
      </c>
      <c r="K2064">
        <v>117.11</v>
      </c>
      <c r="L2064">
        <v>826091.2</v>
      </c>
      <c r="M2064">
        <v>470313.76</v>
      </c>
      <c r="N2064">
        <v>355777.44</v>
      </c>
    </row>
    <row r="2065" spans="1:14" x14ac:dyDescent="0.25">
      <c r="A2065" t="s">
        <v>42</v>
      </c>
      <c r="B2065" t="s">
        <v>361</v>
      </c>
      <c r="C2065" t="s">
        <v>131</v>
      </c>
      <c r="D2065" t="s">
        <v>17</v>
      </c>
      <c r="E2065" t="s">
        <v>32</v>
      </c>
      <c r="F2065" t="s">
        <v>597</v>
      </c>
      <c r="G2065">
        <v>753133666</v>
      </c>
      <c r="H2065" s="1">
        <v>41366</v>
      </c>
      <c r="I2065">
        <v>7843</v>
      </c>
      <c r="J2065">
        <v>668.27</v>
      </c>
      <c r="K2065">
        <v>502.54</v>
      </c>
      <c r="L2065">
        <v>5241241.6100000003</v>
      </c>
      <c r="M2065">
        <v>3941421.22</v>
      </c>
      <c r="N2065">
        <v>1299820.3899999999</v>
      </c>
    </row>
    <row r="2066" spans="1:14" x14ac:dyDescent="0.25">
      <c r="A2066" t="s">
        <v>29</v>
      </c>
      <c r="B2066" t="s">
        <v>356</v>
      </c>
      <c r="C2066" t="s">
        <v>113</v>
      </c>
      <c r="D2066" t="s">
        <v>22</v>
      </c>
      <c r="E2066" t="s">
        <v>18</v>
      </c>
      <c r="F2066" t="s">
        <v>454</v>
      </c>
      <c r="G2066">
        <v>594539582</v>
      </c>
      <c r="H2066" t="s">
        <v>1105</v>
      </c>
      <c r="I2066">
        <v>6329</v>
      </c>
      <c r="J2066">
        <v>154.06</v>
      </c>
      <c r="K2066">
        <v>90.93</v>
      </c>
      <c r="L2066">
        <v>975045.74</v>
      </c>
      <c r="M2066">
        <v>575495.97</v>
      </c>
      <c r="N2066">
        <v>399549.77</v>
      </c>
    </row>
    <row r="2067" spans="1:14" x14ac:dyDescent="0.25">
      <c r="A2067" t="s">
        <v>29</v>
      </c>
      <c r="B2067" t="s">
        <v>323</v>
      </c>
      <c r="C2067" t="s">
        <v>21</v>
      </c>
      <c r="D2067" t="s">
        <v>17</v>
      </c>
      <c r="E2067" t="s">
        <v>32</v>
      </c>
      <c r="F2067" t="s">
        <v>1167</v>
      </c>
      <c r="G2067">
        <v>645083987</v>
      </c>
      <c r="H2067" t="s">
        <v>524</v>
      </c>
      <c r="I2067">
        <v>3542</v>
      </c>
      <c r="J2067">
        <v>152.58000000000001</v>
      </c>
      <c r="K2067">
        <v>97.44</v>
      </c>
      <c r="L2067">
        <v>540438.36</v>
      </c>
      <c r="M2067">
        <v>345132.48</v>
      </c>
      <c r="N2067">
        <v>195305.88</v>
      </c>
    </row>
    <row r="2068" spans="1:14" x14ac:dyDescent="0.25">
      <c r="A2068" t="s">
        <v>25</v>
      </c>
      <c r="B2068" t="s">
        <v>497</v>
      </c>
      <c r="C2068" t="s">
        <v>113</v>
      </c>
      <c r="D2068" t="s">
        <v>22</v>
      </c>
      <c r="E2068" t="s">
        <v>23</v>
      </c>
      <c r="F2068" t="s">
        <v>1495</v>
      </c>
      <c r="G2068">
        <v>465753209</v>
      </c>
      <c r="H2068" t="s">
        <v>1495</v>
      </c>
      <c r="I2068">
        <v>5579</v>
      </c>
      <c r="J2068">
        <v>154.06</v>
      </c>
      <c r="K2068">
        <v>90.93</v>
      </c>
      <c r="L2068">
        <v>859500.74</v>
      </c>
      <c r="M2068">
        <v>507298.47</v>
      </c>
      <c r="N2068">
        <v>352202.27</v>
      </c>
    </row>
    <row r="2069" spans="1:14" x14ac:dyDescent="0.25">
      <c r="A2069" t="s">
        <v>25</v>
      </c>
      <c r="B2069" t="s">
        <v>434</v>
      </c>
      <c r="C2069" t="s">
        <v>40</v>
      </c>
      <c r="D2069" t="s">
        <v>17</v>
      </c>
      <c r="E2069" t="s">
        <v>23</v>
      </c>
      <c r="F2069" t="s">
        <v>1043</v>
      </c>
      <c r="G2069">
        <v>587846076</v>
      </c>
      <c r="H2069" t="s">
        <v>1496</v>
      </c>
      <c r="I2069">
        <v>5572</v>
      </c>
      <c r="J2069">
        <v>81.73</v>
      </c>
      <c r="K2069">
        <v>56.67</v>
      </c>
      <c r="L2069">
        <v>455399.56</v>
      </c>
      <c r="M2069">
        <v>315765.24</v>
      </c>
      <c r="N2069">
        <v>139634.32</v>
      </c>
    </row>
    <row r="2070" spans="1:14" x14ac:dyDescent="0.25">
      <c r="A2070" t="s">
        <v>29</v>
      </c>
      <c r="B2070" t="s">
        <v>199</v>
      </c>
      <c r="C2070" t="s">
        <v>40</v>
      </c>
      <c r="D2070" t="s">
        <v>17</v>
      </c>
      <c r="E2070" t="s">
        <v>23</v>
      </c>
      <c r="F2070" s="1">
        <v>41031</v>
      </c>
      <c r="G2070">
        <v>262973916</v>
      </c>
      <c r="H2070" t="s">
        <v>1492</v>
      </c>
      <c r="I2070">
        <v>8680</v>
      </c>
      <c r="J2070">
        <v>81.73</v>
      </c>
      <c r="K2070">
        <v>56.67</v>
      </c>
      <c r="L2070">
        <v>709416.4</v>
      </c>
      <c r="M2070">
        <v>491895.6</v>
      </c>
      <c r="N2070">
        <v>217520.8</v>
      </c>
    </row>
    <row r="2071" spans="1:14" x14ac:dyDescent="0.25">
      <c r="A2071" t="s">
        <v>29</v>
      </c>
      <c r="B2071" t="s">
        <v>121</v>
      </c>
      <c r="C2071" t="s">
        <v>44</v>
      </c>
      <c r="D2071" t="s">
        <v>17</v>
      </c>
      <c r="E2071" t="s">
        <v>23</v>
      </c>
      <c r="F2071" s="1">
        <v>41793</v>
      </c>
      <c r="G2071">
        <v>613060557</v>
      </c>
      <c r="H2071" t="s">
        <v>535</v>
      </c>
      <c r="I2071">
        <v>7097</v>
      </c>
      <c r="J2071">
        <v>109.28</v>
      </c>
      <c r="K2071">
        <v>35.840000000000003</v>
      </c>
      <c r="L2071">
        <v>775560.16</v>
      </c>
      <c r="M2071">
        <v>254356.48000000001</v>
      </c>
      <c r="N2071">
        <v>521203.68</v>
      </c>
    </row>
    <row r="2072" spans="1:14" x14ac:dyDescent="0.25">
      <c r="A2072" t="s">
        <v>25</v>
      </c>
      <c r="B2072" t="s">
        <v>284</v>
      </c>
      <c r="C2072" t="s">
        <v>31</v>
      </c>
      <c r="D2072" t="s">
        <v>22</v>
      </c>
      <c r="E2072" t="s">
        <v>45</v>
      </c>
      <c r="F2072" s="1">
        <v>40825</v>
      </c>
      <c r="G2072">
        <v>580342328</v>
      </c>
      <c r="H2072" t="s">
        <v>1116</v>
      </c>
      <c r="I2072">
        <v>5046</v>
      </c>
      <c r="J2072">
        <v>205.7</v>
      </c>
      <c r="K2072">
        <v>117.11</v>
      </c>
      <c r="L2072">
        <v>1037962.2</v>
      </c>
      <c r="M2072">
        <v>590937.06000000006</v>
      </c>
      <c r="N2072">
        <v>447025.14</v>
      </c>
    </row>
    <row r="2073" spans="1:14" x14ac:dyDescent="0.25">
      <c r="A2073" t="s">
        <v>42</v>
      </c>
      <c r="B2073" t="s">
        <v>630</v>
      </c>
      <c r="C2073" t="s">
        <v>21</v>
      </c>
      <c r="D2073" t="s">
        <v>22</v>
      </c>
      <c r="E2073" t="s">
        <v>18</v>
      </c>
      <c r="F2073" t="s">
        <v>345</v>
      </c>
      <c r="G2073">
        <v>977368056</v>
      </c>
      <c r="H2073" t="s">
        <v>1497</v>
      </c>
      <c r="I2073">
        <v>3782</v>
      </c>
      <c r="J2073">
        <v>152.58000000000001</v>
      </c>
      <c r="K2073">
        <v>97.44</v>
      </c>
      <c r="L2073">
        <v>577057.56000000006</v>
      </c>
      <c r="M2073">
        <v>368518.08</v>
      </c>
      <c r="N2073">
        <v>208539.48</v>
      </c>
    </row>
    <row r="2074" spans="1:14" x14ac:dyDescent="0.25">
      <c r="A2074" t="s">
        <v>38</v>
      </c>
      <c r="B2074" t="s">
        <v>92</v>
      </c>
      <c r="C2074" t="s">
        <v>21</v>
      </c>
      <c r="D2074" t="s">
        <v>22</v>
      </c>
      <c r="E2074" t="s">
        <v>18</v>
      </c>
      <c r="F2074" t="s">
        <v>705</v>
      </c>
      <c r="G2074">
        <v>436999070</v>
      </c>
      <c r="H2074" t="s">
        <v>1455</v>
      </c>
      <c r="I2074">
        <v>6591</v>
      </c>
      <c r="J2074">
        <v>152.58000000000001</v>
      </c>
      <c r="K2074">
        <v>97.44</v>
      </c>
      <c r="L2074">
        <v>1005654.78</v>
      </c>
      <c r="M2074">
        <v>642227.04</v>
      </c>
      <c r="N2074">
        <v>363427.74</v>
      </c>
    </row>
    <row r="2075" spans="1:14" x14ac:dyDescent="0.25">
      <c r="A2075" t="s">
        <v>14</v>
      </c>
      <c r="B2075" t="s">
        <v>433</v>
      </c>
      <c r="C2075" t="s">
        <v>59</v>
      </c>
      <c r="D2075" t="s">
        <v>22</v>
      </c>
      <c r="E2075" t="s">
        <v>45</v>
      </c>
      <c r="F2075" t="s">
        <v>1144</v>
      </c>
      <c r="G2075">
        <v>362409198</v>
      </c>
      <c r="H2075" s="1">
        <v>41464</v>
      </c>
      <c r="I2075">
        <v>3790</v>
      </c>
      <c r="J2075">
        <v>437.2</v>
      </c>
      <c r="K2075">
        <v>263.33</v>
      </c>
      <c r="L2075">
        <v>1656988</v>
      </c>
      <c r="M2075">
        <v>998020.7</v>
      </c>
      <c r="N2075">
        <v>658967.30000000005</v>
      </c>
    </row>
    <row r="2076" spans="1:14" x14ac:dyDescent="0.25">
      <c r="A2076" t="s">
        <v>25</v>
      </c>
      <c r="B2076" t="s">
        <v>119</v>
      </c>
      <c r="C2076" t="s">
        <v>69</v>
      </c>
      <c r="D2076" t="s">
        <v>17</v>
      </c>
      <c r="E2076" t="s">
        <v>23</v>
      </c>
      <c r="F2076" t="s">
        <v>1083</v>
      </c>
      <c r="G2076">
        <v>877084767</v>
      </c>
      <c r="H2076" s="1">
        <v>41158</v>
      </c>
      <c r="I2076">
        <v>7728</v>
      </c>
      <c r="J2076">
        <v>421.89</v>
      </c>
      <c r="K2076">
        <v>364.69</v>
      </c>
      <c r="L2076">
        <v>3260365.92</v>
      </c>
      <c r="M2076">
        <v>2818324.32</v>
      </c>
      <c r="N2076">
        <v>442041.59999999998</v>
      </c>
    </row>
    <row r="2077" spans="1:14" x14ac:dyDescent="0.25">
      <c r="A2077" t="s">
        <v>51</v>
      </c>
      <c r="B2077" t="s">
        <v>360</v>
      </c>
      <c r="C2077" t="s">
        <v>44</v>
      </c>
      <c r="D2077" t="s">
        <v>17</v>
      </c>
      <c r="E2077" t="s">
        <v>23</v>
      </c>
      <c r="F2077" t="s">
        <v>203</v>
      </c>
      <c r="G2077">
        <v>374824607</v>
      </c>
      <c r="H2077" t="s">
        <v>296</v>
      </c>
      <c r="I2077">
        <v>7785</v>
      </c>
      <c r="J2077">
        <v>109.28</v>
      </c>
      <c r="K2077">
        <v>35.840000000000003</v>
      </c>
      <c r="L2077">
        <v>850744.8</v>
      </c>
      <c r="M2077">
        <v>279014.40000000002</v>
      </c>
      <c r="N2077">
        <v>571730.4</v>
      </c>
    </row>
    <row r="2078" spans="1:14" x14ac:dyDescent="0.25">
      <c r="A2078" t="s">
        <v>51</v>
      </c>
      <c r="B2078" t="s">
        <v>502</v>
      </c>
      <c r="C2078" t="s">
        <v>55</v>
      </c>
      <c r="D2078" t="s">
        <v>17</v>
      </c>
      <c r="E2078" t="s">
        <v>23</v>
      </c>
      <c r="F2078" s="1">
        <v>42502</v>
      </c>
      <c r="G2078">
        <v>469740045</v>
      </c>
      <c r="H2078" t="s">
        <v>892</v>
      </c>
      <c r="I2078">
        <v>5373</v>
      </c>
      <c r="J2078">
        <v>651.21</v>
      </c>
      <c r="K2078">
        <v>524.96</v>
      </c>
      <c r="L2078">
        <v>3498951.33</v>
      </c>
      <c r="M2078">
        <v>2820610.08</v>
      </c>
      <c r="N2078">
        <v>678341.25</v>
      </c>
    </row>
    <row r="2079" spans="1:14" x14ac:dyDescent="0.25">
      <c r="A2079" t="s">
        <v>38</v>
      </c>
      <c r="B2079" t="s">
        <v>187</v>
      </c>
      <c r="C2079" t="s">
        <v>113</v>
      </c>
      <c r="D2079" t="s">
        <v>22</v>
      </c>
      <c r="E2079" t="s">
        <v>18</v>
      </c>
      <c r="F2079" t="s">
        <v>1144</v>
      </c>
      <c r="G2079">
        <v>146254909</v>
      </c>
      <c r="H2079" t="s">
        <v>605</v>
      </c>
      <c r="I2079">
        <v>8932</v>
      </c>
      <c r="J2079">
        <v>154.06</v>
      </c>
      <c r="K2079">
        <v>90.93</v>
      </c>
      <c r="L2079">
        <v>1376063.92</v>
      </c>
      <c r="M2079">
        <v>812186.76</v>
      </c>
      <c r="N2079">
        <v>563877.16</v>
      </c>
    </row>
    <row r="2080" spans="1:14" x14ac:dyDescent="0.25">
      <c r="A2080" t="s">
        <v>25</v>
      </c>
      <c r="B2080" t="s">
        <v>266</v>
      </c>
      <c r="C2080" t="s">
        <v>44</v>
      </c>
      <c r="D2080" t="s">
        <v>17</v>
      </c>
      <c r="E2080" t="s">
        <v>23</v>
      </c>
      <c r="F2080" t="s">
        <v>180</v>
      </c>
      <c r="G2080">
        <v>709105527</v>
      </c>
      <c r="H2080" s="1">
        <v>40913</v>
      </c>
      <c r="I2080">
        <v>8938</v>
      </c>
      <c r="J2080">
        <v>109.28</v>
      </c>
      <c r="K2080">
        <v>35.840000000000003</v>
      </c>
      <c r="L2080">
        <v>976744.64</v>
      </c>
      <c r="M2080">
        <v>320337.91999999998</v>
      </c>
      <c r="N2080">
        <v>656406.72</v>
      </c>
    </row>
    <row r="2081" spans="1:14" x14ac:dyDescent="0.25">
      <c r="A2081" t="s">
        <v>29</v>
      </c>
      <c r="B2081" t="s">
        <v>494</v>
      </c>
      <c r="C2081" t="s">
        <v>55</v>
      </c>
      <c r="D2081" t="s">
        <v>22</v>
      </c>
      <c r="E2081" t="s">
        <v>18</v>
      </c>
      <c r="F2081" t="s">
        <v>647</v>
      </c>
      <c r="G2081">
        <v>833340728</v>
      </c>
      <c r="H2081" t="s">
        <v>1498</v>
      </c>
      <c r="I2081">
        <v>2895</v>
      </c>
      <c r="J2081">
        <v>651.21</v>
      </c>
      <c r="K2081">
        <v>524.96</v>
      </c>
      <c r="L2081">
        <v>1885252.95</v>
      </c>
      <c r="M2081">
        <v>1519759.2</v>
      </c>
      <c r="N2081">
        <v>365493.75</v>
      </c>
    </row>
    <row r="2082" spans="1:14" x14ac:dyDescent="0.25">
      <c r="A2082" t="s">
        <v>25</v>
      </c>
      <c r="B2082" t="s">
        <v>142</v>
      </c>
      <c r="C2082" t="s">
        <v>69</v>
      </c>
      <c r="D2082" t="s">
        <v>17</v>
      </c>
      <c r="E2082" t="s">
        <v>45</v>
      </c>
      <c r="F2082" t="s">
        <v>1499</v>
      </c>
      <c r="G2082">
        <v>614321839</v>
      </c>
      <c r="H2082" s="1">
        <v>42497</v>
      </c>
      <c r="I2082">
        <v>339</v>
      </c>
      <c r="J2082">
        <v>421.89</v>
      </c>
      <c r="K2082">
        <v>364.69</v>
      </c>
      <c r="L2082">
        <v>143020.71</v>
      </c>
      <c r="M2082">
        <v>123629.91</v>
      </c>
      <c r="N2082">
        <v>19390.8</v>
      </c>
    </row>
    <row r="2083" spans="1:14" x14ac:dyDescent="0.25">
      <c r="A2083" t="s">
        <v>29</v>
      </c>
      <c r="B2083" t="s">
        <v>199</v>
      </c>
      <c r="C2083" t="s">
        <v>113</v>
      </c>
      <c r="D2083" t="s">
        <v>22</v>
      </c>
      <c r="E2083" t="s">
        <v>23</v>
      </c>
      <c r="F2083" t="s">
        <v>1053</v>
      </c>
      <c r="G2083">
        <v>217722690</v>
      </c>
      <c r="H2083" t="s">
        <v>776</v>
      </c>
      <c r="I2083">
        <v>7837</v>
      </c>
      <c r="J2083">
        <v>154.06</v>
      </c>
      <c r="K2083">
        <v>90.93</v>
      </c>
      <c r="L2083">
        <v>1207368.22</v>
      </c>
      <c r="M2083">
        <v>712618.41</v>
      </c>
      <c r="N2083">
        <v>494749.81</v>
      </c>
    </row>
    <row r="2084" spans="1:14" x14ac:dyDescent="0.25">
      <c r="A2084" t="s">
        <v>25</v>
      </c>
      <c r="B2084" t="s">
        <v>196</v>
      </c>
      <c r="C2084" t="s">
        <v>59</v>
      </c>
      <c r="D2084" t="s">
        <v>17</v>
      </c>
      <c r="E2084" t="s">
        <v>32</v>
      </c>
      <c r="F2084" t="s">
        <v>1172</v>
      </c>
      <c r="G2084">
        <v>329529607</v>
      </c>
      <c r="H2084" t="s">
        <v>1229</v>
      </c>
      <c r="I2084">
        <v>3988</v>
      </c>
      <c r="J2084">
        <v>437.2</v>
      </c>
      <c r="K2084">
        <v>263.33</v>
      </c>
      <c r="L2084">
        <v>1743553.6</v>
      </c>
      <c r="M2084">
        <v>1050160.04</v>
      </c>
      <c r="N2084">
        <v>693393.56</v>
      </c>
    </row>
    <row r="2085" spans="1:14" x14ac:dyDescent="0.25">
      <c r="A2085" t="s">
        <v>51</v>
      </c>
      <c r="B2085" t="s">
        <v>877</v>
      </c>
      <c r="C2085" t="s">
        <v>59</v>
      </c>
      <c r="D2085" t="s">
        <v>17</v>
      </c>
      <c r="E2085" t="s">
        <v>23</v>
      </c>
      <c r="F2085" t="s">
        <v>559</v>
      </c>
      <c r="G2085">
        <v>806041419</v>
      </c>
      <c r="H2085" s="1">
        <v>41400</v>
      </c>
      <c r="I2085">
        <v>4423</v>
      </c>
      <c r="J2085">
        <v>437.2</v>
      </c>
      <c r="K2085">
        <v>263.33</v>
      </c>
      <c r="L2085">
        <v>1933735.6</v>
      </c>
      <c r="M2085">
        <v>1164708.5900000001</v>
      </c>
      <c r="N2085">
        <v>769027.01</v>
      </c>
    </row>
    <row r="2086" spans="1:14" x14ac:dyDescent="0.25">
      <c r="A2086" t="s">
        <v>25</v>
      </c>
      <c r="B2086" t="s">
        <v>615</v>
      </c>
      <c r="C2086" t="s">
        <v>88</v>
      </c>
      <c r="D2086" t="s">
        <v>17</v>
      </c>
      <c r="E2086" t="s">
        <v>32</v>
      </c>
      <c r="F2086" t="s">
        <v>711</v>
      </c>
      <c r="G2086">
        <v>223869454</v>
      </c>
      <c r="H2086" t="s">
        <v>612</v>
      </c>
      <c r="I2086">
        <v>6801</v>
      </c>
      <c r="J2086">
        <v>9.33</v>
      </c>
      <c r="K2086">
        <v>6.92</v>
      </c>
      <c r="L2086">
        <v>63453.33</v>
      </c>
      <c r="M2086">
        <v>47062.92</v>
      </c>
      <c r="N2086">
        <v>16390.41</v>
      </c>
    </row>
    <row r="2087" spans="1:14" x14ac:dyDescent="0.25">
      <c r="A2087" t="s">
        <v>51</v>
      </c>
      <c r="B2087" t="s">
        <v>350</v>
      </c>
      <c r="C2087" t="s">
        <v>40</v>
      </c>
      <c r="D2087" t="s">
        <v>22</v>
      </c>
      <c r="E2087" t="s">
        <v>18</v>
      </c>
      <c r="F2087" t="s">
        <v>898</v>
      </c>
      <c r="G2087">
        <v>829937541</v>
      </c>
      <c r="H2087" t="s">
        <v>738</v>
      </c>
      <c r="I2087">
        <v>5816</v>
      </c>
      <c r="J2087">
        <v>81.73</v>
      </c>
      <c r="K2087">
        <v>56.67</v>
      </c>
      <c r="L2087">
        <v>475341.68</v>
      </c>
      <c r="M2087">
        <v>329592.71999999997</v>
      </c>
      <c r="N2087">
        <v>145748.96</v>
      </c>
    </row>
    <row r="2088" spans="1:14" x14ac:dyDescent="0.25">
      <c r="A2088" t="s">
        <v>29</v>
      </c>
      <c r="B2088" t="s">
        <v>35</v>
      </c>
      <c r="C2088" t="s">
        <v>27</v>
      </c>
      <c r="D2088" t="s">
        <v>17</v>
      </c>
      <c r="E2088" t="s">
        <v>32</v>
      </c>
      <c r="F2088" s="1">
        <v>42068</v>
      </c>
      <c r="G2088">
        <v>891482007</v>
      </c>
      <c r="H2088" t="s">
        <v>1445</v>
      </c>
      <c r="I2088">
        <v>8191</v>
      </c>
      <c r="J2088">
        <v>47.45</v>
      </c>
      <c r="K2088">
        <v>31.79</v>
      </c>
      <c r="L2088">
        <v>388662.95</v>
      </c>
      <c r="M2088">
        <v>260391.89</v>
      </c>
      <c r="N2088">
        <v>128271.06</v>
      </c>
    </row>
    <row r="2089" spans="1:14" x14ac:dyDescent="0.25">
      <c r="A2089" t="s">
        <v>51</v>
      </c>
      <c r="B2089" t="s">
        <v>414</v>
      </c>
      <c r="C2089" t="s">
        <v>59</v>
      </c>
      <c r="D2089" t="s">
        <v>17</v>
      </c>
      <c r="E2089" t="s">
        <v>32</v>
      </c>
      <c r="F2089" s="1">
        <v>40975</v>
      </c>
      <c r="G2089">
        <v>546051681</v>
      </c>
      <c r="H2089" t="s">
        <v>1044</v>
      </c>
      <c r="I2089">
        <v>7682</v>
      </c>
      <c r="J2089">
        <v>437.2</v>
      </c>
      <c r="K2089">
        <v>263.33</v>
      </c>
      <c r="L2089">
        <v>3358570.4</v>
      </c>
      <c r="M2089">
        <v>2022901.06</v>
      </c>
      <c r="N2089">
        <v>1335669.3400000001</v>
      </c>
    </row>
    <row r="2090" spans="1:14" x14ac:dyDescent="0.25">
      <c r="A2090" t="s">
        <v>29</v>
      </c>
      <c r="B2090" t="s">
        <v>545</v>
      </c>
      <c r="C2090" t="s">
        <v>16</v>
      </c>
      <c r="D2090" t="s">
        <v>22</v>
      </c>
      <c r="E2090" t="s">
        <v>23</v>
      </c>
      <c r="F2090" s="1">
        <v>41400</v>
      </c>
      <c r="G2090">
        <v>451507890</v>
      </c>
      <c r="H2090" t="s">
        <v>703</v>
      </c>
      <c r="I2090">
        <v>73</v>
      </c>
      <c r="J2090">
        <v>255.28</v>
      </c>
      <c r="K2090">
        <v>159.41999999999999</v>
      </c>
      <c r="L2090">
        <v>18635.439999999999</v>
      </c>
      <c r="M2090">
        <v>11637.66</v>
      </c>
      <c r="N2090">
        <v>6997.78</v>
      </c>
    </row>
    <row r="2091" spans="1:14" x14ac:dyDescent="0.25">
      <c r="A2091" t="s">
        <v>51</v>
      </c>
      <c r="B2091" t="s">
        <v>100</v>
      </c>
      <c r="C2091" t="s">
        <v>59</v>
      </c>
      <c r="D2091" t="s">
        <v>22</v>
      </c>
      <c r="E2091" t="s">
        <v>45</v>
      </c>
      <c r="F2091" t="s">
        <v>858</v>
      </c>
      <c r="G2091">
        <v>436024463</v>
      </c>
      <c r="H2091" t="s">
        <v>1500</v>
      </c>
      <c r="I2091">
        <v>8183</v>
      </c>
      <c r="J2091">
        <v>437.2</v>
      </c>
      <c r="K2091">
        <v>263.33</v>
      </c>
      <c r="L2091">
        <v>3577607.6</v>
      </c>
      <c r="M2091">
        <v>2154829.39</v>
      </c>
      <c r="N2091">
        <v>1422778.21</v>
      </c>
    </row>
    <row r="2092" spans="1:14" x14ac:dyDescent="0.25">
      <c r="A2092" t="s">
        <v>14</v>
      </c>
      <c r="B2092" t="s">
        <v>20</v>
      </c>
      <c r="C2092" t="s">
        <v>59</v>
      </c>
      <c r="D2092" t="s">
        <v>17</v>
      </c>
      <c r="E2092" t="s">
        <v>18</v>
      </c>
      <c r="F2092" t="s">
        <v>1120</v>
      </c>
      <c r="G2092">
        <v>848087728</v>
      </c>
      <c r="H2092" t="s">
        <v>126</v>
      </c>
      <c r="I2092">
        <v>6860</v>
      </c>
      <c r="J2092">
        <v>437.2</v>
      </c>
      <c r="K2092">
        <v>263.33</v>
      </c>
      <c r="L2092">
        <v>2999192</v>
      </c>
      <c r="M2092">
        <v>1806443.8</v>
      </c>
      <c r="N2092">
        <v>1192748.2</v>
      </c>
    </row>
    <row r="2093" spans="1:14" x14ac:dyDescent="0.25">
      <c r="A2093" t="s">
        <v>51</v>
      </c>
      <c r="B2093" t="s">
        <v>128</v>
      </c>
      <c r="C2093" t="s">
        <v>131</v>
      </c>
      <c r="D2093" t="s">
        <v>17</v>
      </c>
      <c r="E2093" t="s">
        <v>32</v>
      </c>
      <c r="F2093" t="s">
        <v>950</v>
      </c>
      <c r="G2093">
        <v>306496512</v>
      </c>
      <c r="H2093" s="1">
        <v>42891</v>
      </c>
      <c r="I2093">
        <v>7984</v>
      </c>
      <c r="J2093">
        <v>668.27</v>
      </c>
      <c r="K2093">
        <v>502.54</v>
      </c>
      <c r="L2093">
        <v>5335467.68</v>
      </c>
      <c r="M2093">
        <v>4012279.36</v>
      </c>
      <c r="N2093">
        <v>1323188.32</v>
      </c>
    </row>
    <row r="2094" spans="1:14" x14ac:dyDescent="0.25">
      <c r="A2094" t="s">
        <v>51</v>
      </c>
      <c r="B2094" t="s">
        <v>525</v>
      </c>
      <c r="C2094" t="s">
        <v>27</v>
      </c>
      <c r="D2094" t="s">
        <v>17</v>
      </c>
      <c r="E2094" t="s">
        <v>18</v>
      </c>
      <c r="F2094" t="s">
        <v>1501</v>
      </c>
      <c r="G2094">
        <v>650362145</v>
      </c>
      <c r="H2094" s="1">
        <v>42770</v>
      </c>
      <c r="I2094">
        <v>5466</v>
      </c>
      <c r="J2094">
        <v>47.45</v>
      </c>
      <c r="K2094">
        <v>31.79</v>
      </c>
      <c r="L2094">
        <v>259361.7</v>
      </c>
      <c r="M2094">
        <v>173764.14</v>
      </c>
      <c r="N2094">
        <v>85597.56</v>
      </c>
    </row>
    <row r="2095" spans="1:14" x14ac:dyDescent="0.25">
      <c r="A2095" t="s">
        <v>25</v>
      </c>
      <c r="B2095" t="s">
        <v>26</v>
      </c>
      <c r="C2095" t="s">
        <v>55</v>
      </c>
      <c r="D2095" t="s">
        <v>22</v>
      </c>
      <c r="E2095" t="s">
        <v>45</v>
      </c>
      <c r="F2095" s="1">
        <v>41218</v>
      </c>
      <c r="G2095">
        <v>189108455</v>
      </c>
      <c r="H2095" t="s">
        <v>738</v>
      </c>
      <c r="I2095">
        <v>249</v>
      </c>
      <c r="J2095">
        <v>651.21</v>
      </c>
      <c r="K2095">
        <v>524.96</v>
      </c>
      <c r="L2095">
        <v>162151.29</v>
      </c>
      <c r="M2095">
        <v>130715.04</v>
      </c>
      <c r="N2095">
        <v>31436.25</v>
      </c>
    </row>
    <row r="2096" spans="1:14" x14ac:dyDescent="0.25">
      <c r="A2096" t="s">
        <v>25</v>
      </c>
      <c r="B2096" t="s">
        <v>434</v>
      </c>
      <c r="C2096" t="s">
        <v>88</v>
      </c>
      <c r="D2096" t="s">
        <v>22</v>
      </c>
      <c r="E2096" t="s">
        <v>32</v>
      </c>
      <c r="F2096" t="s">
        <v>1502</v>
      </c>
      <c r="G2096">
        <v>452471768</v>
      </c>
      <c r="H2096" s="1">
        <v>42279</v>
      </c>
      <c r="I2096">
        <v>5306</v>
      </c>
      <c r="J2096">
        <v>9.33</v>
      </c>
      <c r="K2096">
        <v>6.92</v>
      </c>
      <c r="L2096">
        <v>49504.98</v>
      </c>
      <c r="M2096">
        <v>36717.519999999997</v>
      </c>
      <c r="N2096">
        <v>12787.46</v>
      </c>
    </row>
    <row r="2097" spans="1:14" x14ac:dyDescent="0.25">
      <c r="A2097" t="s">
        <v>42</v>
      </c>
      <c r="B2097" t="s">
        <v>361</v>
      </c>
      <c r="C2097" t="s">
        <v>21</v>
      </c>
      <c r="D2097" t="s">
        <v>17</v>
      </c>
      <c r="E2097" t="s">
        <v>23</v>
      </c>
      <c r="F2097" t="s">
        <v>1409</v>
      </c>
      <c r="G2097">
        <v>340500915</v>
      </c>
      <c r="H2097" s="1">
        <v>40859</v>
      </c>
      <c r="I2097">
        <v>642</v>
      </c>
      <c r="J2097">
        <v>152.58000000000001</v>
      </c>
      <c r="K2097">
        <v>97.44</v>
      </c>
      <c r="L2097">
        <v>97956.36</v>
      </c>
      <c r="M2097">
        <v>62556.480000000003</v>
      </c>
      <c r="N2097">
        <v>35399.879999999997</v>
      </c>
    </row>
    <row r="2098" spans="1:14" x14ac:dyDescent="0.25">
      <c r="A2098" t="s">
        <v>29</v>
      </c>
      <c r="B2098" t="s">
        <v>323</v>
      </c>
      <c r="C2098" t="s">
        <v>59</v>
      </c>
      <c r="D2098" t="s">
        <v>17</v>
      </c>
      <c r="E2098" t="s">
        <v>23</v>
      </c>
      <c r="F2098" t="s">
        <v>412</v>
      </c>
      <c r="G2098">
        <v>173557221</v>
      </c>
      <c r="H2098" t="s">
        <v>176</v>
      </c>
      <c r="I2098">
        <v>8293</v>
      </c>
      <c r="J2098">
        <v>437.2</v>
      </c>
      <c r="K2098">
        <v>263.33</v>
      </c>
      <c r="L2098">
        <v>3625699.6</v>
      </c>
      <c r="M2098">
        <v>2183795.69</v>
      </c>
      <c r="N2098">
        <v>1441903.91</v>
      </c>
    </row>
    <row r="2099" spans="1:14" x14ac:dyDescent="0.25">
      <c r="A2099" t="s">
        <v>51</v>
      </c>
      <c r="B2099" t="s">
        <v>502</v>
      </c>
      <c r="C2099" t="s">
        <v>55</v>
      </c>
      <c r="D2099" t="s">
        <v>22</v>
      </c>
      <c r="E2099" t="s">
        <v>45</v>
      </c>
      <c r="F2099" t="s">
        <v>202</v>
      </c>
      <c r="G2099">
        <v>342314517</v>
      </c>
      <c r="H2099" s="1">
        <v>41061</v>
      </c>
      <c r="I2099">
        <v>7327</v>
      </c>
      <c r="J2099">
        <v>651.21</v>
      </c>
      <c r="K2099">
        <v>524.96</v>
      </c>
      <c r="L2099">
        <v>4771415.67</v>
      </c>
      <c r="M2099">
        <v>3846381.92</v>
      </c>
      <c r="N2099">
        <v>925033.75</v>
      </c>
    </row>
    <row r="2100" spans="1:14" x14ac:dyDescent="0.25">
      <c r="A2100" t="s">
        <v>29</v>
      </c>
      <c r="B2100" t="s">
        <v>137</v>
      </c>
      <c r="C2100" t="s">
        <v>113</v>
      </c>
      <c r="D2100" t="s">
        <v>22</v>
      </c>
      <c r="E2100" t="s">
        <v>18</v>
      </c>
      <c r="F2100" s="1">
        <v>42651</v>
      </c>
      <c r="G2100">
        <v>857759130</v>
      </c>
      <c r="H2100" t="s">
        <v>89</v>
      </c>
      <c r="I2100">
        <v>8843</v>
      </c>
      <c r="J2100">
        <v>154.06</v>
      </c>
      <c r="K2100">
        <v>90.93</v>
      </c>
      <c r="L2100">
        <v>1362352.58</v>
      </c>
      <c r="M2100">
        <v>804093.99</v>
      </c>
      <c r="N2100">
        <v>558258.59</v>
      </c>
    </row>
    <row r="2101" spans="1:14" x14ac:dyDescent="0.25">
      <c r="A2101" t="s">
        <v>51</v>
      </c>
      <c r="B2101" t="s">
        <v>734</v>
      </c>
      <c r="C2101" t="s">
        <v>16</v>
      </c>
      <c r="D2101" t="s">
        <v>22</v>
      </c>
      <c r="E2101" t="s">
        <v>45</v>
      </c>
      <c r="F2101" t="s">
        <v>358</v>
      </c>
      <c r="G2101">
        <v>901189887</v>
      </c>
      <c r="H2101" s="1">
        <v>40246</v>
      </c>
      <c r="I2101">
        <v>969</v>
      </c>
      <c r="J2101">
        <v>255.28</v>
      </c>
      <c r="K2101">
        <v>159.41999999999999</v>
      </c>
      <c r="L2101">
        <v>247366.32</v>
      </c>
      <c r="M2101">
        <v>154477.98000000001</v>
      </c>
      <c r="N2101">
        <v>92888.34</v>
      </c>
    </row>
    <row r="2102" spans="1:14" x14ac:dyDescent="0.25">
      <c r="A2102" t="s">
        <v>25</v>
      </c>
      <c r="B2102" t="s">
        <v>497</v>
      </c>
      <c r="C2102" t="s">
        <v>31</v>
      </c>
      <c r="D2102" t="s">
        <v>22</v>
      </c>
      <c r="E2102" t="s">
        <v>18</v>
      </c>
      <c r="F2102" t="s">
        <v>1503</v>
      </c>
      <c r="G2102">
        <v>174218118</v>
      </c>
      <c r="H2102" t="s">
        <v>1355</v>
      </c>
      <c r="I2102">
        <v>3867</v>
      </c>
      <c r="J2102">
        <v>205.7</v>
      </c>
      <c r="K2102">
        <v>117.11</v>
      </c>
      <c r="L2102">
        <v>795441.9</v>
      </c>
      <c r="M2102">
        <v>452864.37</v>
      </c>
      <c r="N2102">
        <v>342577.53</v>
      </c>
    </row>
    <row r="2103" spans="1:14" x14ac:dyDescent="0.25">
      <c r="A2103" t="s">
        <v>51</v>
      </c>
      <c r="B2103" t="s">
        <v>502</v>
      </c>
      <c r="C2103" t="s">
        <v>55</v>
      </c>
      <c r="D2103" t="s">
        <v>22</v>
      </c>
      <c r="E2103" t="s">
        <v>32</v>
      </c>
      <c r="F2103" t="s">
        <v>348</v>
      </c>
      <c r="G2103">
        <v>248767650</v>
      </c>
      <c r="H2103" t="s">
        <v>1504</v>
      </c>
      <c r="I2103">
        <v>4731</v>
      </c>
      <c r="J2103">
        <v>651.21</v>
      </c>
      <c r="K2103">
        <v>524.96</v>
      </c>
      <c r="L2103">
        <v>3080874.51</v>
      </c>
      <c r="M2103">
        <v>2483585.7599999998</v>
      </c>
      <c r="N2103">
        <v>597288.75</v>
      </c>
    </row>
    <row r="2104" spans="1:14" x14ac:dyDescent="0.25">
      <c r="A2104" t="s">
        <v>51</v>
      </c>
      <c r="B2104" t="s">
        <v>169</v>
      </c>
      <c r="C2104" t="s">
        <v>40</v>
      </c>
      <c r="D2104" t="s">
        <v>17</v>
      </c>
      <c r="E2104" t="s">
        <v>23</v>
      </c>
      <c r="F2104" t="s">
        <v>559</v>
      </c>
      <c r="G2104">
        <v>517074811</v>
      </c>
      <c r="H2104" s="1">
        <v>41460</v>
      </c>
      <c r="I2104">
        <v>2782</v>
      </c>
      <c r="J2104">
        <v>81.73</v>
      </c>
      <c r="K2104">
        <v>56.67</v>
      </c>
      <c r="L2104">
        <v>227372.86</v>
      </c>
      <c r="M2104">
        <v>157655.94</v>
      </c>
      <c r="N2104">
        <v>69716.92</v>
      </c>
    </row>
    <row r="2105" spans="1:14" x14ac:dyDescent="0.25">
      <c r="A2105" t="s">
        <v>29</v>
      </c>
      <c r="B2105" t="s">
        <v>440</v>
      </c>
      <c r="C2105" t="s">
        <v>88</v>
      </c>
      <c r="D2105" t="s">
        <v>17</v>
      </c>
      <c r="E2105" t="s">
        <v>23</v>
      </c>
      <c r="F2105" t="s">
        <v>1232</v>
      </c>
      <c r="G2105">
        <v>441688430</v>
      </c>
      <c r="H2105" t="s">
        <v>193</v>
      </c>
      <c r="I2105">
        <v>4277</v>
      </c>
      <c r="J2105">
        <v>9.33</v>
      </c>
      <c r="K2105">
        <v>6.92</v>
      </c>
      <c r="L2105">
        <v>39904.410000000003</v>
      </c>
      <c r="M2105">
        <v>29596.84</v>
      </c>
      <c r="N2105">
        <v>10307.57</v>
      </c>
    </row>
    <row r="2106" spans="1:14" x14ac:dyDescent="0.25">
      <c r="A2106" t="s">
        <v>42</v>
      </c>
      <c r="B2106" t="s">
        <v>174</v>
      </c>
      <c r="C2106" t="s">
        <v>44</v>
      </c>
      <c r="D2106" t="s">
        <v>22</v>
      </c>
      <c r="E2106" t="s">
        <v>18</v>
      </c>
      <c r="F2106" s="1">
        <v>40487</v>
      </c>
      <c r="G2106">
        <v>905469834</v>
      </c>
      <c r="H2106" t="s">
        <v>1332</v>
      </c>
      <c r="I2106">
        <v>7500</v>
      </c>
      <c r="J2106">
        <v>109.28</v>
      </c>
      <c r="K2106">
        <v>35.840000000000003</v>
      </c>
      <c r="L2106">
        <v>819600</v>
      </c>
      <c r="M2106">
        <v>268800</v>
      </c>
      <c r="N2106">
        <v>550800</v>
      </c>
    </row>
    <row r="2107" spans="1:14" x14ac:dyDescent="0.25">
      <c r="A2107" t="s">
        <v>51</v>
      </c>
      <c r="B2107" t="s">
        <v>182</v>
      </c>
      <c r="C2107" t="s">
        <v>131</v>
      </c>
      <c r="D2107" t="s">
        <v>22</v>
      </c>
      <c r="E2107" t="s">
        <v>18</v>
      </c>
      <c r="F2107" t="s">
        <v>138</v>
      </c>
      <c r="G2107">
        <v>161592853</v>
      </c>
      <c r="H2107" s="1">
        <v>41705</v>
      </c>
      <c r="I2107">
        <v>7771</v>
      </c>
      <c r="J2107">
        <v>668.27</v>
      </c>
      <c r="K2107">
        <v>502.54</v>
      </c>
      <c r="L2107">
        <v>5193126.17</v>
      </c>
      <c r="M2107">
        <v>3905238.34</v>
      </c>
      <c r="N2107">
        <v>1287887.83</v>
      </c>
    </row>
    <row r="2108" spans="1:14" x14ac:dyDescent="0.25">
      <c r="A2108" t="s">
        <v>38</v>
      </c>
      <c r="B2108" t="s">
        <v>83</v>
      </c>
      <c r="C2108" t="s">
        <v>88</v>
      </c>
      <c r="D2108" t="s">
        <v>17</v>
      </c>
      <c r="E2108" t="s">
        <v>23</v>
      </c>
      <c r="F2108" t="s">
        <v>1004</v>
      </c>
      <c r="G2108">
        <v>583543813</v>
      </c>
      <c r="H2108" s="1">
        <v>40941</v>
      </c>
      <c r="I2108">
        <v>2437</v>
      </c>
      <c r="J2108">
        <v>9.33</v>
      </c>
      <c r="K2108">
        <v>6.92</v>
      </c>
      <c r="L2108">
        <v>22737.21</v>
      </c>
      <c r="M2108">
        <v>16864.04</v>
      </c>
      <c r="N2108">
        <v>5873.17</v>
      </c>
    </row>
    <row r="2109" spans="1:14" x14ac:dyDescent="0.25">
      <c r="A2109" t="s">
        <v>51</v>
      </c>
      <c r="B2109" t="s">
        <v>223</v>
      </c>
      <c r="C2109" t="s">
        <v>21</v>
      </c>
      <c r="D2109" t="s">
        <v>17</v>
      </c>
      <c r="E2109" t="s">
        <v>32</v>
      </c>
      <c r="F2109" t="s">
        <v>33</v>
      </c>
      <c r="G2109">
        <v>115121543</v>
      </c>
      <c r="H2109" t="s">
        <v>1505</v>
      </c>
      <c r="I2109">
        <v>5878</v>
      </c>
      <c r="J2109">
        <v>152.58000000000001</v>
      </c>
      <c r="K2109">
        <v>97.44</v>
      </c>
      <c r="L2109">
        <v>896865.24</v>
      </c>
      <c r="M2109">
        <v>572752.31999999995</v>
      </c>
      <c r="N2109">
        <v>324112.92</v>
      </c>
    </row>
    <row r="2110" spans="1:14" x14ac:dyDescent="0.25">
      <c r="A2110" t="s">
        <v>25</v>
      </c>
      <c r="B2110" t="s">
        <v>497</v>
      </c>
      <c r="C2110" t="s">
        <v>69</v>
      </c>
      <c r="D2110" t="s">
        <v>17</v>
      </c>
      <c r="E2110" t="s">
        <v>45</v>
      </c>
      <c r="F2110" t="s">
        <v>577</v>
      </c>
      <c r="G2110">
        <v>820437371</v>
      </c>
      <c r="H2110" s="1">
        <v>43045</v>
      </c>
      <c r="I2110">
        <v>4505</v>
      </c>
      <c r="J2110">
        <v>421.89</v>
      </c>
      <c r="K2110">
        <v>364.69</v>
      </c>
      <c r="L2110">
        <v>1900614.45</v>
      </c>
      <c r="M2110">
        <v>1642928.45</v>
      </c>
      <c r="N2110">
        <v>257686</v>
      </c>
    </row>
    <row r="2111" spans="1:14" x14ac:dyDescent="0.25">
      <c r="A2111" t="s">
        <v>51</v>
      </c>
      <c r="B2111" t="s">
        <v>295</v>
      </c>
      <c r="C2111" t="s">
        <v>55</v>
      </c>
      <c r="D2111" t="s">
        <v>22</v>
      </c>
      <c r="E2111" t="s">
        <v>45</v>
      </c>
      <c r="F2111" s="1">
        <v>42046</v>
      </c>
      <c r="G2111">
        <v>333915126</v>
      </c>
      <c r="H2111" t="s">
        <v>70</v>
      </c>
      <c r="I2111">
        <v>1761</v>
      </c>
      <c r="J2111">
        <v>651.21</v>
      </c>
      <c r="K2111">
        <v>524.96</v>
      </c>
      <c r="L2111">
        <v>1146780.81</v>
      </c>
      <c r="M2111">
        <v>924454.56</v>
      </c>
      <c r="N2111">
        <v>222326.25</v>
      </c>
    </row>
    <row r="2112" spans="1:14" x14ac:dyDescent="0.25">
      <c r="A2112" t="s">
        <v>25</v>
      </c>
      <c r="B2112" t="s">
        <v>239</v>
      </c>
      <c r="C2112" t="s">
        <v>40</v>
      </c>
      <c r="D2112" t="s">
        <v>22</v>
      </c>
      <c r="E2112" t="s">
        <v>32</v>
      </c>
      <c r="F2112" s="1">
        <v>41062</v>
      </c>
      <c r="G2112">
        <v>410291135</v>
      </c>
      <c r="H2112" t="s">
        <v>1506</v>
      </c>
      <c r="I2112">
        <v>3119</v>
      </c>
      <c r="J2112">
        <v>81.73</v>
      </c>
      <c r="K2112">
        <v>56.67</v>
      </c>
      <c r="L2112">
        <v>254915.87</v>
      </c>
      <c r="M2112">
        <v>176753.73</v>
      </c>
      <c r="N2112">
        <v>78162.14</v>
      </c>
    </row>
    <row r="2113" spans="1:14" x14ac:dyDescent="0.25">
      <c r="A2113" t="s">
        <v>25</v>
      </c>
      <c r="B2113" t="s">
        <v>529</v>
      </c>
      <c r="C2113" t="s">
        <v>16</v>
      </c>
      <c r="D2113" t="s">
        <v>22</v>
      </c>
      <c r="E2113" t="s">
        <v>23</v>
      </c>
      <c r="F2113" t="s">
        <v>1507</v>
      </c>
      <c r="G2113">
        <v>174614226</v>
      </c>
      <c r="H2113" t="s">
        <v>1508</v>
      </c>
      <c r="I2113">
        <v>1085</v>
      </c>
      <c r="J2113">
        <v>255.28</v>
      </c>
      <c r="K2113">
        <v>159.41999999999999</v>
      </c>
      <c r="L2113">
        <v>276978.8</v>
      </c>
      <c r="M2113">
        <v>172970.7</v>
      </c>
      <c r="N2113">
        <v>104008.1</v>
      </c>
    </row>
    <row r="2114" spans="1:14" x14ac:dyDescent="0.25">
      <c r="A2114" t="s">
        <v>51</v>
      </c>
      <c r="B2114" t="s">
        <v>231</v>
      </c>
      <c r="C2114" t="s">
        <v>55</v>
      </c>
      <c r="D2114" t="s">
        <v>17</v>
      </c>
      <c r="E2114" t="s">
        <v>18</v>
      </c>
      <c r="F2114" t="s">
        <v>422</v>
      </c>
      <c r="G2114">
        <v>172245728</v>
      </c>
      <c r="H2114" t="s">
        <v>719</v>
      </c>
      <c r="I2114">
        <v>194</v>
      </c>
      <c r="J2114">
        <v>651.21</v>
      </c>
      <c r="K2114">
        <v>524.96</v>
      </c>
      <c r="L2114">
        <v>126334.74</v>
      </c>
      <c r="M2114">
        <v>101842.24000000001</v>
      </c>
      <c r="N2114">
        <v>24492.5</v>
      </c>
    </row>
    <row r="2115" spans="1:14" x14ac:dyDescent="0.25">
      <c r="A2115" t="s">
        <v>25</v>
      </c>
      <c r="B2115" t="s">
        <v>603</v>
      </c>
      <c r="C2115" t="s">
        <v>21</v>
      </c>
      <c r="D2115" t="s">
        <v>22</v>
      </c>
      <c r="E2115" t="s">
        <v>32</v>
      </c>
      <c r="F2115" s="1">
        <v>40580</v>
      </c>
      <c r="G2115">
        <v>118859469</v>
      </c>
      <c r="H2115" s="1">
        <v>40550</v>
      </c>
      <c r="I2115">
        <v>2013</v>
      </c>
      <c r="J2115">
        <v>152.58000000000001</v>
      </c>
      <c r="K2115">
        <v>97.44</v>
      </c>
      <c r="L2115">
        <v>307143.53999999998</v>
      </c>
      <c r="M2115">
        <v>196146.72</v>
      </c>
      <c r="N2115">
        <v>110996.82</v>
      </c>
    </row>
    <row r="2116" spans="1:14" x14ac:dyDescent="0.25">
      <c r="A2116" t="s">
        <v>38</v>
      </c>
      <c r="B2116" t="s">
        <v>85</v>
      </c>
      <c r="C2116" t="s">
        <v>44</v>
      </c>
      <c r="D2116" t="s">
        <v>17</v>
      </c>
      <c r="E2116" t="s">
        <v>45</v>
      </c>
      <c r="F2116" t="s">
        <v>1065</v>
      </c>
      <c r="G2116">
        <v>250441777</v>
      </c>
      <c r="H2116" t="s">
        <v>706</v>
      </c>
      <c r="I2116">
        <v>142</v>
      </c>
      <c r="J2116">
        <v>109.28</v>
      </c>
      <c r="K2116">
        <v>35.840000000000003</v>
      </c>
      <c r="L2116">
        <v>15517.76</v>
      </c>
      <c r="M2116">
        <v>5089.28</v>
      </c>
      <c r="N2116">
        <v>10428.48</v>
      </c>
    </row>
    <row r="2117" spans="1:14" x14ac:dyDescent="0.25">
      <c r="A2117" t="s">
        <v>38</v>
      </c>
      <c r="B2117" t="s">
        <v>346</v>
      </c>
      <c r="C2117" t="s">
        <v>16</v>
      </c>
      <c r="D2117" t="s">
        <v>17</v>
      </c>
      <c r="E2117" t="s">
        <v>32</v>
      </c>
      <c r="F2117" t="s">
        <v>1509</v>
      </c>
      <c r="G2117">
        <v>873291480</v>
      </c>
      <c r="H2117" s="1">
        <v>40340</v>
      </c>
      <c r="I2117">
        <v>5210</v>
      </c>
      <c r="J2117">
        <v>255.28</v>
      </c>
      <c r="K2117">
        <v>159.41999999999999</v>
      </c>
      <c r="L2117">
        <v>1330008.8</v>
      </c>
      <c r="M2117">
        <v>830578.2</v>
      </c>
      <c r="N2117">
        <v>499430.6</v>
      </c>
    </row>
    <row r="2118" spans="1:14" x14ac:dyDescent="0.25">
      <c r="A2118" t="s">
        <v>29</v>
      </c>
      <c r="B2118" t="s">
        <v>440</v>
      </c>
      <c r="C2118" t="s">
        <v>27</v>
      </c>
      <c r="D2118" t="s">
        <v>17</v>
      </c>
      <c r="E2118" t="s">
        <v>32</v>
      </c>
      <c r="F2118" t="s">
        <v>1510</v>
      </c>
      <c r="G2118">
        <v>114019906</v>
      </c>
      <c r="H2118" t="s">
        <v>399</v>
      </c>
      <c r="I2118">
        <v>9879</v>
      </c>
      <c r="J2118">
        <v>47.45</v>
      </c>
      <c r="K2118">
        <v>31.79</v>
      </c>
      <c r="L2118">
        <v>468758.55</v>
      </c>
      <c r="M2118">
        <v>314053.40999999997</v>
      </c>
      <c r="N2118">
        <v>154705.14000000001</v>
      </c>
    </row>
    <row r="2119" spans="1:14" x14ac:dyDescent="0.25">
      <c r="A2119" t="s">
        <v>25</v>
      </c>
      <c r="B2119" t="s">
        <v>609</v>
      </c>
      <c r="C2119" t="s">
        <v>59</v>
      </c>
      <c r="D2119" t="s">
        <v>22</v>
      </c>
      <c r="E2119" t="s">
        <v>45</v>
      </c>
      <c r="F2119" t="s">
        <v>1511</v>
      </c>
      <c r="G2119">
        <v>669550883</v>
      </c>
      <c r="H2119" t="s">
        <v>874</v>
      </c>
      <c r="I2119">
        <v>3840</v>
      </c>
      <c r="J2119">
        <v>437.2</v>
      </c>
      <c r="K2119">
        <v>263.33</v>
      </c>
      <c r="L2119">
        <v>1678848</v>
      </c>
      <c r="M2119">
        <v>1011187.2</v>
      </c>
      <c r="N2119">
        <v>667660.80000000005</v>
      </c>
    </row>
    <row r="2120" spans="1:14" x14ac:dyDescent="0.25">
      <c r="A2120" t="s">
        <v>14</v>
      </c>
      <c r="B2120" t="s">
        <v>488</v>
      </c>
      <c r="C2120" t="s">
        <v>16</v>
      </c>
      <c r="D2120" t="s">
        <v>22</v>
      </c>
      <c r="E2120" t="s">
        <v>32</v>
      </c>
      <c r="F2120" t="s">
        <v>1345</v>
      </c>
      <c r="G2120">
        <v>357120740</v>
      </c>
      <c r="H2120" t="s">
        <v>795</v>
      </c>
      <c r="I2120">
        <v>8818</v>
      </c>
      <c r="J2120">
        <v>255.28</v>
      </c>
      <c r="K2120">
        <v>159.41999999999999</v>
      </c>
      <c r="L2120">
        <v>2251059.04</v>
      </c>
      <c r="M2120">
        <v>1405765.56</v>
      </c>
      <c r="N2120">
        <v>845293.48</v>
      </c>
    </row>
    <row r="2121" spans="1:14" x14ac:dyDescent="0.25">
      <c r="A2121" t="s">
        <v>51</v>
      </c>
      <c r="B2121" t="s">
        <v>734</v>
      </c>
      <c r="C2121" t="s">
        <v>27</v>
      </c>
      <c r="D2121" t="s">
        <v>22</v>
      </c>
      <c r="E2121" t="s">
        <v>32</v>
      </c>
      <c r="F2121" t="s">
        <v>988</v>
      </c>
      <c r="G2121">
        <v>664278304</v>
      </c>
      <c r="H2121" t="s">
        <v>1352</v>
      </c>
      <c r="I2121">
        <v>3567</v>
      </c>
      <c r="J2121">
        <v>47.45</v>
      </c>
      <c r="K2121">
        <v>31.79</v>
      </c>
      <c r="L2121">
        <v>169254.15</v>
      </c>
      <c r="M2121">
        <v>113394.93</v>
      </c>
      <c r="N2121">
        <v>55859.22</v>
      </c>
    </row>
    <row r="2122" spans="1:14" x14ac:dyDescent="0.25">
      <c r="A2122" t="s">
        <v>29</v>
      </c>
      <c r="B2122" t="s">
        <v>153</v>
      </c>
      <c r="C2122" t="s">
        <v>31</v>
      </c>
      <c r="D2122" t="s">
        <v>22</v>
      </c>
      <c r="E2122" t="s">
        <v>18</v>
      </c>
      <c r="F2122" s="1">
        <v>40757</v>
      </c>
      <c r="G2122">
        <v>898884904</v>
      </c>
      <c r="H2122" t="s">
        <v>1512</v>
      </c>
      <c r="I2122">
        <v>8873</v>
      </c>
      <c r="J2122">
        <v>205.7</v>
      </c>
      <c r="K2122">
        <v>117.11</v>
      </c>
      <c r="L2122">
        <v>1825176.1</v>
      </c>
      <c r="M2122">
        <v>1039117.03</v>
      </c>
      <c r="N2122">
        <v>786059.07</v>
      </c>
    </row>
    <row r="2123" spans="1:14" x14ac:dyDescent="0.25">
      <c r="A2123" t="s">
        <v>25</v>
      </c>
      <c r="B2123" t="s">
        <v>234</v>
      </c>
      <c r="C2123" t="s">
        <v>40</v>
      </c>
      <c r="D2123" t="s">
        <v>17</v>
      </c>
      <c r="E2123" t="s">
        <v>18</v>
      </c>
      <c r="F2123" t="s">
        <v>445</v>
      </c>
      <c r="G2123">
        <v>439114367</v>
      </c>
      <c r="H2123" t="s">
        <v>1513</v>
      </c>
      <c r="I2123">
        <v>2554</v>
      </c>
      <c r="J2123">
        <v>81.73</v>
      </c>
      <c r="K2123">
        <v>56.67</v>
      </c>
      <c r="L2123">
        <v>208738.42</v>
      </c>
      <c r="M2123">
        <v>144735.18</v>
      </c>
      <c r="N2123">
        <v>64003.24</v>
      </c>
    </row>
    <row r="2124" spans="1:14" x14ac:dyDescent="0.25">
      <c r="A2124" t="s">
        <v>38</v>
      </c>
      <c r="B2124" t="s">
        <v>58</v>
      </c>
      <c r="C2124" t="s">
        <v>40</v>
      </c>
      <c r="D2124" t="s">
        <v>22</v>
      </c>
      <c r="E2124" t="s">
        <v>32</v>
      </c>
      <c r="F2124" s="1">
        <v>41072</v>
      </c>
      <c r="G2124">
        <v>983453023</v>
      </c>
      <c r="H2124" t="s">
        <v>610</v>
      </c>
      <c r="I2124">
        <v>4459</v>
      </c>
      <c r="J2124">
        <v>81.73</v>
      </c>
      <c r="K2124">
        <v>56.67</v>
      </c>
      <c r="L2124">
        <v>364434.07</v>
      </c>
      <c r="M2124">
        <v>252691.53</v>
      </c>
      <c r="N2124">
        <v>111742.54</v>
      </c>
    </row>
    <row r="2125" spans="1:14" x14ac:dyDescent="0.25">
      <c r="A2125" t="s">
        <v>51</v>
      </c>
      <c r="B2125" t="s">
        <v>593</v>
      </c>
      <c r="C2125" t="s">
        <v>59</v>
      </c>
      <c r="D2125" t="s">
        <v>17</v>
      </c>
      <c r="E2125" t="s">
        <v>45</v>
      </c>
      <c r="F2125" t="s">
        <v>906</v>
      </c>
      <c r="G2125">
        <v>700699698</v>
      </c>
      <c r="H2125" t="s">
        <v>1314</v>
      </c>
      <c r="I2125">
        <v>1467</v>
      </c>
      <c r="J2125">
        <v>437.2</v>
      </c>
      <c r="K2125">
        <v>263.33</v>
      </c>
      <c r="L2125">
        <v>641372.4</v>
      </c>
      <c r="M2125">
        <v>386305.11</v>
      </c>
      <c r="N2125">
        <v>255067.29</v>
      </c>
    </row>
    <row r="2126" spans="1:14" x14ac:dyDescent="0.25">
      <c r="A2126" t="s">
        <v>14</v>
      </c>
      <c r="B2126" t="s">
        <v>357</v>
      </c>
      <c r="C2126" t="s">
        <v>31</v>
      </c>
      <c r="D2126" t="s">
        <v>22</v>
      </c>
      <c r="E2126" t="s">
        <v>18</v>
      </c>
      <c r="F2126" s="1">
        <v>40484</v>
      </c>
      <c r="G2126">
        <v>979965722</v>
      </c>
      <c r="H2126" t="s">
        <v>277</v>
      </c>
      <c r="I2126">
        <v>2489</v>
      </c>
      <c r="J2126">
        <v>205.7</v>
      </c>
      <c r="K2126">
        <v>117.11</v>
      </c>
      <c r="L2126">
        <v>511987.3</v>
      </c>
      <c r="M2126">
        <v>291486.78999999998</v>
      </c>
      <c r="N2126">
        <v>220500.51</v>
      </c>
    </row>
    <row r="2127" spans="1:14" x14ac:dyDescent="0.25">
      <c r="A2127" t="s">
        <v>14</v>
      </c>
      <c r="B2127" t="s">
        <v>98</v>
      </c>
      <c r="C2127" t="s">
        <v>55</v>
      </c>
      <c r="D2127" t="s">
        <v>17</v>
      </c>
      <c r="E2127" t="s">
        <v>23</v>
      </c>
      <c r="F2127" s="1">
        <v>42467</v>
      </c>
      <c r="G2127">
        <v>580674922</v>
      </c>
      <c r="H2127" t="s">
        <v>1369</v>
      </c>
      <c r="I2127">
        <v>3468</v>
      </c>
      <c r="J2127">
        <v>651.21</v>
      </c>
      <c r="K2127">
        <v>524.96</v>
      </c>
      <c r="L2127">
        <v>2258396.2799999998</v>
      </c>
      <c r="M2127">
        <v>1820561.28</v>
      </c>
      <c r="N2127">
        <v>437835</v>
      </c>
    </row>
    <row r="2128" spans="1:14" x14ac:dyDescent="0.25">
      <c r="A2128" t="s">
        <v>25</v>
      </c>
      <c r="B2128" t="s">
        <v>386</v>
      </c>
      <c r="C2128" t="s">
        <v>131</v>
      </c>
      <c r="D2128" t="s">
        <v>17</v>
      </c>
      <c r="E2128" t="s">
        <v>18</v>
      </c>
      <c r="F2128" t="s">
        <v>1514</v>
      </c>
      <c r="G2128">
        <v>582563626</v>
      </c>
      <c r="H2128" t="s">
        <v>558</v>
      </c>
      <c r="I2128">
        <v>2378</v>
      </c>
      <c r="J2128">
        <v>668.27</v>
      </c>
      <c r="K2128">
        <v>502.54</v>
      </c>
      <c r="L2128">
        <v>1589146.06</v>
      </c>
      <c r="M2128">
        <v>1195040.1200000001</v>
      </c>
      <c r="N2128">
        <v>394105.94</v>
      </c>
    </row>
    <row r="2129" spans="1:14" x14ac:dyDescent="0.25">
      <c r="A2129" t="s">
        <v>38</v>
      </c>
      <c r="B2129" t="s">
        <v>329</v>
      </c>
      <c r="C2129" t="s">
        <v>21</v>
      </c>
      <c r="D2129" t="s">
        <v>22</v>
      </c>
      <c r="E2129" t="s">
        <v>23</v>
      </c>
      <c r="F2129" s="1">
        <v>41859</v>
      </c>
      <c r="G2129">
        <v>335680663</v>
      </c>
      <c r="H2129" t="s">
        <v>1515</v>
      </c>
      <c r="I2129">
        <v>4223</v>
      </c>
      <c r="J2129">
        <v>152.58000000000001</v>
      </c>
      <c r="K2129">
        <v>97.44</v>
      </c>
      <c r="L2129">
        <v>644345.34</v>
      </c>
      <c r="M2129">
        <v>411489.12</v>
      </c>
      <c r="N2129">
        <v>232856.22</v>
      </c>
    </row>
    <row r="2130" spans="1:14" x14ac:dyDescent="0.25">
      <c r="A2130" t="s">
        <v>51</v>
      </c>
      <c r="B2130" t="s">
        <v>734</v>
      </c>
      <c r="C2130" t="s">
        <v>113</v>
      </c>
      <c r="D2130" t="s">
        <v>17</v>
      </c>
      <c r="E2130" t="s">
        <v>32</v>
      </c>
      <c r="F2130" s="1">
        <v>40725</v>
      </c>
      <c r="G2130">
        <v>610387361</v>
      </c>
      <c r="H2130" t="s">
        <v>567</v>
      </c>
      <c r="I2130">
        <v>6039</v>
      </c>
      <c r="J2130">
        <v>154.06</v>
      </c>
      <c r="K2130">
        <v>90.93</v>
      </c>
      <c r="L2130">
        <v>930368.34</v>
      </c>
      <c r="M2130">
        <v>549126.27</v>
      </c>
      <c r="N2130">
        <v>381242.07</v>
      </c>
    </row>
    <row r="2131" spans="1:14" x14ac:dyDescent="0.25">
      <c r="A2131" t="s">
        <v>42</v>
      </c>
      <c r="B2131" t="s">
        <v>630</v>
      </c>
      <c r="C2131" t="s">
        <v>44</v>
      </c>
      <c r="D2131" t="s">
        <v>17</v>
      </c>
      <c r="E2131" t="s">
        <v>23</v>
      </c>
      <c r="F2131" s="1">
        <v>40797</v>
      </c>
      <c r="G2131">
        <v>447357547</v>
      </c>
      <c r="H2131" t="s">
        <v>431</v>
      </c>
      <c r="I2131">
        <v>1894</v>
      </c>
      <c r="J2131">
        <v>109.28</v>
      </c>
      <c r="K2131">
        <v>35.840000000000003</v>
      </c>
      <c r="L2131">
        <v>206976.32</v>
      </c>
      <c r="M2131">
        <v>67880.960000000006</v>
      </c>
      <c r="N2131">
        <v>139095.35999999999</v>
      </c>
    </row>
    <row r="2132" spans="1:14" x14ac:dyDescent="0.25">
      <c r="A2132" t="s">
        <v>14</v>
      </c>
      <c r="B2132" t="s">
        <v>20</v>
      </c>
      <c r="C2132" t="s">
        <v>40</v>
      </c>
      <c r="D2132" t="s">
        <v>17</v>
      </c>
      <c r="E2132" t="s">
        <v>45</v>
      </c>
      <c r="F2132" t="s">
        <v>1516</v>
      </c>
      <c r="G2132">
        <v>307577550</v>
      </c>
      <c r="H2132" t="s">
        <v>827</v>
      </c>
      <c r="I2132">
        <v>7887</v>
      </c>
      <c r="J2132">
        <v>81.73</v>
      </c>
      <c r="K2132">
        <v>56.67</v>
      </c>
      <c r="L2132">
        <v>644604.51</v>
      </c>
      <c r="M2132">
        <v>446956.29</v>
      </c>
      <c r="N2132">
        <v>197648.22</v>
      </c>
    </row>
    <row r="2133" spans="1:14" x14ac:dyDescent="0.25">
      <c r="A2133" t="s">
        <v>14</v>
      </c>
      <c r="B2133" t="s">
        <v>488</v>
      </c>
      <c r="C2133" t="s">
        <v>59</v>
      </c>
      <c r="D2133" t="s">
        <v>17</v>
      </c>
      <c r="E2133" t="s">
        <v>45</v>
      </c>
      <c r="F2133" s="1">
        <v>41528</v>
      </c>
      <c r="G2133">
        <v>722346198</v>
      </c>
      <c r="H2133" s="1">
        <v>41590</v>
      </c>
      <c r="I2133">
        <v>7147</v>
      </c>
      <c r="J2133">
        <v>437.2</v>
      </c>
      <c r="K2133">
        <v>263.33</v>
      </c>
      <c r="L2133">
        <v>3124668.4</v>
      </c>
      <c r="M2133">
        <v>1882019.51</v>
      </c>
      <c r="N2133">
        <v>1242648.8899999999</v>
      </c>
    </row>
    <row r="2134" spans="1:14" x14ac:dyDescent="0.25">
      <c r="A2134" t="s">
        <v>25</v>
      </c>
      <c r="B2134" t="s">
        <v>201</v>
      </c>
      <c r="C2134" t="s">
        <v>21</v>
      </c>
      <c r="D2134" t="s">
        <v>17</v>
      </c>
      <c r="E2134" t="s">
        <v>18</v>
      </c>
      <c r="F2134" s="1">
        <v>41488</v>
      </c>
      <c r="G2134">
        <v>943274819</v>
      </c>
      <c r="H2134" s="1">
        <v>41489</v>
      </c>
      <c r="I2134">
        <v>4836</v>
      </c>
      <c r="J2134">
        <v>152.58000000000001</v>
      </c>
      <c r="K2134">
        <v>97.44</v>
      </c>
      <c r="L2134">
        <v>737876.88</v>
      </c>
      <c r="M2134">
        <v>471219.84</v>
      </c>
      <c r="N2134">
        <v>266657.03999999998</v>
      </c>
    </row>
    <row r="2135" spans="1:14" x14ac:dyDescent="0.25">
      <c r="A2135" t="s">
        <v>29</v>
      </c>
      <c r="B2135" t="s">
        <v>619</v>
      </c>
      <c r="C2135" t="s">
        <v>27</v>
      </c>
      <c r="D2135" t="s">
        <v>22</v>
      </c>
      <c r="E2135" t="s">
        <v>18</v>
      </c>
      <c r="F2135" s="1">
        <v>41255</v>
      </c>
      <c r="G2135">
        <v>292287242</v>
      </c>
      <c r="H2135" s="1">
        <v>41579</v>
      </c>
      <c r="I2135">
        <v>3145</v>
      </c>
      <c r="J2135">
        <v>47.45</v>
      </c>
      <c r="K2135">
        <v>31.79</v>
      </c>
      <c r="L2135">
        <v>149230.25</v>
      </c>
      <c r="M2135">
        <v>99979.55</v>
      </c>
      <c r="N2135">
        <v>49250.7</v>
      </c>
    </row>
    <row r="2136" spans="1:14" x14ac:dyDescent="0.25">
      <c r="A2136" t="s">
        <v>38</v>
      </c>
      <c r="B2136" t="s">
        <v>1268</v>
      </c>
      <c r="C2136" t="s">
        <v>113</v>
      </c>
      <c r="D2136" t="s">
        <v>22</v>
      </c>
      <c r="E2136" t="s">
        <v>23</v>
      </c>
      <c r="F2136" t="s">
        <v>1358</v>
      </c>
      <c r="G2136">
        <v>411619794</v>
      </c>
      <c r="H2136" s="1">
        <v>42280</v>
      </c>
      <c r="I2136">
        <v>6299</v>
      </c>
      <c r="J2136">
        <v>154.06</v>
      </c>
      <c r="K2136">
        <v>90.93</v>
      </c>
      <c r="L2136">
        <v>970423.94</v>
      </c>
      <c r="M2136">
        <v>572768.06999999995</v>
      </c>
      <c r="N2136">
        <v>397655.87</v>
      </c>
    </row>
    <row r="2137" spans="1:14" x14ac:dyDescent="0.25">
      <c r="A2137" t="s">
        <v>25</v>
      </c>
      <c r="B2137" t="s">
        <v>343</v>
      </c>
      <c r="C2137" t="s">
        <v>55</v>
      </c>
      <c r="D2137" t="s">
        <v>17</v>
      </c>
      <c r="E2137" t="s">
        <v>45</v>
      </c>
      <c r="F2137" s="1">
        <v>40310</v>
      </c>
      <c r="G2137">
        <v>313821303</v>
      </c>
      <c r="H2137" t="s">
        <v>1210</v>
      </c>
      <c r="I2137">
        <v>5552</v>
      </c>
      <c r="J2137">
        <v>651.21</v>
      </c>
      <c r="K2137">
        <v>524.96</v>
      </c>
      <c r="L2137">
        <v>3615517.92</v>
      </c>
      <c r="M2137">
        <v>2914577.92</v>
      </c>
      <c r="N2137">
        <v>700940</v>
      </c>
    </row>
    <row r="2138" spans="1:14" x14ac:dyDescent="0.25">
      <c r="A2138" t="s">
        <v>25</v>
      </c>
      <c r="B2138" t="s">
        <v>569</v>
      </c>
      <c r="C2138" t="s">
        <v>27</v>
      </c>
      <c r="D2138" t="s">
        <v>17</v>
      </c>
      <c r="E2138" t="s">
        <v>18</v>
      </c>
      <c r="F2138" s="1">
        <v>42044</v>
      </c>
      <c r="G2138">
        <v>431753098</v>
      </c>
      <c r="H2138" t="s">
        <v>1517</v>
      </c>
      <c r="I2138">
        <v>4191</v>
      </c>
      <c r="J2138">
        <v>47.45</v>
      </c>
      <c r="K2138">
        <v>31.79</v>
      </c>
      <c r="L2138">
        <v>198862.95</v>
      </c>
      <c r="M2138">
        <v>133231.89000000001</v>
      </c>
      <c r="N2138">
        <v>65631.06</v>
      </c>
    </row>
    <row r="2139" spans="1:14" x14ac:dyDescent="0.25">
      <c r="A2139" t="s">
        <v>29</v>
      </c>
      <c r="B2139" t="s">
        <v>485</v>
      </c>
      <c r="C2139" t="s">
        <v>16</v>
      </c>
      <c r="D2139" t="s">
        <v>17</v>
      </c>
      <c r="E2139" t="s">
        <v>18</v>
      </c>
      <c r="F2139" t="s">
        <v>1463</v>
      </c>
      <c r="G2139">
        <v>368589007</v>
      </c>
      <c r="H2139" s="1">
        <v>40824</v>
      </c>
      <c r="I2139">
        <v>2533</v>
      </c>
      <c r="J2139">
        <v>255.28</v>
      </c>
      <c r="K2139">
        <v>159.41999999999999</v>
      </c>
      <c r="L2139">
        <v>646624.24</v>
      </c>
      <c r="M2139">
        <v>403810.86</v>
      </c>
      <c r="N2139">
        <v>242813.38</v>
      </c>
    </row>
    <row r="2140" spans="1:14" x14ac:dyDescent="0.25">
      <c r="A2140" t="s">
        <v>51</v>
      </c>
      <c r="B2140" t="s">
        <v>115</v>
      </c>
      <c r="C2140" t="s">
        <v>113</v>
      </c>
      <c r="D2140" t="s">
        <v>22</v>
      </c>
      <c r="E2140" t="s">
        <v>18</v>
      </c>
      <c r="F2140" s="1">
        <v>40798</v>
      </c>
      <c r="G2140">
        <v>247815358</v>
      </c>
      <c r="H2140" s="1">
        <v>41122</v>
      </c>
      <c r="I2140">
        <v>2926</v>
      </c>
      <c r="J2140">
        <v>154.06</v>
      </c>
      <c r="K2140">
        <v>90.93</v>
      </c>
      <c r="L2140">
        <v>450779.56</v>
      </c>
      <c r="M2140">
        <v>266061.18</v>
      </c>
      <c r="N2140">
        <v>184718.38</v>
      </c>
    </row>
    <row r="2141" spans="1:14" x14ac:dyDescent="0.25">
      <c r="A2141" t="s">
        <v>42</v>
      </c>
      <c r="B2141" t="s">
        <v>361</v>
      </c>
      <c r="C2141" t="s">
        <v>44</v>
      </c>
      <c r="D2141" t="s">
        <v>17</v>
      </c>
      <c r="E2141" t="s">
        <v>32</v>
      </c>
      <c r="F2141" s="1">
        <v>40948</v>
      </c>
      <c r="G2141">
        <v>263230979</v>
      </c>
      <c r="H2141" s="1">
        <v>41130</v>
      </c>
      <c r="I2141">
        <v>4751</v>
      </c>
      <c r="J2141">
        <v>109.28</v>
      </c>
      <c r="K2141">
        <v>35.840000000000003</v>
      </c>
      <c r="L2141">
        <v>519189.28</v>
      </c>
      <c r="M2141">
        <v>170275.84</v>
      </c>
      <c r="N2141">
        <v>348913.44</v>
      </c>
    </row>
    <row r="2142" spans="1:14" x14ac:dyDescent="0.25">
      <c r="A2142" t="s">
        <v>14</v>
      </c>
      <c r="B2142" t="s">
        <v>488</v>
      </c>
      <c r="C2142" t="s">
        <v>21</v>
      </c>
      <c r="D2142" t="s">
        <v>22</v>
      </c>
      <c r="E2142" t="s">
        <v>23</v>
      </c>
      <c r="F2142" s="1">
        <v>40304</v>
      </c>
      <c r="G2142">
        <v>228947198</v>
      </c>
      <c r="H2142" s="1">
        <v>40185</v>
      </c>
      <c r="I2142">
        <v>9418</v>
      </c>
      <c r="J2142">
        <v>152.58000000000001</v>
      </c>
      <c r="K2142">
        <v>97.44</v>
      </c>
      <c r="L2142">
        <v>1436998.44</v>
      </c>
      <c r="M2142">
        <v>917689.92</v>
      </c>
      <c r="N2142">
        <v>519308.52</v>
      </c>
    </row>
    <row r="2143" spans="1:14" x14ac:dyDescent="0.25">
      <c r="A2143" t="s">
        <v>51</v>
      </c>
      <c r="B2143" t="s">
        <v>424</v>
      </c>
      <c r="C2143" t="s">
        <v>113</v>
      </c>
      <c r="D2143" t="s">
        <v>22</v>
      </c>
      <c r="E2143" t="s">
        <v>23</v>
      </c>
      <c r="F2143" t="s">
        <v>1302</v>
      </c>
      <c r="G2143">
        <v>929387843</v>
      </c>
      <c r="H2143" t="s">
        <v>953</v>
      </c>
      <c r="I2143">
        <v>5371</v>
      </c>
      <c r="J2143">
        <v>154.06</v>
      </c>
      <c r="K2143">
        <v>90.93</v>
      </c>
      <c r="L2143">
        <v>827456.26</v>
      </c>
      <c r="M2143">
        <v>488385.03</v>
      </c>
      <c r="N2143">
        <v>339071.23</v>
      </c>
    </row>
    <row r="2144" spans="1:14" x14ac:dyDescent="0.25">
      <c r="A2144" t="s">
        <v>25</v>
      </c>
      <c r="B2144" t="s">
        <v>47</v>
      </c>
      <c r="C2144" t="s">
        <v>131</v>
      </c>
      <c r="D2144" t="s">
        <v>17</v>
      </c>
      <c r="E2144" t="s">
        <v>23</v>
      </c>
      <c r="F2144" t="s">
        <v>296</v>
      </c>
      <c r="G2144">
        <v>969289243</v>
      </c>
      <c r="H2144" s="1">
        <v>40941</v>
      </c>
      <c r="I2144">
        <v>3082</v>
      </c>
      <c r="J2144">
        <v>668.27</v>
      </c>
      <c r="K2144">
        <v>502.54</v>
      </c>
      <c r="L2144">
        <v>2059608.14</v>
      </c>
      <c r="M2144">
        <v>1548828.28</v>
      </c>
      <c r="N2144">
        <v>510779.86</v>
      </c>
    </row>
    <row r="2145" spans="1:14" x14ac:dyDescent="0.25">
      <c r="A2145" t="s">
        <v>51</v>
      </c>
      <c r="B2145" t="s">
        <v>223</v>
      </c>
      <c r="C2145" t="s">
        <v>55</v>
      </c>
      <c r="D2145" t="s">
        <v>22</v>
      </c>
      <c r="E2145" t="s">
        <v>18</v>
      </c>
      <c r="F2145" t="s">
        <v>147</v>
      </c>
      <c r="G2145">
        <v>823700225</v>
      </c>
      <c r="H2145" t="s">
        <v>812</v>
      </c>
      <c r="I2145">
        <v>56</v>
      </c>
      <c r="J2145">
        <v>651.21</v>
      </c>
      <c r="K2145">
        <v>524.96</v>
      </c>
      <c r="L2145">
        <v>36467.760000000002</v>
      </c>
      <c r="M2145">
        <v>29397.759999999998</v>
      </c>
      <c r="N2145">
        <v>7070</v>
      </c>
    </row>
    <row r="2146" spans="1:14" x14ac:dyDescent="0.25">
      <c r="A2146" t="s">
        <v>29</v>
      </c>
      <c r="B2146" t="s">
        <v>35</v>
      </c>
      <c r="C2146" t="s">
        <v>44</v>
      </c>
      <c r="D2146" t="s">
        <v>17</v>
      </c>
      <c r="E2146" t="s">
        <v>23</v>
      </c>
      <c r="F2146" t="s">
        <v>1518</v>
      </c>
      <c r="G2146">
        <v>587982118</v>
      </c>
      <c r="H2146" t="s">
        <v>1382</v>
      </c>
      <c r="I2146">
        <v>5830</v>
      </c>
      <c r="J2146">
        <v>109.28</v>
      </c>
      <c r="K2146">
        <v>35.840000000000003</v>
      </c>
      <c r="L2146">
        <v>637102.4</v>
      </c>
      <c r="M2146">
        <v>208947.20000000001</v>
      </c>
      <c r="N2146">
        <v>428155.2</v>
      </c>
    </row>
    <row r="2147" spans="1:14" x14ac:dyDescent="0.25">
      <c r="A2147" t="s">
        <v>38</v>
      </c>
      <c r="B2147" t="s">
        <v>346</v>
      </c>
      <c r="C2147" t="s">
        <v>31</v>
      </c>
      <c r="D2147" t="s">
        <v>17</v>
      </c>
      <c r="E2147" t="s">
        <v>23</v>
      </c>
      <c r="F2147" s="1">
        <v>41521</v>
      </c>
      <c r="G2147">
        <v>427808749</v>
      </c>
      <c r="H2147" t="s">
        <v>1519</v>
      </c>
      <c r="I2147">
        <v>6971</v>
      </c>
      <c r="J2147">
        <v>205.7</v>
      </c>
      <c r="K2147">
        <v>117.11</v>
      </c>
      <c r="L2147">
        <v>1433934.7</v>
      </c>
      <c r="M2147">
        <v>816373.81</v>
      </c>
      <c r="N2147">
        <v>617560.89</v>
      </c>
    </row>
    <row r="2148" spans="1:14" x14ac:dyDescent="0.25">
      <c r="A2148" t="s">
        <v>14</v>
      </c>
      <c r="B2148" t="s">
        <v>383</v>
      </c>
      <c r="C2148" t="s">
        <v>131</v>
      </c>
      <c r="D2148" t="s">
        <v>22</v>
      </c>
      <c r="E2148" t="s">
        <v>45</v>
      </c>
      <c r="F2148" t="s">
        <v>1066</v>
      </c>
      <c r="G2148">
        <v>129166448</v>
      </c>
      <c r="H2148" t="s">
        <v>870</v>
      </c>
      <c r="I2148">
        <v>2077</v>
      </c>
      <c r="J2148">
        <v>668.27</v>
      </c>
      <c r="K2148">
        <v>502.54</v>
      </c>
      <c r="L2148">
        <v>1387996.79</v>
      </c>
      <c r="M2148">
        <v>1043775.58</v>
      </c>
      <c r="N2148">
        <v>344221.21</v>
      </c>
    </row>
    <row r="2149" spans="1:14" x14ac:dyDescent="0.25">
      <c r="A2149" t="s">
        <v>29</v>
      </c>
      <c r="B2149" t="s">
        <v>393</v>
      </c>
      <c r="C2149" t="s">
        <v>40</v>
      </c>
      <c r="D2149" t="s">
        <v>22</v>
      </c>
      <c r="E2149" t="s">
        <v>45</v>
      </c>
      <c r="F2149" t="s">
        <v>1520</v>
      </c>
      <c r="G2149">
        <v>448354041</v>
      </c>
      <c r="H2149" s="1">
        <v>41033</v>
      </c>
      <c r="I2149">
        <v>6779</v>
      </c>
      <c r="J2149">
        <v>81.73</v>
      </c>
      <c r="K2149">
        <v>56.67</v>
      </c>
      <c r="L2149">
        <v>554047.67000000004</v>
      </c>
      <c r="M2149">
        <v>384165.93</v>
      </c>
      <c r="N2149">
        <v>169881.74</v>
      </c>
    </row>
    <row r="2150" spans="1:14" x14ac:dyDescent="0.25">
      <c r="A2150" t="s">
        <v>25</v>
      </c>
      <c r="B2150" t="s">
        <v>266</v>
      </c>
      <c r="C2150" t="s">
        <v>21</v>
      </c>
      <c r="D2150" t="s">
        <v>22</v>
      </c>
      <c r="E2150" t="s">
        <v>18</v>
      </c>
      <c r="F2150" t="s">
        <v>826</v>
      </c>
      <c r="G2150">
        <v>861982858</v>
      </c>
      <c r="H2150" s="1">
        <v>40642</v>
      </c>
      <c r="I2150">
        <v>8738</v>
      </c>
      <c r="J2150">
        <v>152.58000000000001</v>
      </c>
      <c r="K2150">
        <v>97.44</v>
      </c>
      <c r="L2150">
        <v>1333244.04</v>
      </c>
      <c r="M2150">
        <v>851430.72</v>
      </c>
      <c r="N2150">
        <v>481813.32</v>
      </c>
    </row>
    <row r="2151" spans="1:14" x14ac:dyDescent="0.25">
      <c r="A2151" t="s">
        <v>29</v>
      </c>
      <c r="B2151" t="s">
        <v>315</v>
      </c>
      <c r="C2151" t="s">
        <v>69</v>
      </c>
      <c r="D2151" t="s">
        <v>17</v>
      </c>
      <c r="E2151" t="s">
        <v>23</v>
      </c>
      <c r="F2151" t="s">
        <v>1176</v>
      </c>
      <c r="G2151">
        <v>916976726</v>
      </c>
      <c r="H2151" t="s">
        <v>283</v>
      </c>
      <c r="I2151">
        <v>2645</v>
      </c>
      <c r="J2151">
        <v>421.89</v>
      </c>
      <c r="K2151">
        <v>364.69</v>
      </c>
      <c r="L2151">
        <v>1115899.05</v>
      </c>
      <c r="M2151">
        <v>964605.05</v>
      </c>
      <c r="N2151">
        <v>151294</v>
      </c>
    </row>
    <row r="2152" spans="1:14" x14ac:dyDescent="0.25">
      <c r="A2152" t="s">
        <v>51</v>
      </c>
      <c r="B2152" t="s">
        <v>420</v>
      </c>
      <c r="C2152" t="s">
        <v>55</v>
      </c>
      <c r="D2152" t="s">
        <v>17</v>
      </c>
      <c r="E2152" t="s">
        <v>32</v>
      </c>
      <c r="F2152" s="1">
        <v>40820</v>
      </c>
      <c r="G2152">
        <v>680571973</v>
      </c>
      <c r="H2152" s="1">
        <v>40668</v>
      </c>
      <c r="I2152">
        <v>5225</v>
      </c>
      <c r="J2152">
        <v>651.21</v>
      </c>
      <c r="K2152">
        <v>524.96</v>
      </c>
      <c r="L2152">
        <v>3402572.25</v>
      </c>
      <c r="M2152">
        <v>2742916</v>
      </c>
      <c r="N2152">
        <v>659656.25</v>
      </c>
    </row>
    <row r="2153" spans="1:14" x14ac:dyDescent="0.25">
      <c r="A2153" t="s">
        <v>25</v>
      </c>
      <c r="B2153" t="s">
        <v>469</v>
      </c>
      <c r="C2153" t="s">
        <v>69</v>
      </c>
      <c r="D2153" t="s">
        <v>17</v>
      </c>
      <c r="E2153" t="s">
        <v>18</v>
      </c>
      <c r="F2153" t="s">
        <v>1521</v>
      </c>
      <c r="G2153">
        <v>290317428</v>
      </c>
      <c r="H2153" s="1">
        <v>42404</v>
      </c>
      <c r="I2153">
        <v>233</v>
      </c>
      <c r="J2153">
        <v>421.89</v>
      </c>
      <c r="K2153">
        <v>364.69</v>
      </c>
      <c r="L2153">
        <v>98300.37</v>
      </c>
      <c r="M2153">
        <v>84972.77</v>
      </c>
      <c r="N2153">
        <v>13327.6</v>
      </c>
    </row>
    <row r="2154" spans="1:14" x14ac:dyDescent="0.25">
      <c r="A2154" t="s">
        <v>29</v>
      </c>
      <c r="B2154" t="s">
        <v>393</v>
      </c>
      <c r="C2154" t="s">
        <v>55</v>
      </c>
      <c r="D2154" t="s">
        <v>17</v>
      </c>
      <c r="E2154" t="s">
        <v>45</v>
      </c>
      <c r="F2154" t="s">
        <v>168</v>
      </c>
      <c r="G2154">
        <v>404074418</v>
      </c>
      <c r="H2154" t="s">
        <v>1522</v>
      </c>
      <c r="I2154">
        <v>3455</v>
      </c>
      <c r="J2154">
        <v>651.21</v>
      </c>
      <c r="K2154">
        <v>524.96</v>
      </c>
      <c r="L2154">
        <v>2249930.5499999998</v>
      </c>
      <c r="M2154">
        <v>1813736.8</v>
      </c>
      <c r="N2154">
        <v>436193.75</v>
      </c>
    </row>
    <row r="2155" spans="1:14" x14ac:dyDescent="0.25">
      <c r="A2155" t="s">
        <v>77</v>
      </c>
      <c r="B2155" t="s">
        <v>622</v>
      </c>
      <c r="C2155" t="s">
        <v>21</v>
      </c>
      <c r="D2155" t="s">
        <v>22</v>
      </c>
      <c r="E2155" t="s">
        <v>45</v>
      </c>
      <c r="F2155" s="1">
        <v>40640</v>
      </c>
      <c r="G2155">
        <v>850016772</v>
      </c>
      <c r="H2155" s="1">
        <v>40610</v>
      </c>
      <c r="I2155">
        <v>7707</v>
      </c>
      <c r="J2155">
        <v>152.58000000000001</v>
      </c>
      <c r="K2155">
        <v>97.44</v>
      </c>
      <c r="L2155">
        <v>1175934.06</v>
      </c>
      <c r="M2155">
        <v>750970.08</v>
      </c>
      <c r="N2155">
        <v>424963.98</v>
      </c>
    </row>
    <row r="2156" spans="1:14" x14ac:dyDescent="0.25">
      <c r="A2156" t="s">
        <v>14</v>
      </c>
      <c r="B2156" t="s">
        <v>383</v>
      </c>
      <c r="C2156" t="s">
        <v>113</v>
      </c>
      <c r="D2156" t="s">
        <v>22</v>
      </c>
      <c r="E2156" t="s">
        <v>45</v>
      </c>
      <c r="F2156" t="s">
        <v>50</v>
      </c>
      <c r="G2156">
        <v>176630818</v>
      </c>
      <c r="H2156" t="s">
        <v>1056</v>
      </c>
      <c r="I2156">
        <v>7839</v>
      </c>
      <c r="J2156">
        <v>154.06</v>
      </c>
      <c r="K2156">
        <v>90.93</v>
      </c>
      <c r="L2156">
        <v>1207676.3400000001</v>
      </c>
      <c r="M2156">
        <v>712800.27</v>
      </c>
      <c r="N2156">
        <v>494876.07</v>
      </c>
    </row>
    <row r="2157" spans="1:14" x14ac:dyDescent="0.25">
      <c r="A2157" t="s">
        <v>38</v>
      </c>
      <c r="B2157" t="s">
        <v>49</v>
      </c>
      <c r="C2157" t="s">
        <v>69</v>
      </c>
      <c r="D2157" t="s">
        <v>22</v>
      </c>
      <c r="E2157" t="s">
        <v>45</v>
      </c>
      <c r="F2157" s="1">
        <v>41764</v>
      </c>
      <c r="G2157">
        <v>602715384</v>
      </c>
      <c r="H2157" t="s">
        <v>1216</v>
      </c>
      <c r="I2157">
        <v>5731</v>
      </c>
      <c r="J2157">
        <v>421.89</v>
      </c>
      <c r="K2157">
        <v>364.69</v>
      </c>
      <c r="L2157">
        <v>2417851.59</v>
      </c>
      <c r="M2157">
        <v>2090038.39</v>
      </c>
      <c r="N2157">
        <v>327813.2</v>
      </c>
    </row>
    <row r="2158" spans="1:14" x14ac:dyDescent="0.25">
      <c r="A2158" t="s">
        <v>38</v>
      </c>
      <c r="B2158" t="s">
        <v>117</v>
      </c>
      <c r="C2158" t="s">
        <v>40</v>
      </c>
      <c r="D2158" t="s">
        <v>17</v>
      </c>
      <c r="E2158" t="s">
        <v>32</v>
      </c>
      <c r="F2158" s="1">
        <v>40400</v>
      </c>
      <c r="G2158">
        <v>367381799</v>
      </c>
      <c r="H2158" t="s">
        <v>1419</v>
      </c>
      <c r="I2158">
        <v>5293</v>
      </c>
      <c r="J2158">
        <v>81.73</v>
      </c>
      <c r="K2158">
        <v>56.67</v>
      </c>
      <c r="L2158">
        <v>432596.89</v>
      </c>
      <c r="M2158">
        <v>299954.31</v>
      </c>
      <c r="N2158">
        <v>132642.57999999999</v>
      </c>
    </row>
    <row r="2159" spans="1:14" x14ac:dyDescent="0.25">
      <c r="A2159" t="s">
        <v>38</v>
      </c>
      <c r="B2159" t="s">
        <v>187</v>
      </c>
      <c r="C2159" t="s">
        <v>88</v>
      </c>
      <c r="D2159" t="s">
        <v>17</v>
      </c>
      <c r="E2159" t="s">
        <v>18</v>
      </c>
      <c r="F2159" t="s">
        <v>1523</v>
      </c>
      <c r="G2159">
        <v>480053889</v>
      </c>
      <c r="H2159" t="s">
        <v>1098</v>
      </c>
      <c r="I2159">
        <v>7469</v>
      </c>
      <c r="J2159">
        <v>9.33</v>
      </c>
      <c r="K2159">
        <v>6.92</v>
      </c>
      <c r="L2159">
        <v>69685.77</v>
      </c>
      <c r="M2159">
        <v>51685.48</v>
      </c>
      <c r="N2159">
        <v>18000.29</v>
      </c>
    </row>
    <row r="2160" spans="1:14" x14ac:dyDescent="0.25">
      <c r="A2160" t="s">
        <v>29</v>
      </c>
      <c r="B2160" t="s">
        <v>485</v>
      </c>
      <c r="C2160" t="s">
        <v>55</v>
      </c>
      <c r="D2160" t="s">
        <v>22</v>
      </c>
      <c r="E2160" t="s">
        <v>32</v>
      </c>
      <c r="F2160" t="s">
        <v>1305</v>
      </c>
      <c r="G2160">
        <v>670467984</v>
      </c>
      <c r="H2160" t="s">
        <v>751</v>
      </c>
      <c r="I2160">
        <v>5231</v>
      </c>
      <c r="J2160">
        <v>651.21</v>
      </c>
      <c r="K2160">
        <v>524.96</v>
      </c>
      <c r="L2160">
        <v>3406479.51</v>
      </c>
      <c r="M2160">
        <v>2746065.76</v>
      </c>
      <c r="N2160">
        <v>660413.75</v>
      </c>
    </row>
    <row r="2161" spans="1:14" x14ac:dyDescent="0.25">
      <c r="A2161" t="s">
        <v>51</v>
      </c>
      <c r="B2161" t="s">
        <v>260</v>
      </c>
      <c r="C2161" t="s">
        <v>40</v>
      </c>
      <c r="D2161" t="s">
        <v>17</v>
      </c>
      <c r="E2161" t="s">
        <v>23</v>
      </c>
      <c r="F2161" s="1">
        <v>41314</v>
      </c>
      <c r="G2161">
        <v>738672912</v>
      </c>
      <c r="H2161" s="1">
        <v>41557</v>
      </c>
      <c r="I2161">
        <v>8584</v>
      </c>
      <c r="J2161">
        <v>81.73</v>
      </c>
      <c r="K2161">
        <v>56.67</v>
      </c>
      <c r="L2161">
        <v>701570.32</v>
      </c>
      <c r="M2161">
        <v>486455.28</v>
      </c>
      <c r="N2161">
        <v>215115.04</v>
      </c>
    </row>
    <row r="2162" spans="1:14" x14ac:dyDescent="0.25">
      <c r="A2162" t="s">
        <v>25</v>
      </c>
      <c r="B2162" t="s">
        <v>239</v>
      </c>
      <c r="C2162" t="s">
        <v>44</v>
      </c>
      <c r="D2162" t="s">
        <v>22</v>
      </c>
      <c r="E2162" t="s">
        <v>23</v>
      </c>
      <c r="F2162" s="1">
        <v>42406</v>
      </c>
      <c r="G2162">
        <v>105030000</v>
      </c>
      <c r="H2162" t="s">
        <v>1355</v>
      </c>
      <c r="I2162">
        <v>9566</v>
      </c>
      <c r="J2162">
        <v>109.28</v>
      </c>
      <c r="K2162">
        <v>35.840000000000003</v>
      </c>
      <c r="L2162">
        <v>1045372.48</v>
      </c>
      <c r="M2162">
        <v>342845.44</v>
      </c>
      <c r="N2162">
        <v>702527.04</v>
      </c>
    </row>
    <row r="2163" spans="1:14" x14ac:dyDescent="0.25">
      <c r="A2163" t="s">
        <v>25</v>
      </c>
      <c r="B2163" t="s">
        <v>140</v>
      </c>
      <c r="C2163" t="s">
        <v>27</v>
      </c>
      <c r="D2163" t="s">
        <v>17</v>
      </c>
      <c r="E2163" t="s">
        <v>45</v>
      </c>
      <c r="F2163" t="s">
        <v>1524</v>
      </c>
      <c r="G2163">
        <v>960213077</v>
      </c>
      <c r="H2163" t="s">
        <v>1525</v>
      </c>
      <c r="I2163">
        <v>7242</v>
      </c>
      <c r="J2163">
        <v>47.45</v>
      </c>
      <c r="K2163">
        <v>31.79</v>
      </c>
      <c r="L2163">
        <v>343632.9</v>
      </c>
      <c r="M2163">
        <v>230223.18</v>
      </c>
      <c r="N2163">
        <v>113409.72</v>
      </c>
    </row>
    <row r="2164" spans="1:14" x14ac:dyDescent="0.25">
      <c r="A2164" t="s">
        <v>42</v>
      </c>
      <c r="B2164" t="s">
        <v>107</v>
      </c>
      <c r="C2164" t="s">
        <v>31</v>
      </c>
      <c r="D2164" t="s">
        <v>17</v>
      </c>
      <c r="E2164" t="s">
        <v>18</v>
      </c>
      <c r="F2164" t="s">
        <v>628</v>
      </c>
      <c r="G2164">
        <v>615208470</v>
      </c>
      <c r="H2164" s="1">
        <v>41008</v>
      </c>
      <c r="I2164">
        <v>2713</v>
      </c>
      <c r="J2164">
        <v>205.7</v>
      </c>
      <c r="K2164">
        <v>117.11</v>
      </c>
      <c r="L2164">
        <v>558064.1</v>
      </c>
      <c r="M2164">
        <v>317719.43</v>
      </c>
      <c r="N2164">
        <v>240344.67</v>
      </c>
    </row>
    <row r="2165" spans="1:14" x14ac:dyDescent="0.25">
      <c r="A2165" t="s">
        <v>77</v>
      </c>
      <c r="B2165" t="s">
        <v>622</v>
      </c>
      <c r="C2165" t="s">
        <v>59</v>
      </c>
      <c r="D2165" t="s">
        <v>22</v>
      </c>
      <c r="E2165" t="s">
        <v>45</v>
      </c>
      <c r="F2165" t="s">
        <v>1319</v>
      </c>
      <c r="G2165">
        <v>951315009</v>
      </c>
      <c r="H2165" s="1">
        <v>41340</v>
      </c>
      <c r="I2165">
        <v>4106</v>
      </c>
      <c r="J2165">
        <v>437.2</v>
      </c>
      <c r="K2165">
        <v>263.33</v>
      </c>
      <c r="L2165">
        <v>1795143.2</v>
      </c>
      <c r="M2165">
        <v>1081232.98</v>
      </c>
      <c r="N2165">
        <v>713910.22</v>
      </c>
    </row>
    <row r="2166" spans="1:14" x14ac:dyDescent="0.25">
      <c r="A2166" t="s">
        <v>38</v>
      </c>
      <c r="B2166" t="s">
        <v>68</v>
      </c>
      <c r="C2166" t="s">
        <v>27</v>
      </c>
      <c r="D2166" t="s">
        <v>22</v>
      </c>
      <c r="E2166" t="s">
        <v>32</v>
      </c>
      <c r="F2166" s="1">
        <v>40179</v>
      </c>
      <c r="G2166">
        <v>770144021</v>
      </c>
      <c r="H2166" t="s">
        <v>1427</v>
      </c>
      <c r="I2166">
        <v>1585</v>
      </c>
      <c r="J2166">
        <v>47.45</v>
      </c>
      <c r="K2166">
        <v>31.79</v>
      </c>
      <c r="L2166">
        <v>75208.25</v>
      </c>
      <c r="M2166">
        <v>50387.15</v>
      </c>
      <c r="N2166">
        <v>24821.1</v>
      </c>
    </row>
    <row r="2167" spans="1:14" x14ac:dyDescent="0.25">
      <c r="A2167" t="s">
        <v>25</v>
      </c>
      <c r="B2167" t="s">
        <v>343</v>
      </c>
      <c r="C2167" t="s">
        <v>59</v>
      </c>
      <c r="D2167" t="s">
        <v>22</v>
      </c>
      <c r="E2167" t="s">
        <v>32</v>
      </c>
      <c r="F2167" t="s">
        <v>138</v>
      </c>
      <c r="G2167">
        <v>743619334</v>
      </c>
      <c r="H2167" s="1">
        <v>41889</v>
      </c>
      <c r="I2167">
        <v>2341</v>
      </c>
      <c r="J2167">
        <v>437.2</v>
      </c>
      <c r="K2167">
        <v>263.33</v>
      </c>
      <c r="L2167">
        <v>1023485.2</v>
      </c>
      <c r="M2167">
        <v>616455.53</v>
      </c>
      <c r="N2167">
        <v>407029.67</v>
      </c>
    </row>
    <row r="2168" spans="1:14" x14ac:dyDescent="0.25">
      <c r="A2168" t="s">
        <v>25</v>
      </c>
      <c r="B2168" t="s">
        <v>615</v>
      </c>
      <c r="C2168" t="s">
        <v>55</v>
      </c>
      <c r="D2168" t="s">
        <v>22</v>
      </c>
      <c r="E2168" t="s">
        <v>45</v>
      </c>
      <c r="F2168" t="s">
        <v>406</v>
      </c>
      <c r="G2168">
        <v>263977277</v>
      </c>
      <c r="H2168" s="1">
        <v>43009</v>
      </c>
      <c r="I2168">
        <v>5597</v>
      </c>
      <c r="J2168">
        <v>651.21</v>
      </c>
      <c r="K2168">
        <v>524.96</v>
      </c>
      <c r="L2168">
        <v>3644822.37</v>
      </c>
      <c r="M2168">
        <v>2938201.12</v>
      </c>
      <c r="N2168">
        <v>706621.25</v>
      </c>
    </row>
    <row r="2169" spans="1:14" x14ac:dyDescent="0.25">
      <c r="A2169" t="s">
        <v>42</v>
      </c>
      <c r="B2169" t="s">
        <v>573</v>
      </c>
      <c r="C2169" t="s">
        <v>113</v>
      </c>
      <c r="D2169" t="s">
        <v>22</v>
      </c>
      <c r="E2169" t="s">
        <v>45</v>
      </c>
      <c r="F2169" s="1">
        <v>41224</v>
      </c>
      <c r="G2169">
        <v>593766677</v>
      </c>
      <c r="H2169" t="s">
        <v>717</v>
      </c>
      <c r="I2169">
        <v>7609</v>
      </c>
      <c r="J2169">
        <v>154.06</v>
      </c>
      <c r="K2169">
        <v>90.93</v>
      </c>
      <c r="L2169">
        <v>1172242.54</v>
      </c>
      <c r="M2169">
        <v>691886.37</v>
      </c>
      <c r="N2169">
        <v>480356.17</v>
      </c>
    </row>
    <row r="2170" spans="1:14" x14ac:dyDescent="0.25">
      <c r="A2170" t="s">
        <v>51</v>
      </c>
      <c r="B2170" t="s">
        <v>276</v>
      </c>
      <c r="C2170" t="s">
        <v>55</v>
      </c>
      <c r="D2170" t="s">
        <v>22</v>
      </c>
      <c r="E2170" t="s">
        <v>23</v>
      </c>
      <c r="F2170" s="1">
        <v>41615</v>
      </c>
      <c r="G2170">
        <v>815848863</v>
      </c>
      <c r="H2170" t="s">
        <v>1401</v>
      </c>
      <c r="I2170">
        <v>6663</v>
      </c>
      <c r="J2170">
        <v>651.21</v>
      </c>
      <c r="K2170">
        <v>524.96</v>
      </c>
      <c r="L2170">
        <v>4339012.2300000004</v>
      </c>
      <c r="M2170">
        <v>3497808.48</v>
      </c>
      <c r="N2170">
        <v>841203.75</v>
      </c>
    </row>
    <row r="2171" spans="1:14" x14ac:dyDescent="0.25">
      <c r="A2171" t="s">
        <v>51</v>
      </c>
      <c r="B2171" t="s">
        <v>100</v>
      </c>
      <c r="C2171" t="s">
        <v>31</v>
      </c>
      <c r="D2171" t="s">
        <v>17</v>
      </c>
      <c r="E2171" t="s">
        <v>45</v>
      </c>
      <c r="F2171" t="s">
        <v>1213</v>
      </c>
      <c r="G2171">
        <v>983397662</v>
      </c>
      <c r="H2171" t="s">
        <v>1044</v>
      </c>
      <c r="I2171">
        <v>8076</v>
      </c>
      <c r="J2171">
        <v>205.7</v>
      </c>
      <c r="K2171">
        <v>117.11</v>
      </c>
      <c r="L2171">
        <v>1661233.2</v>
      </c>
      <c r="M2171">
        <v>945780.36</v>
      </c>
      <c r="N2171">
        <v>715452.84</v>
      </c>
    </row>
    <row r="2172" spans="1:14" x14ac:dyDescent="0.25">
      <c r="A2172" t="s">
        <v>51</v>
      </c>
      <c r="B2172" t="s">
        <v>299</v>
      </c>
      <c r="C2172" t="s">
        <v>131</v>
      </c>
      <c r="D2172" t="s">
        <v>22</v>
      </c>
      <c r="E2172" t="s">
        <v>45</v>
      </c>
      <c r="F2172" s="1">
        <v>40767</v>
      </c>
      <c r="G2172">
        <v>769899404</v>
      </c>
      <c r="H2172" t="s">
        <v>1526</v>
      </c>
      <c r="I2172">
        <v>9197</v>
      </c>
      <c r="J2172">
        <v>668.27</v>
      </c>
      <c r="K2172">
        <v>502.54</v>
      </c>
      <c r="L2172">
        <v>6146079.1900000004</v>
      </c>
      <c r="M2172">
        <v>4621860.38</v>
      </c>
      <c r="N2172">
        <v>1524218.81</v>
      </c>
    </row>
    <row r="2173" spans="1:14" x14ac:dyDescent="0.25">
      <c r="A2173" t="s">
        <v>25</v>
      </c>
      <c r="B2173" t="s">
        <v>96</v>
      </c>
      <c r="C2173" t="s">
        <v>55</v>
      </c>
      <c r="D2173" t="s">
        <v>22</v>
      </c>
      <c r="E2173" t="s">
        <v>45</v>
      </c>
      <c r="F2173" t="s">
        <v>942</v>
      </c>
      <c r="G2173">
        <v>819152915</v>
      </c>
      <c r="H2173" t="s">
        <v>1061</v>
      </c>
      <c r="I2173">
        <v>4406</v>
      </c>
      <c r="J2173">
        <v>651.21</v>
      </c>
      <c r="K2173">
        <v>524.96</v>
      </c>
      <c r="L2173">
        <v>2869231.26</v>
      </c>
      <c r="M2173">
        <v>2312973.7599999998</v>
      </c>
      <c r="N2173">
        <v>556257.5</v>
      </c>
    </row>
    <row r="2174" spans="1:14" x14ac:dyDescent="0.25">
      <c r="A2174" t="s">
        <v>14</v>
      </c>
      <c r="B2174" t="s">
        <v>94</v>
      </c>
      <c r="C2174" t="s">
        <v>69</v>
      </c>
      <c r="D2174" t="s">
        <v>22</v>
      </c>
      <c r="E2174" t="s">
        <v>23</v>
      </c>
      <c r="F2174" t="s">
        <v>1512</v>
      </c>
      <c r="G2174">
        <v>495269525</v>
      </c>
      <c r="H2174" s="1">
        <v>40698</v>
      </c>
      <c r="I2174">
        <v>113</v>
      </c>
      <c r="J2174">
        <v>421.89</v>
      </c>
      <c r="K2174">
        <v>364.69</v>
      </c>
      <c r="L2174">
        <v>47673.57</v>
      </c>
      <c r="M2174">
        <v>41209.97</v>
      </c>
      <c r="N2174">
        <v>6463.6</v>
      </c>
    </row>
    <row r="2175" spans="1:14" x14ac:dyDescent="0.25">
      <c r="A2175" t="s">
        <v>51</v>
      </c>
      <c r="B2175" t="s">
        <v>274</v>
      </c>
      <c r="C2175" t="s">
        <v>31</v>
      </c>
      <c r="D2175" t="s">
        <v>22</v>
      </c>
      <c r="E2175" t="s">
        <v>18</v>
      </c>
      <c r="F2175" t="s">
        <v>1527</v>
      </c>
      <c r="G2175">
        <v>132673060</v>
      </c>
      <c r="H2175" t="s">
        <v>802</v>
      </c>
      <c r="I2175">
        <v>9762</v>
      </c>
      <c r="J2175">
        <v>205.7</v>
      </c>
      <c r="K2175">
        <v>117.11</v>
      </c>
      <c r="L2175">
        <v>2008043.4</v>
      </c>
      <c r="M2175">
        <v>1143227.82</v>
      </c>
      <c r="N2175">
        <v>864815.58</v>
      </c>
    </row>
    <row r="2176" spans="1:14" x14ac:dyDescent="0.25">
      <c r="A2176" t="s">
        <v>51</v>
      </c>
      <c r="B2176" t="s">
        <v>327</v>
      </c>
      <c r="C2176" t="s">
        <v>31</v>
      </c>
      <c r="D2176" t="s">
        <v>17</v>
      </c>
      <c r="E2176" t="s">
        <v>45</v>
      </c>
      <c r="F2176" s="1">
        <v>40909</v>
      </c>
      <c r="G2176">
        <v>586099851</v>
      </c>
      <c r="H2176" t="s">
        <v>407</v>
      </c>
      <c r="I2176">
        <v>8825</v>
      </c>
      <c r="J2176">
        <v>205.7</v>
      </c>
      <c r="K2176">
        <v>117.11</v>
      </c>
      <c r="L2176">
        <v>1815302.5</v>
      </c>
      <c r="M2176">
        <v>1033495.75</v>
      </c>
      <c r="N2176">
        <v>781806.75</v>
      </c>
    </row>
    <row r="2177" spans="1:14" x14ac:dyDescent="0.25">
      <c r="A2177" t="s">
        <v>25</v>
      </c>
      <c r="B2177" t="s">
        <v>418</v>
      </c>
      <c r="C2177" t="s">
        <v>40</v>
      </c>
      <c r="D2177" t="s">
        <v>22</v>
      </c>
      <c r="E2177" t="s">
        <v>23</v>
      </c>
      <c r="F2177" t="s">
        <v>1325</v>
      </c>
      <c r="G2177">
        <v>980598723</v>
      </c>
      <c r="H2177" t="s">
        <v>914</v>
      </c>
      <c r="I2177">
        <v>9808</v>
      </c>
      <c r="J2177">
        <v>81.73</v>
      </c>
      <c r="K2177">
        <v>56.67</v>
      </c>
      <c r="L2177">
        <v>801607.84</v>
      </c>
      <c r="M2177">
        <v>555819.36</v>
      </c>
      <c r="N2177">
        <v>245788.48</v>
      </c>
    </row>
    <row r="2178" spans="1:14" x14ac:dyDescent="0.25">
      <c r="A2178" t="s">
        <v>29</v>
      </c>
      <c r="B2178" t="s">
        <v>61</v>
      </c>
      <c r="C2178" t="s">
        <v>88</v>
      </c>
      <c r="D2178" t="s">
        <v>22</v>
      </c>
      <c r="E2178" t="s">
        <v>32</v>
      </c>
      <c r="F2178" s="1">
        <v>42982</v>
      </c>
      <c r="G2178">
        <v>961531007</v>
      </c>
      <c r="H2178" s="1">
        <v>42830</v>
      </c>
      <c r="I2178">
        <v>7247</v>
      </c>
      <c r="J2178">
        <v>9.33</v>
      </c>
      <c r="K2178">
        <v>6.92</v>
      </c>
      <c r="L2178">
        <v>67614.509999999995</v>
      </c>
      <c r="M2178">
        <v>50149.24</v>
      </c>
      <c r="N2178">
        <v>17465.27</v>
      </c>
    </row>
    <row r="2179" spans="1:14" x14ac:dyDescent="0.25">
      <c r="A2179" t="s">
        <v>38</v>
      </c>
      <c r="B2179" t="s">
        <v>288</v>
      </c>
      <c r="C2179" t="s">
        <v>59</v>
      </c>
      <c r="D2179" t="s">
        <v>22</v>
      </c>
      <c r="E2179" t="s">
        <v>18</v>
      </c>
      <c r="F2179" t="s">
        <v>1462</v>
      </c>
      <c r="G2179">
        <v>244570529</v>
      </c>
      <c r="H2179" t="s">
        <v>1528</v>
      </c>
      <c r="I2179">
        <v>2709</v>
      </c>
      <c r="J2179">
        <v>437.2</v>
      </c>
      <c r="K2179">
        <v>263.33</v>
      </c>
      <c r="L2179">
        <v>1184374.8</v>
      </c>
      <c r="M2179">
        <v>713360.97</v>
      </c>
      <c r="N2179">
        <v>471013.83</v>
      </c>
    </row>
    <row r="2180" spans="1:14" x14ac:dyDescent="0.25">
      <c r="A2180" t="s">
        <v>51</v>
      </c>
      <c r="B2180" t="s">
        <v>424</v>
      </c>
      <c r="C2180" t="s">
        <v>21</v>
      </c>
      <c r="D2180" t="s">
        <v>17</v>
      </c>
      <c r="E2180" t="s">
        <v>18</v>
      </c>
      <c r="F2180" s="1">
        <v>42710</v>
      </c>
      <c r="G2180">
        <v>865703618</v>
      </c>
      <c r="H2180" t="s">
        <v>924</v>
      </c>
      <c r="I2180">
        <v>9793</v>
      </c>
      <c r="J2180">
        <v>152.58000000000001</v>
      </c>
      <c r="K2180">
        <v>97.44</v>
      </c>
      <c r="L2180">
        <v>1494215.94</v>
      </c>
      <c r="M2180">
        <v>954229.92</v>
      </c>
      <c r="N2180">
        <v>539986.02</v>
      </c>
    </row>
    <row r="2181" spans="1:14" x14ac:dyDescent="0.25">
      <c r="A2181" t="s">
        <v>29</v>
      </c>
      <c r="B2181" t="s">
        <v>248</v>
      </c>
      <c r="C2181" t="s">
        <v>16</v>
      </c>
      <c r="D2181" t="s">
        <v>17</v>
      </c>
      <c r="E2181" t="s">
        <v>18</v>
      </c>
      <c r="F2181" t="s">
        <v>668</v>
      </c>
      <c r="G2181">
        <v>431229102</v>
      </c>
      <c r="H2181" t="s">
        <v>178</v>
      </c>
      <c r="I2181">
        <v>9129</v>
      </c>
      <c r="J2181">
        <v>255.28</v>
      </c>
      <c r="K2181">
        <v>159.41999999999999</v>
      </c>
      <c r="L2181">
        <v>2330451.12</v>
      </c>
      <c r="M2181">
        <v>1455345.18</v>
      </c>
      <c r="N2181">
        <v>875105.94</v>
      </c>
    </row>
    <row r="2182" spans="1:14" x14ac:dyDescent="0.25">
      <c r="A2182" t="s">
        <v>14</v>
      </c>
      <c r="B2182" t="s">
        <v>370</v>
      </c>
      <c r="C2182" t="s">
        <v>31</v>
      </c>
      <c r="D2182" t="s">
        <v>22</v>
      </c>
      <c r="E2182" t="s">
        <v>45</v>
      </c>
      <c r="F2182" t="s">
        <v>653</v>
      </c>
      <c r="G2182">
        <v>667758309</v>
      </c>
      <c r="H2182" s="1">
        <v>42677</v>
      </c>
      <c r="I2182">
        <v>3378</v>
      </c>
      <c r="J2182">
        <v>205.7</v>
      </c>
      <c r="K2182">
        <v>117.11</v>
      </c>
      <c r="L2182">
        <v>694854.6</v>
      </c>
      <c r="M2182">
        <v>395597.58</v>
      </c>
      <c r="N2182">
        <v>299257.02</v>
      </c>
    </row>
    <row r="2183" spans="1:14" x14ac:dyDescent="0.25">
      <c r="A2183" t="s">
        <v>29</v>
      </c>
      <c r="B2183" t="s">
        <v>315</v>
      </c>
      <c r="C2183" t="s">
        <v>131</v>
      </c>
      <c r="D2183" t="s">
        <v>17</v>
      </c>
      <c r="E2183" t="s">
        <v>45</v>
      </c>
      <c r="F2183" t="s">
        <v>1408</v>
      </c>
      <c r="G2183">
        <v>672215068</v>
      </c>
      <c r="H2183" t="s">
        <v>1529</v>
      </c>
      <c r="I2183">
        <v>2232</v>
      </c>
      <c r="J2183">
        <v>668.27</v>
      </c>
      <c r="K2183">
        <v>502.54</v>
      </c>
      <c r="L2183">
        <v>1491578.64</v>
      </c>
      <c r="M2183">
        <v>1121669.28</v>
      </c>
      <c r="N2183">
        <v>369909.36</v>
      </c>
    </row>
    <row r="2184" spans="1:14" x14ac:dyDescent="0.25">
      <c r="A2184" t="s">
        <v>51</v>
      </c>
      <c r="B2184" t="s">
        <v>219</v>
      </c>
      <c r="C2184" t="s">
        <v>59</v>
      </c>
      <c r="D2184" t="s">
        <v>17</v>
      </c>
      <c r="E2184" t="s">
        <v>45</v>
      </c>
      <c r="F2184" t="s">
        <v>1432</v>
      </c>
      <c r="G2184">
        <v>961835706</v>
      </c>
      <c r="H2184" s="1">
        <v>42949</v>
      </c>
      <c r="I2184">
        <v>7414</v>
      </c>
      <c r="J2184">
        <v>437.2</v>
      </c>
      <c r="K2184">
        <v>263.33</v>
      </c>
      <c r="L2184">
        <v>3241400.8</v>
      </c>
      <c r="M2184">
        <v>1952328.62</v>
      </c>
      <c r="N2184">
        <v>1289072.18</v>
      </c>
    </row>
    <row r="2185" spans="1:14" x14ac:dyDescent="0.25">
      <c r="A2185" t="s">
        <v>29</v>
      </c>
      <c r="B2185" t="s">
        <v>485</v>
      </c>
      <c r="C2185" t="s">
        <v>27</v>
      </c>
      <c r="D2185" t="s">
        <v>22</v>
      </c>
      <c r="E2185" t="s">
        <v>23</v>
      </c>
      <c r="F2185" t="s">
        <v>313</v>
      </c>
      <c r="G2185">
        <v>324169051</v>
      </c>
      <c r="H2185" t="s">
        <v>726</v>
      </c>
      <c r="I2185">
        <v>7681</v>
      </c>
      <c r="J2185">
        <v>47.45</v>
      </c>
      <c r="K2185">
        <v>31.79</v>
      </c>
      <c r="L2185">
        <v>364463.45</v>
      </c>
      <c r="M2185">
        <v>244178.99</v>
      </c>
      <c r="N2185">
        <v>120284.46</v>
      </c>
    </row>
    <row r="2186" spans="1:14" x14ac:dyDescent="0.25">
      <c r="A2186" t="s">
        <v>51</v>
      </c>
      <c r="B2186" t="s">
        <v>223</v>
      </c>
      <c r="C2186" t="s">
        <v>16</v>
      </c>
      <c r="D2186" t="s">
        <v>22</v>
      </c>
      <c r="E2186" t="s">
        <v>18</v>
      </c>
      <c r="F2186" t="s">
        <v>842</v>
      </c>
      <c r="G2186">
        <v>767076432</v>
      </c>
      <c r="H2186" s="1">
        <v>41704</v>
      </c>
      <c r="I2186">
        <v>3817</v>
      </c>
      <c r="J2186">
        <v>255.28</v>
      </c>
      <c r="K2186">
        <v>159.41999999999999</v>
      </c>
      <c r="L2186">
        <v>974403.76</v>
      </c>
      <c r="M2186">
        <v>608506.14</v>
      </c>
      <c r="N2186">
        <v>365897.62</v>
      </c>
    </row>
    <row r="2187" spans="1:14" x14ac:dyDescent="0.25">
      <c r="A2187" t="s">
        <v>51</v>
      </c>
      <c r="B2187" t="s">
        <v>192</v>
      </c>
      <c r="C2187" t="s">
        <v>21</v>
      </c>
      <c r="D2187" t="s">
        <v>17</v>
      </c>
      <c r="E2187" t="s">
        <v>23</v>
      </c>
      <c r="F2187" t="s">
        <v>1530</v>
      </c>
      <c r="G2187">
        <v>768731677</v>
      </c>
      <c r="H2187" t="s">
        <v>1531</v>
      </c>
      <c r="I2187">
        <v>3641</v>
      </c>
      <c r="J2187">
        <v>152.58000000000001</v>
      </c>
      <c r="K2187">
        <v>97.44</v>
      </c>
      <c r="L2187">
        <v>555543.78</v>
      </c>
      <c r="M2187">
        <v>354779.04</v>
      </c>
      <c r="N2187">
        <v>200764.74</v>
      </c>
    </row>
    <row r="2188" spans="1:14" x14ac:dyDescent="0.25">
      <c r="A2188" t="s">
        <v>51</v>
      </c>
      <c r="B2188" t="s">
        <v>487</v>
      </c>
      <c r="C2188" t="s">
        <v>113</v>
      </c>
      <c r="D2188" t="s">
        <v>22</v>
      </c>
      <c r="E2188" t="s">
        <v>23</v>
      </c>
      <c r="F2188" s="1">
        <v>40980</v>
      </c>
      <c r="G2188">
        <v>227621114</v>
      </c>
      <c r="H2188" t="s">
        <v>610</v>
      </c>
      <c r="I2188">
        <v>7001</v>
      </c>
      <c r="J2188">
        <v>154.06</v>
      </c>
      <c r="K2188">
        <v>90.93</v>
      </c>
      <c r="L2188">
        <v>1078574.06</v>
      </c>
      <c r="M2188">
        <v>636600.93000000005</v>
      </c>
      <c r="N2188">
        <v>441973.13</v>
      </c>
    </row>
    <row r="2189" spans="1:14" x14ac:dyDescent="0.25">
      <c r="A2189" t="s">
        <v>51</v>
      </c>
      <c r="B2189" t="s">
        <v>367</v>
      </c>
      <c r="C2189" t="s">
        <v>40</v>
      </c>
      <c r="D2189" t="s">
        <v>22</v>
      </c>
      <c r="E2189" t="s">
        <v>45</v>
      </c>
      <c r="F2189" t="s">
        <v>1308</v>
      </c>
      <c r="G2189">
        <v>912543570</v>
      </c>
      <c r="H2189" t="s">
        <v>441</v>
      </c>
      <c r="I2189">
        <v>776</v>
      </c>
      <c r="J2189">
        <v>81.73</v>
      </c>
      <c r="K2189">
        <v>56.67</v>
      </c>
      <c r="L2189">
        <v>63422.48</v>
      </c>
      <c r="M2189">
        <v>43975.92</v>
      </c>
      <c r="N2189">
        <v>19446.560000000001</v>
      </c>
    </row>
    <row r="2190" spans="1:14" x14ac:dyDescent="0.25">
      <c r="A2190" t="s">
        <v>14</v>
      </c>
      <c r="B2190" t="s">
        <v>433</v>
      </c>
      <c r="C2190" t="s">
        <v>55</v>
      </c>
      <c r="D2190" t="s">
        <v>22</v>
      </c>
      <c r="E2190" t="s">
        <v>18</v>
      </c>
      <c r="F2190" t="s">
        <v>826</v>
      </c>
      <c r="G2190">
        <v>612610375</v>
      </c>
      <c r="H2190" t="s">
        <v>699</v>
      </c>
      <c r="I2190">
        <v>3878</v>
      </c>
      <c r="J2190">
        <v>651.21</v>
      </c>
      <c r="K2190">
        <v>524.96</v>
      </c>
      <c r="L2190">
        <v>2525392.38</v>
      </c>
      <c r="M2190">
        <v>2035794.88</v>
      </c>
      <c r="N2190">
        <v>489597.5</v>
      </c>
    </row>
    <row r="2191" spans="1:14" x14ac:dyDescent="0.25">
      <c r="A2191" t="s">
        <v>42</v>
      </c>
      <c r="B2191" t="s">
        <v>573</v>
      </c>
      <c r="C2191" t="s">
        <v>21</v>
      </c>
      <c r="D2191" t="s">
        <v>22</v>
      </c>
      <c r="E2191" t="s">
        <v>32</v>
      </c>
      <c r="F2191" t="s">
        <v>371</v>
      </c>
      <c r="G2191">
        <v>787245357</v>
      </c>
      <c r="H2191" s="1">
        <v>41285</v>
      </c>
      <c r="I2191">
        <v>2250</v>
      </c>
      <c r="J2191">
        <v>152.58000000000001</v>
      </c>
      <c r="K2191">
        <v>97.44</v>
      </c>
      <c r="L2191">
        <v>343305</v>
      </c>
      <c r="M2191">
        <v>219240</v>
      </c>
      <c r="N2191">
        <v>124065</v>
      </c>
    </row>
    <row r="2192" spans="1:14" x14ac:dyDescent="0.25">
      <c r="A2192" t="s">
        <v>14</v>
      </c>
      <c r="B2192" t="s">
        <v>432</v>
      </c>
      <c r="C2192" t="s">
        <v>69</v>
      </c>
      <c r="D2192" t="s">
        <v>22</v>
      </c>
      <c r="E2192" t="s">
        <v>45</v>
      </c>
      <c r="F2192" s="1">
        <v>40726</v>
      </c>
      <c r="G2192">
        <v>716184842</v>
      </c>
      <c r="H2192" s="1">
        <v>40577</v>
      </c>
      <c r="I2192">
        <v>3865</v>
      </c>
      <c r="J2192">
        <v>421.89</v>
      </c>
      <c r="K2192">
        <v>364.69</v>
      </c>
      <c r="L2192">
        <v>1630604.85</v>
      </c>
      <c r="M2192">
        <v>1409526.85</v>
      </c>
      <c r="N2192">
        <v>221078</v>
      </c>
    </row>
    <row r="2193" spans="1:14" x14ac:dyDescent="0.25">
      <c r="A2193" t="s">
        <v>77</v>
      </c>
      <c r="B2193" t="s">
        <v>794</v>
      </c>
      <c r="C2193" t="s">
        <v>59</v>
      </c>
      <c r="D2193" t="s">
        <v>22</v>
      </c>
      <c r="E2193" t="s">
        <v>32</v>
      </c>
      <c r="F2193" t="s">
        <v>1391</v>
      </c>
      <c r="G2193">
        <v>649477660</v>
      </c>
      <c r="H2193" s="1">
        <v>42439</v>
      </c>
      <c r="I2193">
        <v>3727</v>
      </c>
      <c r="J2193">
        <v>437.2</v>
      </c>
      <c r="K2193">
        <v>263.33</v>
      </c>
      <c r="L2193">
        <v>1629444.4</v>
      </c>
      <c r="M2193">
        <v>981430.91</v>
      </c>
      <c r="N2193">
        <v>648013.49</v>
      </c>
    </row>
    <row r="2194" spans="1:14" x14ac:dyDescent="0.25">
      <c r="A2194" t="s">
        <v>51</v>
      </c>
      <c r="B2194" t="s">
        <v>420</v>
      </c>
      <c r="C2194" t="s">
        <v>55</v>
      </c>
      <c r="D2194" t="s">
        <v>22</v>
      </c>
      <c r="E2194" t="s">
        <v>18</v>
      </c>
      <c r="F2194" t="s">
        <v>1439</v>
      </c>
      <c r="G2194">
        <v>457485139</v>
      </c>
      <c r="H2194" t="s">
        <v>1532</v>
      </c>
      <c r="I2194">
        <v>8874</v>
      </c>
      <c r="J2194">
        <v>651.21</v>
      </c>
      <c r="K2194">
        <v>524.96</v>
      </c>
      <c r="L2194">
        <v>5778837.54</v>
      </c>
      <c r="M2194">
        <v>4658495.04</v>
      </c>
      <c r="N2194">
        <v>1120342.5</v>
      </c>
    </row>
    <row r="2195" spans="1:14" x14ac:dyDescent="0.25">
      <c r="A2195" t="s">
        <v>51</v>
      </c>
      <c r="B2195" t="s">
        <v>502</v>
      </c>
      <c r="C2195" t="s">
        <v>27</v>
      </c>
      <c r="D2195" t="s">
        <v>22</v>
      </c>
      <c r="E2195" t="s">
        <v>18</v>
      </c>
      <c r="F2195" t="s">
        <v>875</v>
      </c>
      <c r="G2195">
        <v>980881106</v>
      </c>
      <c r="H2195" t="s">
        <v>1157</v>
      </c>
      <c r="I2195">
        <v>3372</v>
      </c>
      <c r="J2195">
        <v>47.45</v>
      </c>
      <c r="K2195">
        <v>31.79</v>
      </c>
      <c r="L2195">
        <v>160001.4</v>
      </c>
      <c r="M2195">
        <v>107195.88</v>
      </c>
      <c r="N2195">
        <v>52805.52</v>
      </c>
    </row>
    <row r="2196" spans="1:14" x14ac:dyDescent="0.25">
      <c r="A2196" t="s">
        <v>42</v>
      </c>
      <c r="B2196" t="s">
        <v>150</v>
      </c>
      <c r="C2196" t="s">
        <v>27</v>
      </c>
      <c r="D2196" t="s">
        <v>22</v>
      </c>
      <c r="E2196" t="s">
        <v>23</v>
      </c>
      <c r="F2196" t="s">
        <v>811</v>
      </c>
      <c r="G2196">
        <v>880651891</v>
      </c>
      <c r="H2196" s="1">
        <v>40221</v>
      </c>
      <c r="I2196">
        <v>3319</v>
      </c>
      <c r="J2196">
        <v>47.45</v>
      </c>
      <c r="K2196">
        <v>31.79</v>
      </c>
      <c r="L2196">
        <v>157486.54999999999</v>
      </c>
      <c r="M2196">
        <v>105511.01</v>
      </c>
      <c r="N2196">
        <v>51975.54</v>
      </c>
    </row>
    <row r="2197" spans="1:14" x14ac:dyDescent="0.25">
      <c r="A2197" t="s">
        <v>51</v>
      </c>
      <c r="B2197" t="s">
        <v>194</v>
      </c>
      <c r="C2197" t="s">
        <v>16</v>
      </c>
      <c r="D2197" t="s">
        <v>22</v>
      </c>
      <c r="E2197" t="s">
        <v>23</v>
      </c>
      <c r="F2197" t="s">
        <v>1128</v>
      </c>
      <c r="G2197">
        <v>688096320</v>
      </c>
      <c r="H2197" t="s">
        <v>1435</v>
      </c>
      <c r="I2197">
        <v>1847</v>
      </c>
      <c r="J2197">
        <v>255.28</v>
      </c>
      <c r="K2197">
        <v>159.41999999999999</v>
      </c>
      <c r="L2197">
        <v>471502.16</v>
      </c>
      <c r="M2197">
        <v>294448.74</v>
      </c>
      <c r="N2197">
        <v>177053.42</v>
      </c>
    </row>
    <row r="2198" spans="1:14" x14ac:dyDescent="0.25">
      <c r="A2198" t="s">
        <v>51</v>
      </c>
      <c r="B2198" t="s">
        <v>100</v>
      </c>
      <c r="C2198" t="s">
        <v>113</v>
      </c>
      <c r="D2198" t="s">
        <v>22</v>
      </c>
      <c r="E2198" t="s">
        <v>45</v>
      </c>
      <c r="F2198" s="1">
        <v>41737</v>
      </c>
      <c r="G2198">
        <v>554825723</v>
      </c>
      <c r="H2198" t="s">
        <v>1284</v>
      </c>
      <c r="I2198">
        <v>4116</v>
      </c>
      <c r="J2198">
        <v>154.06</v>
      </c>
      <c r="K2198">
        <v>90.93</v>
      </c>
      <c r="L2198">
        <v>634110.96</v>
      </c>
      <c r="M2198">
        <v>374267.88</v>
      </c>
      <c r="N2198">
        <v>259843.08</v>
      </c>
    </row>
    <row r="2199" spans="1:14" x14ac:dyDescent="0.25">
      <c r="A2199" t="s">
        <v>42</v>
      </c>
      <c r="B2199" t="s">
        <v>103</v>
      </c>
      <c r="C2199" t="s">
        <v>88</v>
      </c>
      <c r="D2199" t="s">
        <v>22</v>
      </c>
      <c r="E2199" t="s">
        <v>45</v>
      </c>
      <c r="F2199" s="1">
        <v>41185</v>
      </c>
      <c r="G2199">
        <v>702763926</v>
      </c>
      <c r="H2199" t="s">
        <v>1533</v>
      </c>
      <c r="I2199">
        <v>2318</v>
      </c>
      <c r="J2199">
        <v>9.33</v>
      </c>
      <c r="K2199">
        <v>6.92</v>
      </c>
      <c r="L2199">
        <v>21626.94</v>
      </c>
      <c r="M2199">
        <v>16040.56</v>
      </c>
      <c r="N2199">
        <v>5586.38</v>
      </c>
    </row>
    <row r="2200" spans="1:14" x14ac:dyDescent="0.25">
      <c r="A2200" t="s">
        <v>25</v>
      </c>
      <c r="B2200" t="s">
        <v>529</v>
      </c>
      <c r="C2200" t="s">
        <v>44</v>
      </c>
      <c r="D2200" t="s">
        <v>22</v>
      </c>
      <c r="E2200" t="s">
        <v>32</v>
      </c>
      <c r="F2200" t="s">
        <v>830</v>
      </c>
      <c r="G2200">
        <v>974147260</v>
      </c>
      <c r="H2200" s="1">
        <v>40761</v>
      </c>
      <c r="I2200">
        <v>677</v>
      </c>
      <c r="J2200">
        <v>109.28</v>
      </c>
      <c r="K2200">
        <v>35.840000000000003</v>
      </c>
      <c r="L2200">
        <v>73982.559999999998</v>
      </c>
      <c r="M2200">
        <v>24263.68</v>
      </c>
      <c r="N2200">
        <v>49718.879999999997</v>
      </c>
    </row>
    <row r="2201" spans="1:14" x14ac:dyDescent="0.25">
      <c r="A2201" t="s">
        <v>51</v>
      </c>
      <c r="B2201" t="s">
        <v>578</v>
      </c>
      <c r="C2201" t="s">
        <v>59</v>
      </c>
      <c r="D2201" t="s">
        <v>22</v>
      </c>
      <c r="E2201" t="s">
        <v>45</v>
      </c>
      <c r="F2201" t="s">
        <v>591</v>
      </c>
      <c r="G2201">
        <v>381524550</v>
      </c>
      <c r="H2201" t="s">
        <v>470</v>
      </c>
      <c r="I2201">
        <v>448</v>
      </c>
      <c r="J2201">
        <v>437.2</v>
      </c>
      <c r="K2201">
        <v>263.33</v>
      </c>
      <c r="L2201">
        <v>195865.60000000001</v>
      </c>
      <c r="M2201">
        <v>117971.84</v>
      </c>
      <c r="N2201">
        <v>77893.759999999995</v>
      </c>
    </row>
    <row r="2202" spans="1:14" x14ac:dyDescent="0.25">
      <c r="A2202" t="s">
        <v>51</v>
      </c>
      <c r="B2202" t="s">
        <v>108</v>
      </c>
      <c r="C2202" t="s">
        <v>88</v>
      </c>
      <c r="D2202" t="s">
        <v>17</v>
      </c>
      <c r="E2202" t="s">
        <v>32</v>
      </c>
      <c r="F2202" s="1">
        <v>40640</v>
      </c>
      <c r="G2202">
        <v>257757127</v>
      </c>
      <c r="H2202" s="1">
        <v>40701</v>
      </c>
      <c r="I2202">
        <v>4917</v>
      </c>
      <c r="J2202">
        <v>9.33</v>
      </c>
      <c r="K2202">
        <v>6.92</v>
      </c>
      <c r="L2202">
        <v>45875.61</v>
      </c>
      <c r="M2202">
        <v>34025.64</v>
      </c>
      <c r="N2202">
        <v>11849.97</v>
      </c>
    </row>
    <row r="2203" spans="1:14" x14ac:dyDescent="0.25">
      <c r="A2203" t="s">
        <v>51</v>
      </c>
      <c r="B2203" t="s">
        <v>223</v>
      </c>
      <c r="C2203" t="s">
        <v>16</v>
      </c>
      <c r="D2203" t="s">
        <v>17</v>
      </c>
      <c r="E2203" t="s">
        <v>23</v>
      </c>
      <c r="F2203" t="s">
        <v>1290</v>
      </c>
      <c r="G2203">
        <v>206018817</v>
      </c>
      <c r="H2203" s="1">
        <v>42954</v>
      </c>
      <c r="I2203">
        <v>4401</v>
      </c>
      <c r="J2203">
        <v>255.28</v>
      </c>
      <c r="K2203">
        <v>159.41999999999999</v>
      </c>
      <c r="L2203">
        <v>1123487.28</v>
      </c>
      <c r="M2203">
        <v>701607.42</v>
      </c>
      <c r="N2203">
        <v>421879.86</v>
      </c>
    </row>
    <row r="2204" spans="1:14" x14ac:dyDescent="0.25">
      <c r="A2204" t="s">
        <v>51</v>
      </c>
      <c r="B2204" t="s">
        <v>301</v>
      </c>
      <c r="C2204" t="s">
        <v>113</v>
      </c>
      <c r="D2204" t="s">
        <v>22</v>
      </c>
      <c r="E2204" t="s">
        <v>45</v>
      </c>
      <c r="F2204" t="s">
        <v>1135</v>
      </c>
      <c r="G2204">
        <v>349795949</v>
      </c>
      <c r="H2204" t="s">
        <v>1092</v>
      </c>
      <c r="I2204">
        <v>1249</v>
      </c>
      <c r="J2204">
        <v>154.06</v>
      </c>
      <c r="K2204">
        <v>90.93</v>
      </c>
      <c r="L2204">
        <v>192420.94</v>
      </c>
      <c r="M2204">
        <v>113571.57</v>
      </c>
      <c r="N2204">
        <v>78849.37</v>
      </c>
    </row>
    <row r="2205" spans="1:14" x14ac:dyDescent="0.25">
      <c r="A2205" t="s">
        <v>38</v>
      </c>
      <c r="B2205" t="s">
        <v>39</v>
      </c>
      <c r="C2205" t="s">
        <v>27</v>
      </c>
      <c r="D2205" t="s">
        <v>22</v>
      </c>
      <c r="E2205" t="s">
        <v>32</v>
      </c>
      <c r="F2205" s="1">
        <v>41466</v>
      </c>
      <c r="G2205">
        <v>882887351</v>
      </c>
      <c r="H2205" s="1">
        <v>41437</v>
      </c>
      <c r="I2205">
        <v>4842</v>
      </c>
      <c r="J2205">
        <v>47.45</v>
      </c>
      <c r="K2205">
        <v>31.79</v>
      </c>
      <c r="L2205">
        <v>229752.9</v>
      </c>
      <c r="M2205">
        <v>153927.18</v>
      </c>
      <c r="N2205">
        <v>75825.72</v>
      </c>
    </row>
    <row r="2206" spans="1:14" x14ac:dyDescent="0.25">
      <c r="A2206" t="s">
        <v>25</v>
      </c>
      <c r="B2206" t="s">
        <v>134</v>
      </c>
      <c r="C2206" t="s">
        <v>55</v>
      </c>
      <c r="D2206" t="s">
        <v>17</v>
      </c>
      <c r="E2206" t="s">
        <v>45</v>
      </c>
      <c r="F2206" t="s">
        <v>765</v>
      </c>
      <c r="G2206">
        <v>719404351</v>
      </c>
      <c r="H2206" s="1">
        <v>41183</v>
      </c>
      <c r="I2206">
        <v>6589</v>
      </c>
      <c r="J2206">
        <v>651.21</v>
      </c>
      <c r="K2206">
        <v>524.96</v>
      </c>
      <c r="L2206">
        <v>4290822.6900000004</v>
      </c>
      <c r="M2206">
        <v>3458961.44</v>
      </c>
      <c r="N2206">
        <v>831861.25</v>
      </c>
    </row>
    <row r="2207" spans="1:14" x14ac:dyDescent="0.25">
      <c r="A2207" t="s">
        <v>25</v>
      </c>
      <c r="B2207" t="s">
        <v>785</v>
      </c>
      <c r="C2207" t="s">
        <v>40</v>
      </c>
      <c r="D2207" t="s">
        <v>22</v>
      </c>
      <c r="E2207" t="s">
        <v>32</v>
      </c>
      <c r="F2207" t="s">
        <v>1201</v>
      </c>
      <c r="G2207">
        <v>643770778</v>
      </c>
      <c r="H2207" t="s">
        <v>1431</v>
      </c>
      <c r="I2207">
        <v>4934</v>
      </c>
      <c r="J2207">
        <v>81.73</v>
      </c>
      <c r="K2207">
        <v>56.67</v>
      </c>
      <c r="L2207">
        <v>403255.82</v>
      </c>
      <c r="M2207">
        <v>279609.78000000003</v>
      </c>
      <c r="N2207">
        <v>123646.04</v>
      </c>
    </row>
    <row r="2208" spans="1:14" x14ac:dyDescent="0.25">
      <c r="A2208" t="s">
        <v>38</v>
      </c>
      <c r="B2208" t="s">
        <v>39</v>
      </c>
      <c r="C2208" t="s">
        <v>44</v>
      </c>
      <c r="D2208" t="s">
        <v>17</v>
      </c>
      <c r="E2208" t="s">
        <v>23</v>
      </c>
      <c r="F2208" t="s">
        <v>109</v>
      </c>
      <c r="G2208">
        <v>160722959</v>
      </c>
      <c r="H2208" s="1">
        <v>41033</v>
      </c>
      <c r="I2208">
        <v>350</v>
      </c>
      <c r="J2208">
        <v>109.28</v>
      </c>
      <c r="K2208">
        <v>35.840000000000003</v>
      </c>
      <c r="L2208">
        <v>38248</v>
      </c>
      <c r="M2208">
        <v>12544</v>
      </c>
      <c r="N2208">
        <v>25704</v>
      </c>
    </row>
    <row r="2209" spans="1:14" x14ac:dyDescent="0.25">
      <c r="A2209" t="s">
        <v>25</v>
      </c>
      <c r="B2209" t="s">
        <v>284</v>
      </c>
      <c r="C2209" t="s">
        <v>69</v>
      </c>
      <c r="D2209" t="s">
        <v>22</v>
      </c>
      <c r="E2209" t="s">
        <v>23</v>
      </c>
      <c r="F2209" s="1">
        <v>42379</v>
      </c>
      <c r="G2209">
        <v>645309722</v>
      </c>
      <c r="H2209" s="1">
        <v>42532</v>
      </c>
      <c r="I2209">
        <v>342</v>
      </c>
      <c r="J2209">
        <v>421.89</v>
      </c>
      <c r="K2209">
        <v>364.69</v>
      </c>
      <c r="L2209">
        <v>144286.38</v>
      </c>
      <c r="M2209">
        <v>124723.98</v>
      </c>
      <c r="N2209">
        <v>19562.400000000001</v>
      </c>
    </row>
    <row r="2210" spans="1:14" x14ac:dyDescent="0.25">
      <c r="A2210" t="s">
        <v>51</v>
      </c>
      <c r="B2210" t="s">
        <v>108</v>
      </c>
      <c r="C2210" t="s">
        <v>59</v>
      </c>
      <c r="D2210" t="s">
        <v>22</v>
      </c>
      <c r="E2210" t="s">
        <v>23</v>
      </c>
      <c r="F2210" s="1">
        <v>42312</v>
      </c>
      <c r="G2210">
        <v>392892396</v>
      </c>
      <c r="H2210" t="s">
        <v>1152</v>
      </c>
      <c r="I2210">
        <v>4446</v>
      </c>
      <c r="J2210">
        <v>437.2</v>
      </c>
      <c r="K2210">
        <v>263.33</v>
      </c>
      <c r="L2210">
        <v>1943791.2</v>
      </c>
      <c r="M2210">
        <v>1170765.18</v>
      </c>
      <c r="N2210">
        <v>773026.02</v>
      </c>
    </row>
    <row r="2211" spans="1:14" x14ac:dyDescent="0.25">
      <c r="A2211" t="s">
        <v>25</v>
      </c>
      <c r="B2211" t="s">
        <v>242</v>
      </c>
      <c r="C2211" t="s">
        <v>31</v>
      </c>
      <c r="D2211" t="s">
        <v>22</v>
      </c>
      <c r="E2211" t="s">
        <v>18</v>
      </c>
      <c r="F2211" t="s">
        <v>1404</v>
      </c>
      <c r="G2211">
        <v>469144809</v>
      </c>
      <c r="H2211" t="s">
        <v>1272</v>
      </c>
      <c r="I2211">
        <v>9229</v>
      </c>
      <c r="J2211">
        <v>205.7</v>
      </c>
      <c r="K2211">
        <v>117.11</v>
      </c>
      <c r="L2211">
        <v>1898405.3</v>
      </c>
      <c r="M2211">
        <v>1080808.19</v>
      </c>
      <c r="N2211">
        <v>817597.11</v>
      </c>
    </row>
    <row r="2212" spans="1:14" x14ac:dyDescent="0.25">
      <c r="A2212" t="s">
        <v>51</v>
      </c>
      <c r="B2212" t="s">
        <v>128</v>
      </c>
      <c r="C2212" t="s">
        <v>113</v>
      </c>
      <c r="D2212" t="s">
        <v>22</v>
      </c>
      <c r="E2212" t="s">
        <v>45</v>
      </c>
      <c r="F2212" t="s">
        <v>76</v>
      </c>
      <c r="G2212">
        <v>660053288</v>
      </c>
      <c r="H2212" s="1">
        <v>40221</v>
      </c>
      <c r="I2212">
        <v>3291</v>
      </c>
      <c r="J2212">
        <v>154.06</v>
      </c>
      <c r="K2212">
        <v>90.93</v>
      </c>
      <c r="L2212">
        <v>507011.46</v>
      </c>
      <c r="M2212">
        <v>299250.63</v>
      </c>
      <c r="N2212">
        <v>207760.83</v>
      </c>
    </row>
    <row r="2213" spans="1:14" x14ac:dyDescent="0.25">
      <c r="A2213" t="s">
        <v>25</v>
      </c>
      <c r="B2213" t="s">
        <v>266</v>
      </c>
      <c r="C2213" t="s">
        <v>59</v>
      </c>
      <c r="D2213" t="s">
        <v>17</v>
      </c>
      <c r="E2213" t="s">
        <v>32</v>
      </c>
      <c r="F2213" t="s">
        <v>1177</v>
      </c>
      <c r="G2213">
        <v>821916663</v>
      </c>
      <c r="H2213" t="s">
        <v>1324</v>
      </c>
      <c r="I2213">
        <v>2260</v>
      </c>
      <c r="J2213">
        <v>437.2</v>
      </c>
      <c r="K2213">
        <v>263.33</v>
      </c>
      <c r="L2213">
        <v>988072</v>
      </c>
      <c r="M2213">
        <v>595125.80000000005</v>
      </c>
      <c r="N2213">
        <v>392946.2</v>
      </c>
    </row>
    <row r="2214" spans="1:14" x14ac:dyDescent="0.25">
      <c r="A2214" t="s">
        <v>14</v>
      </c>
      <c r="B2214" t="s">
        <v>488</v>
      </c>
      <c r="C2214" t="s">
        <v>40</v>
      </c>
      <c r="D2214" t="s">
        <v>17</v>
      </c>
      <c r="E2214" t="s">
        <v>18</v>
      </c>
      <c r="F2214" t="s">
        <v>1479</v>
      </c>
      <c r="G2214">
        <v>431346261</v>
      </c>
      <c r="H2214" s="1">
        <v>41521</v>
      </c>
      <c r="I2214">
        <v>3799</v>
      </c>
      <c r="J2214">
        <v>81.73</v>
      </c>
      <c r="K2214">
        <v>56.67</v>
      </c>
      <c r="L2214">
        <v>310492.27</v>
      </c>
      <c r="M2214">
        <v>215289.33</v>
      </c>
      <c r="N2214">
        <v>95202.94</v>
      </c>
    </row>
    <row r="2215" spans="1:14" x14ac:dyDescent="0.25">
      <c r="A2215" t="s">
        <v>25</v>
      </c>
      <c r="B2215" t="s">
        <v>72</v>
      </c>
      <c r="C2215" t="s">
        <v>131</v>
      </c>
      <c r="D2215" t="s">
        <v>22</v>
      </c>
      <c r="E2215" t="s">
        <v>18</v>
      </c>
      <c r="F2215" t="s">
        <v>247</v>
      </c>
      <c r="G2215">
        <v>835265910</v>
      </c>
      <c r="H2215" s="1">
        <v>40188</v>
      </c>
      <c r="I2215">
        <v>2599</v>
      </c>
      <c r="J2215">
        <v>668.27</v>
      </c>
      <c r="K2215">
        <v>502.54</v>
      </c>
      <c r="L2215">
        <v>1736833.73</v>
      </c>
      <c r="M2215">
        <v>1306101.46</v>
      </c>
      <c r="N2215">
        <v>430732.27</v>
      </c>
    </row>
    <row r="2216" spans="1:14" x14ac:dyDescent="0.25">
      <c r="A2216" t="s">
        <v>14</v>
      </c>
      <c r="B2216" t="s">
        <v>370</v>
      </c>
      <c r="C2216" t="s">
        <v>59</v>
      </c>
      <c r="D2216" t="s">
        <v>17</v>
      </c>
      <c r="E2216" t="s">
        <v>23</v>
      </c>
      <c r="F2216" s="1">
        <v>42098</v>
      </c>
      <c r="G2216">
        <v>300911939</v>
      </c>
      <c r="H2216" t="s">
        <v>845</v>
      </c>
      <c r="I2216">
        <v>5384</v>
      </c>
      <c r="J2216">
        <v>437.2</v>
      </c>
      <c r="K2216">
        <v>263.33</v>
      </c>
      <c r="L2216">
        <v>2353884.7999999998</v>
      </c>
      <c r="M2216">
        <v>1417768.72</v>
      </c>
      <c r="N2216">
        <v>936116.08</v>
      </c>
    </row>
    <row r="2217" spans="1:14" x14ac:dyDescent="0.25">
      <c r="A2217" t="s">
        <v>29</v>
      </c>
      <c r="B2217" t="s">
        <v>485</v>
      </c>
      <c r="C2217" t="s">
        <v>31</v>
      </c>
      <c r="D2217" t="s">
        <v>22</v>
      </c>
      <c r="E2217" t="s">
        <v>45</v>
      </c>
      <c r="F2217" s="1">
        <v>41008</v>
      </c>
      <c r="G2217">
        <v>765833175</v>
      </c>
      <c r="H2217" s="1">
        <v>41253</v>
      </c>
      <c r="I2217">
        <v>5910</v>
      </c>
      <c r="J2217">
        <v>205.7</v>
      </c>
      <c r="K2217">
        <v>117.11</v>
      </c>
      <c r="L2217">
        <v>1215687</v>
      </c>
      <c r="M2217">
        <v>692120.1</v>
      </c>
      <c r="N2217">
        <v>523566.9</v>
      </c>
    </row>
    <row r="2218" spans="1:14" x14ac:dyDescent="0.25">
      <c r="A2218" t="s">
        <v>29</v>
      </c>
      <c r="B2218" t="s">
        <v>248</v>
      </c>
      <c r="C2218" t="s">
        <v>16</v>
      </c>
      <c r="D2218" t="s">
        <v>22</v>
      </c>
      <c r="E2218" t="s">
        <v>23</v>
      </c>
      <c r="F2218" s="1">
        <v>41066</v>
      </c>
      <c r="G2218">
        <v>187890946</v>
      </c>
      <c r="H2218" t="s">
        <v>1513</v>
      </c>
      <c r="I2218">
        <v>9961</v>
      </c>
      <c r="J2218">
        <v>255.28</v>
      </c>
      <c r="K2218">
        <v>159.41999999999999</v>
      </c>
      <c r="L2218">
        <v>2542844.08</v>
      </c>
      <c r="M2218">
        <v>1587982.62</v>
      </c>
      <c r="N2218">
        <v>954861.46</v>
      </c>
    </row>
    <row r="2219" spans="1:14" x14ac:dyDescent="0.25">
      <c r="A2219" t="s">
        <v>25</v>
      </c>
      <c r="B2219" t="s">
        <v>462</v>
      </c>
      <c r="C2219" t="s">
        <v>131</v>
      </c>
      <c r="D2219" t="s">
        <v>17</v>
      </c>
      <c r="E2219" t="s">
        <v>32</v>
      </c>
      <c r="F2219" t="s">
        <v>1014</v>
      </c>
      <c r="G2219">
        <v>195259082</v>
      </c>
      <c r="H2219" s="1">
        <v>41588</v>
      </c>
      <c r="I2219">
        <v>356</v>
      </c>
      <c r="J2219">
        <v>668.27</v>
      </c>
      <c r="K2219">
        <v>502.54</v>
      </c>
      <c r="L2219">
        <v>237904.12</v>
      </c>
      <c r="M2219">
        <v>178904.24</v>
      </c>
      <c r="N2219">
        <v>58999.88</v>
      </c>
    </row>
    <row r="2220" spans="1:14" x14ac:dyDescent="0.25">
      <c r="A2220" t="s">
        <v>77</v>
      </c>
      <c r="B2220" t="s">
        <v>320</v>
      </c>
      <c r="C2220" t="s">
        <v>40</v>
      </c>
      <c r="D2220" t="s">
        <v>22</v>
      </c>
      <c r="E2220" t="s">
        <v>45</v>
      </c>
      <c r="F2220" t="s">
        <v>896</v>
      </c>
      <c r="G2220">
        <v>236423909</v>
      </c>
      <c r="H2220" t="s">
        <v>1432</v>
      </c>
      <c r="I2220">
        <v>1943</v>
      </c>
      <c r="J2220">
        <v>81.73</v>
      </c>
      <c r="K2220">
        <v>56.67</v>
      </c>
      <c r="L2220">
        <v>158801.39000000001</v>
      </c>
      <c r="M2220">
        <v>110109.81</v>
      </c>
      <c r="N2220">
        <v>48691.58</v>
      </c>
    </row>
    <row r="2221" spans="1:14" x14ac:dyDescent="0.25">
      <c r="A2221" t="s">
        <v>51</v>
      </c>
      <c r="B2221" t="s">
        <v>151</v>
      </c>
      <c r="C2221" t="s">
        <v>69</v>
      </c>
      <c r="D2221" t="s">
        <v>22</v>
      </c>
      <c r="E2221" t="s">
        <v>45</v>
      </c>
      <c r="F2221" s="1">
        <v>40797</v>
      </c>
      <c r="G2221">
        <v>730184257</v>
      </c>
      <c r="H2221" t="s">
        <v>296</v>
      </c>
      <c r="I2221">
        <v>6603</v>
      </c>
      <c r="J2221">
        <v>421.89</v>
      </c>
      <c r="K2221">
        <v>364.69</v>
      </c>
      <c r="L2221">
        <v>2785739.67</v>
      </c>
      <c r="M2221">
        <v>2408048.0699999998</v>
      </c>
      <c r="N2221">
        <v>377691.6</v>
      </c>
    </row>
    <row r="2222" spans="1:14" x14ac:dyDescent="0.25">
      <c r="A2222" t="s">
        <v>51</v>
      </c>
      <c r="B2222" t="s">
        <v>276</v>
      </c>
      <c r="C2222" t="s">
        <v>69</v>
      </c>
      <c r="D2222" t="s">
        <v>17</v>
      </c>
      <c r="E2222" t="s">
        <v>18</v>
      </c>
      <c r="F2222" s="1">
        <v>41066</v>
      </c>
      <c r="G2222">
        <v>815651452</v>
      </c>
      <c r="H2222" t="s">
        <v>445</v>
      </c>
      <c r="I2222">
        <v>8245</v>
      </c>
      <c r="J2222">
        <v>421.89</v>
      </c>
      <c r="K2222">
        <v>364.69</v>
      </c>
      <c r="L2222">
        <v>3478483.05</v>
      </c>
      <c r="M2222">
        <v>3006869.05</v>
      </c>
      <c r="N2222">
        <v>471614</v>
      </c>
    </row>
    <row r="2223" spans="1:14" x14ac:dyDescent="0.25">
      <c r="A2223" t="s">
        <v>29</v>
      </c>
      <c r="B2223" t="s">
        <v>30</v>
      </c>
      <c r="C2223" t="s">
        <v>88</v>
      </c>
      <c r="D2223" t="s">
        <v>17</v>
      </c>
      <c r="E2223" t="s">
        <v>23</v>
      </c>
      <c r="F2223" s="1">
        <v>41827</v>
      </c>
      <c r="G2223">
        <v>602249324</v>
      </c>
      <c r="H2223" s="1">
        <v>41920</v>
      </c>
      <c r="I2223">
        <v>7813</v>
      </c>
      <c r="J2223">
        <v>9.33</v>
      </c>
      <c r="K2223">
        <v>6.92</v>
      </c>
      <c r="L2223">
        <v>72895.289999999994</v>
      </c>
      <c r="M2223">
        <v>54065.96</v>
      </c>
      <c r="N2223">
        <v>18829.330000000002</v>
      </c>
    </row>
    <row r="2224" spans="1:14" x14ac:dyDescent="0.25">
      <c r="A2224" t="s">
        <v>51</v>
      </c>
      <c r="B2224" t="s">
        <v>308</v>
      </c>
      <c r="C2224" t="s">
        <v>21</v>
      </c>
      <c r="D2224" t="s">
        <v>22</v>
      </c>
      <c r="E2224" t="s">
        <v>45</v>
      </c>
      <c r="F2224" t="s">
        <v>937</v>
      </c>
      <c r="G2224">
        <v>719714200</v>
      </c>
      <c r="H2224" s="1">
        <v>42158</v>
      </c>
      <c r="I2224">
        <v>8280</v>
      </c>
      <c r="J2224">
        <v>152.58000000000001</v>
      </c>
      <c r="K2224">
        <v>97.44</v>
      </c>
      <c r="L2224">
        <v>1263362.3999999999</v>
      </c>
      <c r="M2224">
        <v>806803.2</v>
      </c>
      <c r="N2224">
        <v>456559.2</v>
      </c>
    </row>
    <row r="2225" spans="1:14" x14ac:dyDescent="0.25">
      <c r="A2225" t="s">
        <v>14</v>
      </c>
      <c r="B2225" t="s">
        <v>627</v>
      </c>
      <c r="C2225" t="s">
        <v>40</v>
      </c>
      <c r="D2225" t="s">
        <v>17</v>
      </c>
      <c r="E2225" t="s">
        <v>45</v>
      </c>
      <c r="F2225" s="1">
        <v>42350</v>
      </c>
      <c r="G2225">
        <v>968094909</v>
      </c>
      <c r="H2225" s="1">
        <v>42552</v>
      </c>
      <c r="I2225">
        <v>9652</v>
      </c>
      <c r="J2225">
        <v>81.73</v>
      </c>
      <c r="K2225">
        <v>56.67</v>
      </c>
      <c r="L2225">
        <v>788857.96</v>
      </c>
      <c r="M2225">
        <v>546978.84</v>
      </c>
      <c r="N2225">
        <v>241879.12</v>
      </c>
    </row>
    <row r="2226" spans="1:14" x14ac:dyDescent="0.25">
      <c r="A2226" t="s">
        <v>42</v>
      </c>
      <c r="B2226" t="s">
        <v>476</v>
      </c>
      <c r="C2226" t="s">
        <v>55</v>
      </c>
      <c r="D2226" t="s">
        <v>22</v>
      </c>
      <c r="E2226" t="s">
        <v>45</v>
      </c>
      <c r="F2226" s="1">
        <v>41066</v>
      </c>
      <c r="G2226">
        <v>767752778</v>
      </c>
      <c r="H2226" s="1">
        <v>40975</v>
      </c>
      <c r="I2226">
        <v>3963</v>
      </c>
      <c r="J2226">
        <v>651.21</v>
      </c>
      <c r="K2226">
        <v>524.96</v>
      </c>
      <c r="L2226">
        <v>2580745.23</v>
      </c>
      <c r="M2226">
        <v>2080416.48</v>
      </c>
      <c r="N2226">
        <v>500328.75</v>
      </c>
    </row>
    <row r="2227" spans="1:14" x14ac:dyDescent="0.25">
      <c r="A2227" t="s">
        <v>51</v>
      </c>
      <c r="B2227" t="s">
        <v>276</v>
      </c>
      <c r="C2227" t="s">
        <v>131</v>
      </c>
      <c r="D2227" t="s">
        <v>17</v>
      </c>
      <c r="E2227" t="s">
        <v>18</v>
      </c>
      <c r="F2227" s="1">
        <v>41186</v>
      </c>
      <c r="G2227">
        <v>509361636</v>
      </c>
      <c r="H2227" t="s">
        <v>898</v>
      </c>
      <c r="I2227">
        <v>282</v>
      </c>
      <c r="J2227">
        <v>668.27</v>
      </c>
      <c r="K2227">
        <v>502.54</v>
      </c>
      <c r="L2227">
        <v>188452.14</v>
      </c>
      <c r="M2227">
        <v>141716.28</v>
      </c>
      <c r="N2227">
        <v>46735.86</v>
      </c>
    </row>
    <row r="2228" spans="1:14" x14ac:dyDescent="0.25">
      <c r="A2228" t="s">
        <v>51</v>
      </c>
      <c r="B2228" t="s">
        <v>367</v>
      </c>
      <c r="C2228" t="s">
        <v>16</v>
      </c>
      <c r="D2228" t="s">
        <v>22</v>
      </c>
      <c r="E2228" t="s">
        <v>32</v>
      </c>
      <c r="F2228" t="s">
        <v>116</v>
      </c>
      <c r="G2228">
        <v>203907811</v>
      </c>
      <c r="H2228" t="s">
        <v>1301</v>
      </c>
      <c r="I2228">
        <v>9707</v>
      </c>
      <c r="J2228">
        <v>255.28</v>
      </c>
      <c r="K2228">
        <v>159.41999999999999</v>
      </c>
      <c r="L2228">
        <v>2478002.96</v>
      </c>
      <c r="M2228">
        <v>1547489.94</v>
      </c>
      <c r="N2228">
        <v>930513.02</v>
      </c>
    </row>
    <row r="2229" spans="1:14" x14ac:dyDescent="0.25">
      <c r="A2229" t="s">
        <v>38</v>
      </c>
      <c r="B2229" t="s">
        <v>58</v>
      </c>
      <c r="C2229" t="s">
        <v>40</v>
      </c>
      <c r="D2229" t="s">
        <v>22</v>
      </c>
      <c r="E2229" t="s">
        <v>18</v>
      </c>
      <c r="F2229" t="s">
        <v>1534</v>
      </c>
      <c r="G2229">
        <v>832690131</v>
      </c>
      <c r="H2229" t="s">
        <v>1535</v>
      </c>
      <c r="I2229">
        <v>369</v>
      </c>
      <c r="J2229">
        <v>81.73</v>
      </c>
      <c r="K2229">
        <v>56.67</v>
      </c>
      <c r="L2229">
        <v>30158.37</v>
      </c>
      <c r="M2229">
        <v>20911.23</v>
      </c>
      <c r="N2229">
        <v>9247.14</v>
      </c>
    </row>
    <row r="2230" spans="1:14" x14ac:dyDescent="0.25">
      <c r="A2230" t="s">
        <v>29</v>
      </c>
      <c r="B2230" t="s">
        <v>248</v>
      </c>
      <c r="C2230" t="s">
        <v>16</v>
      </c>
      <c r="D2230" t="s">
        <v>22</v>
      </c>
      <c r="E2230" t="s">
        <v>23</v>
      </c>
      <c r="F2230" t="s">
        <v>601</v>
      </c>
      <c r="G2230">
        <v>297319924</v>
      </c>
      <c r="H2230" t="s">
        <v>864</v>
      </c>
      <c r="I2230">
        <v>2428</v>
      </c>
      <c r="J2230">
        <v>255.28</v>
      </c>
      <c r="K2230">
        <v>159.41999999999999</v>
      </c>
      <c r="L2230">
        <v>619819.84</v>
      </c>
      <c r="M2230">
        <v>387071.76</v>
      </c>
      <c r="N2230">
        <v>232748.08</v>
      </c>
    </row>
    <row r="2231" spans="1:14" x14ac:dyDescent="0.25">
      <c r="A2231" t="s">
        <v>51</v>
      </c>
      <c r="B2231" t="s">
        <v>299</v>
      </c>
      <c r="C2231" t="s">
        <v>31</v>
      </c>
      <c r="D2231" t="s">
        <v>22</v>
      </c>
      <c r="E2231" t="s">
        <v>45</v>
      </c>
      <c r="F2231" t="s">
        <v>1022</v>
      </c>
      <c r="G2231">
        <v>169721019</v>
      </c>
      <c r="H2231" s="1">
        <v>41345</v>
      </c>
      <c r="I2231">
        <v>3076</v>
      </c>
      <c r="J2231">
        <v>205.7</v>
      </c>
      <c r="K2231">
        <v>117.11</v>
      </c>
      <c r="L2231">
        <v>632733.19999999995</v>
      </c>
      <c r="M2231">
        <v>360230.36</v>
      </c>
      <c r="N2231">
        <v>272502.84000000003</v>
      </c>
    </row>
    <row r="2232" spans="1:14" x14ac:dyDescent="0.25">
      <c r="A2232" t="s">
        <v>42</v>
      </c>
      <c r="B2232" t="s">
        <v>565</v>
      </c>
      <c r="C2232" t="s">
        <v>55</v>
      </c>
      <c r="D2232" t="s">
        <v>22</v>
      </c>
      <c r="E2232" t="s">
        <v>32</v>
      </c>
      <c r="F2232" t="s">
        <v>282</v>
      </c>
      <c r="G2232">
        <v>742129743</v>
      </c>
      <c r="H2232" t="s">
        <v>1348</v>
      </c>
      <c r="I2232">
        <v>1537</v>
      </c>
      <c r="J2232">
        <v>651.21</v>
      </c>
      <c r="K2232">
        <v>524.96</v>
      </c>
      <c r="L2232">
        <v>1000909.77</v>
      </c>
      <c r="M2232">
        <v>806863.52</v>
      </c>
      <c r="N2232">
        <v>194046.25</v>
      </c>
    </row>
    <row r="2233" spans="1:14" x14ac:dyDescent="0.25">
      <c r="A2233" t="s">
        <v>42</v>
      </c>
      <c r="B2233" t="s">
        <v>573</v>
      </c>
      <c r="C2233" t="s">
        <v>44</v>
      </c>
      <c r="D2233" t="s">
        <v>22</v>
      </c>
      <c r="E2233" t="s">
        <v>23</v>
      </c>
      <c r="F2233" t="s">
        <v>1237</v>
      </c>
      <c r="G2233">
        <v>577094924</v>
      </c>
      <c r="H2233" s="1">
        <v>41369</v>
      </c>
      <c r="I2233">
        <v>4067</v>
      </c>
      <c r="J2233">
        <v>109.28</v>
      </c>
      <c r="K2233">
        <v>35.840000000000003</v>
      </c>
      <c r="L2233">
        <v>444441.76</v>
      </c>
      <c r="M2233">
        <v>145761.28</v>
      </c>
      <c r="N2233">
        <v>298680.48</v>
      </c>
    </row>
    <row r="2234" spans="1:14" x14ac:dyDescent="0.25">
      <c r="A2234" t="s">
        <v>14</v>
      </c>
      <c r="B2234" t="s">
        <v>208</v>
      </c>
      <c r="C2234" t="s">
        <v>113</v>
      </c>
      <c r="D2234" t="s">
        <v>17</v>
      </c>
      <c r="E2234" t="s">
        <v>23</v>
      </c>
      <c r="F2234" s="1">
        <v>42828</v>
      </c>
      <c r="G2234">
        <v>557477891</v>
      </c>
      <c r="H2234" t="s">
        <v>1536</v>
      </c>
      <c r="I2234">
        <v>8951</v>
      </c>
      <c r="J2234">
        <v>154.06</v>
      </c>
      <c r="K2234">
        <v>90.93</v>
      </c>
      <c r="L2234">
        <v>1378991.06</v>
      </c>
      <c r="M2234">
        <v>813914.43</v>
      </c>
      <c r="N2234">
        <v>565076.63</v>
      </c>
    </row>
    <row r="2235" spans="1:14" x14ac:dyDescent="0.25">
      <c r="A2235" t="s">
        <v>51</v>
      </c>
      <c r="B2235" t="s">
        <v>305</v>
      </c>
      <c r="C2235" t="s">
        <v>44</v>
      </c>
      <c r="D2235" t="s">
        <v>17</v>
      </c>
      <c r="E2235" t="s">
        <v>18</v>
      </c>
      <c r="F2235" t="s">
        <v>940</v>
      </c>
      <c r="G2235">
        <v>736452472</v>
      </c>
      <c r="H2235" s="1">
        <v>40727</v>
      </c>
      <c r="I2235">
        <v>1507</v>
      </c>
      <c r="J2235">
        <v>109.28</v>
      </c>
      <c r="K2235">
        <v>35.840000000000003</v>
      </c>
      <c r="L2235">
        <v>164684.96</v>
      </c>
      <c r="M2235">
        <v>54010.879999999997</v>
      </c>
      <c r="N2235">
        <v>110674.08</v>
      </c>
    </row>
    <row r="2236" spans="1:14" x14ac:dyDescent="0.25">
      <c r="A2236" t="s">
        <v>14</v>
      </c>
      <c r="B2236" t="s">
        <v>64</v>
      </c>
      <c r="C2236" t="s">
        <v>88</v>
      </c>
      <c r="D2236" t="s">
        <v>22</v>
      </c>
      <c r="E2236" t="s">
        <v>18</v>
      </c>
      <c r="F2236" s="1">
        <v>41247</v>
      </c>
      <c r="G2236">
        <v>787504994</v>
      </c>
      <c r="H2236" s="1">
        <v>41248</v>
      </c>
      <c r="I2236">
        <v>9083</v>
      </c>
      <c r="J2236">
        <v>9.33</v>
      </c>
      <c r="K2236">
        <v>6.92</v>
      </c>
      <c r="L2236">
        <v>84744.39</v>
      </c>
      <c r="M2236">
        <v>62854.36</v>
      </c>
      <c r="N2236">
        <v>21890.03</v>
      </c>
    </row>
    <row r="2237" spans="1:14" x14ac:dyDescent="0.25">
      <c r="A2237" t="s">
        <v>38</v>
      </c>
      <c r="B2237" t="s">
        <v>54</v>
      </c>
      <c r="C2237" t="s">
        <v>88</v>
      </c>
      <c r="D2237" t="s">
        <v>17</v>
      </c>
      <c r="E2237" t="s">
        <v>23</v>
      </c>
      <c r="F2237" t="s">
        <v>518</v>
      </c>
      <c r="G2237">
        <v>454434287</v>
      </c>
      <c r="H2237" t="s">
        <v>1537</v>
      </c>
      <c r="I2237">
        <v>6059</v>
      </c>
      <c r="J2237">
        <v>9.33</v>
      </c>
      <c r="K2237">
        <v>6.92</v>
      </c>
      <c r="L2237">
        <v>56530.47</v>
      </c>
      <c r="M2237">
        <v>41928.28</v>
      </c>
      <c r="N2237">
        <v>14602.19</v>
      </c>
    </row>
    <row r="2238" spans="1:14" x14ac:dyDescent="0.25">
      <c r="A2238" t="s">
        <v>51</v>
      </c>
      <c r="B2238" t="s">
        <v>638</v>
      </c>
      <c r="C2238" t="s">
        <v>131</v>
      </c>
      <c r="D2238" t="s">
        <v>17</v>
      </c>
      <c r="E2238" t="s">
        <v>23</v>
      </c>
      <c r="F2238" s="1">
        <v>40920</v>
      </c>
      <c r="G2238">
        <v>901351678</v>
      </c>
      <c r="H2238" s="1">
        <v>41011</v>
      </c>
      <c r="I2238">
        <v>8846</v>
      </c>
      <c r="J2238">
        <v>668.27</v>
      </c>
      <c r="K2238">
        <v>502.54</v>
      </c>
      <c r="L2238">
        <v>5911516.4199999999</v>
      </c>
      <c r="M2238">
        <v>4445468.84</v>
      </c>
      <c r="N2238">
        <v>1466047.58</v>
      </c>
    </row>
    <row r="2239" spans="1:14" x14ac:dyDescent="0.25">
      <c r="A2239" t="s">
        <v>29</v>
      </c>
      <c r="B2239" t="s">
        <v>121</v>
      </c>
      <c r="C2239" t="s">
        <v>27</v>
      </c>
      <c r="D2239" t="s">
        <v>17</v>
      </c>
      <c r="E2239" t="s">
        <v>32</v>
      </c>
      <c r="F2239" t="s">
        <v>1538</v>
      </c>
      <c r="G2239">
        <v>662680995</v>
      </c>
      <c r="H2239" s="1">
        <v>40461</v>
      </c>
      <c r="I2239">
        <v>888</v>
      </c>
      <c r="J2239">
        <v>47.45</v>
      </c>
      <c r="K2239">
        <v>31.79</v>
      </c>
      <c r="L2239">
        <v>42135.6</v>
      </c>
      <c r="M2239">
        <v>28229.52</v>
      </c>
      <c r="N2239">
        <v>13906.08</v>
      </c>
    </row>
    <row r="2240" spans="1:14" x14ac:dyDescent="0.25">
      <c r="A2240" t="s">
        <v>25</v>
      </c>
      <c r="B2240" t="s">
        <v>252</v>
      </c>
      <c r="C2240" t="s">
        <v>44</v>
      </c>
      <c r="D2240" t="s">
        <v>17</v>
      </c>
      <c r="E2240" t="s">
        <v>23</v>
      </c>
      <c r="F2240" t="s">
        <v>1539</v>
      </c>
      <c r="G2240">
        <v>593158566</v>
      </c>
      <c r="H2240" t="s">
        <v>745</v>
      </c>
      <c r="I2240">
        <v>7656</v>
      </c>
      <c r="J2240">
        <v>109.28</v>
      </c>
      <c r="K2240">
        <v>35.840000000000003</v>
      </c>
      <c r="L2240">
        <v>836647.68</v>
      </c>
      <c r="M2240">
        <v>274391.03999999998</v>
      </c>
      <c r="N2240">
        <v>562256.64000000001</v>
      </c>
    </row>
    <row r="2241" spans="1:14" x14ac:dyDescent="0.25">
      <c r="A2241" t="s">
        <v>25</v>
      </c>
      <c r="B2241" t="s">
        <v>204</v>
      </c>
      <c r="C2241" t="s">
        <v>113</v>
      </c>
      <c r="D2241" t="s">
        <v>22</v>
      </c>
      <c r="E2241" t="s">
        <v>23</v>
      </c>
      <c r="F2241" t="s">
        <v>740</v>
      </c>
      <c r="G2241">
        <v>717833220</v>
      </c>
      <c r="H2241" s="1">
        <v>41702</v>
      </c>
      <c r="I2241">
        <v>1657</v>
      </c>
      <c r="J2241">
        <v>154.06</v>
      </c>
      <c r="K2241">
        <v>90.93</v>
      </c>
      <c r="L2241">
        <v>255277.42</v>
      </c>
      <c r="M2241">
        <v>150671.01</v>
      </c>
      <c r="N2241">
        <v>104606.41</v>
      </c>
    </row>
    <row r="2242" spans="1:14" x14ac:dyDescent="0.25">
      <c r="A2242" t="s">
        <v>25</v>
      </c>
      <c r="B2242" t="s">
        <v>140</v>
      </c>
      <c r="C2242" t="s">
        <v>113</v>
      </c>
      <c r="D2242" t="s">
        <v>17</v>
      </c>
      <c r="E2242" t="s">
        <v>45</v>
      </c>
      <c r="F2242" t="s">
        <v>297</v>
      </c>
      <c r="G2242">
        <v>682066285</v>
      </c>
      <c r="H2242" t="s">
        <v>776</v>
      </c>
      <c r="I2242">
        <v>7426</v>
      </c>
      <c r="J2242">
        <v>154.06</v>
      </c>
      <c r="K2242">
        <v>90.93</v>
      </c>
      <c r="L2242">
        <v>1144049.56</v>
      </c>
      <c r="M2242">
        <v>675246.18</v>
      </c>
      <c r="N2242">
        <v>468803.38</v>
      </c>
    </row>
    <row r="2243" spans="1:14" x14ac:dyDescent="0.25">
      <c r="A2243" t="s">
        <v>51</v>
      </c>
      <c r="B2243" t="s">
        <v>734</v>
      </c>
      <c r="C2243" t="s">
        <v>44</v>
      </c>
      <c r="D2243" t="s">
        <v>17</v>
      </c>
      <c r="E2243" t="s">
        <v>18</v>
      </c>
      <c r="F2243" t="s">
        <v>431</v>
      </c>
      <c r="G2243">
        <v>201531589</v>
      </c>
      <c r="H2243" s="1">
        <v>41153</v>
      </c>
      <c r="I2243">
        <v>6530</v>
      </c>
      <c r="J2243">
        <v>109.28</v>
      </c>
      <c r="K2243">
        <v>35.840000000000003</v>
      </c>
      <c r="L2243">
        <v>713598.4</v>
      </c>
      <c r="M2243">
        <v>234035.20000000001</v>
      </c>
      <c r="N2243">
        <v>479563.2</v>
      </c>
    </row>
    <row r="2244" spans="1:14" x14ac:dyDescent="0.25">
      <c r="A2244" t="s">
        <v>25</v>
      </c>
      <c r="B2244" t="s">
        <v>462</v>
      </c>
      <c r="C2244" t="s">
        <v>31</v>
      </c>
      <c r="D2244" t="s">
        <v>17</v>
      </c>
      <c r="E2244" t="s">
        <v>45</v>
      </c>
      <c r="F2244" t="s">
        <v>968</v>
      </c>
      <c r="G2244">
        <v>412215459</v>
      </c>
      <c r="H2244" t="s">
        <v>514</v>
      </c>
      <c r="I2244">
        <v>2569</v>
      </c>
      <c r="J2244">
        <v>205.7</v>
      </c>
      <c r="K2244">
        <v>117.11</v>
      </c>
      <c r="L2244">
        <v>528443.30000000005</v>
      </c>
      <c r="M2244">
        <v>300855.59000000003</v>
      </c>
      <c r="N2244">
        <v>227587.71</v>
      </c>
    </row>
    <row r="2245" spans="1:14" x14ac:dyDescent="0.25">
      <c r="A2245" t="s">
        <v>29</v>
      </c>
      <c r="B2245" t="s">
        <v>159</v>
      </c>
      <c r="C2245" t="s">
        <v>59</v>
      </c>
      <c r="D2245" t="s">
        <v>22</v>
      </c>
      <c r="E2245" t="s">
        <v>32</v>
      </c>
      <c r="F2245" t="s">
        <v>1540</v>
      </c>
      <c r="G2245">
        <v>720416724</v>
      </c>
      <c r="H2245" s="1">
        <v>43072</v>
      </c>
      <c r="I2245">
        <v>6173</v>
      </c>
      <c r="J2245">
        <v>437.2</v>
      </c>
      <c r="K2245">
        <v>263.33</v>
      </c>
      <c r="L2245">
        <v>2698835.6</v>
      </c>
      <c r="M2245">
        <v>1625536.09</v>
      </c>
      <c r="N2245">
        <v>1073299.51</v>
      </c>
    </row>
    <row r="2246" spans="1:14" x14ac:dyDescent="0.25">
      <c r="A2246" t="s">
        <v>25</v>
      </c>
      <c r="B2246" t="s">
        <v>47</v>
      </c>
      <c r="C2246" t="s">
        <v>55</v>
      </c>
      <c r="D2246" t="s">
        <v>22</v>
      </c>
      <c r="E2246" t="s">
        <v>23</v>
      </c>
      <c r="F2246" s="1">
        <v>40214</v>
      </c>
      <c r="G2246">
        <v>152746713</v>
      </c>
      <c r="H2246" s="1">
        <v>40395</v>
      </c>
      <c r="I2246">
        <v>2</v>
      </c>
      <c r="J2246">
        <v>651.21</v>
      </c>
      <c r="K2246">
        <v>524.96</v>
      </c>
      <c r="L2246">
        <v>1302.42</v>
      </c>
      <c r="M2246">
        <v>1049.92</v>
      </c>
      <c r="N2246">
        <v>252.5</v>
      </c>
    </row>
    <row r="2247" spans="1:14" x14ac:dyDescent="0.25">
      <c r="A2247" t="s">
        <v>51</v>
      </c>
      <c r="B2247" t="s">
        <v>192</v>
      </c>
      <c r="C2247" t="s">
        <v>55</v>
      </c>
      <c r="D2247" t="s">
        <v>22</v>
      </c>
      <c r="E2247" t="s">
        <v>18</v>
      </c>
      <c r="F2247" t="s">
        <v>1541</v>
      </c>
      <c r="G2247">
        <v>506129252</v>
      </c>
      <c r="H2247" t="s">
        <v>1074</v>
      </c>
      <c r="I2247">
        <v>3748</v>
      </c>
      <c r="J2247">
        <v>651.21</v>
      </c>
      <c r="K2247">
        <v>524.96</v>
      </c>
      <c r="L2247">
        <v>2440735.08</v>
      </c>
      <c r="M2247">
        <v>1967550.08</v>
      </c>
      <c r="N2247">
        <v>473185</v>
      </c>
    </row>
    <row r="2248" spans="1:14" x14ac:dyDescent="0.25">
      <c r="A2248" t="s">
        <v>38</v>
      </c>
      <c r="B2248" t="s">
        <v>430</v>
      </c>
      <c r="C2248" t="s">
        <v>69</v>
      </c>
      <c r="D2248" t="s">
        <v>17</v>
      </c>
      <c r="E2248" t="s">
        <v>45</v>
      </c>
      <c r="F2248" t="s">
        <v>1473</v>
      </c>
      <c r="G2248">
        <v>497800672</v>
      </c>
      <c r="H2248" s="1">
        <v>41435</v>
      </c>
      <c r="I2248">
        <v>9136</v>
      </c>
      <c r="J2248">
        <v>421.89</v>
      </c>
      <c r="K2248">
        <v>364.69</v>
      </c>
      <c r="L2248">
        <v>3854387.04</v>
      </c>
      <c r="M2248">
        <v>3331807.84</v>
      </c>
      <c r="N2248">
        <v>522579.20000000001</v>
      </c>
    </row>
    <row r="2249" spans="1:14" x14ac:dyDescent="0.25">
      <c r="A2249" t="s">
        <v>25</v>
      </c>
      <c r="B2249" t="s">
        <v>469</v>
      </c>
      <c r="C2249" t="s">
        <v>31</v>
      </c>
      <c r="D2249" t="s">
        <v>17</v>
      </c>
      <c r="E2249" t="s">
        <v>18</v>
      </c>
      <c r="F2249" s="1">
        <v>41426</v>
      </c>
      <c r="G2249">
        <v>715309798</v>
      </c>
      <c r="H2249" s="1">
        <v>41549</v>
      </c>
      <c r="I2249">
        <v>4920</v>
      </c>
      <c r="J2249">
        <v>205.7</v>
      </c>
      <c r="K2249">
        <v>117.11</v>
      </c>
      <c r="L2249">
        <v>1012044</v>
      </c>
      <c r="M2249">
        <v>576181.19999999995</v>
      </c>
      <c r="N2249">
        <v>435862.8</v>
      </c>
    </row>
    <row r="2250" spans="1:14" x14ac:dyDescent="0.25">
      <c r="A2250" t="s">
        <v>25</v>
      </c>
      <c r="B2250" t="s">
        <v>609</v>
      </c>
      <c r="C2250" t="s">
        <v>88</v>
      </c>
      <c r="D2250" t="s">
        <v>17</v>
      </c>
      <c r="E2250" t="s">
        <v>32</v>
      </c>
      <c r="F2250" s="1">
        <v>40186</v>
      </c>
      <c r="G2250">
        <v>466517961</v>
      </c>
      <c r="H2250" s="1">
        <v>40368</v>
      </c>
      <c r="I2250">
        <v>1886</v>
      </c>
      <c r="J2250">
        <v>9.33</v>
      </c>
      <c r="K2250">
        <v>6.92</v>
      </c>
      <c r="L2250">
        <v>17596.38</v>
      </c>
      <c r="M2250">
        <v>13051.12</v>
      </c>
      <c r="N2250">
        <v>4545.26</v>
      </c>
    </row>
    <row r="2251" spans="1:14" x14ac:dyDescent="0.25">
      <c r="A2251" t="s">
        <v>38</v>
      </c>
      <c r="B2251" t="s">
        <v>177</v>
      </c>
      <c r="C2251" t="s">
        <v>88</v>
      </c>
      <c r="D2251" t="s">
        <v>17</v>
      </c>
      <c r="E2251" t="s">
        <v>23</v>
      </c>
      <c r="F2251" s="1">
        <v>42441</v>
      </c>
      <c r="G2251">
        <v>929598987</v>
      </c>
      <c r="H2251" s="1">
        <v>42795</v>
      </c>
      <c r="I2251">
        <v>7853</v>
      </c>
      <c r="J2251">
        <v>9.33</v>
      </c>
      <c r="K2251">
        <v>6.92</v>
      </c>
      <c r="L2251">
        <v>73268.490000000005</v>
      </c>
      <c r="M2251">
        <v>54342.76</v>
      </c>
      <c r="N2251">
        <v>18925.73</v>
      </c>
    </row>
    <row r="2252" spans="1:14" x14ac:dyDescent="0.25">
      <c r="A2252" t="s">
        <v>38</v>
      </c>
      <c r="B2252" t="s">
        <v>288</v>
      </c>
      <c r="C2252" t="s">
        <v>88</v>
      </c>
      <c r="D2252" t="s">
        <v>17</v>
      </c>
      <c r="E2252" t="s">
        <v>32</v>
      </c>
      <c r="F2252" t="s">
        <v>355</v>
      </c>
      <c r="G2252">
        <v>203039205</v>
      </c>
      <c r="H2252" t="s">
        <v>385</v>
      </c>
      <c r="I2252">
        <v>2667</v>
      </c>
      <c r="J2252">
        <v>9.33</v>
      </c>
      <c r="K2252">
        <v>6.92</v>
      </c>
      <c r="L2252">
        <v>24883.11</v>
      </c>
      <c r="M2252">
        <v>18455.64</v>
      </c>
      <c r="N2252">
        <v>6427.47</v>
      </c>
    </row>
    <row r="2253" spans="1:14" x14ac:dyDescent="0.25">
      <c r="A2253" t="s">
        <v>51</v>
      </c>
      <c r="B2253" t="s">
        <v>166</v>
      </c>
      <c r="C2253" t="s">
        <v>59</v>
      </c>
      <c r="D2253" t="s">
        <v>17</v>
      </c>
      <c r="E2253" t="s">
        <v>23</v>
      </c>
      <c r="F2253" t="s">
        <v>1542</v>
      </c>
      <c r="G2253">
        <v>955637443</v>
      </c>
      <c r="H2253" s="1">
        <v>42621</v>
      </c>
      <c r="I2253">
        <v>3210</v>
      </c>
      <c r="J2253">
        <v>437.2</v>
      </c>
      <c r="K2253">
        <v>263.33</v>
      </c>
      <c r="L2253">
        <v>1403412</v>
      </c>
      <c r="M2253">
        <v>845289.3</v>
      </c>
      <c r="N2253">
        <v>558122.69999999995</v>
      </c>
    </row>
    <row r="2254" spans="1:14" x14ac:dyDescent="0.25">
      <c r="A2254" t="s">
        <v>51</v>
      </c>
      <c r="B2254" t="s">
        <v>115</v>
      </c>
      <c r="C2254" t="s">
        <v>27</v>
      </c>
      <c r="D2254" t="s">
        <v>17</v>
      </c>
      <c r="E2254" t="s">
        <v>32</v>
      </c>
      <c r="F2254" s="1">
        <v>41523</v>
      </c>
      <c r="G2254">
        <v>976505029</v>
      </c>
      <c r="H2254" t="s">
        <v>677</v>
      </c>
      <c r="I2254">
        <v>8393</v>
      </c>
      <c r="J2254">
        <v>47.45</v>
      </c>
      <c r="K2254">
        <v>31.79</v>
      </c>
      <c r="L2254">
        <v>398247.85</v>
      </c>
      <c r="M2254">
        <v>266813.46999999997</v>
      </c>
      <c r="N2254">
        <v>131434.38</v>
      </c>
    </row>
    <row r="2255" spans="1:14" x14ac:dyDescent="0.25">
      <c r="A2255" t="s">
        <v>25</v>
      </c>
      <c r="B2255" t="s">
        <v>201</v>
      </c>
      <c r="C2255" t="s">
        <v>69</v>
      </c>
      <c r="D2255" t="s">
        <v>22</v>
      </c>
      <c r="E2255" t="s">
        <v>23</v>
      </c>
      <c r="F2255" t="s">
        <v>1478</v>
      </c>
      <c r="G2255">
        <v>825065791</v>
      </c>
      <c r="H2255" t="s">
        <v>1494</v>
      </c>
      <c r="I2255">
        <v>4157</v>
      </c>
      <c r="J2255">
        <v>421.89</v>
      </c>
      <c r="K2255">
        <v>364.69</v>
      </c>
      <c r="L2255">
        <v>1753796.73</v>
      </c>
      <c r="M2255">
        <v>1516016.33</v>
      </c>
      <c r="N2255">
        <v>237780.4</v>
      </c>
    </row>
    <row r="2256" spans="1:14" x14ac:dyDescent="0.25">
      <c r="A2256" t="s">
        <v>51</v>
      </c>
      <c r="B2256" t="s">
        <v>664</v>
      </c>
      <c r="C2256" t="s">
        <v>69</v>
      </c>
      <c r="D2256" t="s">
        <v>22</v>
      </c>
      <c r="E2256" t="s">
        <v>18</v>
      </c>
      <c r="F2256" s="1">
        <v>40702</v>
      </c>
      <c r="G2256">
        <v>681056058</v>
      </c>
      <c r="H2256" s="1">
        <v>40855</v>
      </c>
      <c r="I2256">
        <v>8477</v>
      </c>
      <c r="J2256">
        <v>421.89</v>
      </c>
      <c r="K2256">
        <v>364.69</v>
      </c>
      <c r="L2256">
        <v>3576361.53</v>
      </c>
      <c r="M2256">
        <v>3091477.13</v>
      </c>
      <c r="N2256">
        <v>484884.4</v>
      </c>
    </row>
    <row r="2257" spans="1:14" x14ac:dyDescent="0.25">
      <c r="A2257" t="s">
        <v>42</v>
      </c>
      <c r="B2257" t="s">
        <v>681</v>
      </c>
      <c r="C2257" t="s">
        <v>44</v>
      </c>
      <c r="D2257" t="s">
        <v>17</v>
      </c>
      <c r="E2257" t="s">
        <v>32</v>
      </c>
      <c r="F2257" t="s">
        <v>922</v>
      </c>
      <c r="G2257">
        <v>794524657</v>
      </c>
      <c r="H2257" t="s">
        <v>1356</v>
      </c>
      <c r="I2257">
        <v>6357</v>
      </c>
      <c r="J2257">
        <v>109.28</v>
      </c>
      <c r="K2257">
        <v>35.840000000000003</v>
      </c>
      <c r="L2257">
        <v>694692.96</v>
      </c>
      <c r="M2257">
        <v>227834.88</v>
      </c>
      <c r="N2257">
        <v>466858.08</v>
      </c>
    </row>
    <row r="2258" spans="1:14" x14ac:dyDescent="0.25">
      <c r="A2258" t="s">
        <v>51</v>
      </c>
      <c r="B2258" t="s">
        <v>578</v>
      </c>
      <c r="C2258" t="s">
        <v>44</v>
      </c>
      <c r="D2258" t="s">
        <v>22</v>
      </c>
      <c r="E2258" t="s">
        <v>45</v>
      </c>
      <c r="F2258" s="1">
        <v>40520</v>
      </c>
      <c r="G2258">
        <v>135832917</v>
      </c>
      <c r="H2258" t="s">
        <v>743</v>
      </c>
      <c r="I2258">
        <v>4834</v>
      </c>
      <c r="J2258">
        <v>109.28</v>
      </c>
      <c r="K2258">
        <v>35.840000000000003</v>
      </c>
      <c r="L2258">
        <v>528259.52</v>
      </c>
      <c r="M2258">
        <v>173250.56</v>
      </c>
      <c r="N2258">
        <v>355008.96</v>
      </c>
    </row>
    <row r="2259" spans="1:14" x14ac:dyDescent="0.25">
      <c r="A2259" t="s">
        <v>51</v>
      </c>
      <c r="B2259" t="s">
        <v>301</v>
      </c>
      <c r="C2259" t="s">
        <v>88</v>
      </c>
      <c r="D2259" t="s">
        <v>22</v>
      </c>
      <c r="E2259" t="s">
        <v>18</v>
      </c>
      <c r="F2259" t="s">
        <v>1377</v>
      </c>
      <c r="G2259">
        <v>445654666</v>
      </c>
      <c r="H2259" s="1">
        <v>41223</v>
      </c>
      <c r="I2259">
        <v>7974</v>
      </c>
      <c r="J2259">
        <v>9.33</v>
      </c>
      <c r="K2259">
        <v>6.92</v>
      </c>
      <c r="L2259">
        <v>74397.42</v>
      </c>
      <c r="M2259">
        <v>55180.08</v>
      </c>
      <c r="N2259">
        <v>19217.34</v>
      </c>
    </row>
    <row r="2260" spans="1:14" x14ac:dyDescent="0.25">
      <c r="A2260" t="s">
        <v>25</v>
      </c>
      <c r="B2260" t="s">
        <v>533</v>
      </c>
      <c r="C2260" t="s">
        <v>55</v>
      </c>
      <c r="D2260" t="s">
        <v>17</v>
      </c>
      <c r="E2260" t="s">
        <v>32</v>
      </c>
      <c r="F2260" t="s">
        <v>763</v>
      </c>
      <c r="G2260">
        <v>384976232</v>
      </c>
      <c r="H2260" s="1">
        <v>42067</v>
      </c>
      <c r="I2260">
        <v>1877</v>
      </c>
      <c r="J2260">
        <v>651.21</v>
      </c>
      <c r="K2260">
        <v>524.96</v>
      </c>
      <c r="L2260">
        <v>1222321.17</v>
      </c>
      <c r="M2260">
        <v>985349.92</v>
      </c>
      <c r="N2260">
        <v>236971.25</v>
      </c>
    </row>
    <row r="2261" spans="1:14" x14ac:dyDescent="0.25">
      <c r="A2261" t="s">
        <v>42</v>
      </c>
      <c r="B2261" t="s">
        <v>476</v>
      </c>
      <c r="C2261" t="s">
        <v>16</v>
      </c>
      <c r="D2261" t="s">
        <v>22</v>
      </c>
      <c r="E2261" t="s">
        <v>23</v>
      </c>
      <c r="F2261" t="s">
        <v>1455</v>
      </c>
      <c r="G2261">
        <v>485096442</v>
      </c>
      <c r="H2261" s="1">
        <v>41163</v>
      </c>
      <c r="I2261">
        <v>9672</v>
      </c>
      <c r="J2261">
        <v>255.28</v>
      </c>
      <c r="K2261">
        <v>159.41999999999999</v>
      </c>
      <c r="L2261">
        <v>2469068.16</v>
      </c>
      <c r="M2261">
        <v>1541910.24</v>
      </c>
      <c r="N2261">
        <v>927157.92</v>
      </c>
    </row>
    <row r="2262" spans="1:14" x14ac:dyDescent="0.25">
      <c r="A2262" t="s">
        <v>38</v>
      </c>
      <c r="B2262" t="s">
        <v>68</v>
      </c>
      <c r="C2262" t="s">
        <v>27</v>
      </c>
      <c r="D2262" t="s">
        <v>22</v>
      </c>
      <c r="E2262" t="s">
        <v>45</v>
      </c>
      <c r="F2262" t="s">
        <v>1392</v>
      </c>
      <c r="G2262">
        <v>897626626</v>
      </c>
      <c r="H2262" t="s">
        <v>50</v>
      </c>
      <c r="I2262">
        <v>6521</v>
      </c>
      <c r="J2262">
        <v>47.45</v>
      </c>
      <c r="K2262">
        <v>31.79</v>
      </c>
      <c r="L2262">
        <v>309421.45</v>
      </c>
      <c r="M2262">
        <v>207302.59</v>
      </c>
      <c r="N2262">
        <v>102118.86</v>
      </c>
    </row>
    <row r="2263" spans="1:14" x14ac:dyDescent="0.25">
      <c r="A2263" t="s">
        <v>29</v>
      </c>
      <c r="B2263" t="s">
        <v>159</v>
      </c>
      <c r="C2263" t="s">
        <v>44</v>
      </c>
      <c r="D2263" t="s">
        <v>17</v>
      </c>
      <c r="E2263" t="s">
        <v>45</v>
      </c>
      <c r="F2263" t="s">
        <v>1543</v>
      </c>
      <c r="G2263">
        <v>944490611</v>
      </c>
      <c r="H2263" t="s">
        <v>431</v>
      </c>
      <c r="I2263">
        <v>4615</v>
      </c>
      <c r="J2263">
        <v>109.28</v>
      </c>
      <c r="K2263">
        <v>35.840000000000003</v>
      </c>
      <c r="L2263">
        <v>504327.2</v>
      </c>
      <c r="M2263">
        <v>165401.60000000001</v>
      </c>
      <c r="N2263">
        <v>338925.6</v>
      </c>
    </row>
    <row r="2264" spans="1:14" x14ac:dyDescent="0.25">
      <c r="A2264" t="s">
        <v>25</v>
      </c>
      <c r="B2264" t="s">
        <v>343</v>
      </c>
      <c r="C2264" t="s">
        <v>55</v>
      </c>
      <c r="D2264" t="s">
        <v>22</v>
      </c>
      <c r="E2264" t="s">
        <v>23</v>
      </c>
      <c r="F2264" t="s">
        <v>1544</v>
      </c>
      <c r="G2264">
        <v>467924726</v>
      </c>
      <c r="H2264" t="s">
        <v>337</v>
      </c>
      <c r="I2264">
        <v>8179</v>
      </c>
      <c r="J2264">
        <v>651.21</v>
      </c>
      <c r="K2264">
        <v>524.96</v>
      </c>
      <c r="L2264">
        <v>5326246.59</v>
      </c>
      <c r="M2264">
        <v>4293647.84</v>
      </c>
      <c r="N2264">
        <v>1032598.75</v>
      </c>
    </row>
    <row r="2265" spans="1:14" x14ac:dyDescent="0.25">
      <c r="A2265" t="s">
        <v>25</v>
      </c>
      <c r="B2265" t="s">
        <v>462</v>
      </c>
      <c r="C2265" t="s">
        <v>31</v>
      </c>
      <c r="D2265" t="s">
        <v>22</v>
      </c>
      <c r="E2265" t="s">
        <v>32</v>
      </c>
      <c r="F2265" t="s">
        <v>1086</v>
      </c>
      <c r="G2265">
        <v>280477797</v>
      </c>
      <c r="H2265" t="s">
        <v>1518</v>
      </c>
      <c r="I2265">
        <v>8468</v>
      </c>
      <c r="J2265">
        <v>205.7</v>
      </c>
      <c r="K2265">
        <v>117.11</v>
      </c>
      <c r="L2265">
        <v>1741867.6</v>
      </c>
      <c r="M2265">
        <v>991687.48</v>
      </c>
      <c r="N2265">
        <v>750180.12</v>
      </c>
    </row>
    <row r="2266" spans="1:14" x14ac:dyDescent="0.25">
      <c r="A2266" t="s">
        <v>38</v>
      </c>
      <c r="B2266" t="s">
        <v>177</v>
      </c>
      <c r="C2266" t="s">
        <v>131</v>
      </c>
      <c r="D2266" t="s">
        <v>17</v>
      </c>
      <c r="E2266" t="s">
        <v>18</v>
      </c>
      <c r="F2266" t="s">
        <v>347</v>
      </c>
      <c r="G2266">
        <v>815011155</v>
      </c>
      <c r="H2266" t="s">
        <v>106</v>
      </c>
      <c r="I2266">
        <v>8767</v>
      </c>
      <c r="J2266">
        <v>668.27</v>
      </c>
      <c r="K2266">
        <v>502.54</v>
      </c>
      <c r="L2266">
        <v>5858723.0899999999</v>
      </c>
      <c r="M2266">
        <v>4405768.18</v>
      </c>
      <c r="N2266">
        <v>1452954.91</v>
      </c>
    </row>
    <row r="2267" spans="1:14" x14ac:dyDescent="0.25">
      <c r="A2267" t="s">
        <v>25</v>
      </c>
      <c r="B2267" t="s">
        <v>74</v>
      </c>
      <c r="C2267" t="s">
        <v>88</v>
      </c>
      <c r="D2267" t="s">
        <v>17</v>
      </c>
      <c r="E2267" t="s">
        <v>32</v>
      </c>
      <c r="F2267" s="1">
        <v>42707</v>
      </c>
      <c r="G2267">
        <v>774698626</v>
      </c>
      <c r="H2267" s="1">
        <v>42555</v>
      </c>
      <c r="I2267">
        <v>9394</v>
      </c>
      <c r="J2267">
        <v>9.33</v>
      </c>
      <c r="K2267">
        <v>6.92</v>
      </c>
      <c r="L2267">
        <v>87646.02</v>
      </c>
      <c r="M2267">
        <v>65006.48</v>
      </c>
      <c r="N2267">
        <v>22639.54</v>
      </c>
    </row>
    <row r="2268" spans="1:14" x14ac:dyDescent="0.25">
      <c r="A2268" t="s">
        <v>38</v>
      </c>
      <c r="B2268" t="s">
        <v>388</v>
      </c>
      <c r="C2268" t="s">
        <v>69</v>
      </c>
      <c r="D2268" t="s">
        <v>17</v>
      </c>
      <c r="E2268" t="s">
        <v>45</v>
      </c>
      <c r="F2268" t="s">
        <v>761</v>
      </c>
      <c r="G2268">
        <v>283026540</v>
      </c>
      <c r="H2268" t="s">
        <v>1255</v>
      </c>
      <c r="I2268">
        <v>2697</v>
      </c>
      <c r="J2268">
        <v>421.89</v>
      </c>
      <c r="K2268">
        <v>364.69</v>
      </c>
      <c r="L2268">
        <v>1137837.33</v>
      </c>
      <c r="M2268">
        <v>983568.93</v>
      </c>
      <c r="N2268">
        <v>154268.4</v>
      </c>
    </row>
    <row r="2269" spans="1:14" x14ac:dyDescent="0.25">
      <c r="A2269" t="s">
        <v>14</v>
      </c>
      <c r="B2269" t="s">
        <v>383</v>
      </c>
      <c r="C2269" t="s">
        <v>113</v>
      </c>
      <c r="D2269" t="s">
        <v>17</v>
      </c>
      <c r="E2269" t="s">
        <v>23</v>
      </c>
      <c r="F2269" s="1">
        <v>42101</v>
      </c>
      <c r="G2269">
        <v>433793723</v>
      </c>
      <c r="H2269" s="1">
        <v>42102</v>
      </c>
      <c r="I2269">
        <v>8057</v>
      </c>
      <c r="J2269">
        <v>154.06</v>
      </c>
      <c r="K2269">
        <v>90.93</v>
      </c>
      <c r="L2269">
        <v>1241261.42</v>
      </c>
      <c r="M2269">
        <v>732623.01</v>
      </c>
      <c r="N2269">
        <v>508638.41</v>
      </c>
    </row>
    <row r="2270" spans="1:14" x14ac:dyDescent="0.25">
      <c r="A2270" t="s">
        <v>38</v>
      </c>
      <c r="B2270" t="s">
        <v>187</v>
      </c>
      <c r="C2270" t="s">
        <v>88</v>
      </c>
      <c r="D2270" t="s">
        <v>22</v>
      </c>
      <c r="E2270" t="s">
        <v>23</v>
      </c>
      <c r="F2270" t="s">
        <v>911</v>
      </c>
      <c r="G2270">
        <v>141111505</v>
      </c>
      <c r="H2270" s="1">
        <v>41853</v>
      </c>
      <c r="I2270">
        <v>6885</v>
      </c>
      <c r="J2270">
        <v>9.33</v>
      </c>
      <c r="K2270">
        <v>6.92</v>
      </c>
      <c r="L2270">
        <v>64237.05</v>
      </c>
      <c r="M2270">
        <v>47644.2</v>
      </c>
      <c r="N2270">
        <v>16592.849999999999</v>
      </c>
    </row>
    <row r="2271" spans="1:14" x14ac:dyDescent="0.25">
      <c r="A2271" t="s">
        <v>29</v>
      </c>
      <c r="B2271" t="s">
        <v>356</v>
      </c>
      <c r="C2271" t="s">
        <v>16</v>
      </c>
      <c r="D2271" t="s">
        <v>22</v>
      </c>
      <c r="E2271" t="s">
        <v>32</v>
      </c>
      <c r="F2271" t="s">
        <v>1545</v>
      </c>
      <c r="G2271">
        <v>189403712</v>
      </c>
      <c r="H2271" s="1">
        <v>42798</v>
      </c>
      <c r="I2271">
        <v>7622</v>
      </c>
      <c r="J2271">
        <v>255.28</v>
      </c>
      <c r="K2271">
        <v>159.41999999999999</v>
      </c>
      <c r="L2271">
        <v>1945744.16</v>
      </c>
      <c r="M2271">
        <v>1215099.24</v>
      </c>
      <c r="N2271">
        <v>730644.92</v>
      </c>
    </row>
    <row r="2272" spans="1:14" x14ac:dyDescent="0.25">
      <c r="A2272" t="s">
        <v>38</v>
      </c>
      <c r="B2272" t="s">
        <v>288</v>
      </c>
      <c r="C2272" t="s">
        <v>16</v>
      </c>
      <c r="D2272" t="s">
        <v>17</v>
      </c>
      <c r="E2272" t="s">
        <v>18</v>
      </c>
      <c r="F2272" t="s">
        <v>1546</v>
      </c>
      <c r="G2272">
        <v>983406674</v>
      </c>
      <c r="H2272" s="1">
        <v>40979</v>
      </c>
      <c r="I2272">
        <v>743</v>
      </c>
      <c r="J2272">
        <v>255.28</v>
      </c>
      <c r="K2272">
        <v>159.41999999999999</v>
      </c>
      <c r="L2272">
        <v>189673.04</v>
      </c>
      <c r="M2272">
        <v>118449.06</v>
      </c>
      <c r="N2272">
        <v>71223.98</v>
      </c>
    </row>
    <row r="2273" spans="1:14" x14ac:dyDescent="0.25">
      <c r="A2273" t="s">
        <v>42</v>
      </c>
      <c r="B2273" t="s">
        <v>565</v>
      </c>
      <c r="C2273" t="s">
        <v>21</v>
      </c>
      <c r="D2273" t="s">
        <v>17</v>
      </c>
      <c r="E2273" t="s">
        <v>23</v>
      </c>
      <c r="F2273" s="1">
        <v>42163</v>
      </c>
      <c r="G2273">
        <v>298169219</v>
      </c>
      <c r="H2273" t="s">
        <v>1412</v>
      </c>
      <c r="I2273">
        <v>3753</v>
      </c>
      <c r="J2273">
        <v>152.58000000000001</v>
      </c>
      <c r="K2273">
        <v>97.44</v>
      </c>
      <c r="L2273">
        <v>572632.74</v>
      </c>
      <c r="M2273">
        <v>365692.32</v>
      </c>
      <c r="N2273">
        <v>206940.42</v>
      </c>
    </row>
    <row r="2274" spans="1:14" x14ac:dyDescent="0.25">
      <c r="A2274" t="s">
        <v>14</v>
      </c>
      <c r="B2274" t="s">
        <v>213</v>
      </c>
      <c r="C2274" t="s">
        <v>44</v>
      </c>
      <c r="D2274" t="s">
        <v>17</v>
      </c>
      <c r="E2274" t="s">
        <v>45</v>
      </c>
      <c r="F2274" t="s">
        <v>1275</v>
      </c>
      <c r="G2274">
        <v>929052674</v>
      </c>
      <c r="H2274" s="1">
        <v>40886</v>
      </c>
      <c r="I2274">
        <v>6187</v>
      </c>
      <c r="J2274">
        <v>109.28</v>
      </c>
      <c r="K2274">
        <v>35.840000000000003</v>
      </c>
      <c r="L2274">
        <v>676115.36</v>
      </c>
      <c r="M2274">
        <v>221742.07999999999</v>
      </c>
      <c r="N2274">
        <v>454373.28</v>
      </c>
    </row>
    <row r="2275" spans="1:14" x14ac:dyDescent="0.25">
      <c r="A2275" t="s">
        <v>51</v>
      </c>
      <c r="B2275" t="s">
        <v>877</v>
      </c>
      <c r="C2275" t="s">
        <v>59</v>
      </c>
      <c r="D2275" t="s">
        <v>17</v>
      </c>
      <c r="E2275" t="s">
        <v>45</v>
      </c>
      <c r="F2275" t="s">
        <v>191</v>
      </c>
      <c r="G2275">
        <v>341730868</v>
      </c>
      <c r="H2275" t="s">
        <v>842</v>
      </c>
      <c r="I2275">
        <v>4613</v>
      </c>
      <c r="J2275">
        <v>437.2</v>
      </c>
      <c r="K2275">
        <v>263.33</v>
      </c>
      <c r="L2275">
        <v>2016803.6</v>
      </c>
      <c r="M2275">
        <v>1214741.29</v>
      </c>
      <c r="N2275">
        <v>802062.31</v>
      </c>
    </row>
    <row r="2276" spans="1:14" x14ac:dyDescent="0.25">
      <c r="A2276" t="s">
        <v>51</v>
      </c>
      <c r="B2276" t="s">
        <v>210</v>
      </c>
      <c r="C2276" t="s">
        <v>59</v>
      </c>
      <c r="D2276" t="s">
        <v>17</v>
      </c>
      <c r="E2276" t="s">
        <v>18</v>
      </c>
      <c r="F2276" s="1">
        <v>42099</v>
      </c>
      <c r="G2276">
        <v>122190129</v>
      </c>
      <c r="H2276" t="s">
        <v>1317</v>
      </c>
      <c r="I2276">
        <v>7629</v>
      </c>
      <c r="J2276">
        <v>437.2</v>
      </c>
      <c r="K2276">
        <v>263.33</v>
      </c>
      <c r="L2276">
        <v>3335398.8</v>
      </c>
      <c r="M2276">
        <v>2008944.57</v>
      </c>
      <c r="N2276">
        <v>1326454.23</v>
      </c>
    </row>
    <row r="2277" spans="1:14" x14ac:dyDescent="0.25">
      <c r="A2277" t="s">
        <v>42</v>
      </c>
      <c r="B2277" t="s">
        <v>361</v>
      </c>
      <c r="C2277" t="s">
        <v>27</v>
      </c>
      <c r="D2277" t="s">
        <v>22</v>
      </c>
      <c r="E2277" t="s">
        <v>18</v>
      </c>
      <c r="F2277" t="s">
        <v>1072</v>
      </c>
      <c r="G2277">
        <v>126729285</v>
      </c>
      <c r="H2277" t="s">
        <v>1547</v>
      </c>
      <c r="I2277">
        <v>867</v>
      </c>
      <c r="J2277">
        <v>47.45</v>
      </c>
      <c r="K2277">
        <v>31.79</v>
      </c>
      <c r="L2277">
        <v>41139.15</v>
      </c>
      <c r="M2277">
        <v>27561.93</v>
      </c>
      <c r="N2277">
        <v>13577.22</v>
      </c>
    </row>
    <row r="2278" spans="1:14" x14ac:dyDescent="0.25">
      <c r="A2278" t="s">
        <v>51</v>
      </c>
      <c r="B2278" t="s">
        <v>367</v>
      </c>
      <c r="C2278" t="s">
        <v>69</v>
      </c>
      <c r="D2278" t="s">
        <v>22</v>
      </c>
      <c r="E2278" t="s">
        <v>32</v>
      </c>
      <c r="F2278" t="s">
        <v>1016</v>
      </c>
      <c r="G2278">
        <v>731959664</v>
      </c>
      <c r="H2278" t="s">
        <v>53</v>
      </c>
      <c r="I2278">
        <v>1985</v>
      </c>
      <c r="J2278">
        <v>421.89</v>
      </c>
      <c r="K2278">
        <v>364.69</v>
      </c>
      <c r="L2278">
        <v>837451.65</v>
      </c>
      <c r="M2278">
        <v>723909.65</v>
      </c>
      <c r="N2278">
        <v>113542</v>
      </c>
    </row>
    <row r="2279" spans="1:14" x14ac:dyDescent="0.25">
      <c r="A2279" t="s">
        <v>14</v>
      </c>
      <c r="B2279" t="s">
        <v>226</v>
      </c>
      <c r="C2279" t="s">
        <v>16</v>
      </c>
      <c r="D2279" t="s">
        <v>22</v>
      </c>
      <c r="E2279" t="s">
        <v>18</v>
      </c>
      <c r="F2279" s="1">
        <v>41947</v>
      </c>
      <c r="G2279">
        <v>584805095</v>
      </c>
      <c r="H2279" t="s">
        <v>1010</v>
      </c>
      <c r="I2279">
        <v>5678</v>
      </c>
      <c r="J2279">
        <v>255.28</v>
      </c>
      <c r="K2279">
        <v>159.41999999999999</v>
      </c>
      <c r="L2279">
        <v>1449479.84</v>
      </c>
      <c r="M2279">
        <v>905186.76</v>
      </c>
      <c r="N2279">
        <v>544293.07999999996</v>
      </c>
    </row>
    <row r="2280" spans="1:14" x14ac:dyDescent="0.25">
      <c r="A2280" t="s">
        <v>25</v>
      </c>
      <c r="B2280" t="s">
        <v>239</v>
      </c>
      <c r="C2280" t="s">
        <v>31</v>
      </c>
      <c r="D2280" t="s">
        <v>17</v>
      </c>
      <c r="E2280" t="s">
        <v>18</v>
      </c>
      <c r="F2280" t="s">
        <v>1548</v>
      </c>
      <c r="G2280">
        <v>652501904</v>
      </c>
      <c r="H2280" t="s">
        <v>994</v>
      </c>
      <c r="I2280">
        <v>8668</v>
      </c>
      <c r="J2280">
        <v>205.7</v>
      </c>
      <c r="K2280">
        <v>117.11</v>
      </c>
      <c r="L2280">
        <v>1783007.6</v>
      </c>
      <c r="M2280">
        <v>1015109.48</v>
      </c>
      <c r="N2280">
        <v>767898.12</v>
      </c>
    </row>
    <row r="2281" spans="1:14" x14ac:dyDescent="0.25">
      <c r="A2281" t="s">
        <v>51</v>
      </c>
      <c r="B2281" t="s">
        <v>734</v>
      </c>
      <c r="C2281" t="s">
        <v>21</v>
      </c>
      <c r="D2281" t="s">
        <v>17</v>
      </c>
      <c r="E2281" t="s">
        <v>18</v>
      </c>
      <c r="F2281" s="1">
        <v>42859</v>
      </c>
      <c r="G2281">
        <v>172598922</v>
      </c>
      <c r="H2281" t="s">
        <v>1549</v>
      </c>
      <c r="I2281">
        <v>4711</v>
      </c>
      <c r="J2281">
        <v>152.58000000000001</v>
      </c>
      <c r="K2281">
        <v>97.44</v>
      </c>
      <c r="L2281">
        <v>718804.38</v>
      </c>
      <c r="M2281">
        <v>459039.84</v>
      </c>
      <c r="N2281">
        <v>259764.54</v>
      </c>
    </row>
    <row r="2282" spans="1:14" x14ac:dyDescent="0.25">
      <c r="A2282" t="s">
        <v>38</v>
      </c>
      <c r="B2282" t="s">
        <v>1268</v>
      </c>
      <c r="C2282" t="s">
        <v>44</v>
      </c>
      <c r="D2282" t="s">
        <v>17</v>
      </c>
      <c r="E2282" t="s">
        <v>32</v>
      </c>
      <c r="F2282" s="1">
        <v>42496</v>
      </c>
      <c r="G2282">
        <v>702957475</v>
      </c>
      <c r="H2282" t="s">
        <v>1062</v>
      </c>
      <c r="I2282">
        <v>9593</v>
      </c>
      <c r="J2282">
        <v>109.28</v>
      </c>
      <c r="K2282">
        <v>35.840000000000003</v>
      </c>
      <c r="L2282">
        <v>1048323.04</v>
      </c>
      <c r="M2282">
        <v>343813.12</v>
      </c>
      <c r="N2282">
        <v>704509.92</v>
      </c>
    </row>
    <row r="2283" spans="1:14" x14ac:dyDescent="0.25">
      <c r="A2283" t="s">
        <v>38</v>
      </c>
      <c r="B2283" t="s">
        <v>54</v>
      </c>
      <c r="C2283" t="s">
        <v>131</v>
      </c>
      <c r="D2283" t="s">
        <v>17</v>
      </c>
      <c r="E2283" t="s">
        <v>45</v>
      </c>
      <c r="F2283" s="1">
        <v>42649</v>
      </c>
      <c r="G2283">
        <v>271751391</v>
      </c>
      <c r="H2283" s="1">
        <v>42620</v>
      </c>
      <c r="I2283">
        <v>6130</v>
      </c>
      <c r="J2283">
        <v>668.27</v>
      </c>
      <c r="K2283">
        <v>502.54</v>
      </c>
      <c r="L2283">
        <v>4096495.1</v>
      </c>
      <c r="M2283">
        <v>3080570.2</v>
      </c>
      <c r="N2283">
        <v>1015924.9</v>
      </c>
    </row>
    <row r="2284" spans="1:14" x14ac:dyDescent="0.25">
      <c r="A2284" t="s">
        <v>14</v>
      </c>
      <c r="B2284" t="s">
        <v>627</v>
      </c>
      <c r="C2284" t="s">
        <v>31</v>
      </c>
      <c r="D2284" t="s">
        <v>17</v>
      </c>
      <c r="E2284" t="s">
        <v>32</v>
      </c>
      <c r="F2284" s="1">
        <v>40238</v>
      </c>
      <c r="G2284">
        <v>127467000</v>
      </c>
      <c r="H2284" s="1">
        <v>40361</v>
      </c>
      <c r="I2284">
        <v>9173</v>
      </c>
      <c r="J2284">
        <v>205.7</v>
      </c>
      <c r="K2284">
        <v>117.11</v>
      </c>
      <c r="L2284">
        <v>1886886.1</v>
      </c>
      <c r="M2284">
        <v>1074250.03</v>
      </c>
      <c r="N2284">
        <v>812636.07</v>
      </c>
    </row>
    <row r="2285" spans="1:14" x14ac:dyDescent="0.25">
      <c r="A2285" t="s">
        <v>25</v>
      </c>
      <c r="B2285" t="s">
        <v>74</v>
      </c>
      <c r="C2285" t="s">
        <v>131</v>
      </c>
      <c r="D2285" t="s">
        <v>17</v>
      </c>
      <c r="E2285" t="s">
        <v>18</v>
      </c>
      <c r="F2285" t="s">
        <v>1550</v>
      </c>
      <c r="G2285">
        <v>688903129</v>
      </c>
      <c r="H2285" s="1">
        <v>42773</v>
      </c>
      <c r="I2285">
        <v>600</v>
      </c>
      <c r="J2285">
        <v>668.27</v>
      </c>
      <c r="K2285">
        <v>502.54</v>
      </c>
      <c r="L2285">
        <v>400962</v>
      </c>
      <c r="M2285">
        <v>301524</v>
      </c>
      <c r="N2285">
        <v>99438</v>
      </c>
    </row>
    <row r="2286" spans="1:14" x14ac:dyDescent="0.25">
      <c r="A2286" t="s">
        <v>25</v>
      </c>
      <c r="B2286" t="s">
        <v>134</v>
      </c>
      <c r="C2286" t="s">
        <v>40</v>
      </c>
      <c r="D2286" t="s">
        <v>17</v>
      </c>
      <c r="E2286" t="s">
        <v>18</v>
      </c>
      <c r="F2286" t="s">
        <v>710</v>
      </c>
      <c r="G2286">
        <v>195171105</v>
      </c>
      <c r="H2286" s="1">
        <v>41738</v>
      </c>
      <c r="I2286">
        <v>4322</v>
      </c>
      <c r="J2286">
        <v>81.73</v>
      </c>
      <c r="K2286">
        <v>56.67</v>
      </c>
      <c r="L2286">
        <v>353237.06</v>
      </c>
      <c r="M2286">
        <v>244927.74</v>
      </c>
      <c r="N2286">
        <v>108309.32</v>
      </c>
    </row>
    <row r="2287" spans="1:14" x14ac:dyDescent="0.25">
      <c r="A2287" t="s">
        <v>29</v>
      </c>
      <c r="B2287" t="s">
        <v>545</v>
      </c>
      <c r="C2287" t="s">
        <v>69</v>
      </c>
      <c r="D2287" t="s">
        <v>17</v>
      </c>
      <c r="E2287" t="s">
        <v>32</v>
      </c>
      <c r="F2287" s="1">
        <v>41067</v>
      </c>
      <c r="G2287">
        <v>555694758</v>
      </c>
      <c r="H2287" t="s">
        <v>200</v>
      </c>
      <c r="I2287">
        <v>1283</v>
      </c>
      <c r="J2287">
        <v>421.89</v>
      </c>
      <c r="K2287">
        <v>364.69</v>
      </c>
      <c r="L2287">
        <v>541284.87</v>
      </c>
      <c r="M2287">
        <v>467897.27</v>
      </c>
      <c r="N2287">
        <v>73387.600000000006</v>
      </c>
    </row>
    <row r="2288" spans="1:14" x14ac:dyDescent="0.25">
      <c r="A2288" t="s">
        <v>77</v>
      </c>
      <c r="B2288" t="s">
        <v>622</v>
      </c>
      <c r="C2288" t="s">
        <v>55</v>
      </c>
      <c r="D2288" t="s">
        <v>17</v>
      </c>
      <c r="E2288" t="s">
        <v>23</v>
      </c>
      <c r="F2288" t="s">
        <v>1020</v>
      </c>
      <c r="G2288">
        <v>600210416</v>
      </c>
      <c r="H2288" t="s">
        <v>1158</v>
      </c>
      <c r="I2288">
        <v>4455</v>
      </c>
      <c r="J2288">
        <v>651.21</v>
      </c>
      <c r="K2288">
        <v>524.96</v>
      </c>
      <c r="L2288">
        <v>2901140.55</v>
      </c>
      <c r="M2288">
        <v>2338696.7999999998</v>
      </c>
      <c r="N2288">
        <v>562443.75</v>
      </c>
    </row>
    <row r="2289" spans="1:14" x14ac:dyDescent="0.25">
      <c r="A2289" t="s">
        <v>25</v>
      </c>
      <c r="B2289" t="s">
        <v>603</v>
      </c>
      <c r="C2289" t="s">
        <v>131</v>
      </c>
      <c r="D2289" t="s">
        <v>22</v>
      </c>
      <c r="E2289" t="s">
        <v>23</v>
      </c>
      <c r="F2289" t="s">
        <v>249</v>
      </c>
      <c r="G2289">
        <v>128766906</v>
      </c>
      <c r="H2289" t="s">
        <v>46</v>
      </c>
      <c r="I2289">
        <v>3844</v>
      </c>
      <c r="J2289">
        <v>668.27</v>
      </c>
      <c r="K2289">
        <v>502.54</v>
      </c>
      <c r="L2289">
        <v>2568829.88</v>
      </c>
      <c r="M2289">
        <v>1931763.76</v>
      </c>
      <c r="N2289">
        <v>637066.12</v>
      </c>
    </row>
    <row r="2290" spans="1:14" x14ac:dyDescent="0.25">
      <c r="A2290" t="s">
        <v>25</v>
      </c>
      <c r="B2290" t="s">
        <v>142</v>
      </c>
      <c r="C2290" t="s">
        <v>113</v>
      </c>
      <c r="D2290" t="s">
        <v>22</v>
      </c>
      <c r="E2290" t="s">
        <v>32</v>
      </c>
      <c r="F2290" t="s">
        <v>269</v>
      </c>
      <c r="G2290">
        <v>361725556</v>
      </c>
      <c r="H2290" t="s">
        <v>1551</v>
      </c>
      <c r="I2290">
        <v>1485</v>
      </c>
      <c r="J2290">
        <v>154.06</v>
      </c>
      <c r="K2290">
        <v>90.93</v>
      </c>
      <c r="L2290">
        <v>228779.1</v>
      </c>
      <c r="M2290">
        <v>135031.04999999999</v>
      </c>
      <c r="N2290">
        <v>93748.05</v>
      </c>
    </row>
    <row r="2291" spans="1:14" x14ac:dyDescent="0.25">
      <c r="A2291" t="s">
        <v>25</v>
      </c>
      <c r="B2291" t="s">
        <v>284</v>
      </c>
      <c r="C2291" t="s">
        <v>40</v>
      </c>
      <c r="D2291" t="s">
        <v>17</v>
      </c>
      <c r="E2291" t="s">
        <v>23</v>
      </c>
      <c r="F2291" s="1">
        <v>42533</v>
      </c>
      <c r="G2291">
        <v>789760196</v>
      </c>
      <c r="H2291" s="1">
        <v>42767</v>
      </c>
      <c r="I2291">
        <v>6447</v>
      </c>
      <c r="J2291">
        <v>81.73</v>
      </c>
      <c r="K2291">
        <v>56.67</v>
      </c>
      <c r="L2291">
        <v>526913.31000000006</v>
      </c>
      <c r="M2291">
        <v>365351.49</v>
      </c>
      <c r="N2291">
        <v>161561.82</v>
      </c>
    </row>
    <row r="2292" spans="1:14" x14ac:dyDescent="0.25">
      <c r="A2292" t="s">
        <v>51</v>
      </c>
      <c r="B2292" t="s">
        <v>398</v>
      </c>
      <c r="C2292" t="s">
        <v>59</v>
      </c>
      <c r="D2292" t="s">
        <v>17</v>
      </c>
      <c r="E2292" t="s">
        <v>45</v>
      </c>
      <c r="F2292" s="1">
        <v>41403</v>
      </c>
      <c r="G2292">
        <v>523857152</v>
      </c>
      <c r="H2292" s="1">
        <v>41527</v>
      </c>
      <c r="I2292">
        <v>9827</v>
      </c>
      <c r="J2292">
        <v>437.2</v>
      </c>
      <c r="K2292">
        <v>263.33</v>
      </c>
      <c r="L2292">
        <v>4296364.4000000004</v>
      </c>
      <c r="M2292">
        <v>2587743.91</v>
      </c>
      <c r="N2292">
        <v>1708620.49</v>
      </c>
    </row>
    <row r="2293" spans="1:14" x14ac:dyDescent="0.25">
      <c r="A2293" t="s">
        <v>42</v>
      </c>
      <c r="B2293" t="s">
        <v>630</v>
      </c>
      <c r="C2293" t="s">
        <v>59</v>
      </c>
      <c r="D2293" t="s">
        <v>22</v>
      </c>
      <c r="E2293" t="s">
        <v>45</v>
      </c>
      <c r="F2293" t="s">
        <v>706</v>
      </c>
      <c r="G2293">
        <v>545315253</v>
      </c>
      <c r="H2293" t="s">
        <v>1160</v>
      </c>
      <c r="I2293">
        <v>9756</v>
      </c>
      <c r="J2293">
        <v>437.2</v>
      </c>
      <c r="K2293">
        <v>263.33</v>
      </c>
      <c r="L2293">
        <v>4265323.2</v>
      </c>
      <c r="M2293">
        <v>2569047.48</v>
      </c>
      <c r="N2293">
        <v>1696275.72</v>
      </c>
    </row>
    <row r="2294" spans="1:14" x14ac:dyDescent="0.25">
      <c r="A2294" t="s">
        <v>29</v>
      </c>
      <c r="B2294" t="s">
        <v>121</v>
      </c>
      <c r="C2294" t="s">
        <v>59</v>
      </c>
      <c r="D2294" t="s">
        <v>22</v>
      </c>
      <c r="E2294" t="s">
        <v>32</v>
      </c>
      <c r="F2294" s="1">
        <v>41286</v>
      </c>
      <c r="G2294">
        <v>555745828</v>
      </c>
      <c r="H2294" s="1">
        <v>41559</v>
      </c>
      <c r="I2294">
        <v>6395</v>
      </c>
      <c r="J2294">
        <v>437.2</v>
      </c>
      <c r="K2294">
        <v>263.33</v>
      </c>
      <c r="L2294">
        <v>2795894</v>
      </c>
      <c r="M2294">
        <v>1683995.35</v>
      </c>
      <c r="N2294">
        <v>1111898.6499999999</v>
      </c>
    </row>
    <row r="2295" spans="1:14" x14ac:dyDescent="0.25">
      <c r="A2295" t="s">
        <v>25</v>
      </c>
      <c r="B2295" t="s">
        <v>569</v>
      </c>
      <c r="C2295" t="s">
        <v>59</v>
      </c>
      <c r="D2295" t="s">
        <v>17</v>
      </c>
      <c r="E2295" t="s">
        <v>23</v>
      </c>
      <c r="F2295" s="1">
        <v>41285</v>
      </c>
      <c r="G2295">
        <v>327072703</v>
      </c>
      <c r="H2295" t="s">
        <v>1552</v>
      </c>
      <c r="I2295">
        <v>6936</v>
      </c>
      <c r="J2295">
        <v>437.2</v>
      </c>
      <c r="K2295">
        <v>263.33</v>
      </c>
      <c r="L2295">
        <v>3032419.2</v>
      </c>
      <c r="M2295">
        <v>1826456.88</v>
      </c>
      <c r="N2295">
        <v>1205962.32</v>
      </c>
    </row>
    <row r="2296" spans="1:14" x14ac:dyDescent="0.25">
      <c r="A2296" t="s">
        <v>14</v>
      </c>
      <c r="B2296" t="s">
        <v>213</v>
      </c>
      <c r="C2296" t="s">
        <v>131</v>
      </c>
      <c r="D2296" t="s">
        <v>22</v>
      </c>
      <c r="E2296" t="s">
        <v>32</v>
      </c>
      <c r="F2296" t="s">
        <v>472</v>
      </c>
      <c r="G2296">
        <v>151532208</v>
      </c>
      <c r="H2296" t="s">
        <v>1187</v>
      </c>
      <c r="I2296">
        <v>603</v>
      </c>
      <c r="J2296">
        <v>668.27</v>
      </c>
      <c r="K2296">
        <v>502.54</v>
      </c>
      <c r="L2296">
        <v>402966.81</v>
      </c>
      <c r="M2296">
        <v>303031.62</v>
      </c>
      <c r="N2296">
        <v>99935.19</v>
      </c>
    </row>
    <row r="2297" spans="1:14" x14ac:dyDescent="0.25">
      <c r="A2297" t="s">
        <v>29</v>
      </c>
      <c r="B2297" t="s">
        <v>393</v>
      </c>
      <c r="C2297" t="s">
        <v>88</v>
      </c>
      <c r="D2297" t="s">
        <v>22</v>
      </c>
      <c r="E2297" t="s">
        <v>45</v>
      </c>
      <c r="F2297" t="s">
        <v>120</v>
      </c>
      <c r="G2297">
        <v>391673171</v>
      </c>
      <c r="H2297" s="1">
        <v>41947</v>
      </c>
      <c r="I2297">
        <v>3650</v>
      </c>
      <c r="J2297">
        <v>9.33</v>
      </c>
      <c r="K2297">
        <v>6.92</v>
      </c>
      <c r="L2297">
        <v>34054.5</v>
      </c>
      <c r="M2297">
        <v>25258</v>
      </c>
      <c r="N2297">
        <v>8796.5</v>
      </c>
    </row>
    <row r="2298" spans="1:14" x14ac:dyDescent="0.25">
      <c r="A2298" t="s">
        <v>25</v>
      </c>
      <c r="B2298" t="s">
        <v>119</v>
      </c>
      <c r="C2298" t="s">
        <v>113</v>
      </c>
      <c r="D2298" t="s">
        <v>17</v>
      </c>
      <c r="E2298" t="s">
        <v>45</v>
      </c>
      <c r="F2298" t="s">
        <v>1553</v>
      </c>
      <c r="G2298">
        <v>130356919</v>
      </c>
      <c r="H2298" s="1">
        <v>41284</v>
      </c>
      <c r="I2298">
        <v>4364</v>
      </c>
      <c r="J2298">
        <v>154.06</v>
      </c>
      <c r="K2298">
        <v>90.93</v>
      </c>
      <c r="L2298">
        <v>672317.84</v>
      </c>
      <c r="M2298">
        <v>396818.52</v>
      </c>
      <c r="N2298">
        <v>275499.32</v>
      </c>
    </row>
    <row r="2299" spans="1:14" x14ac:dyDescent="0.25">
      <c r="A2299" t="s">
        <v>29</v>
      </c>
      <c r="B2299" t="s">
        <v>467</v>
      </c>
      <c r="C2299" t="s">
        <v>40</v>
      </c>
      <c r="D2299" t="s">
        <v>22</v>
      </c>
      <c r="E2299" t="s">
        <v>32</v>
      </c>
      <c r="F2299" s="1">
        <v>40239</v>
      </c>
      <c r="G2299">
        <v>320757281</v>
      </c>
      <c r="H2299" t="s">
        <v>788</v>
      </c>
      <c r="I2299">
        <v>8062</v>
      </c>
      <c r="J2299">
        <v>81.73</v>
      </c>
      <c r="K2299">
        <v>56.67</v>
      </c>
      <c r="L2299">
        <v>658907.26</v>
      </c>
      <c r="M2299">
        <v>456873.54</v>
      </c>
      <c r="N2299">
        <v>202033.72</v>
      </c>
    </row>
    <row r="2300" spans="1:14" x14ac:dyDescent="0.25">
      <c r="A2300" t="s">
        <v>25</v>
      </c>
      <c r="B2300" t="s">
        <v>211</v>
      </c>
      <c r="C2300" t="s">
        <v>31</v>
      </c>
      <c r="D2300" t="s">
        <v>22</v>
      </c>
      <c r="E2300" t="s">
        <v>45</v>
      </c>
      <c r="F2300" s="1">
        <v>41396</v>
      </c>
      <c r="G2300">
        <v>636360585</v>
      </c>
      <c r="H2300" s="1">
        <v>41489</v>
      </c>
      <c r="I2300">
        <v>2093</v>
      </c>
      <c r="J2300">
        <v>205.7</v>
      </c>
      <c r="K2300">
        <v>117.11</v>
      </c>
      <c r="L2300">
        <v>430530.1</v>
      </c>
      <c r="M2300">
        <v>245111.23</v>
      </c>
      <c r="N2300">
        <v>185418.87</v>
      </c>
    </row>
    <row r="2301" spans="1:14" x14ac:dyDescent="0.25">
      <c r="A2301" t="s">
        <v>29</v>
      </c>
      <c r="B2301" t="s">
        <v>338</v>
      </c>
      <c r="C2301" t="s">
        <v>59</v>
      </c>
      <c r="D2301" t="s">
        <v>17</v>
      </c>
      <c r="E2301" t="s">
        <v>23</v>
      </c>
      <c r="F2301" t="s">
        <v>1554</v>
      </c>
      <c r="G2301">
        <v>820965659</v>
      </c>
      <c r="H2301" t="s">
        <v>512</v>
      </c>
      <c r="I2301">
        <v>837</v>
      </c>
      <c r="J2301">
        <v>437.2</v>
      </c>
      <c r="K2301">
        <v>263.33</v>
      </c>
      <c r="L2301">
        <v>365936.4</v>
      </c>
      <c r="M2301">
        <v>220407.21</v>
      </c>
      <c r="N2301">
        <v>145529.19</v>
      </c>
    </row>
    <row r="2302" spans="1:14" x14ac:dyDescent="0.25">
      <c r="A2302" t="s">
        <v>38</v>
      </c>
      <c r="B2302" t="s">
        <v>58</v>
      </c>
      <c r="C2302" t="s">
        <v>31</v>
      </c>
      <c r="D2302" t="s">
        <v>17</v>
      </c>
      <c r="E2302" t="s">
        <v>45</v>
      </c>
      <c r="F2302" s="1">
        <v>42097</v>
      </c>
      <c r="G2302">
        <v>238683831</v>
      </c>
      <c r="H2302" t="s">
        <v>626</v>
      </c>
      <c r="I2302">
        <v>705</v>
      </c>
      <c r="J2302">
        <v>205.7</v>
      </c>
      <c r="K2302">
        <v>117.11</v>
      </c>
      <c r="L2302">
        <v>145018.5</v>
      </c>
      <c r="M2302">
        <v>82562.55</v>
      </c>
      <c r="N2302">
        <v>62455.95</v>
      </c>
    </row>
    <row r="2303" spans="1:14" x14ac:dyDescent="0.25">
      <c r="A2303" t="s">
        <v>25</v>
      </c>
      <c r="B2303" t="s">
        <v>609</v>
      </c>
      <c r="C2303" t="s">
        <v>27</v>
      </c>
      <c r="D2303" t="s">
        <v>17</v>
      </c>
      <c r="E2303" t="s">
        <v>18</v>
      </c>
      <c r="F2303" t="s">
        <v>200</v>
      </c>
      <c r="G2303">
        <v>123938930</v>
      </c>
      <c r="H2303" s="1">
        <v>40947</v>
      </c>
      <c r="I2303">
        <v>5138</v>
      </c>
      <c r="J2303">
        <v>47.45</v>
      </c>
      <c r="K2303">
        <v>31.79</v>
      </c>
      <c r="L2303">
        <v>243798.1</v>
      </c>
      <c r="M2303">
        <v>163337.01999999999</v>
      </c>
      <c r="N2303">
        <v>80461.08</v>
      </c>
    </row>
    <row r="2304" spans="1:14" x14ac:dyDescent="0.25">
      <c r="A2304" t="s">
        <v>51</v>
      </c>
      <c r="B2304" t="s">
        <v>350</v>
      </c>
      <c r="C2304" t="s">
        <v>40</v>
      </c>
      <c r="D2304" t="s">
        <v>17</v>
      </c>
      <c r="E2304" t="s">
        <v>23</v>
      </c>
      <c r="F2304" t="s">
        <v>1555</v>
      </c>
      <c r="G2304">
        <v>431467282</v>
      </c>
      <c r="H2304" s="1">
        <v>41369</v>
      </c>
      <c r="I2304">
        <v>9612</v>
      </c>
      <c r="J2304">
        <v>81.73</v>
      </c>
      <c r="K2304">
        <v>56.67</v>
      </c>
      <c r="L2304">
        <v>785588.76</v>
      </c>
      <c r="M2304">
        <v>544712.04</v>
      </c>
      <c r="N2304">
        <v>240876.72</v>
      </c>
    </row>
    <row r="2305" spans="1:14" x14ac:dyDescent="0.25">
      <c r="A2305" t="s">
        <v>51</v>
      </c>
      <c r="B2305" t="s">
        <v>487</v>
      </c>
      <c r="C2305" t="s">
        <v>88</v>
      </c>
      <c r="D2305" t="s">
        <v>22</v>
      </c>
      <c r="E2305" t="s">
        <v>18</v>
      </c>
      <c r="F2305" t="s">
        <v>1556</v>
      </c>
      <c r="G2305">
        <v>286317718</v>
      </c>
      <c r="H2305" t="s">
        <v>559</v>
      </c>
      <c r="I2305">
        <v>6630</v>
      </c>
      <c r="J2305">
        <v>9.33</v>
      </c>
      <c r="K2305">
        <v>6.92</v>
      </c>
      <c r="L2305">
        <v>61857.9</v>
      </c>
      <c r="M2305">
        <v>45879.6</v>
      </c>
      <c r="N2305">
        <v>15978.3</v>
      </c>
    </row>
    <row r="2306" spans="1:14" x14ac:dyDescent="0.25">
      <c r="A2306" t="s">
        <v>14</v>
      </c>
      <c r="B2306" t="s">
        <v>488</v>
      </c>
      <c r="C2306" t="s">
        <v>69</v>
      </c>
      <c r="D2306" t="s">
        <v>22</v>
      </c>
      <c r="E2306" t="s">
        <v>45</v>
      </c>
      <c r="F2306" s="1">
        <v>40210</v>
      </c>
      <c r="G2306">
        <v>233851563</v>
      </c>
      <c r="H2306" t="s">
        <v>478</v>
      </c>
      <c r="I2306">
        <v>729</v>
      </c>
      <c r="J2306">
        <v>421.89</v>
      </c>
      <c r="K2306">
        <v>364.69</v>
      </c>
      <c r="L2306">
        <v>307557.81</v>
      </c>
      <c r="M2306">
        <v>265859.01</v>
      </c>
      <c r="N2306">
        <v>41698.800000000003</v>
      </c>
    </row>
    <row r="2307" spans="1:14" x14ac:dyDescent="0.25">
      <c r="A2307" t="s">
        <v>51</v>
      </c>
      <c r="B2307" t="s">
        <v>417</v>
      </c>
      <c r="C2307" t="s">
        <v>55</v>
      </c>
      <c r="D2307" t="s">
        <v>22</v>
      </c>
      <c r="E2307" t="s">
        <v>32</v>
      </c>
      <c r="F2307" t="s">
        <v>1366</v>
      </c>
      <c r="G2307">
        <v>889742648</v>
      </c>
      <c r="H2307" t="s">
        <v>1557</v>
      </c>
      <c r="I2307">
        <v>3476</v>
      </c>
      <c r="J2307">
        <v>651.21</v>
      </c>
      <c r="K2307">
        <v>524.96</v>
      </c>
      <c r="L2307">
        <v>2263605.96</v>
      </c>
      <c r="M2307">
        <v>1824760.96</v>
      </c>
      <c r="N2307">
        <v>438845</v>
      </c>
    </row>
    <row r="2308" spans="1:14" x14ac:dyDescent="0.25">
      <c r="A2308" t="s">
        <v>29</v>
      </c>
      <c r="B2308" t="s">
        <v>124</v>
      </c>
      <c r="C2308" t="s">
        <v>69</v>
      </c>
      <c r="D2308" t="s">
        <v>17</v>
      </c>
      <c r="E2308" t="s">
        <v>23</v>
      </c>
      <c r="F2308" t="s">
        <v>508</v>
      </c>
      <c r="G2308">
        <v>689977300</v>
      </c>
      <c r="H2308" s="1">
        <v>40302</v>
      </c>
      <c r="I2308">
        <v>8471</v>
      </c>
      <c r="J2308">
        <v>421.89</v>
      </c>
      <c r="K2308">
        <v>364.69</v>
      </c>
      <c r="L2308">
        <v>3573830.19</v>
      </c>
      <c r="M2308">
        <v>3089288.99</v>
      </c>
      <c r="N2308">
        <v>484541.2</v>
      </c>
    </row>
    <row r="2309" spans="1:14" x14ac:dyDescent="0.25">
      <c r="A2309" t="s">
        <v>29</v>
      </c>
      <c r="B2309" t="s">
        <v>121</v>
      </c>
      <c r="C2309" t="s">
        <v>69</v>
      </c>
      <c r="D2309" t="s">
        <v>17</v>
      </c>
      <c r="E2309" t="s">
        <v>23</v>
      </c>
      <c r="F2309" t="s">
        <v>730</v>
      </c>
      <c r="G2309">
        <v>840854346</v>
      </c>
      <c r="H2309" s="1">
        <v>42951</v>
      </c>
      <c r="I2309">
        <v>6342</v>
      </c>
      <c r="J2309">
        <v>421.89</v>
      </c>
      <c r="K2309">
        <v>364.69</v>
      </c>
      <c r="L2309">
        <v>2675626.38</v>
      </c>
      <c r="M2309">
        <v>2312863.98</v>
      </c>
      <c r="N2309">
        <v>362762.4</v>
      </c>
    </row>
    <row r="2310" spans="1:14" x14ac:dyDescent="0.25">
      <c r="A2310" t="s">
        <v>29</v>
      </c>
      <c r="B2310" t="s">
        <v>375</v>
      </c>
      <c r="C2310" t="s">
        <v>27</v>
      </c>
      <c r="D2310" t="s">
        <v>17</v>
      </c>
      <c r="E2310" t="s">
        <v>23</v>
      </c>
      <c r="F2310" t="s">
        <v>1383</v>
      </c>
      <c r="G2310">
        <v>368985116</v>
      </c>
      <c r="H2310" s="1">
        <v>41223</v>
      </c>
      <c r="I2310">
        <v>9750</v>
      </c>
      <c r="J2310">
        <v>47.45</v>
      </c>
      <c r="K2310">
        <v>31.79</v>
      </c>
      <c r="L2310">
        <v>462637.5</v>
      </c>
      <c r="M2310">
        <v>309952.5</v>
      </c>
      <c r="N2310">
        <v>152685</v>
      </c>
    </row>
    <row r="2311" spans="1:14" x14ac:dyDescent="0.25">
      <c r="A2311" t="s">
        <v>51</v>
      </c>
      <c r="B2311" t="s">
        <v>877</v>
      </c>
      <c r="C2311" t="s">
        <v>113</v>
      </c>
      <c r="D2311" t="s">
        <v>17</v>
      </c>
      <c r="E2311" t="s">
        <v>45</v>
      </c>
      <c r="F2311" s="1">
        <v>40217</v>
      </c>
      <c r="G2311">
        <v>171293437</v>
      </c>
      <c r="H2311" s="1">
        <v>40520</v>
      </c>
      <c r="I2311">
        <v>8389</v>
      </c>
      <c r="J2311">
        <v>154.06</v>
      </c>
      <c r="K2311">
        <v>90.93</v>
      </c>
      <c r="L2311">
        <v>1292409.3400000001</v>
      </c>
      <c r="M2311">
        <v>762811.77</v>
      </c>
      <c r="N2311">
        <v>529597.56999999995</v>
      </c>
    </row>
    <row r="2312" spans="1:14" x14ac:dyDescent="0.25">
      <c r="A2312" t="s">
        <v>14</v>
      </c>
      <c r="B2312" t="s">
        <v>432</v>
      </c>
      <c r="C2312" t="s">
        <v>16</v>
      </c>
      <c r="D2312" t="s">
        <v>22</v>
      </c>
      <c r="E2312" t="s">
        <v>45</v>
      </c>
      <c r="F2312" s="1">
        <v>40308</v>
      </c>
      <c r="G2312">
        <v>765015637</v>
      </c>
      <c r="H2312" s="1">
        <v>40189</v>
      </c>
      <c r="I2312">
        <v>3982</v>
      </c>
      <c r="J2312">
        <v>255.28</v>
      </c>
      <c r="K2312">
        <v>159.41999999999999</v>
      </c>
      <c r="L2312">
        <v>1016524.96</v>
      </c>
      <c r="M2312">
        <v>634810.43999999994</v>
      </c>
      <c r="N2312">
        <v>381714.52</v>
      </c>
    </row>
    <row r="2313" spans="1:14" x14ac:dyDescent="0.25">
      <c r="A2313" t="s">
        <v>51</v>
      </c>
      <c r="B2313" t="s">
        <v>417</v>
      </c>
      <c r="C2313" t="s">
        <v>113</v>
      </c>
      <c r="D2313" t="s">
        <v>17</v>
      </c>
      <c r="E2313" t="s">
        <v>18</v>
      </c>
      <c r="F2313" s="1">
        <v>40333</v>
      </c>
      <c r="G2313">
        <v>937700545</v>
      </c>
      <c r="H2313" t="s">
        <v>413</v>
      </c>
      <c r="I2313">
        <v>5284</v>
      </c>
      <c r="J2313">
        <v>154.06</v>
      </c>
      <c r="K2313">
        <v>90.93</v>
      </c>
      <c r="L2313">
        <v>814053.04</v>
      </c>
      <c r="M2313">
        <v>480474.12</v>
      </c>
      <c r="N2313">
        <v>333578.92</v>
      </c>
    </row>
    <row r="2314" spans="1:14" x14ac:dyDescent="0.25">
      <c r="A2314" t="s">
        <v>42</v>
      </c>
      <c r="B2314" t="s">
        <v>630</v>
      </c>
      <c r="C2314" t="s">
        <v>40</v>
      </c>
      <c r="D2314" t="s">
        <v>22</v>
      </c>
      <c r="E2314" t="s">
        <v>45</v>
      </c>
      <c r="F2314" t="s">
        <v>1558</v>
      </c>
      <c r="G2314">
        <v>897209489</v>
      </c>
      <c r="H2314" s="1">
        <v>41832</v>
      </c>
      <c r="I2314">
        <v>3081</v>
      </c>
      <c r="J2314">
        <v>81.73</v>
      </c>
      <c r="K2314">
        <v>56.67</v>
      </c>
      <c r="L2314">
        <v>251810.13</v>
      </c>
      <c r="M2314">
        <v>174600.27</v>
      </c>
      <c r="N2314">
        <v>77209.86</v>
      </c>
    </row>
    <row r="2315" spans="1:14" x14ac:dyDescent="0.25">
      <c r="A2315" t="s">
        <v>14</v>
      </c>
      <c r="B2315" t="s">
        <v>208</v>
      </c>
      <c r="C2315" t="s">
        <v>27</v>
      </c>
      <c r="D2315" t="s">
        <v>17</v>
      </c>
      <c r="E2315" t="s">
        <v>45</v>
      </c>
      <c r="F2315" t="s">
        <v>1559</v>
      </c>
      <c r="G2315">
        <v>921716296</v>
      </c>
      <c r="H2315" t="s">
        <v>837</v>
      </c>
      <c r="I2315">
        <v>5189</v>
      </c>
      <c r="J2315">
        <v>47.45</v>
      </c>
      <c r="K2315">
        <v>31.79</v>
      </c>
      <c r="L2315">
        <v>246218.05</v>
      </c>
      <c r="M2315">
        <v>164958.31</v>
      </c>
      <c r="N2315">
        <v>81259.740000000005</v>
      </c>
    </row>
    <row r="2316" spans="1:14" x14ac:dyDescent="0.25">
      <c r="A2316" t="s">
        <v>51</v>
      </c>
      <c r="B2316" t="s">
        <v>100</v>
      </c>
      <c r="C2316" t="s">
        <v>113</v>
      </c>
      <c r="D2316" t="s">
        <v>22</v>
      </c>
      <c r="E2316" t="s">
        <v>23</v>
      </c>
      <c r="F2316" t="s">
        <v>1560</v>
      </c>
      <c r="G2316">
        <v>909707295</v>
      </c>
      <c r="H2316" t="s">
        <v>1203</v>
      </c>
      <c r="I2316">
        <v>1459</v>
      </c>
      <c r="J2316">
        <v>154.06</v>
      </c>
      <c r="K2316">
        <v>90.93</v>
      </c>
      <c r="L2316">
        <v>224773.54</v>
      </c>
      <c r="M2316">
        <v>132666.87</v>
      </c>
      <c r="N2316">
        <v>92106.67</v>
      </c>
    </row>
    <row r="2317" spans="1:14" x14ac:dyDescent="0.25">
      <c r="A2317" t="s">
        <v>29</v>
      </c>
      <c r="B2317" t="s">
        <v>467</v>
      </c>
      <c r="C2317" t="s">
        <v>27</v>
      </c>
      <c r="D2317" t="s">
        <v>22</v>
      </c>
      <c r="E2317" t="s">
        <v>32</v>
      </c>
      <c r="F2317" s="1">
        <v>41891</v>
      </c>
      <c r="G2317">
        <v>829981315</v>
      </c>
      <c r="H2317" t="s">
        <v>1558</v>
      </c>
      <c r="I2317">
        <v>8770</v>
      </c>
      <c r="J2317">
        <v>47.45</v>
      </c>
      <c r="K2317">
        <v>31.79</v>
      </c>
      <c r="L2317">
        <v>416136.5</v>
      </c>
      <c r="M2317">
        <v>278798.3</v>
      </c>
      <c r="N2317">
        <v>137338.20000000001</v>
      </c>
    </row>
    <row r="2318" spans="1:14" x14ac:dyDescent="0.25">
      <c r="A2318" t="s">
        <v>51</v>
      </c>
      <c r="B2318" t="s">
        <v>525</v>
      </c>
      <c r="C2318" t="s">
        <v>40</v>
      </c>
      <c r="D2318" t="s">
        <v>17</v>
      </c>
      <c r="E2318" t="s">
        <v>18</v>
      </c>
      <c r="F2318" t="s">
        <v>1561</v>
      </c>
      <c r="G2318">
        <v>271649682</v>
      </c>
      <c r="H2318" s="1">
        <v>42106</v>
      </c>
      <c r="I2318">
        <v>6032</v>
      </c>
      <c r="J2318">
        <v>81.73</v>
      </c>
      <c r="K2318">
        <v>56.67</v>
      </c>
      <c r="L2318">
        <v>492995.36</v>
      </c>
      <c r="M2318">
        <v>341833.44</v>
      </c>
      <c r="N2318">
        <v>151161.92000000001</v>
      </c>
    </row>
    <row r="2319" spans="1:14" x14ac:dyDescent="0.25">
      <c r="A2319" t="s">
        <v>51</v>
      </c>
      <c r="B2319" t="s">
        <v>301</v>
      </c>
      <c r="C2319" t="s">
        <v>88</v>
      </c>
      <c r="D2319" t="s">
        <v>17</v>
      </c>
      <c r="E2319" t="s">
        <v>18</v>
      </c>
      <c r="F2319" t="s">
        <v>1288</v>
      </c>
      <c r="G2319">
        <v>694136226</v>
      </c>
      <c r="H2319" t="s">
        <v>1129</v>
      </c>
      <c r="I2319">
        <v>9189</v>
      </c>
      <c r="J2319">
        <v>9.33</v>
      </c>
      <c r="K2319">
        <v>6.92</v>
      </c>
      <c r="L2319">
        <v>85733.37</v>
      </c>
      <c r="M2319">
        <v>63587.88</v>
      </c>
      <c r="N2319">
        <v>22145.49</v>
      </c>
    </row>
    <row r="2320" spans="1:14" x14ac:dyDescent="0.25">
      <c r="A2320" t="s">
        <v>29</v>
      </c>
      <c r="B2320" t="s">
        <v>159</v>
      </c>
      <c r="C2320" t="s">
        <v>40</v>
      </c>
      <c r="D2320" t="s">
        <v>17</v>
      </c>
      <c r="E2320" t="s">
        <v>32</v>
      </c>
      <c r="F2320" t="s">
        <v>200</v>
      </c>
      <c r="G2320">
        <v>477177274</v>
      </c>
      <c r="H2320" s="1">
        <v>41160</v>
      </c>
      <c r="I2320">
        <v>6214</v>
      </c>
      <c r="J2320">
        <v>81.73</v>
      </c>
      <c r="K2320">
        <v>56.67</v>
      </c>
      <c r="L2320">
        <v>507870.22</v>
      </c>
      <c r="M2320">
        <v>352147.38</v>
      </c>
      <c r="N2320">
        <v>155722.84</v>
      </c>
    </row>
    <row r="2321" spans="1:14" x14ac:dyDescent="0.25">
      <c r="A2321" t="s">
        <v>25</v>
      </c>
      <c r="B2321" t="s">
        <v>339</v>
      </c>
      <c r="C2321" t="s">
        <v>55</v>
      </c>
      <c r="D2321" t="s">
        <v>22</v>
      </c>
      <c r="E2321" t="s">
        <v>23</v>
      </c>
      <c r="F2321" t="s">
        <v>1217</v>
      </c>
      <c r="G2321">
        <v>770821654</v>
      </c>
      <c r="H2321" t="s">
        <v>951</v>
      </c>
      <c r="I2321">
        <v>2112</v>
      </c>
      <c r="J2321">
        <v>651.21</v>
      </c>
      <c r="K2321">
        <v>524.96</v>
      </c>
      <c r="L2321">
        <v>1375355.52</v>
      </c>
      <c r="M2321">
        <v>1108715.52</v>
      </c>
      <c r="N2321">
        <v>266640</v>
      </c>
    </row>
    <row r="2322" spans="1:14" x14ac:dyDescent="0.25">
      <c r="A2322" t="s">
        <v>51</v>
      </c>
      <c r="B2322" t="s">
        <v>301</v>
      </c>
      <c r="C2322" t="s">
        <v>88</v>
      </c>
      <c r="D2322" t="s">
        <v>17</v>
      </c>
      <c r="E2322" t="s">
        <v>18</v>
      </c>
      <c r="F2322" t="s">
        <v>807</v>
      </c>
      <c r="G2322">
        <v>545430696</v>
      </c>
      <c r="H2322" s="1">
        <v>41682</v>
      </c>
      <c r="I2322">
        <v>3918</v>
      </c>
      <c r="J2322">
        <v>9.33</v>
      </c>
      <c r="K2322">
        <v>6.92</v>
      </c>
      <c r="L2322">
        <v>36554.94</v>
      </c>
      <c r="M2322">
        <v>27112.560000000001</v>
      </c>
      <c r="N2322">
        <v>9442.3799999999992</v>
      </c>
    </row>
    <row r="2323" spans="1:14" x14ac:dyDescent="0.25">
      <c r="A2323" t="s">
        <v>42</v>
      </c>
      <c r="B2323" t="s">
        <v>43</v>
      </c>
      <c r="C2323" t="s">
        <v>44</v>
      </c>
      <c r="D2323" t="s">
        <v>17</v>
      </c>
      <c r="E2323" t="s">
        <v>18</v>
      </c>
      <c r="F2323" t="s">
        <v>1242</v>
      </c>
      <c r="G2323">
        <v>641678225</v>
      </c>
      <c r="H2323" t="s">
        <v>1562</v>
      </c>
      <c r="I2323">
        <v>5701</v>
      </c>
      <c r="J2323">
        <v>109.28</v>
      </c>
      <c r="K2323">
        <v>35.840000000000003</v>
      </c>
      <c r="L2323">
        <v>623005.28</v>
      </c>
      <c r="M2323">
        <v>204323.84</v>
      </c>
      <c r="N2323">
        <v>418681.44</v>
      </c>
    </row>
    <row r="2324" spans="1:14" x14ac:dyDescent="0.25">
      <c r="A2324" t="s">
        <v>51</v>
      </c>
      <c r="B2324" t="s">
        <v>164</v>
      </c>
      <c r="C2324" t="s">
        <v>59</v>
      </c>
      <c r="D2324" t="s">
        <v>17</v>
      </c>
      <c r="E2324" t="s">
        <v>23</v>
      </c>
      <c r="F2324" s="1">
        <v>41034</v>
      </c>
      <c r="G2324">
        <v>620550572</v>
      </c>
      <c r="H2324" s="1">
        <v>41035</v>
      </c>
      <c r="I2324">
        <v>3559</v>
      </c>
      <c r="J2324">
        <v>437.2</v>
      </c>
      <c r="K2324">
        <v>263.33</v>
      </c>
      <c r="L2324">
        <v>1555994.8</v>
      </c>
      <c r="M2324">
        <v>937191.47</v>
      </c>
      <c r="N2324">
        <v>618803.32999999996</v>
      </c>
    </row>
    <row r="2325" spans="1:14" x14ac:dyDescent="0.25">
      <c r="A2325" t="s">
        <v>38</v>
      </c>
      <c r="B2325" t="s">
        <v>92</v>
      </c>
      <c r="C2325" t="s">
        <v>59</v>
      </c>
      <c r="D2325" t="s">
        <v>17</v>
      </c>
      <c r="E2325" t="s">
        <v>45</v>
      </c>
      <c r="F2325" s="1">
        <v>42379</v>
      </c>
      <c r="G2325">
        <v>113346564</v>
      </c>
      <c r="H2325" t="s">
        <v>801</v>
      </c>
      <c r="I2325">
        <v>622</v>
      </c>
      <c r="J2325">
        <v>437.2</v>
      </c>
      <c r="K2325">
        <v>263.33</v>
      </c>
      <c r="L2325">
        <v>271938.40000000002</v>
      </c>
      <c r="M2325">
        <v>163791.26</v>
      </c>
      <c r="N2325">
        <v>108147.14</v>
      </c>
    </row>
    <row r="2326" spans="1:14" x14ac:dyDescent="0.25">
      <c r="A2326" t="s">
        <v>51</v>
      </c>
      <c r="B2326" t="s">
        <v>151</v>
      </c>
      <c r="C2326" t="s">
        <v>44</v>
      </c>
      <c r="D2326" t="s">
        <v>17</v>
      </c>
      <c r="E2326" t="s">
        <v>18</v>
      </c>
      <c r="F2326" t="s">
        <v>265</v>
      </c>
      <c r="G2326">
        <v>171677529</v>
      </c>
      <c r="H2326" s="1">
        <v>40670</v>
      </c>
      <c r="I2326">
        <v>2051</v>
      </c>
      <c r="J2326">
        <v>109.28</v>
      </c>
      <c r="K2326">
        <v>35.840000000000003</v>
      </c>
      <c r="L2326">
        <v>224133.28</v>
      </c>
      <c r="M2326">
        <v>73507.839999999997</v>
      </c>
      <c r="N2326">
        <v>150625.44</v>
      </c>
    </row>
    <row r="2327" spans="1:14" x14ac:dyDescent="0.25">
      <c r="A2327" t="s">
        <v>38</v>
      </c>
      <c r="B2327" t="s">
        <v>190</v>
      </c>
      <c r="C2327" t="s">
        <v>55</v>
      </c>
      <c r="D2327" t="s">
        <v>17</v>
      </c>
      <c r="E2327" t="s">
        <v>32</v>
      </c>
      <c r="F2327" s="1">
        <v>41031</v>
      </c>
      <c r="G2327">
        <v>117467296</v>
      </c>
      <c r="H2327" t="s">
        <v>1563</v>
      </c>
      <c r="I2327">
        <v>38</v>
      </c>
      <c r="J2327">
        <v>651.21</v>
      </c>
      <c r="K2327">
        <v>524.96</v>
      </c>
      <c r="L2327">
        <v>24745.98</v>
      </c>
      <c r="M2327">
        <v>19948.48</v>
      </c>
      <c r="N2327">
        <v>4797.5</v>
      </c>
    </row>
    <row r="2328" spans="1:14" x14ac:dyDescent="0.25">
      <c r="A2328" t="s">
        <v>25</v>
      </c>
      <c r="B2328" t="s">
        <v>234</v>
      </c>
      <c r="C2328" t="s">
        <v>59</v>
      </c>
      <c r="D2328" t="s">
        <v>17</v>
      </c>
      <c r="E2328" t="s">
        <v>18</v>
      </c>
      <c r="F2328" t="s">
        <v>1264</v>
      </c>
      <c r="G2328">
        <v>692952191</v>
      </c>
      <c r="H2328" s="1">
        <v>41365</v>
      </c>
      <c r="I2328">
        <v>8807</v>
      </c>
      <c r="J2328">
        <v>437.2</v>
      </c>
      <c r="K2328">
        <v>263.33</v>
      </c>
      <c r="L2328">
        <v>3850420.4</v>
      </c>
      <c r="M2328">
        <v>2319147.31</v>
      </c>
      <c r="N2328">
        <v>1531273.09</v>
      </c>
    </row>
    <row r="2329" spans="1:14" x14ac:dyDescent="0.25">
      <c r="A2329" t="s">
        <v>42</v>
      </c>
      <c r="B2329" t="s">
        <v>476</v>
      </c>
      <c r="C2329" t="s">
        <v>59</v>
      </c>
      <c r="D2329" t="s">
        <v>22</v>
      </c>
      <c r="E2329" t="s">
        <v>18</v>
      </c>
      <c r="F2329" t="s">
        <v>717</v>
      </c>
      <c r="G2329">
        <v>910681045</v>
      </c>
      <c r="H2329" s="1">
        <v>41487</v>
      </c>
      <c r="I2329">
        <v>9613</v>
      </c>
      <c r="J2329">
        <v>437.2</v>
      </c>
      <c r="K2329">
        <v>263.33</v>
      </c>
      <c r="L2329">
        <v>4202803.5999999996</v>
      </c>
      <c r="M2329">
        <v>2531391.29</v>
      </c>
      <c r="N2329">
        <v>1671412.31</v>
      </c>
    </row>
    <row r="2330" spans="1:14" x14ac:dyDescent="0.25">
      <c r="A2330" t="s">
        <v>14</v>
      </c>
      <c r="B2330" t="s">
        <v>226</v>
      </c>
      <c r="C2330" t="s">
        <v>113</v>
      </c>
      <c r="D2330" t="s">
        <v>17</v>
      </c>
      <c r="E2330" t="s">
        <v>45</v>
      </c>
      <c r="F2330" s="1">
        <v>40911</v>
      </c>
      <c r="G2330">
        <v>303515183</v>
      </c>
      <c r="H2330" t="s">
        <v>1313</v>
      </c>
      <c r="I2330">
        <v>5742</v>
      </c>
      <c r="J2330">
        <v>154.06</v>
      </c>
      <c r="K2330">
        <v>90.93</v>
      </c>
      <c r="L2330">
        <v>884612.52</v>
      </c>
      <c r="M2330">
        <v>522120.06</v>
      </c>
      <c r="N2330">
        <v>362492.46</v>
      </c>
    </row>
    <row r="2331" spans="1:14" x14ac:dyDescent="0.25">
      <c r="A2331" t="s">
        <v>42</v>
      </c>
      <c r="B2331" t="s">
        <v>103</v>
      </c>
      <c r="C2331" t="s">
        <v>131</v>
      </c>
      <c r="D2331" t="s">
        <v>17</v>
      </c>
      <c r="E2331" t="s">
        <v>32</v>
      </c>
      <c r="F2331" t="s">
        <v>1100</v>
      </c>
      <c r="G2331">
        <v>274628436</v>
      </c>
      <c r="H2331" t="s">
        <v>876</v>
      </c>
      <c r="I2331">
        <v>7512</v>
      </c>
      <c r="J2331">
        <v>668.27</v>
      </c>
      <c r="K2331">
        <v>502.54</v>
      </c>
      <c r="L2331">
        <v>5020044.24</v>
      </c>
      <c r="M2331">
        <v>3775080.48</v>
      </c>
      <c r="N2331">
        <v>1244963.76</v>
      </c>
    </row>
    <row r="2332" spans="1:14" x14ac:dyDescent="0.25">
      <c r="A2332" t="s">
        <v>25</v>
      </c>
      <c r="B2332" t="s">
        <v>196</v>
      </c>
      <c r="C2332" t="s">
        <v>27</v>
      </c>
      <c r="D2332" t="s">
        <v>22</v>
      </c>
      <c r="E2332" t="s">
        <v>32</v>
      </c>
      <c r="F2332" s="1">
        <v>41464</v>
      </c>
      <c r="G2332">
        <v>947507131</v>
      </c>
      <c r="H2332" t="s">
        <v>1021</v>
      </c>
      <c r="I2332">
        <v>7271</v>
      </c>
      <c r="J2332">
        <v>47.45</v>
      </c>
      <c r="K2332">
        <v>31.79</v>
      </c>
      <c r="L2332">
        <v>345008.95</v>
      </c>
      <c r="M2332">
        <v>231145.09</v>
      </c>
      <c r="N2332">
        <v>113863.86</v>
      </c>
    </row>
    <row r="2333" spans="1:14" x14ac:dyDescent="0.25">
      <c r="A2333" t="s">
        <v>42</v>
      </c>
      <c r="B2333" t="s">
        <v>573</v>
      </c>
      <c r="C2333" t="s">
        <v>27</v>
      </c>
      <c r="D2333" t="s">
        <v>22</v>
      </c>
      <c r="E2333" t="s">
        <v>32</v>
      </c>
      <c r="F2333" t="s">
        <v>1342</v>
      </c>
      <c r="G2333">
        <v>715950095</v>
      </c>
      <c r="H2333" s="1">
        <v>40180</v>
      </c>
      <c r="I2333">
        <v>4398</v>
      </c>
      <c r="J2333">
        <v>47.45</v>
      </c>
      <c r="K2333">
        <v>31.79</v>
      </c>
      <c r="L2333">
        <v>208685.1</v>
      </c>
      <c r="M2333">
        <v>139812.42000000001</v>
      </c>
      <c r="N2333">
        <v>68872.679999999993</v>
      </c>
    </row>
    <row r="2334" spans="1:14" x14ac:dyDescent="0.25">
      <c r="A2334" t="s">
        <v>29</v>
      </c>
      <c r="B2334" t="s">
        <v>375</v>
      </c>
      <c r="C2334" t="s">
        <v>88</v>
      </c>
      <c r="D2334" t="s">
        <v>22</v>
      </c>
      <c r="E2334" t="s">
        <v>23</v>
      </c>
      <c r="F2334" t="s">
        <v>1109</v>
      </c>
      <c r="G2334">
        <v>294068658</v>
      </c>
      <c r="H2334" s="1">
        <v>42529</v>
      </c>
      <c r="I2334">
        <v>306</v>
      </c>
      <c r="J2334">
        <v>9.33</v>
      </c>
      <c r="K2334">
        <v>6.92</v>
      </c>
      <c r="L2334">
        <v>2854.98</v>
      </c>
      <c r="M2334">
        <v>2117.52</v>
      </c>
      <c r="N2334">
        <v>737.46</v>
      </c>
    </row>
    <row r="2335" spans="1:14" x14ac:dyDescent="0.25">
      <c r="A2335" t="s">
        <v>51</v>
      </c>
      <c r="B2335" t="s">
        <v>108</v>
      </c>
      <c r="C2335" t="s">
        <v>40</v>
      </c>
      <c r="D2335" t="s">
        <v>22</v>
      </c>
      <c r="E2335" t="s">
        <v>23</v>
      </c>
      <c r="F2335" t="s">
        <v>736</v>
      </c>
      <c r="G2335">
        <v>466286647</v>
      </c>
      <c r="H2335" t="s">
        <v>1543</v>
      </c>
      <c r="I2335">
        <v>3436</v>
      </c>
      <c r="J2335">
        <v>81.73</v>
      </c>
      <c r="K2335">
        <v>56.67</v>
      </c>
      <c r="L2335">
        <v>280824.28000000003</v>
      </c>
      <c r="M2335">
        <v>194718.12</v>
      </c>
      <c r="N2335">
        <v>86106.16</v>
      </c>
    </row>
    <row r="2336" spans="1:14" x14ac:dyDescent="0.25">
      <c r="A2336" t="s">
        <v>38</v>
      </c>
      <c r="B2336" t="s">
        <v>156</v>
      </c>
      <c r="C2336" t="s">
        <v>69</v>
      </c>
      <c r="D2336" t="s">
        <v>22</v>
      </c>
      <c r="E2336" t="s">
        <v>23</v>
      </c>
      <c r="F2336" t="s">
        <v>1121</v>
      </c>
      <c r="G2336">
        <v>737340390</v>
      </c>
      <c r="H2336" s="1">
        <v>41285</v>
      </c>
      <c r="I2336">
        <v>4262</v>
      </c>
      <c r="J2336">
        <v>421.89</v>
      </c>
      <c r="K2336">
        <v>364.69</v>
      </c>
      <c r="L2336">
        <v>1798095.18</v>
      </c>
      <c r="M2336">
        <v>1554308.78</v>
      </c>
      <c r="N2336">
        <v>243786.4</v>
      </c>
    </row>
    <row r="2337" spans="1:14" x14ac:dyDescent="0.25">
      <c r="A2337" t="s">
        <v>51</v>
      </c>
      <c r="B2337" t="s">
        <v>487</v>
      </c>
      <c r="C2337" t="s">
        <v>55</v>
      </c>
      <c r="D2337" t="s">
        <v>22</v>
      </c>
      <c r="E2337" t="s">
        <v>23</v>
      </c>
      <c r="F2337" t="s">
        <v>1227</v>
      </c>
      <c r="G2337">
        <v>682278716</v>
      </c>
      <c r="H2337" s="1">
        <v>42005</v>
      </c>
      <c r="I2337">
        <v>289</v>
      </c>
      <c r="J2337">
        <v>651.21</v>
      </c>
      <c r="K2337">
        <v>524.96</v>
      </c>
      <c r="L2337">
        <v>188199.69</v>
      </c>
      <c r="M2337">
        <v>151713.44</v>
      </c>
      <c r="N2337">
        <v>36486.25</v>
      </c>
    </row>
    <row r="2338" spans="1:14" x14ac:dyDescent="0.25">
      <c r="A2338" t="s">
        <v>25</v>
      </c>
      <c r="B2338" t="s">
        <v>615</v>
      </c>
      <c r="C2338" t="s">
        <v>40</v>
      </c>
      <c r="D2338" t="s">
        <v>22</v>
      </c>
      <c r="E2338" t="s">
        <v>32</v>
      </c>
      <c r="F2338" t="s">
        <v>1220</v>
      </c>
      <c r="G2338">
        <v>396462953</v>
      </c>
      <c r="H2338" t="s">
        <v>1196</v>
      </c>
      <c r="I2338">
        <v>1053</v>
      </c>
      <c r="J2338">
        <v>81.73</v>
      </c>
      <c r="K2338">
        <v>56.67</v>
      </c>
      <c r="L2338">
        <v>86061.69</v>
      </c>
      <c r="M2338">
        <v>59673.51</v>
      </c>
      <c r="N2338">
        <v>26388.18</v>
      </c>
    </row>
    <row r="2339" spans="1:14" x14ac:dyDescent="0.25">
      <c r="A2339" t="s">
        <v>29</v>
      </c>
      <c r="B2339" t="s">
        <v>619</v>
      </c>
      <c r="C2339" t="s">
        <v>69</v>
      </c>
      <c r="D2339" t="s">
        <v>17</v>
      </c>
      <c r="E2339" t="s">
        <v>45</v>
      </c>
      <c r="F2339" s="1">
        <v>42345</v>
      </c>
      <c r="G2339">
        <v>945566928</v>
      </c>
      <c r="H2339" t="s">
        <v>36</v>
      </c>
      <c r="I2339">
        <v>3121</v>
      </c>
      <c r="J2339">
        <v>421.89</v>
      </c>
      <c r="K2339">
        <v>364.69</v>
      </c>
      <c r="L2339">
        <v>1316718.69</v>
      </c>
      <c r="M2339">
        <v>1138197.49</v>
      </c>
      <c r="N2339">
        <v>178521.2</v>
      </c>
    </row>
    <row r="2340" spans="1:14" x14ac:dyDescent="0.25">
      <c r="A2340" t="s">
        <v>29</v>
      </c>
      <c r="B2340" t="s">
        <v>159</v>
      </c>
      <c r="C2340" t="s">
        <v>59</v>
      </c>
      <c r="D2340" t="s">
        <v>17</v>
      </c>
      <c r="E2340" t="s">
        <v>23</v>
      </c>
      <c r="F2340" t="s">
        <v>1564</v>
      </c>
      <c r="G2340">
        <v>315576970</v>
      </c>
      <c r="H2340" t="s">
        <v>1565</v>
      </c>
      <c r="I2340">
        <v>5093</v>
      </c>
      <c r="J2340">
        <v>437.2</v>
      </c>
      <c r="K2340">
        <v>263.33</v>
      </c>
      <c r="L2340">
        <v>2226659.6</v>
      </c>
      <c r="M2340">
        <v>1341139.69</v>
      </c>
      <c r="N2340">
        <v>885519.91</v>
      </c>
    </row>
    <row r="2341" spans="1:14" x14ac:dyDescent="0.25">
      <c r="A2341" t="s">
        <v>25</v>
      </c>
      <c r="B2341" t="s">
        <v>185</v>
      </c>
      <c r="C2341" t="s">
        <v>27</v>
      </c>
      <c r="D2341" t="s">
        <v>22</v>
      </c>
      <c r="E2341" t="s">
        <v>18</v>
      </c>
      <c r="F2341" t="s">
        <v>1566</v>
      </c>
      <c r="G2341">
        <v>162791907</v>
      </c>
      <c r="H2341" t="s">
        <v>736</v>
      </c>
      <c r="I2341">
        <v>2598</v>
      </c>
      <c r="J2341">
        <v>47.45</v>
      </c>
      <c r="K2341">
        <v>31.79</v>
      </c>
      <c r="L2341">
        <v>123275.1</v>
      </c>
      <c r="M2341">
        <v>82590.42</v>
      </c>
      <c r="N2341">
        <v>40684.68</v>
      </c>
    </row>
    <row r="2342" spans="1:14" x14ac:dyDescent="0.25">
      <c r="A2342" t="s">
        <v>29</v>
      </c>
      <c r="B2342" t="s">
        <v>30</v>
      </c>
      <c r="C2342" t="s">
        <v>131</v>
      </c>
      <c r="D2342" t="s">
        <v>17</v>
      </c>
      <c r="E2342" t="s">
        <v>18</v>
      </c>
      <c r="F2342" s="1">
        <v>40515</v>
      </c>
      <c r="G2342">
        <v>863823068</v>
      </c>
      <c r="H2342" s="1">
        <v>40425</v>
      </c>
      <c r="I2342">
        <v>3297</v>
      </c>
      <c r="J2342">
        <v>668.27</v>
      </c>
      <c r="K2342">
        <v>502.54</v>
      </c>
      <c r="L2342">
        <v>2203286.19</v>
      </c>
      <c r="M2342">
        <v>1656874.38</v>
      </c>
      <c r="N2342">
        <v>546411.81000000006</v>
      </c>
    </row>
    <row r="2343" spans="1:14" x14ac:dyDescent="0.25">
      <c r="A2343" t="s">
        <v>29</v>
      </c>
      <c r="B2343" t="s">
        <v>619</v>
      </c>
      <c r="C2343" t="s">
        <v>69</v>
      </c>
      <c r="D2343" t="s">
        <v>17</v>
      </c>
      <c r="E2343" t="s">
        <v>32</v>
      </c>
      <c r="F2343" t="s">
        <v>862</v>
      </c>
      <c r="G2343">
        <v>165594279</v>
      </c>
      <c r="H2343" s="1">
        <v>40402</v>
      </c>
      <c r="I2343">
        <v>1882</v>
      </c>
      <c r="J2343">
        <v>421.89</v>
      </c>
      <c r="K2343">
        <v>364.69</v>
      </c>
      <c r="L2343">
        <v>793996.98</v>
      </c>
      <c r="M2343">
        <v>686346.58</v>
      </c>
      <c r="N2343">
        <v>107650.4</v>
      </c>
    </row>
    <row r="2344" spans="1:14" x14ac:dyDescent="0.25">
      <c r="A2344" t="s">
        <v>25</v>
      </c>
      <c r="B2344" t="s">
        <v>112</v>
      </c>
      <c r="C2344" t="s">
        <v>59</v>
      </c>
      <c r="D2344" t="s">
        <v>17</v>
      </c>
      <c r="E2344" t="s">
        <v>18</v>
      </c>
      <c r="F2344" t="s">
        <v>1249</v>
      </c>
      <c r="G2344">
        <v>835341870</v>
      </c>
      <c r="H2344" t="s">
        <v>852</v>
      </c>
      <c r="I2344">
        <v>5077</v>
      </c>
      <c r="J2344">
        <v>437.2</v>
      </c>
      <c r="K2344">
        <v>263.33</v>
      </c>
      <c r="L2344">
        <v>2219664.4</v>
      </c>
      <c r="M2344">
        <v>1336926.4099999999</v>
      </c>
      <c r="N2344">
        <v>882737.99</v>
      </c>
    </row>
    <row r="2345" spans="1:14" x14ac:dyDescent="0.25">
      <c r="A2345" t="s">
        <v>51</v>
      </c>
      <c r="B2345" t="s">
        <v>593</v>
      </c>
      <c r="C2345" t="s">
        <v>44</v>
      </c>
      <c r="D2345" t="s">
        <v>22</v>
      </c>
      <c r="E2345" t="s">
        <v>23</v>
      </c>
      <c r="F2345" t="s">
        <v>1297</v>
      </c>
      <c r="G2345">
        <v>310614669</v>
      </c>
      <c r="H2345" t="s">
        <v>132</v>
      </c>
      <c r="I2345">
        <v>6638</v>
      </c>
      <c r="J2345">
        <v>109.28</v>
      </c>
      <c r="K2345">
        <v>35.840000000000003</v>
      </c>
      <c r="L2345">
        <v>725400.64</v>
      </c>
      <c r="M2345">
        <v>237905.92000000001</v>
      </c>
      <c r="N2345">
        <v>487494.72</v>
      </c>
    </row>
    <row r="2346" spans="1:14" x14ac:dyDescent="0.25">
      <c r="A2346" t="s">
        <v>25</v>
      </c>
      <c r="B2346" t="s">
        <v>266</v>
      </c>
      <c r="C2346" t="s">
        <v>131</v>
      </c>
      <c r="D2346" t="s">
        <v>22</v>
      </c>
      <c r="E2346" t="s">
        <v>23</v>
      </c>
      <c r="F2346" t="s">
        <v>1567</v>
      </c>
      <c r="G2346">
        <v>149274003</v>
      </c>
      <c r="H2346" t="s">
        <v>385</v>
      </c>
      <c r="I2346">
        <v>2350</v>
      </c>
      <c r="J2346">
        <v>668.27</v>
      </c>
      <c r="K2346">
        <v>502.54</v>
      </c>
      <c r="L2346">
        <v>1570434.5</v>
      </c>
      <c r="M2346">
        <v>1180969</v>
      </c>
      <c r="N2346">
        <v>389465.5</v>
      </c>
    </row>
    <row r="2347" spans="1:14" x14ac:dyDescent="0.25">
      <c r="A2347" t="s">
        <v>38</v>
      </c>
      <c r="B2347" t="s">
        <v>83</v>
      </c>
      <c r="C2347" t="s">
        <v>27</v>
      </c>
      <c r="D2347" t="s">
        <v>22</v>
      </c>
      <c r="E2347" t="s">
        <v>45</v>
      </c>
      <c r="F2347" t="s">
        <v>99</v>
      </c>
      <c r="G2347">
        <v>179493701</v>
      </c>
      <c r="H2347" s="1">
        <v>41092</v>
      </c>
      <c r="I2347">
        <v>5030</v>
      </c>
      <c r="J2347">
        <v>47.45</v>
      </c>
      <c r="K2347">
        <v>31.79</v>
      </c>
      <c r="L2347">
        <v>238673.5</v>
      </c>
      <c r="M2347">
        <v>159903.70000000001</v>
      </c>
      <c r="N2347">
        <v>78769.8</v>
      </c>
    </row>
    <row r="2348" spans="1:14" x14ac:dyDescent="0.25">
      <c r="A2348" t="s">
        <v>51</v>
      </c>
      <c r="B2348" t="s">
        <v>360</v>
      </c>
      <c r="C2348" t="s">
        <v>44</v>
      </c>
      <c r="D2348" t="s">
        <v>17</v>
      </c>
      <c r="E2348" t="s">
        <v>18</v>
      </c>
      <c r="F2348" s="1">
        <v>40758</v>
      </c>
      <c r="G2348">
        <v>749760091</v>
      </c>
      <c r="H2348" t="s">
        <v>1568</v>
      </c>
      <c r="I2348">
        <v>9527</v>
      </c>
      <c r="J2348">
        <v>109.28</v>
      </c>
      <c r="K2348">
        <v>35.840000000000003</v>
      </c>
      <c r="L2348">
        <v>1041110.56</v>
      </c>
      <c r="M2348">
        <v>341447.67999999999</v>
      </c>
      <c r="N2348">
        <v>699662.88</v>
      </c>
    </row>
    <row r="2349" spans="1:14" x14ac:dyDescent="0.25">
      <c r="A2349" t="s">
        <v>42</v>
      </c>
      <c r="B2349" t="s">
        <v>290</v>
      </c>
      <c r="C2349" t="s">
        <v>16</v>
      </c>
      <c r="D2349" t="s">
        <v>22</v>
      </c>
      <c r="E2349" t="s">
        <v>23</v>
      </c>
      <c r="F2349" t="s">
        <v>452</v>
      </c>
      <c r="G2349">
        <v>478872001</v>
      </c>
      <c r="H2349" t="s">
        <v>255</v>
      </c>
      <c r="I2349">
        <v>7721</v>
      </c>
      <c r="J2349">
        <v>255.28</v>
      </c>
      <c r="K2349">
        <v>159.41999999999999</v>
      </c>
      <c r="L2349">
        <v>1971016.88</v>
      </c>
      <c r="M2349">
        <v>1230881.82</v>
      </c>
      <c r="N2349">
        <v>740135.06</v>
      </c>
    </row>
    <row r="2350" spans="1:14" x14ac:dyDescent="0.25">
      <c r="A2350" t="s">
        <v>42</v>
      </c>
      <c r="B2350" t="s">
        <v>290</v>
      </c>
      <c r="C2350" t="s">
        <v>27</v>
      </c>
      <c r="D2350" t="s">
        <v>17</v>
      </c>
      <c r="E2350" t="s">
        <v>32</v>
      </c>
      <c r="F2350" s="1">
        <v>42828</v>
      </c>
      <c r="G2350">
        <v>305940759</v>
      </c>
      <c r="H2350" t="s">
        <v>324</v>
      </c>
      <c r="I2350">
        <v>3524</v>
      </c>
      <c r="J2350">
        <v>47.45</v>
      </c>
      <c r="K2350">
        <v>31.79</v>
      </c>
      <c r="L2350">
        <v>167213.79999999999</v>
      </c>
      <c r="M2350">
        <v>112027.96</v>
      </c>
      <c r="N2350">
        <v>55185.84</v>
      </c>
    </row>
    <row r="2351" spans="1:14" x14ac:dyDescent="0.25">
      <c r="A2351" t="s">
        <v>29</v>
      </c>
      <c r="B2351" t="s">
        <v>393</v>
      </c>
      <c r="C2351" t="s">
        <v>27</v>
      </c>
      <c r="D2351" t="s">
        <v>17</v>
      </c>
      <c r="E2351" t="s">
        <v>23</v>
      </c>
      <c r="F2351" t="s">
        <v>587</v>
      </c>
      <c r="G2351">
        <v>340390193</v>
      </c>
      <c r="H2351" t="s">
        <v>528</v>
      </c>
      <c r="I2351">
        <v>7877</v>
      </c>
      <c r="J2351">
        <v>47.45</v>
      </c>
      <c r="K2351">
        <v>31.79</v>
      </c>
      <c r="L2351">
        <v>373763.65</v>
      </c>
      <c r="M2351">
        <v>250409.83</v>
      </c>
      <c r="N2351">
        <v>123353.82</v>
      </c>
    </row>
    <row r="2352" spans="1:14" x14ac:dyDescent="0.25">
      <c r="A2352" t="s">
        <v>25</v>
      </c>
      <c r="B2352" t="s">
        <v>87</v>
      </c>
      <c r="C2352" t="s">
        <v>59</v>
      </c>
      <c r="D2352" t="s">
        <v>22</v>
      </c>
      <c r="E2352" t="s">
        <v>23</v>
      </c>
      <c r="F2352" s="1">
        <v>42826</v>
      </c>
      <c r="G2352">
        <v>311956632</v>
      </c>
      <c r="H2352" s="1">
        <v>43009</v>
      </c>
      <c r="I2352">
        <v>3755</v>
      </c>
      <c r="J2352">
        <v>437.2</v>
      </c>
      <c r="K2352">
        <v>263.33</v>
      </c>
      <c r="L2352">
        <v>1641686</v>
      </c>
      <c r="M2352">
        <v>988804.15</v>
      </c>
      <c r="N2352">
        <v>652881.85</v>
      </c>
    </row>
    <row r="2353" spans="1:14" x14ac:dyDescent="0.25">
      <c r="A2353" t="s">
        <v>25</v>
      </c>
      <c r="B2353" t="s">
        <v>196</v>
      </c>
      <c r="C2353" t="s">
        <v>16</v>
      </c>
      <c r="D2353" t="s">
        <v>22</v>
      </c>
      <c r="E2353" t="s">
        <v>32</v>
      </c>
      <c r="F2353" s="1">
        <v>41764</v>
      </c>
      <c r="G2353">
        <v>920688903</v>
      </c>
      <c r="H2353" s="1">
        <v>41979</v>
      </c>
      <c r="I2353">
        <v>1161</v>
      </c>
      <c r="J2353">
        <v>255.28</v>
      </c>
      <c r="K2353">
        <v>159.41999999999999</v>
      </c>
      <c r="L2353">
        <v>296380.08</v>
      </c>
      <c r="M2353">
        <v>185086.62</v>
      </c>
      <c r="N2353">
        <v>111293.46</v>
      </c>
    </row>
    <row r="2354" spans="1:14" x14ac:dyDescent="0.25">
      <c r="A2354" t="s">
        <v>29</v>
      </c>
      <c r="B2354" t="s">
        <v>121</v>
      </c>
      <c r="C2354" t="s">
        <v>69</v>
      </c>
      <c r="D2354" t="s">
        <v>17</v>
      </c>
      <c r="E2354" t="s">
        <v>32</v>
      </c>
      <c r="F2354" s="1">
        <v>41614</v>
      </c>
      <c r="G2354">
        <v>686948335</v>
      </c>
      <c r="H2354" t="s">
        <v>1309</v>
      </c>
      <c r="I2354">
        <v>2133</v>
      </c>
      <c r="J2354">
        <v>421.89</v>
      </c>
      <c r="K2354">
        <v>364.69</v>
      </c>
      <c r="L2354">
        <v>899891.37</v>
      </c>
      <c r="M2354">
        <v>777883.77</v>
      </c>
      <c r="N2354">
        <v>122007.6</v>
      </c>
    </row>
    <row r="2355" spans="1:14" x14ac:dyDescent="0.25">
      <c r="A2355" t="s">
        <v>51</v>
      </c>
      <c r="B2355" t="s">
        <v>166</v>
      </c>
      <c r="C2355" t="s">
        <v>131</v>
      </c>
      <c r="D2355" t="s">
        <v>22</v>
      </c>
      <c r="E2355" t="s">
        <v>23</v>
      </c>
      <c r="F2355" t="s">
        <v>869</v>
      </c>
      <c r="G2355">
        <v>901408755</v>
      </c>
      <c r="H2355" s="1">
        <v>41647</v>
      </c>
      <c r="I2355">
        <v>5737</v>
      </c>
      <c r="J2355">
        <v>668.27</v>
      </c>
      <c r="K2355">
        <v>502.54</v>
      </c>
      <c r="L2355">
        <v>3833864.99</v>
      </c>
      <c r="M2355">
        <v>2883071.98</v>
      </c>
      <c r="N2355">
        <v>950793.01</v>
      </c>
    </row>
    <row r="2356" spans="1:14" x14ac:dyDescent="0.25">
      <c r="A2356" t="s">
        <v>51</v>
      </c>
      <c r="B2356" t="s">
        <v>414</v>
      </c>
      <c r="C2356" t="s">
        <v>69</v>
      </c>
      <c r="D2356" t="s">
        <v>17</v>
      </c>
      <c r="E2356" t="s">
        <v>23</v>
      </c>
      <c r="F2356" t="s">
        <v>1096</v>
      </c>
      <c r="G2356">
        <v>675056493</v>
      </c>
      <c r="H2356" t="s">
        <v>285</v>
      </c>
      <c r="I2356">
        <v>3072</v>
      </c>
      <c r="J2356">
        <v>421.89</v>
      </c>
      <c r="K2356">
        <v>364.69</v>
      </c>
      <c r="L2356">
        <v>1296046.0800000001</v>
      </c>
      <c r="M2356">
        <v>1120327.6799999999</v>
      </c>
      <c r="N2356">
        <v>175718.39999999999</v>
      </c>
    </row>
    <row r="2357" spans="1:14" x14ac:dyDescent="0.25">
      <c r="A2357" t="s">
        <v>51</v>
      </c>
      <c r="B2357" t="s">
        <v>100</v>
      </c>
      <c r="C2357" t="s">
        <v>27</v>
      </c>
      <c r="D2357" t="s">
        <v>22</v>
      </c>
      <c r="E2357" t="s">
        <v>23</v>
      </c>
      <c r="F2357" s="1">
        <v>42856</v>
      </c>
      <c r="G2357">
        <v>989190375</v>
      </c>
      <c r="H2357" s="1">
        <v>43009</v>
      </c>
      <c r="I2357">
        <v>2269</v>
      </c>
      <c r="J2357">
        <v>47.45</v>
      </c>
      <c r="K2357">
        <v>31.79</v>
      </c>
      <c r="L2357">
        <v>107664.05</v>
      </c>
      <c r="M2357">
        <v>72131.509999999995</v>
      </c>
      <c r="N2357">
        <v>35532.54</v>
      </c>
    </row>
    <row r="2358" spans="1:14" x14ac:dyDescent="0.25">
      <c r="A2358" t="s">
        <v>29</v>
      </c>
      <c r="B2358" t="s">
        <v>585</v>
      </c>
      <c r="C2358" t="s">
        <v>131</v>
      </c>
      <c r="D2358" t="s">
        <v>22</v>
      </c>
      <c r="E2358" t="s">
        <v>32</v>
      </c>
      <c r="F2358" s="1">
        <v>42377</v>
      </c>
      <c r="G2358">
        <v>645421731</v>
      </c>
      <c r="H2358" t="s">
        <v>1391</v>
      </c>
      <c r="I2358">
        <v>3488</v>
      </c>
      <c r="J2358">
        <v>668.27</v>
      </c>
      <c r="K2358">
        <v>502.54</v>
      </c>
      <c r="L2358">
        <v>2330925.7599999998</v>
      </c>
      <c r="M2358">
        <v>1752859.52</v>
      </c>
      <c r="N2358">
        <v>578066.24</v>
      </c>
    </row>
    <row r="2359" spans="1:14" x14ac:dyDescent="0.25">
      <c r="A2359" t="s">
        <v>29</v>
      </c>
      <c r="B2359" t="s">
        <v>494</v>
      </c>
      <c r="C2359" t="s">
        <v>69</v>
      </c>
      <c r="D2359" t="s">
        <v>17</v>
      </c>
      <c r="E2359" t="s">
        <v>45</v>
      </c>
      <c r="F2359" s="1">
        <v>41794</v>
      </c>
      <c r="G2359">
        <v>315674388</v>
      </c>
      <c r="H2359" t="s">
        <v>499</v>
      </c>
      <c r="I2359">
        <v>3921</v>
      </c>
      <c r="J2359">
        <v>421.89</v>
      </c>
      <c r="K2359">
        <v>364.69</v>
      </c>
      <c r="L2359">
        <v>1654230.69</v>
      </c>
      <c r="M2359">
        <v>1429949.49</v>
      </c>
      <c r="N2359">
        <v>224281.2</v>
      </c>
    </row>
    <row r="2360" spans="1:14" x14ac:dyDescent="0.25">
      <c r="A2360" t="s">
        <v>38</v>
      </c>
      <c r="B2360" t="s">
        <v>527</v>
      </c>
      <c r="C2360" t="s">
        <v>31</v>
      </c>
      <c r="D2360" t="s">
        <v>22</v>
      </c>
      <c r="E2360" t="s">
        <v>23</v>
      </c>
      <c r="F2360" t="s">
        <v>65</v>
      </c>
      <c r="G2360">
        <v>292184674</v>
      </c>
      <c r="H2360" t="s">
        <v>65</v>
      </c>
      <c r="I2360">
        <v>2793</v>
      </c>
      <c r="J2360">
        <v>205.7</v>
      </c>
      <c r="K2360">
        <v>117.11</v>
      </c>
      <c r="L2360">
        <v>574520.1</v>
      </c>
      <c r="M2360">
        <v>327088.23</v>
      </c>
      <c r="N2360">
        <v>247431.87</v>
      </c>
    </row>
    <row r="2361" spans="1:14" x14ac:dyDescent="0.25">
      <c r="A2361" t="s">
        <v>38</v>
      </c>
      <c r="B2361" t="s">
        <v>85</v>
      </c>
      <c r="C2361" t="s">
        <v>16</v>
      </c>
      <c r="D2361" t="s">
        <v>22</v>
      </c>
      <c r="E2361" t="s">
        <v>18</v>
      </c>
      <c r="F2361" s="1">
        <v>42285</v>
      </c>
      <c r="G2361">
        <v>937501418</v>
      </c>
      <c r="H2361" t="s">
        <v>1569</v>
      </c>
      <c r="I2361">
        <v>6358</v>
      </c>
      <c r="J2361">
        <v>255.28</v>
      </c>
      <c r="K2361">
        <v>159.41999999999999</v>
      </c>
      <c r="L2361">
        <v>1623070.24</v>
      </c>
      <c r="M2361">
        <v>1013592.36</v>
      </c>
      <c r="N2361">
        <v>609477.88</v>
      </c>
    </row>
    <row r="2362" spans="1:14" x14ac:dyDescent="0.25">
      <c r="A2362" t="s">
        <v>25</v>
      </c>
      <c r="B2362" t="s">
        <v>142</v>
      </c>
      <c r="C2362" t="s">
        <v>40</v>
      </c>
      <c r="D2362" t="s">
        <v>17</v>
      </c>
      <c r="E2362" t="s">
        <v>32</v>
      </c>
      <c r="F2362" t="s">
        <v>965</v>
      </c>
      <c r="G2362">
        <v>434485948</v>
      </c>
      <c r="H2362" s="1">
        <v>40248</v>
      </c>
      <c r="I2362">
        <v>2902</v>
      </c>
      <c r="J2362">
        <v>81.73</v>
      </c>
      <c r="K2362">
        <v>56.67</v>
      </c>
      <c r="L2362">
        <v>237180.46</v>
      </c>
      <c r="M2362">
        <v>164456.34</v>
      </c>
      <c r="N2362">
        <v>72724.12</v>
      </c>
    </row>
    <row r="2363" spans="1:14" x14ac:dyDescent="0.25">
      <c r="A2363" t="s">
        <v>38</v>
      </c>
      <c r="B2363" t="s">
        <v>117</v>
      </c>
      <c r="C2363" t="s">
        <v>40</v>
      </c>
      <c r="D2363" t="s">
        <v>22</v>
      </c>
      <c r="E2363" t="s">
        <v>32</v>
      </c>
      <c r="F2363" s="1">
        <v>42828</v>
      </c>
      <c r="G2363">
        <v>636312091</v>
      </c>
      <c r="H2363" t="s">
        <v>1403</v>
      </c>
      <c r="I2363">
        <v>7743</v>
      </c>
      <c r="J2363">
        <v>81.73</v>
      </c>
      <c r="K2363">
        <v>56.67</v>
      </c>
      <c r="L2363">
        <v>632835.39</v>
      </c>
      <c r="M2363">
        <v>438795.81</v>
      </c>
      <c r="N2363">
        <v>194039.58</v>
      </c>
    </row>
    <row r="2364" spans="1:14" x14ac:dyDescent="0.25">
      <c r="A2364" t="s">
        <v>25</v>
      </c>
      <c r="B2364" t="s">
        <v>87</v>
      </c>
      <c r="C2364" t="s">
        <v>16</v>
      </c>
      <c r="D2364" t="s">
        <v>22</v>
      </c>
      <c r="E2364" t="s">
        <v>45</v>
      </c>
      <c r="F2364" t="s">
        <v>799</v>
      </c>
      <c r="G2364">
        <v>316466176</v>
      </c>
      <c r="H2364" s="1">
        <v>41676</v>
      </c>
      <c r="I2364">
        <v>8229</v>
      </c>
      <c r="J2364">
        <v>255.28</v>
      </c>
      <c r="K2364">
        <v>159.41999999999999</v>
      </c>
      <c r="L2364">
        <v>2100699.12</v>
      </c>
      <c r="M2364">
        <v>1311867.18</v>
      </c>
      <c r="N2364">
        <v>788831.94</v>
      </c>
    </row>
    <row r="2365" spans="1:14" x14ac:dyDescent="0.25">
      <c r="A2365" t="s">
        <v>29</v>
      </c>
      <c r="B2365" t="s">
        <v>61</v>
      </c>
      <c r="C2365" t="s">
        <v>113</v>
      </c>
      <c r="D2365" t="s">
        <v>22</v>
      </c>
      <c r="E2365" t="s">
        <v>45</v>
      </c>
      <c r="F2365" t="s">
        <v>878</v>
      </c>
      <c r="G2365">
        <v>118747031</v>
      </c>
      <c r="H2365" s="1">
        <v>43010</v>
      </c>
      <c r="I2365">
        <v>8740</v>
      </c>
      <c r="J2365">
        <v>154.06</v>
      </c>
      <c r="K2365">
        <v>90.93</v>
      </c>
      <c r="L2365">
        <v>1346484.4</v>
      </c>
      <c r="M2365">
        <v>794728.2</v>
      </c>
      <c r="N2365">
        <v>551756.19999999995</v>
      </c>
    </row>
    <row r="2366" spans="1:14" x14ac:dyDescent="0.25">
      <c r="A2366" t="s">
        <v>14</v>
      </c>
      <c r="B2366" t="s">
        <v>357</v>
      </c>
      <c r="C2366" t="s">
        <v>131</v>
      </c>
      <c r="D2366" t="s">
        <v>17</v>
      </c>
      <c r="E2366" t="s">
        <v>23</v>
      </c>
      <c r="F2366" t="s">
        <v>1266</v>
      </c>
      <c r="G2366">
        <v>307265985</v>
      </c>
      <c r="H2366" s="1">
        <v>40273</v>
      </c>
      <c r="I2366">
        <v>5688</v>
      </c>
      <c r="J2366">
        <v>668.27</v>
      </c>
      <c r="K2366">
        <v>502.54</v>
      </c>
      <c r="L2366">
        <v>3801119.76</v>
      </c>
      <c r="M2366">
        <v>2858447.52</v>
      </c>
      <c r="N2366">
        <v>942672.24</v>
      </c>
    </row>
    <row r="2367" spans="1:14" x14ac:dyDescent="0.25">
      <c r="A2367" t="s">
        <v>14</v>
      </c>
      <c r="B2367" t="s">
        <v>94</v>
      </c>
      <c r="C2367" t="s">
        <v>31</v>
      </c>
      <c r="D2367" t="s">
        <v>22</v>
      </c>
      <c r="E2367" t="s">
        <v>18</v>
      </c>
      <c r="F2367" s="1">
        <v>41924</v>
      </c>
      <c r="G2367">
        <v>316446864</v>
      </c>
      <c r="H2367" t="s">
        <v>1570</v>
      </c>
      <c r="I2367">
        <v>2514</v>
      </c>
      <c r="J2367">
        <v>205.7</v>
      </c>
      <c r="K2367">
        <v>117.11</v>
      </c>
      <c r="L2367">
        <v>517129.8</v>
      </c>
      <c r="M2367">
        <v>294414.53999999998</v>
      </c>
      <c r="N2367">
        <v>222715.26</v>
      </c>
    </row>
    <row r="2368" spans="1:14" x14ac:dyDescent="0.25">
      <c r="A2368" t="s">
        <v>25</v>
      </c>
      <c r="B2368" t="s">
        <v>339</v>
      </c>
      <c r="C2368" t="s">
        <v>131</v>
      </c>
      <c r="D2368" t="s">
        <v>17</v>
      </c>
      <c r="E2368" t="s">
        <v>18</v>
      </c>
      <c r="F2368" t="s">
        <v>1531</v>
      </c>
      <c r="G2368">
        <v>101025998</v>
      </c>
      <c r="H2368" s="1">
        <v>41951</v>
      </c>
      <c r="I2368">
        <v>4693</v>
      </c>
      <c r="J2368">
        <v>668.27</v>
      </c>
      <c r="K2368">
        <v>502.54</v>
      </c>
      <c r="L2368">
        <v>3136191.11</v>
      </c>
      <c r="M2368">
        <v>2358420.2200000002</v>
      </c>
      <c r="N2368">
        <v>777770.89</v>
      </c>
    </row>
    <row r="2369" spans="1:14" x14ac:dyDescent="0.25">
      <c r="A2369" t="s">
        <v>42</v>
      </c>
      <c r="B2369" t="s">
        <v>681</v>
      </c>
      <c r="C2369" t="s">
        <v>113</v>
      </c>
      <c r="D2369" t="s">
        <v>22</v>
      </c>
      <c r="E2369" t="s">
        <v>45</v>
      </c>
      <c r="F2369" s="1">
        <v>41132</v>
      </c>
      <c r="G2369">
        <v>586052215</v>
      </c>
      <c r="H2369" t="s">
        <v>717</v>
      </c>
      <c r="I2369">
        <v>4729</v>
      </c>
      <c r="J2369">
        <v>154.06</v>
      </c>
      <c r="K2369">
        <v>90.93</v>
      </c>
      <c r="L2369">
        <v>728549.74</v>
      </c>
      <c r="M2369">
        <v>430007.97</v>
      </c>
      <c r="N2369">
        <v>298541.77</v>
      </c>
    </row>
    <row r="2370" spans="1:14" x14ac:dyDescent="0.25">
      <c r="A2370" t="s">
        <v>42</v>
      </c>
      <c r="B2370" t="s">
        <v>565</v>
      </c>
      <c r="C2370" t="s">
        <v>27</v>
      </c>
      <c r="D2370" t="s">
        <v>22</v>
      </c>
      <c r="E2370" t="s">
        <v>18</v>
      </c>
      <c r="F2370" t="s">
        <v>1147</v>
      </c>
      <c r="G2370">
        <v>516886842</v>
      </c>
      <c r="H2370" t="s">
        <v>1258</v>
      </c>
      <c r="I2370">
        <v>7158</v>
      </c>
      <c r="J2370">
        <v>47.45</v>
      </c>
      <c r="K2370">
        <v>31.79</v>
      </c>
      <c r="L2370">
        <v>339647.1</v>
      </c>
      <c r="M2370">
        <v>227552.82</v>
      </c>
      <c r="N2370">
        <v>112094.28</v>
      </c>
    </row>
    <row r="2371" spans="1:14" x14ac:dyDescent="0.25">
      <c r="A2371" t="s">
        <v>14</v>
      </c>
      <c r="B2371" t="s">
        <v>383</v>
      </c>
      <c r="C2371" t="s">
        <v>113</v>
      </c>
      <c r="D2371" t="s">
        <v>17</v>
      </c>
      <c r="E2371" t="s">
        <v>18</v>
      </c>
      <c r="F2371" s="1">
        <v>41735</v>
      </c>
      <c r="G2371">
        <v>509203708</v>
      </c>
      <c r="H2371" t="s">
        <v>737</v>
      </c>
      <c r="I2371">
        <v>3548</v>
      </c>
      <c r="J2371">
        <v>154.06</v>
      </c>
      <c r="K2371">
        <v>90.93</v>
      </c>
      <c r="L2371">
        <v>546604.88</v>
      </c>
      <c r="M2371">
        <v>322619.64</v>
      </c>
      <c r="N2371">
        <v>223985.24</v>
      </c>
    </row>
    <row r="2372" spans="1:14" x14ac:dyDescent="0.25">
      <c r="A2372" t="s">
        <v>51</v>
      </c>
      <c r="B2372" t="s">
        <v>192</v>
      </c>
      <c r="C2372" t="s">
        <v>59</v>
      </c>
      <c r="D2372" t="s">
        <v>17</v>
      </c>
      <c r="E2372" t="s">
        <v>45</v>
      </c>
      <c r="F2372" t="s">
        <v>1571</v>
      </c>
      <c r="G2372">
        <v>798989140</v>
      </c>
      <c r="H2372" s="1">
        <v>42100</v>
      </c>
      <c r="I2372">
        <v>7497</v>
      </c>
      <c r="J2372">
        <v>437.2</v>
      </c>
      <c r="K2372">
        <v>263.33</v>
      </c>
      <c r="L2372">
        <v>3277688.4</v>
      </c>
      <c r="M2372">
        <v>1974185.01</v>
      </c>
      <c r="N2372">
        <v>1303503.3899999999</v>
      </c>
    </row>
    <row r="2373" spans="1:14" x14ac:dyDescent="0.25">
      <c r="A2373" t="s">
        <v>29</v>
      </c>
      <c r="B2373" t="s">
        <v>153</v>
      </c>
      <c r="C2373" t="s">
        <v>31</v>
      </c>
      <c r="D2373" t="s">
        <v>22</v>
      </c>
      <c r="E2373" t="s">
        <v>32</v>
      </c>
      <c r="F2373" s="1">
        <v>40239</v>
      </c>
      <c r="G2373">
        <v>792541968</v>
      </c>
      <c r="H2373" s="1">
        <v>40393</v>
      </c>
      <c r="I2373">
        <v>9635</v>
      </c>
      <c r="J2373">
        <v>205.7</v>
      </c>
      <c r="K2373">
        <v>117.11</v>
      </c>
      <c r="L2373">
        <v>1981919.5</v>
      </c>
      <c r="M2373">
        <v>1128354.8500000001</v>
      </c>
      <c r="N2373">
        <v>853564.65</v>
      </c>
    </row>
    <row r="2374" spans="1:14" x14ac:dyDescent="0.25">
      <c r="A2374" t="s">
        <v>51</v>
      </c>
      <c r="B2374" t="s">
        <v>210</v>
      </c>
      <c r="C2374" t="s">
        <v>131</v>
      </c>
      <c r="D2374" t="s">
        <v>17</v>
      </c>
      <c r="E2374" t="s">
        <v>45</v>
      </c>
      <c r="F2374" s="1">
        <v>42191</v>
      </c>
      <c r="G2374">
        <v>416473519</v>
      </c>
      <c r="H2374" t="s">
        <v>955</v>
      </c>
      <c r="I2374">
        <v>2624</v>
      </c>
      <c r="J2374">
        <v>668.27</v>
      </c>
      <c r="K2374">
        <v>502.54</v>
      </c>
      <c r="L2374">
        <v>1753540.48</v>
      </c>
      <c r="M2374">
        <v>1318664.96</v>
      </c>
      <c r="N2374">
        <v>434875.52</v>
      </c>
    </row>
    <row r="2375" spans="1:14" x14ac:dyDescent="0.25">
      <c r="A2375" t="s">
        <v>14</v>
      </c>
      <c r="B2375" t="s">
        <v>627</v>
      </c>
      <c r="C2375" t="s">
        <v>55</v>
      </c>
      <c r="D2375" t="s">
        <v>22</v>
      </c>
      <c r="E2375" t="s">
        <v>23</v>
      </c>
      <c r="F2375" s="1">
        <v>41651</v>
      </c>
      <c r="G2375">
        <v>567707622</v>
      </c>
      <c r="H2375" t="s">
        <v>1012</v>
      </c>
      <c r="I2375">
        <v>6156</v>
      </c>
      <c r="J2375">
        <v>651.21</v>
      </c>
      <c r="K2375">
        <v>524.96</v>
      </c>
      <c r="L2375">
        <v>4008848.76</v>
      </c>
      <c r="M2375">
        <v>3231653.76</v>
      </c>
      <c r="N2375">
        <v>777195</v>
      </c>
    </row>
    <row r="2376" spans="1:14" x14ac:dyDescent="0.25">
      <c r="A2376" t="s">
        <v>29</v>
      </c>
      <c r="B2376" t="s">
        <v>315</v>
      </c>
      <c r="C2376" t="s">
        <v>131</v>
      </c>
      <c r="D2376" t="s">
        <v>22</v>
      </c>
      <c r="E2376" t="s">
        <v>23</v>
      </c>
      <c r="F2376" s="1">
        <v>42136</v>
      </c>
      <c r="G2376">
        <v>863480603</v>
      </c>
      <c r="H2376" s="1">
        <v>42705</v>
      </c>
      <c r="I2376">
        <v>1954</v>
      </c>
      <c r="J2376">
        <v>668.27</v>
      </c>
      <c r="K2376">
        <v>502.54</v>
      </c>
      <c r="L2376">
        <v>1305799.58</v>
      </c>
      <c r="M2376">
        <v>981963.16</v>
      </c>
      <c r="N2376">
        <v>323836.42</v>
      </c>
    </row>
    <row r="2377" spans="1:14" x14ac:dyDescent="0.25">
      <c r="A2377" t="s">
        <v>29</v>
      </c>
      <c r="B2377" t="s">
        <v>323</v>
      </c>
      <c r="C2377" t="s">
        <v>27</v>
      </c>
      <c r="D2377" t="s">
        <v>22</v>
      </c>
      <c r="E2377" t="s">
        <v>32</v>
      </c>
      <c r="F2377" t="s">
        <v>1484</v>
      </c>
      <c r="G2377">
        <v>991341292</v>
      </c>
      <c r="H2377" s="1">
        <v>42044</v>
      </c>
      <c r="I2377">
        <v>8773</v>
      </c>
      <c r="J2377">
        <v>47.45</v>
      </c>
      <c r="K2377">
        <v>31.79</v>
      </c>
      <c r="L2377">
        <v>416278.85</v>
      </c>
      <c r="M2377">
        <v>278893.67</v>
      </c>
      <c r="N2377">
        <v>137385.18</v>
      </c>
    </row>
    <row r="2378" spans="1:14" x14ac:dyDescent="0.25">
      <c r="A2378" t="s">
        <v>51</v>
      </c>
      <c r="B2378" t="s">
        <v>151</v>
      </c>
      <c r="C2378" t="s">
        <v>31</v>
      </c>
      <c r="D2378" t="s">
        <v>17</v>
      </c>
      <c r="E2378" t="s">
        <v>45</v>
      </c>
      <c r="F2378" t="s">
        <v>202</v>
      </c>
      <c r="G2378">
        <v>259151017</v>
      </c>
      <c r="H2378" s="1">
        <v>41153</v>
      </c>
      <c r="I2378">
        <v>7400</v>
      </c>
      <c r="J2378">
        <v>205.7</v>
      </c>
      <c r="K2378">
        <v>117.11</v>
      </c>
      <c r="L2378">
        <v>1522180</v>
      </c>
      <c r="M2378">
        <v>866614</v>
      </c>
      <c r="N2378">
        <v>655566</v>
      </c>
    </row>
    <row r="2379" spans="1:14" x14ac:dyDescent="0.25">
      <c r="A2379" t="s">
        <v>29</v>
      </c>
      <c r="B2379" t="s">
        <v>206</v>
      </c>
      <c r="C2379" t="s">
        <v>131</v>
      </c>
      <c r="D2379" t="s">
        <v>22</v>
      </c>
      <c r="E2379" t="s">
        <v>23</v>
      </c>
      <c r="F2379" t="s">
        <v>537</v>
      </c>
      <c r="G2379">
        <v>745083606</v>
      </c>
      <c r="H2379" t="s">
        <v>1169</v>
      </c>
      <c r="I2379">
        <v>5651</v>
      </c>
      <c r="J2379">
        <v>668.27</v>
      </c>
      <c r="K2379">
        <v>502.54</v>
      </c>
      <c r="L2379">
        <v>3776393.77</v>
      </c>
      <c r="M2379">
        <v>2839853.54</v>
      </c>
      <c r="N2379">
        <v>936540.23</v>
      </c>
    </row>
    <row r="2380" spans="1:14" x14ac:dyDescent="0.25">
      <c r="A2380" t="s">
        <v>25</v>
      </c>
      <c r="B2380" t="s">
        <v>112</v>
      </c>
      <c r="C2380" t="s">
        <v>40</v>
      </c>
      <c r="D2380" t="s">
        <v>22</v>
      </c>
      <c r="E2380" t="s">
        <v>45</v>
      </c>
      <c r="F2380" t="s">
        <v>1572</v>
      </c>
      <c r="G2380">
        <v>547625386</v>
      </c>
      <c r="H2380" t="s">
        <v>461</v>
      </c>
      <c r="I2380">
        <v>3376</v>
      </c>
      <c r="J2380">
        <v>81.73</v>
      </c>
      <c r="K2380">
        <v>56.67</v>
      </c>
      <c r="L2380">
        <v>275920.48</v>
      </c>
      <c r="M2380">
        <v>191317.92</v>
      </c>
      <c r="N2380">
        <v>84602.559999999998</v>
      </c>
    </row>
    <row r="2381" spans="1:14" x14ac:dyDescent="0.25">
      <c r="A2381" t="s">
        <v>38</v>
      </c>
      <c r="B2381" t="s">
        <v>346</v>
      </c>
      <c r="C2381" t="s">
        <v>27</v>
      </c>
      <c r="D2381" t="s">
        <v>22</v>
      </c>
      <c r="E2381" t="s">
        <v>23</v>
      </c>
      <c r="F2381" t="s">
        <v>355</v>
      </c>
      <c r="G2381">
        <v>535575187</v>
      </c>
      <c r="H2381" t="s">
        <v>1573</v>
      </c>
      <c r="I2381">
        <v>7454</v>
      </c>
      <c r="J2381">
        <v>47.45</v>
      </c>
      <c r="K2381">
        <v>31.79</v>
      </c>
      <c r="L2381">
        <v>353692.3</v>
      </c>
      <c r="M2381">
        <v>236962.66</v>
      </c>
      <c r="N2381">
        <v>116729.64</v>
      </c>
    </row>
    <row r="2382" spans="1:14" x14ac:dyDescent="0.25">
      <c r="A2382" t="s">
        <v>42</v>
      </c>
      <c r="B2382" t="s">
        <v>476</v>
      </c>
      <c r="C2382" t="s">
        <v>69</v>
      </c>
      <c r="D2382" t="s">
        <v>17</v>
      </c>
      <c r="E2382" t="s">
        <v>18</v>
      </c>
      <c r="F2382" t="s">
        <v>1574</v>
      </c>
      <c r="G2382">
        <v>298044335</v>
      </c>
      <c r="H2382" t="s">
        <v>249</v>
      </c>
      <c r="I2382">
        <v>6797</v>
      </c>
      <c r="J2382">
        <v>421.89</v>
      </c>
      <c r="K2382">
        <v>364.69</v>
      </c>
      <c r="L2382">
        <v>2867586.33</v>
      </c>
      <c r="M2382">
        <v>2478797.9300000002</v>
      </c>
      <c r="N2382">
        <v>388788.4</v>
      </c>
    </row>
    <row r="2383" spans="1:14" x14ac:dyDescent="0.25">
      <c r="A2383" t="s">
        <v>25</v>
      </c>
      <c r="B2383" t="s">
        <v>96</v>
      </c>
      <c r="C2383" t="s">
        <v>88</v>
      </c>
      <c r="D2383" t="s">
        <v>17</v>
      </c>
      <c r="E2383" t="s">
        <v>45</v>
      </c>
      <c r="F2383" t="s">
        <v>71</v>
      </c>
      <c r="G2383">
        <v>394456660</v>
      </c>
      <c r="H2383" s="1">
        <v>42615</v>
      </c>
      <c r="I2383">
        <v>7346</v>
      </c>
      <c r="J2383">
        <v>9.33</v>
      </c>
      <c r="K2383">
        <v>6.92</v>
      </c>
      <c r="L2383">
        <v>68538.179999999993</v>
      </c>
      <c r="M2383">
        <v>50834.32</v>
      </c>
      <c r="N2383">
        <v>17703.86</v>
      </c>
    </row>
    <row r="2384" spans="1:14" x14ac:dyDescent="0.25">
      <c r="A2384" t="s">
        <v>25</v>
      </c>
      <c r="B2384" t="s">
        <v>339</v>
      </c>
      <c r="C2384" t="s">
        <v>16</v>
      </c>
      <c r="D2384" t="s">
        <v>17</v>
      </c>
      <c r="E2384" t="s">
        <v>18</v>
      </c>
      <c r="F2384" s="1">
        <v>41640</v>
      </c>
      <c r="G2384">
        <v>104548490</v>
      </c>
      <c r="H2384" s="1">
        <v>41760</v>
      </c>
      <c r="I2384">
        <v>7076</v>
      </c>
      <c r="J2384">
        <v>255.28</v>
      </c>
      <c r="K2384">
        <v>159.41999999999999</v>
      </c>
      <c r="L2384">
        <v>1806361.28</v>
      </c>
      <c r="M2384">
        <v>1128055.92</v>
      </c>
      <c r="N2384">
        <v>678305.36</v>
      </c>
    </row>
    <row r="2385" spans="1:14" x14ac:dyDescent="0.25">
      <c r="A2385" t="s">
        <v>51</v>
      </c>
      <c r="B2385" t="s">
        <v>231</v>
      </c>
      <c r="C2385" t="s">
        <v>113</v>
      </c>
      <c r="D2385" t="s">
        <v>17</v>
      </c>
      <c r="E2385" t="s">
        <v>18</v>
      </c>
      <c r="F2385" t="s">
        <v>311</v>
      </c>
      <c r="G2385">
        <v>578368651</v>
      </c>
      <c r="H2385" t="s">
        <v>1009</v>
      </c>
      <c r="I2385">
        <v>991</v>
      </c>
      <c r="J2385">
        <v>154.06</v>
      </c>
      <c r="K2385">
        <v>90.93</v>
      </c>
      <c r="L2385">
        <v>152673.46</v>
      </c>
      <c r="M2385">
        <v>90111.63</v>
      </c>
      <c r="N2385">
        <v>62561.83</v>
      </c>
    </row>
    <row r="2386" spans="1:14" x14ac:dyDescent="0.25">
      <c r="A2386" t="s">
        <v>29</v>
      </c>
      <c r="B2386" t="s">
        <v>243</v>
      </c>
      <c r="C2386" t="s">
        <v>27</v>
      </c>
      <c r="D2386" t="s">
        <v>22</v>
      </c>
      <c r="E2386" t="s">
        <v>45</v>
      </c>
      <c r="F2386" s="1">
        <v>41092</v>
      </c>
      <c r="G2386">
        <v>786278474</v>
      </c>
      <c r="H2386" t="s">
        <v>1575</v>
      </c>
      <c r="I2386">
        <v>6128</v>
      </c>
      <c r="J2386">
        <v>47.45</v>
      </c>
      <c r="K2386">
        <v>31.79</v>
      </c>
      <c r="L2386">
        <v>290773.59999999998</v>
      </c>
      <c r="M2386">
        <v>194809.12</v>
      </c>
      <c r="N2386">
        <v>95964.479999999996</v>
      </c>
    </row>
    <row r="2387" spans="1:14" x14ac:dyDescent="0.25">
      <c r="A2387" t="s">
        <v>29</v>
      </c>
      <c r="B2387" t="s">
        <v>121</v>
      </c>
      <c r="C2387" t="s">
        <v>55</v>
      </c>
      <c r="D2387" t="s">
        <v>17</v>
      </c>
      <c r="E2387" t="s">
        <v>45</v>
      </c>
      <c r="F2387" s="1">
        <v>42068</v>
      </c>
      <c r="G2387">
        <v>668951785</v>
      </c>
      <c r="H2387" t="s">
        <v>1576</v>
      </c>
      <c r="I2387">
        <v>6554</v>
      </c>
      <c r="J2387">
        <v>651.21</v>
      </c>
      <c r="K2387">
        <v>524.96</v>
      </c>
      <c r="L2387">
        <v>4268030.34</v>
      </c>
      <c r="M2387">
        <v>3440587.84</v>
      </c>
      <c r="N2387">
        <v>827442.5</v>
      </c>
    </row>
    <row r="2388" spans="1:14" x14ac:dyDescent="0.25">
      <c r="A2388" t="s">
        <v>25</v>
      </c>
      <c r="B2388" t="s">
        <v>462</v>
      </c>
      <c r="C2388" t="s">
        <v>31</v>
      </c>
      <c r="D2388" t="s">
        <v>17</v>
      </c>
      <c r="E2388" t="s">
        <v>18</v>
      </c>
      <c r="F2388" s="1">
        <v>40452</v>
      </c>
      <c r="G2388">
        <v>687374913</v>
      </c>
      <c r="H2388" t="s">
        <v>508</v>
      </c>
      <c r="I2388">
        <v>8367</v>
      </c>
      <c r="J2388">
        <v>205.7</v>
      </c>
      <c r="K2388">
        <v>117.11</v>
      </c>
      <c r="L2388">
        <v>1721091.9</v>
      </c>
      <c r="M2388">
        <v>979859.37</v>
      </c>
      <c r="N2388">
        <v>741232.53</v>
      </c>
    </row>
    <row r="2389" spans="1:14" x14ac:dyDescent="0.25">
      <c r="A2389" t="s">
        <v>14</v>
      </c>
      <c r="B2389" t="s">
        <v>432</v>
      </c>
      <c r="C2389" t="s">
        <v>69</v>
      </c>
      <c r="D2389" t="s">
        <v>17</v>
      </c>
      <c r="E2389" t="s">
        <v>32</v>
      </c>
      <c r="F2389" s="1">
        <v>41586</v>
      </c>
      <c r="G2389">
        <v>472846686</v>
      </c>
      <c r="H2389" s="1">
        <v>41556</v>
      </c>
      <c r="I2389">
        <v>4697</v>
      </c>
      <c r="J2389">
        <v>421.89</v>
      </c>
      <c r="K2389">
        <v>364.69</v>
      </c>
      <c r="L2389">
        <v>1981617.33</v>
      </c>
      <c r="M2389">
        <v>1712948.93</v>
      </c>
      <c r="N2389">
        <v>268668.40000000002</v>
      </c>
    </row>
    <row r="2390" spans="1:14" x14ac:dyDescent="0.25">
      <c r="A2390" t="s">
        <v>38</v>
      </c>
      <c r="B2390" t="s">
        <v>54</v>
      </c>
      <c r="C2390" t="s">
        <v>44</v>
      </c>
      <c r="D2390" t="s">
        <v>17</v>
      </c>
      <c r="E2390" t="s">
        <v>23</v>
      </c>
      <c r="F2390" t="s">
        <v>596</v>
      </c>
      <c r="G2390">
        <v>176978433</v>
      </c>
      <c r="H2390" s="1">
        <v>41764</v>
      </c>
      <c r="I2390">
        <v>706</v>
      </c>
      <c r="J2390">
        <v>109.28</v>
      </c>
      <c r="K2390">
        <v>35.840000000000003</v>
      </c>
      <c r="L2390">
        <v>77151.679999999993</v>
      </c>
      <c r="M2390">
        <v>25303.040000000001</v>
      </c>
      <c r="N2390">
        <v>51848.639999999999</v>
      </c>
    </row>
    <row r="2391" spans="1:14" x14ac:dyDescent="0.25">
      <c r="A2391" t="s">
        <v>25</v>
      </c>
      <c r="B2391" t="s">
        <v>462</v>
      </c>
      <c r="C2391" t="s">
        <v>113</v>
      </c>
      <c r="D2391" t="s">
        <v>17</v>
      </c>
      <c r="E2391" t="s">
        <v>18</v>
      </c>
      <c r="F2391" s="1">
        <v>41009</v>
      </c>
      <c r="G2391">
        <v>921693980</v>
      </c>
      <c r="H2391" s="1">
        <v>41010</v>
      </c>
      <c r="I2391">
        <v>8586</v>
      </c>
      <c r="J2391">
        <v>154.06</v>
      </c>
      <c r="K2391">
        <v>90.93</v>
      </c>
      <c r="L2391">
        <v>1322759.1599999999</v>
      </c>
      <c r="M2391">
        <v>780724.98</v>
      </c>
      <c r="N2391">
        <v>542034.18000000005</v>
      </c>
    </row>
    <row r="2392" spans="1:14" x14ac:dyDescent="0.25">
      <c r="A2392" t="s">
        <v>51</v>
      </c>
      <c r="B2392" t="s">
        <v>194</v>
      </c>
      <c r="C2392" t="s">
        <v>59</v>
      </c>
      <c r="D2392" t="s">
        <v>17</v>
      </c>
      <c r="E2392" t="s">
        <v>18</v>
      </c>
      <c r="F2392" t="s">
        <v>618</v>
      </c>
      <c r="G2392">
        <v>749229657</v>
      </c>
      <c r="H2392" s="1">
        <v>40400</v>
      </c>
      <c r="I2392">
        <v>2560</v>
      </c>
      <c r="J2392">
        <v>437.2</v>
      </c>
      <c r="K2392">
        <v>263.33</v>
      </c>
      <c r="L2392">
        <v>1119232</v>
      </c>
      <c r="M2392">
        <v>674124.80000000005</v>
      </c>
      <c r="N2392">
        <v>445107.20000000001</v>
      </c>
    </row>
    <row r="2393" spans="1:14" x14ac:dyDescent="0.25">
      <c r="A2393" t="s">
        <v>14</v>
      </c>
      <c r="B2393" t="s">
        <v>226</v>
      </c>
      <c r="C2393" t="s">
        <v>69</v>
      </c>
      <c r="D2393" t="s">
        <v>22</v>
      </c>
      <c r="E2393" t="s">
        <v>18</v>
      </c>
      <c r="F2393" s="1">
        <v>41678</v>
      </c>
      <c r="G2393">
        <v>472134292</v>
      </c>
      <c r="H2393" t="s">
        <v>1515</v>
      </c>
      <c r="I2393">
        <v>3884</v>
      </c>
      <c r="J2393">
        <v>421.89</v>
      </c>
      <c r="K2393">
        <v>364.69</v>
      </c>
      <c r="L2393">
        <v>1638620.76</v>
      </c>
      <c r="M2393">
        <v>1416455.96</v>
      </c>
      <c r="N2393">
        <v>222164.8</v>
      </c>
    </row>
    <row r="2394" spans="1:14" x14ac:dyDescent="0.25">
      <c r="A2394" t="s">
        <v>29</v>
      </c>
      <c r="B2394" t="s">
        <v>35</v>
      </c>
      <c r="C2394" t="s">
        <v>59</v>
      </c>
      <c r="D2394" t="s">
        <v>17</v>
      </c>
      <c r="E2394" t="s">
        <v>18</v>
      </c>
      <c r="F2394" t="s">
        <v>1432</v>
      </c>
      <c r="G2394">
        <v>523269212</v>
      </c>
      <c r="H2394" s="1">
        <v>42827</v>
      </c>
      <c r="I2394">
        <v>5843</v>
      </c>
      <c r="J2394">
        <v>437.2</v>
      </c>
      <c r="K2394">
        <v>263.33</v>
      </c>
      <c r="L2394">
        <v>2554559.6</v>
      </c>
      <c r="M2394">
        <v>1538637.19</v>
      </c>
      <c r="N2394">
        <v>1015922.41</v>
      </c>
    </row>
    <row r="2395" spans="1:14" x14ac:dyDescent="0.25">
      <c r="A2395" t="s">
        <v>51</v>
      </c>
      <c r="B2395" t="s">
        <v>52</v>
      </c>
      <c r="C2395" t="s">
        <v>88</v>
      </c>
      <c r="D2395" t="s">
        <v>17</v>
      </c>
      <c r="E2395" t="s">
        <v>45</v>
      </c>
      <c r="F2395" t="s">
        <v>382</v>
      </c>
      <c r="G2395">
        <v>505808246</v>
      </c>
      <c r="H2395" s="1">
        <v>42342</v>
      </c>
      <c r="I2395">
        <v>8755</v>
      </c>
      <c r="J2395">
        <v>9.33</v>
      </c>
      <c r="K2395">
        <v>6.92</v>
      </c>
      <c r="L2395">
        <v>81684.149999999994</v>
      </c>
      <c r="M2395">
        <v>60584.6</v>
      </c>
      <c r="N2395">
        <v>21099.55</v>
      </c>
    </row>
    <row r="2396" spans="1:14" x14ac:dyDescent="0.25">
      <c r="A2396" t="s">
        <v>42</v>
      </c>
      <c r="B2396" t="s">
        <v>361</v>
      </c>
      <c r="C2396" t="s">
        <v>55</v>
      </c>
      <c r="D2396" t="s">
        <v>17</v>
      </c>
      <c r="E2396" t="s">
        <v>45</v>
      </c>
      <c r="F2396" t="s">
        <v>382</v>
      </c>
      <c r="G2396">
        <v>543237721</v>
      </c>
      <c r="H2396" t="s">
        <v>1577</v>
      </c>
      <c r="I2396">
        <v>4969</v>
      </c>
      <c r="J2396">
        <v>651.21</v>
      </c>
      <c r="K2396">
        <v>524.96</v>
      </c>
      <c r="L2396">
        <v>3235862.49</v>
      </c>
      <c r="M2396">
        <v>2608526.2400000002</v>
      </c>
      <c r="N2396">
        <v>627336.25</v>
      </c>
    </row>
    <row r="2397" spans="1:14" x14ac:dyDescent="0.25">
      <c r="A2397" t="s">
        <v>25</v>
      </c>
      <c r="B2397" t="s">
        <v>96</v>
      </c>
      <c r="C2397" t="s">
        <v>131</v>
      </c>
      <c r="D2397" t="s">
        <v>17</v>
      </c>
      <c r="E2397" t="s">
        <v>32</v>
      </c>
      <c r="F2397" t="s">
        <v>1578</v>
      </c>
      <c r="G2397">
        <v>829356467</v>
      </c>
      <c r="H2397" t="s">
        <v>446</v>
      </c>
      <c r="I2397">
        <v>3864</v>
      </c>
      <c r="J2397">
        <v>668.27</v>
      </c>
      <c r="K2397">
        <v>502.54</v>
      </c>
      <c r="L2397">
        <v>2582195.2799999998</v>
      </c>
      <c r="M2397">
        <v>1941814.56</v>
      </c>
      <c r="N2397">
        <v>640380.72</v>
      </c>
    </row>
    <row r="2398" spans="1:14" x14ac:dyDescent="0.25">
      <c r="A2398" t="s">
        <v>42</v>
      </c>
      <c r="B2398" t="s">
        <v>174</v>
      </c>
      <c r="C2398" t="s">
        <v>55</v>
      </c>
      <c r="D2398" t="s">
        <v>17</v>
      </c>
      <c r="E2398" t="s">
        <v>45</v>
      </c>
      <c r="F2398" t="s">
        <v>1409</v>
      </c>
      <c r="G2398">
        <v>278275811</v>
      </c>
      <c r="H2398" s="1">
        <v>40736</v>
      </c>
      <c r="I2398">
        <v>6851</v>
      </c>
      <c r="J2398">
        <v>651.21</v>
      </c>
      <c r="K2398">
        <v>524.96</v>
      </c>
      <c r="L2398">
        <v>4461439.71</v>
      </c>
      <c r="M2398">
        <v>3596500.96</v>
      </c>
      <c r="N2398">
        <v>864938.75</v>
      </c>
    </row>
    <row r="2399" spans="1:14" x14ac:dyDescent="0.25">
      <c r="A2399" t="s">
        <v>14</v>
      </c>
      <c r="B2399" t="s">
        <v>433</v>
      </c>
      <c r="C2399" t="s">
        <v>55</v>
      </c>
      <c r="D2399" t="s">
        <v>17</v>
      </c>
      <c r="E2399" t="s">
        <v>32</v>
      </c>
      <c r="F2399" t="s">
        <v>938</v>
      </c>
      <c r="G2399">
        <v>574419581</v>
      </c>
      <c r="H2399" t="s">
        <v>380</v>
      </c>
      <c r="I2399">
        <v>2374</v>
      </c>
      <c r="J2399">
        <v>651.21</v>
      </c>
      <c r="K2399">
        <v>524.96</v>
      </c>
      <c r="L2399">
        <v>1545972.54</v>
      </c>
      <c r="M2399">
        <v>1246255.04</v>
      </c>
      <c r="N2399">
        <v>299717.5</v>
      </c>
    </row>
    <row r="2400" spans="1:14" x14ac:dyDescent="0.25">
      <c r="A2400" t="s">
        <v>25</v>
      </c>
      <c r="B2400" t="s">
        <v>26</v>
      </c>
      <c r="C2400" t="s">
        <v>31</v>
      </c>
      <c r="D2400" t="s">
        <v>22</v>
      </c>
      <c r="E2400" t="s">
        <v>23</v>
      </c>
      <c r="F2400" t="s">
        <v>317</v>
      </c>
      <c r="G2400">
        <v>322524106</v>
      </c>
      <c r="H2400" t="s">
        <v>317</v>
      </c>
      <c r="I2400">
        <v>905</v>
      </c>
      <c r="J2400">
        <v>205.7</v>
      </c>
      <c r="K2400">
        <v>117.11</v>
      </c>
      <c r="L2400">
        <v>186158.5</v>
      </c>
      <c r="M2400">
        <v>105984.55</v>
      </c>
      <c r="N2400">
        <v>80173.95</v>
      </c>
    </row>
    <row r="2401" spans="1:14" x14ac:dyDescent="0.25">
      <c r="A2401" t="s">
        <v>25</v>
      </c>
      <c r="B2401" t="s">
        <v>211</v>
      </c>
      <c r="C2401" t="s">
        <v>31</v>
      </c>
      <c r="D2401" t="s">
        <v>22</v>
      </c>
      <c r="E2401" t="s">
        <v>18</v>
      </c>
      <c r="F2401" t="s">
        <v>1510</v>
      </c>
      <c r="G2401">
        <v>897638213</v>
      </c>
      <c r="H2401" s="1">
        <v>41861</v>
      </c>
      <c r="I2401">
        <v>9950</v>
      </c>
      <c r="J2401">
        <v>205.7</v>
      </c>
      <c r="K2401">
        <v>117.11</v>
      </c>
      <c r="L2401">
        <v>2046715</v>
      </c>
      <c r="M2401">
        <v>1165244.5</v>
      </c>
      <c r="N2401">
        <v>881470.5</v>
      </c>
    </row>
    <row r="2402" spans="1:14" x14ac:dyDescent="0.25">
      <c r="A2402" t="s">
        <v>38</v>
      </c>
      <c r="B2402" t="s">
        <v>451</v>
      </c>
      <c r="C2402" t="s">
        <v>40</v>
      </c>
      <c r="D2402" t="s">
        <v>22</v>
      </c>
      <c r="E2402" t="s">
        <v>18</v>
      </c>
      <c r="F2402" t="s">
        <v>287</v>
      </c>
      <c r="G2402">
        <v>595123231</v>
      </c>
      <c r="H2402" t="s">
        <v>1573</v>
      </c>
      <c r="I2402">
        <v>9044</v>
      </c>
      <c r="J2402">
        <v>81.73</v>
      </c>
      <c r="K2402">
        <v>56.67</v>
      </c>
      <c r="L2402">
        <v>739166.12</v>
      </c>
      <c r="M2402">
        <v>512523.48</v>
      </c>
      <c r="N2402">
        <v>226642.64</v>
      </c>
    </row>
    <row r="2403" spans="1:14" x14ac:dyDescent="0.25">
      <c r="A2403" t="s">
        <v>25</v>
      </c>
      <c r="B2403" t="s">
        <v>469</v>
      </c>
      <c r="C2403" t="s">
        <v>16</v>
      </c>
      <c r="D2403" t="s">
        <v>22</v>
      </c>
      <c r="E2403" t="s">
        <v>32</v>
      </c>
      <c r="F2403" t="s">
        <v>519</v>
      </c>
      <c r="G2403">
        <v>480652987</v>
      </c>
      <c r="H2403" s="1">
        <v>42859</v>
      </c>
      <c r="I2403">
        <v>4755</v>
      </c>
      <c r="J2403">
        <v>255.28</v>
      </c>
      <c r="K2403">
        <v>159.41999999999999</v>
      </c>
      <c r="L2403">
        <v>1213856.3999999999</v>
      </c>
      <c r="M2403">
        <v>758042.1</v>
      </c>
      <c r="N2403">
        <v>455814.3</v>
      </c>
    </row>
    <row r="2404" spans="1:14" x14ac:dyDescent="0.25">
      <c r="A2404" t="s">
        <v>25</v>
      </c>
      <c r="B2404" t="s">
        <v>418</v>
      </c>
      <c r="C2404" t="s">
        <v>55</v>
      </c>
      <c r="D2404" t="s">
        <v>17</v>
      </c>
      <c r="E2404" t="s">
        <v>23</v>
      </c>
      <c r="F2404" t="s">
        <v>1579</v>
      </c>
      <c r="G2404">
        <v>340213811</v>
      </c>
      <c r="H2404" t="s">
        <v>24</v>
      </c>
      <c r="I2404">
        <v>5682</v>
      </c>
      <c r="J2404">
        <v>651.21</v>
      </c>
      <c r="K2404">
        <v>524.96</v>
      </c>
      <c r="L2404">
        <v>3700175.22</v>
      </c>
      <c r="M2404">
        <v>2982822.72</v>
      </c>
      <c r="N2404">
        <v>717352.5</v>
      </c>
    </row>
    <row r="2405" spans="1:14" x14ac:dyDescent="0.25">
      <c r="A2405" t="s">
        <v>29</v>
      </c>
      <c r="B2405" t="s">
        <v>61</v>
      </c>
      <c r="C2405" t="s">
        <v>31</v>
      </c>
      <c r="D2405" t="s">
        <v>17</v>
      </c>
      <c r="E2405" t="s">
        <v>23</v>
      </c>
      <c r="F2405" s="1">
        <v>41035</v>
      </c>
      <c r="G2405">
        <v>930104529</v>
      </c>
      <c r="H2405" t="s">
        <v>200</v>
      </c>
      <c r="I2405">
        <v>7454</v>
      </c>
      <c r="J2405">
        <v>205.7</v>
      </c>
      <c r="K2405">
        <v>117.11</v>
      </c>
      <c r="L2405">
        <v>1533287.8</v>
      </c>
      <c r="M2405">
        <v>872937.94</v>
      </c>
      <c r="N2405">
        <v>660349.86</v>
      </c>
    </row>
    <row r="2406" spans="1:14" x14ac:dyDescent="0.25">
      <c r="A2406" t="s">
        <v>25</v>
      </c>
      <c r="B2406" t="s">
        <v>533</v>
      </c>
      <c r="C2406" t="s">
        <v>16</v>
      </c>
      <c r="D2406" t="s">
        <v>17</v>
      </c>
      <c r="E2406" t="s">
        <v>45</v>
      </c>
      <c r="F2406" t="s">
        <v>1049</v>
      </c>
      <c r="G2406">
        <v>826936471</v>
      </c>
      <c r="H2406" t="s">
        <v>1345</v>
      </c>
      <c r="I2406">
        <v>7733</v>
      </c>
      <c r="J2406">
        <v>255.28</v>
      </c>
      <c r="K2406">
        <v>159.41999999999999</v>
      </c>
      <c r="L2406">
        <v>1974080.24</v>
      </c>
      <c r="M2406">
        <v>1232794.8600000001</v>
      </c>
      <c r="N2406">
        <v>741285.38</v>
      </c>
    </row>
    <row r="2407" spans="1:14" x14ac:dyDescent="0.25">
      <c r="A2407" t="s">
        <v>25</v>
      </c>
      <c r="B2407" t="s">
        <v>266</v>
      </c>
      <c r="C2407" t="s">
        <v>59</v>
      </c>
      <c r="D2407" t="s">
        <v>17</v>
      </c>
      <c r="E2407" t="s">
        <v>45</v>
      </c>
      <c r="F2407" t="s">
        <v>1152</v>
      </c>
      <c r="G2407">
        <v>477633464</v>
      </c>
      <c r="H2407" s="1">
        <v>42191</v>
      </c>
      <c r="I2407">
        <v>1211</v>
      </c>
      <c r="J2407">
        <v>437.2</v>
      </c>
      <c r="K2407">
        <v>263.33</v>
      </c>
      <c r="L2407">
        <v>529449.19999999995</v>
      </c>
      <c r="M2407">
        <v>318892.63</v>
      </c>
      <c r="N2407">
        <v>210556.57</v>
      </c>
    </row>
    <row r="2408" spans="1:14" x14ac:dyDescent="0.25">
      <c r="A2408" t="s">
        <v>25</v>
      </c>
      <c r="B2408" t="s">
        <v>201</v>
      </c>
      <c r="C2408" t="s">
        <v>69</v>
      </c>
      <c r="D2408" t="s">
        <v>17</v>
      </c>
      <c r="E2408" t="s">
        <v>32</v>
      </c>
      <c r="F2408" t="s">
        <v>1580</v>
      </c>
      <c r="G2408">
        <v>849431836</v>
      </c>
      <c r="H2408" t="s">
        <v>807</v>
      </c>
      <c r="I2408">
        <v>4611</v>
      </c>
      <c r="J2408">
        <v>421.89</v>
      </c>
      <c r="K2408">
        <v>364.69</v>
      </c>
      <c r="L2408">
        <v>1945334.79</v>
      </c>
      <c r="M2408">
        <v>1681585.59</v>
      </c>
      <c r="N2408">
        <v>263749.2</v>
      </c>
    </row>
    <row r="2409" spans="1:14" x14ac:dyDescent="0.25">
      <c r="A2409" t="s">
        <v>51</v>
      </c>
      <c r="B2409" t="s">
        <v>848</v>
      </c>
      <c r="C2409" t="s">
        <v>21</v>
      </c>
      <c r="D2409" t="s">
        <v>17</v>
      </c>
      <c r="E2409" t="s">
        <v>23</v>
      </c>
      <c r="F2409" s="1">
        <v>41252</v>
      </c>
      <c r="G2409">
        <v>279880416</v>
      </c>
      <c r="H2409" t="s">
        <v>1537</v>
      </c>
      <c r="I2409">
        <v>1689</v>
      </c>
      <c r="J2409">
        <v>152.58000000000001</v>
      </c>
      <c r="K2409">
        <v>97.44</v>
      </c>
      <c r="L2409">
        <v>257707.62</v>
      </c>
      <c r="M2409">
        <v>164576.16</v>
      </c>
      <c r="N2409">
        <v>93131.46</v>
      </c>
    </row>
    <row r="2410" spans="1:14" x14ac:dyDescent="0.25">
      <c r="A2410" t="s">
        <v>51</v>
      </c>
      <c r="B2410" t="s">
        <v>414</v>
      </c>
      <c r="C2410" t="s">
        <v>21</v>
      </c>
      <c r="D2410" t="s">
        <v>17</v>
      </c>
      <c r="E2410" t="s">
        <v>32</v>
      </c>
      <c r="F2410" t="s">
        <v>238</v>
      </c>
      <c r="G2410">
        <v>326840531</v>
      </c>
      <c r="H2410" s="1">
        <v>40461</v>
      </c>
      <c r="I2410">
        <v>8231</v>
      </c>
      <c r="J2410">
        <v>152.58000000000001</v>
      </c>
      <c r="K2410">
        <v>97.44</v>
      </c>
      <c r="L2410">
        <v>1255885.98</v>
      </c>
      <c r="M2410">
        <v>802028.64</v>
      </c>
      <c r="N2410">
        <v>453857.34</v>
      </c>
    </row>
    <row r="2411" spans="1:14" x14ac:dyDescent="0.25">
      <c r="A2411" t="s">
        <v>38</v>
      </c>
      <c r="B2411" t="s">
        <v>156</v>
      </c>
      <c r="C2411" t="s">
        <v>88</v>
      </c>
      <c r="D2411" t="s">
        <v>17</v>
      </c>
      <c r="E2411" t="s">
        <v>18</v>
      </c>
      <c r="F2411" s="1">
        <v>42347</v>
      </c>
      <c r="G2411">
        <v>818486011</v>
      </c>
      <c r="H2411" t="s">
        <v>1561</v>
      </c>
      <c r="I2411">
        <v>7054</v>
      </c>
      <c r="J2411">
        <v>9.33</v>
      </c>
      <c r="K2411">
        <v>6.92</v>
      </c>
      <c r="L2411">
        <v>65813.820000000007</v>
      </c>
      <c r="M2411">
        <v>48813.68</v>
      </c>
      <c r="N2411">
        <v>17000.14</v>
      </c>
    </row>
    <row r="2412" spans="1:14" x14ac:dyDescent="0.25">
      <c r="A2412" t="s">
        <v>51</v>
      </c>
      <c r="B2412" t="s">
        <v>169</v>
      </c>
      <c r="C2412" t="s">
        <v>131</v>
      </c>
      <c r="D2412" t="s">
        <v>22</v>
      </c>
      <c r="E2412" t="s">
        <v>18</v>
      </c>
      <c r="F2412" t="s">
        <v>783</v>
      </c>
      <c r="G2412">
        <v>303303182</v>
      </c>
      <c r="H2412" s="1">
        <v>41071</v>
      </c>
      <c r="I2412">
        <v>3006</v>
      </c>
      <c r="J2412">
        <v>668.27</v>
      </c>
      <c r="K2412">
        <v>502.54</v>
      </c>
      <c r="L2412">
        <v>2008819.62</v>
      </c>
      <c r="M2412">
        <v>1510635.24</v>
      </c>
      <c r="N2412">
        <v>498184.38</v>
      </c>
    </row>
    <row r="2413" spans="1:14" x14ac:dyDescent="0.25">
      <c r="A2413" t="s">
        <v>51</v>
      </c>
      <c r="B2413" t="s">
        <v>424</v>
      </c>
      <c r="C2413" t="s">
        <v>40</v>
      </c>
      <c r="D2413" t="s">
        <v>17</v>
      </c>
      <c r="E2413" t="s">
        <v>32</v>
      </c>
      <c r="F2413" t="s">
        <v>1372</v>
      </c>
      <c r="G2413">
        <v>100090873</v>
      </c>
      <c r="H2413" t="s">
        <v>1132</v>
      </c>
      <c r="I2413">
        <v>7968</v>
      </c>
      <c r="J2413">
        <v>81.73</v>
      </c>
      <c r="K2413">
        <v>56.67</v>
      </c>
      <c r="L2413">
        <v>651224.64</v>
      </c>
      <c r="M2413">
        <v>451546.56</v>
      </c>
      <c r="N2413">
        <v>199678.07999999999</v>
      </c>
    </row>
    <row r="2414" spans="1:14" x14ac:dyDescent="0.25">
      <c r="A2414" t="s">
        <v>51</v>
      </c>
      <c r="B2414" t="s">
        <v>848</v>
      </c>
      <c r="C2414" t="s">
        <v>113</v>
      </c>
      <c r="D2414" t="s">
        <v>22</v>
      </c>
      <c r="E2414" t="s">
        <v>18</v>
      </c>
      <c r="F2414" s="1">
        <v>41038</v>
      </c>
      <c r="G2414">
        <v>247960412</v>
      </c>
      <c r="H2414" s="1">
        <v>41223</v>
      </c>
      <c r="I2414">
        <v>5851</v>
      </c>
      <c r="J2414">
        <v>154.06</v>
      </c>
      <c r="K2414">
        <v>90.93</v>
      </c>
      <c r="L2414">
        <v>901405.06</v>
      </c>
      <c r="M2414">
        <v>532031.43000000005</v>
      </c>
      <c r="N2414">
        <v>369373.63</v>
      </c>
    </row>
    <row r="2415" spans="1:14" x14ac:dyDescent="0.25">
      <c r="A2415" t="s">
        <v>29</v>
      </c>
      <c r="B2415" t="s">
        <v>137</v>
      </c>
      <c r="C2415" t="s">
        <v>69</v>
      </c>
      <c r="D2415" t="s">
        <v>17</v>
      </c>
      <c r="E2415" t="s">
        <v>18</v>
      </c>
      <c r="F2415" s="1">
        <v>42862</v>
      </c>
      <c r="G2415">
        <v>856335628</v>
      </c>
      <c r="H2415" t="s">
        <v>1329</v>
      </c>
      <c r="I2415">
        <v>7597</v>
      </c>
      <c r="J2415">
        <v>421.89</v>
      </c>
      <c r="K2415">
        <v>364.69</v>
      </c>
      <c r="L2415">
        <v>3205098.33</v>
      </c>
      <c r="M2415">
        <v>2770549.93</v>
      </c>
      <c r="N2415">
        <v>434548.4</v>
      </c>
    </row>
    <row r="2416" spans="1:14" x14ac:dyDescent="0.25">
      <c r="A2416" t="s">
        <v>38</v>
      </c>
      <c r="B2416" t="s">
        <v>83</v>
      </c>
      <c r="C2416" t="s">
        <v>31</v>
      </c>
      <c r="D2416" t="s">
        <v>22</v>
      </c>
      <c r="E2416" t="s">
        <v>45</v>
      </c>
      <c r="F2416" s="1">
        <v>40849</v>
      </c>
      <c r="G2416">
        <v>754952847</v>
      </c>
      <c r="H2416" t="s">
        <v>1512</v>
      </c>
      <c r="I2416">
        <v>6179</v>
      </c>
      <c r="J2416">
        <v>205.7</v>
      </c>
      <c r="K2416">
        <v>117.11</v>
      </c>
      <c r="L2416">
        <v>1271020.3</v>
      </c>
      <c r="M2416">
        <v>723622.69</v>
      </c>
      <c r="N2416">
        <v>547397.61</v>
      </c>
    </row>
    <row r="2417" spans="1:14" x14ac:dyDescent="0.25">
      <c r="A2417" t="s">
        <v>14</v>
      </c>
      <c r="B2417" t="s">
        <v>835</v>
      </c>
      <c r="C2417" t="s">
        <v>69</v>
      </c>
      <c r="D2417" t="s">
        <v>17</v>
      </c>
      <c r="E2417" t="s">
        <v>23</v>
      </c>
      <c r="F2417" t="s">
        <v>589</v>
      </c>
      <c r="G2417">
        <v>643860900</v>
      </c>
      <c r="H2417" t="s">
        <v>1397</v>
      </c>
      <c r="I2417">
        <v>1603</v>
      </c>
      <c r="J2417">
        <v>421.89</v>
      </c>
      <c r="K2417">
        <v>364.69</v>
      </c>
      <c r="L2417">
        <v>676289.67</v>
      </c>
      <c r="M2417">
        <v>584598.06999999995</v>
      </c>
      <c r="N2417">
        <v>91691.6</v>
      </c>
    </row>
    <row r="2418" spans="1:14" x14ac:dyDescent="0.25">
      <c r="A2418" t="s">
        <v>51</v>
      </c>
      <c r="B2418" t="s">
        <v>414</v>
      </c>
      <c r="C2418" t="s">
        <v>44</v>
      </c>
      <c r="D2418" t="s">
        <v>22</v>
      </c>
      <c r="E2418" t="s">
        <v>23</v>
      </c>
      <c r="F2418" t="s">
        <v>660</v>
      </c>
      <c r="G2418">
        <v>843421113</v>
      </c>
      <c r="H2418" t="s">
        <v>1581</v>
      </c>
      <c r="I2418">
        <v>5905</v>
      </c>
      <c r="J2418">
        <v>109.28</v>
      </c>
      <c r="K2418">
        <v>35.840000000000003</v>
      </c>
      <c r="L2418">
        <v>645298.4</v>
      </c>
      <c r="M2418">
        <v>211635.20000000001</v>
      </c>
      <c r="N2418">
        <v>433663.2</v>
      </c>
    </row>
    <row r="2419" spans="1:14" x14ac:dyDescent="0.25">
      <c r="A2419" t="s">
        <v>25</v>
      </c>
      <c r="B2419" t="s">
        <v>234</v>
      </c>
      <c r="C2419" t="s">
        <v>16</v>
      </c>
      <c r="D2419" t="s">
        <v>17</v>
      </c>
      <c r="E2419" t="s">
        <v>45</v>
      </c>
      <c r="F2419" s="1">
        <v>41128</v>
      </c>
      <c r="G2419">
        <v>844307315</v>
      </c>
      <c r="H2419" t="s">
        <v>760</v>
      </c>
      <c r="I2419">
        <v>8152</v>
      </c>
      <c r="J2419">
        <v>255.28</v>
      </c>
      <c r="K2419">
        <v>159.41999999999999</v>
      </c>
      <c r="L2419">
        <v>2081042.56</v>
      </c>
      <c r="M2419">
        <v>1299591.8400000001</v>
      </c>
      <c r="N2419">
        <v>781450.72</v>
      </c>
    </row>
    <row r="2420" spans="1:14" x14ac:dyDescent="0.25">
      <c r="A2420" t="s">
        <v>51</v>
      </c>
      <c r="B2420" t="s">
        <v>593</v>
      </c>
      <c r="C2420" t="s">
        <v>16</v>
      </c>
      <c r="D2420" t="s">
        <v>22</v>
      </c>
      <c r="E2420" t="s">
        <v>45</v>
      </c>
      <c r="F2420" t="s">
        <v>1582</v>
      </c>
      <c r="G2420">
        <v>657505834</v>
      </c>
      <c r="H2420" t="s">
        <v>1218</v>
      </c>
      <c r="I2420">
        <v>9442</v>
      </c>
      <c r="J2420">
        <v>255.28</v>
      </c>
      <c r="K2420">
        <v>159.41999999999999</v>
      </c>
      <c r="L2420">
        <v>2410353.7599999998</v>
      </c>
      <c r="M2420">
        <v>1505243.64</v>
      </c>
      <c r="N2420">
        <v>905110.12</v>
      </c>
    </row>
    <row r="2421" spans="1:14" x14ac:dyDescent="0.25">
      <c r="A2421" t="s">
        <v>14</v>
      </c>
      <c r="B2421" t="s">
        <v>370</v>
      </c>
      <c r="C2421" t="s">
        <v>21</v>
      </c>
      <c r="D2421" t="s">
        <v>22</v>
      </c>
      <c r="E2421" t="s">
        <v>45</v>
      </c>
      <c r="F2421" s="1">
        <v>41945</v>
      </c>
      <c r="G2421">
        <v>364315497</v>
      </c>
      <c r="H2421" t="s">
        <v>646</v>
      </c>
      <c r="I2421">
        <v>7906</v>
      </c>
      <c r="J2421">
        <v>152.58000000000001</v>
      </c>
      <c r="K2421">
        <v>97.44</v>
      </c>
      <c r="L2421">
        <v>1206297.48</v>
      </c>
      <c r="M2421">
        <v>770360.64</v>
      </c>
      <c r="N2421">
        <v>435936.84</v>
      </c>
    </row>
    <row r="2422" spans="1:14" x14ac:dyDescent="0.25">
      <c r="A2422" t="s">
        <v>38</v>
      </c>
      <c r="B2422" t="s">
        <v>430</v>
      </c>
      <c r="C2422" t="s">
        <v>88</v>
      </c>
      <c r="D2422" t="s">
        <v>22</v>
      </c>
      <c r="E2422" t="s">
        <v>23</v>
      </c>
      <c r="F2422" t="s">
        <v>964</v>
      </c>
      <c r="G2422">
        <v>566347634</v>
      </c>
      <c r="H2422" s="1">
        <v>41063</v>
      </c>
      <c r="I2422">
        <v>3705</v>
      </c>
      <c r="J2422">
        <v>9.33</v>
      </c>
      <c r="K2422">
        <v>6.92</v>
      </c>
      <c r="L2422">
        <v>34567.65</v>
      </c>
      <c r="M2422">
        <v>25638.6</v>
      </c>
      <c r="N2422">
        <v>8929.0499999999993</v>
      </c>
    </row>
    <row r="2423" spans="1:14" x14ac:dyDescent="0.25">
      <c r="A2423" t="s">
        <v>51</v>
      </c>
      <c r="B2423" t="s">
        <v>219</v>
      </c>
      <c r="C2423" t="s">
        <v>16</v>
      </c>
      <c r="D2423" t="s">
        <v>22</v>
      </c>
      <c r="E2423" t="s">
        <v>18</v>
      </c>
      <c r="F2423" t="s">
        <v>1318</v>
      </c>
      <c r="G2423">
        <v>135526072</v>
      </c>
      <c r="H2423" t="s">
        <v>1318</v>
      </c>
      <c r="I2423">
        <v>4031</v>
      </c>
      <c r="J2423">
        <v>255.28</v>
      </c>
      <c r="K2423">
        <v>159.41999999999999</v>
      </c>
      <c r="L2423">
        <v>1029033.68</v>
      </c>
      <c r="M2423">
        <v>642622.02</v>
      </c>
      <c r="N2423">
        <v>386411.66</v>
      </c>
    </row>
    <row r="2424" spans="1:14" x14ac:dyDescent="0.25">
      <c r="A2424" t="s">
        <v>42</v>
      </c>
      <c r="B2424" t="s">
        <v>103</v>
      </c>
      <c r="C2424" t="s">
        <v>131</v>
      </c>
      <c r="D2424" t="s">
        <v>22</v>
      </c>
      <c r="E2424" t="s">
        <v>18</v>
      </c>
      <c r="F2424" t="s">
        <v>282</v>
      </c>
      <c r="G2424">
        <v>264087140</v>
      </c>
      <c r="H2424" t="s">
        <v>992</v>
      </c>
      <c r="I2424">
        <v>8108</v>
      </c>
      <c r="J2424">
        <v>668.27</v>
      </c>
      <c r="K2424">
        <v>502.54</v>
      </c>
      <c r="L2424">
        <v>5418333.1600000001</v>
      </c>
      <c r="M2424">
        <v>4074594.32</v>
      </c>
      <c r="N2424">
        <v>1343738.84</v>
      </c>
    </row>
    <row r="2425" spans="1:14" x14ac:dyDescent="0.25">
      <c r="A2425" t="s">
        <v>25</v>
      </c>
      <c r="B2425" t="s">
        <v>134</v>
      </c>
      <c r="C2425" t="s">
        <v>21</v>
      </c>
      <c r="D2425" t="s">
        <v>17</v>
      </c>
      <c r="E2425" t="s">
        <v>45</v>
      </c>
      <c r="F2425" t="s">
        <v>1039</v>
      </c>
      <c r="G2425">
        <v>414579665</v>
      </c>
      <c r="H2425" s="1">
        <v>43015</v>
      </c>
      <c r="I2425">
        <v>2191</v>
      </c>
      <c r="J2425">
        <v>152.58000000000001</v>
      </c>
      <c r="K2425">
        <v>97.44</v>
      </c>
      <c r="L2425">
        <v>334302.78000000003</v>
      </c>
      <c r="M2425">
        <v>213491.04</v>
      </c>
      <c r="N2425">
        <v>120811.74</v>
      </c>
    </row>
    <row r="2426" spans="1:14" x14ac:dyDescent="0.25">
      <c r="A2426" t="s">
        <v>25</v>
      </c>
      <c r="B2426" t="s">
        <v>119</v>
      </c>
      <c r="C2426" t="s">
        <v>31</v>
      </c>
      <c r="D2426" t="s">
        <v>22</v>
      </c>
      <c r="E2426" t="s">
        <v>18</v>
      </c>
      <c r="F2426" t="s">
        <v>1583</v>
      </c>
      <c r="G2426">
        <v>569864976</v>
      </c>
      <c r="H2426" t="s">
        <v>1295</v>
      </c>
      <c r="I2426">
        <v>4565</v>
      </c>
      <c r="J2426">
        <v>205.7</v>
      </c>
      <c r="K2426">
        <v>117.11</v>
      </c>
      <c r="L2426">
        <v>939020.5</v>
      </c>
      <c r="M2426">
        <v>534607.15</v>
      </c>
      <c r="N2426">
        <v>404413.35</v>
      </c>
    </row>
    <row r="2427" spans="1:14" x14ac:dyDescent="0.25">
      <c r="A2427" t="s">
        <v>25</v>
      </c>
      <c r="B2427" t="s">
        <v>234</v>
      </c>
      <c r="C2427" t="s">
        <v>44</v>
      </c>
      <c r="D2427" t="s">
        <v>17</v>
      </c>
      <c r="E2427" t="s">
        <v>32</v>
      </c>
      <c r="F2427" t="s">
        <v>574</v>
      </c>
      <c r="G2427">
        <v>783116900</v>
      </c>
      <c r="H2427" t="s">
        <v>334</v>
      </c>
      <c r="I2427">
        <v>548</v>
      </c>
      <c r="J2427">
        <v>109.28</v>
      </c>
      <c r="K2427">
        <v>35.840000000000003</v>
      </c>
      <c r="L2427">
        <v>59885.440000000002</v>
      </c>
      <c r="M2427">
        <v>19640.32</v>
      </c>
      <c r="N2427">
        <v>40245.120000000003</v>
      </c>
    </row>
    <row r="2428" spans="1:14" x14ac:dyDescent="0.25">
      <c r="A2428" t="s">
        <v>25</v>
      </c>
      <c r="B2428" t="s">
        <v>529</v>
      </c>
      <c r="C2428" t="s">
        <v>59</v>
      </c>
      <c r="D2428" t="s">
        <v>17</v>
      </c>
      <c r="E2428" t="s">
        <v>32</v>
      </c>
      <c r="F2428" t="s">
        <v>1196</v>
      </c>
      <c r="G2428">
        <v>727821767</v>
      </c>
      <c r="H2428" t="s">
        <v>1584</v>
      </c>
      <c r="I2428">
        <v>7489</v>
      </c>
      <c r="J2428">
        <v>437.2</v>
      </c>
      <c r="K2428">
        <v>263.33</v>
      </c>
      <c r="L2428">
        <v>3274190.8</v>
      </c>
      <c r="M2428">
        <v>1972078.37</v>
      </c>
      <c r="N2428">
        <v>1302112.43</v>
      </c>
    </row>
    <row r="2429" spans="1:14" x14ac:dyDescent="0.25">
      <c r="A2429" t="s">
        <v>29</v>
      </c>
      <c r="B2429" t="s">
        <v>586</v>
      </c>
      <c r="C2429" t="s">
        <v>44</v>
      </c>
      <c r="D2429" t="s">
        <v>22</v>
      </c>
      <c r="E2429" t="s">
        <v>23</v>
      </c>
      <c r="F2429" t="s">
        <v>1270</v>
      </c>
      <c r="G2429">
        <v>147778403</v>
      </c>
      <c r="H2429" t="s">
        <v>766</v>
      </c>
      <c r="I2429">
        <v>9768</v>
      </c>
      <c r="J2429">
        <v>109.28</v>
      </c>
      <c r="K2429">
        <v>35.840000000000003</v>
      </c>
      <c r="L2429">
        <v>1067447.04</v>
      </c>
      <c r="M2429">
        <v>350085.12</v>
      </c>
      <c r="N2429">
        <v>717361.92</v>
      </c>
    </row>
    <row r="2430" spans="1:14" x14ac:dyDescent="0.25">
      <c r="A2430" t="s">
        <v>29</v>
      </c>
      <c r="B2430" t="s">
        <v>323</v>
      </c>
      <c r="C2430" t="s">
        <v>55</v>
      </c>
      <c r="D2430" t="s">
        <v>17</v>
      </c>
      <c r="E2430" t="s">
        <v>23</v>
      </c>
      <c r="F2430" s="1">
        <v>41585</v>
      </c>
      <c r="G2430">
        <v>207098138</v>
      </c>
      <c r="H2430" t="s">
        <v>635</v>
      </c>
      <c r="I2430">
        <v>3796</v>
      </c>
      <c r="J2430">
        <v>651.21</v>
      </c>
      <c r="K2430">
        <v>524.96</v>
      </c>
      <c r="L2430">
        <v>2471993.16</v>
      </c>
      <c r="M2430">
        <v>1992748.16</v>
      </c>
      <c r="N2430">
        <v>479245</v>
      </c>
    </row>
    <row r="2431" spans="1:14" x14ac:dyDescent="0.25">
      <c r="A2431" t="s">
        <v>42</v>
      </c>
      <c r="B2431" t="s">
        <v>361</v>
      </c>
      <c r="C2431" t="s">
        <v>69</v>
      </c>
      <c r="D2431" t="s">
        <v>17</v>
      </c>
      <c r="E2431" t="s">
        <v>32</v>
      </c>
      <c r="F2431" t="s">
        <v>1585</v>
      </c>
      <c r="G2431">
        <v>340204799</v>
      </c>
      <c r="H2431" t="s">
        <v>1586</v>
      </c>
      <c r="I2431">
        <v>3015</v>
      </c>
      <c r="J2431">
        <v>421.89</v>
      </c>
      <c r="K2431">
        <v>364.69</v>
      </c>
      <c r="L2431">
        <v>1271998.3500000001</v>
      </c>
      <c r="M2431">
        <v>1099540.3500000001</v>
      </c>
      <c r="N2431">
        <v>172458</v>
      </c>
    </row>
    <row r="2432" spans="1:14" x14ac:dyDescent="0.25">
      <c r="A2432" t="s">
        <v>29</v>
      </c>
      <c r="B2432" t="s">
        <v>315</v>
      </c>
      <c r="C2432" t="s">
        <v>27</v>
      </c>
      <c r="D2432" t="s">
        <v>22</v>
      </c>
      <c r="E2432" t="s">
        <v>23</v>
      </c>
      <c r="F2432" s="1">
        <v>42465</v>
      </c>
      <c r="G2432">
        <v>501834714</v>
      </c>
      <c r="H2432" s="1">
        <v>42557</v>
      </c>
      <c r="I2432">
        <v>2899</v>
      </c>
      <c r="J2432">
        <v>47.45</v>
      </c>
      <c r="K2432">
        <v>31.79</v>
      </c>
      <c r="L2432">
        <v>137557.54999999999</v>
      </c>
      <c r="M2432">
        <v>92159.21</v>
      </c>
      <c r="N2432">
        <v>45398.34</v>
      </c>
    </row>
    <row r="2433" spans="1:14" x14ac:dyDescent="0.25">
      <c r="A2433" t="s">
        <v>38</v>
      </c>
      <c r="B2433" t="s">
        <v>527</v>
      </c>
      <c r="C2433" t="s">
        <v>131</v>
      </c>
      <c r="D2433" t="s">
        <v>22</v>
      </c>
      <c r="E2433" t="s">
        <v>18</v>
      </c>
      <c r="F2433" t="s">
        <v>860</v>
      </c>
      <c r="G2433">
        <v>717036712</v>
      </c>
      <c r="H2433" t="s">
        <v>718</v>
      </c>
      <c r="I2433">
        <v>5952</v>
      </c>
      <c r="J2433">
        <v>668.27</v>
      </c>
      <c r="K2433">
        <v>502.54</v>
      </c>
      <c r="L2433">
        <v>3977543.04</v>
      </c>
      <c r="M2433">
        <v>2991118.08</v>
      </c>
      <c r="N2433">
        <v>986424.96</v>
      </c>
    </row>
    <row r="2434" spans="1:14" x14ac:dyDescent="0.25">
      <c r="A2434" t="s">
        <v>25</v>
      </c>
      <c r="B2434" t="s">
        <v>785</v>
      </c>
      <c r="C2434" t="s">
        <v>69</v>
      </c>
      <c r="D2434" t="s">
        <v>22</v>
      </c>
      <c r="E2434" t="s">
        <v>23</v>
      </c>
      <c r="F2434" t="s">
        <v>1563</v>
      </c>
      <c r="G2434">
        <v>631172120</v>
      </c>
      <c r="H2434" t="s">
        <v>694</v>
      </c>
      <c r="I2434">
        <v>6711</v>
      </c>
      <c r="J2434">
        <v>421.89</v>
      </c>
      <c r="K2434">
        <v>364.69</v>
      </c>
      <c r="L2434">
        <v>2831303.79</v>
      </c>
      <c r="M2434">
        <v>2447434.59</v>
      </c>
      <c r="N2434">
        <v>383869.2</v>
      </c>
    </row>
    <row r="2435" spans="1:14" x14ac:dyDescent="0.25">
      <c r="A2435" t="s">
        <v>25</v>
      </c>
      <c r="B2435" t="s">
        <v>142</v>
      </c>
      <c r="C2435" t="s">
        <v>55</v>
      </c>
      <c r="D2435" t="s">
        <v>22</v>
      </c>
      <c r="E2435" t="s">
        <v>18</v>
      </c>
      <c r="F2435" s="1">
        <v>42679</v>
      </c>
      <c r="G2435">
        <v>859914767</v>
      </c>
      <c r="H2435" t="s">
        <v>444</v>
      </c>
      <c r="I2435">
        <v>6744</v>
      </c>
      <c r="J2435">
        <v>651.21</v>
      </c>
      <c r="K2435">
        <v>524.96</v>
      </c>
      <c r="L2435">
        <v>4391760.24</v>
      </c>
      <c r="M2435">
        <v>3540330.24</v>
      </c>
      <c r="N2435">
        <v>851430</v>
      </c>
    </row>
    <row r="2436" spans="1:14" x14ac:dyDescent="0.25">
      <c r="A2436" t="s">
        <v>14</v>
      </c>
      <c r="B2436" t="s">
        <v>370</v>
      </c>
      <c r="C2436" t="s">
        <v>27</v>
      </c>
      <c r="D2436" t="s">
        <v>22</v>
      </c>
      <c r="E2436" t="s">
        <v>32</v>
      </c>
      <c r="F2436" s="1">
        <v>41279</v>
      </c>
      <c r="G2436">
        <v>739250981</v>
      </c>
      <c r="H2436" s="1">
        <v>41339</v>
      </c>
      <c r="I2436">
        <v>9648</v>
      </c>
      <c r="J2436">
        <v>47.45</v>
      </c>
      <c r="K2436">
        <v>31.79</v>
      </c>
      <c r="L2436">
        <v>457797.6</v>
      </c>
      <c r="M2436">
        <v>306709.92</v>
      </c>
      <c r="N2436">
        <v>151087.67999999999</v>
      </c>
    </row>
    <row r="2437" spans="1:14" x14ac:dyDescent="0.25">
      <c r="A2437" t="s">
        <v>25</v>
      </c>
      <c r="B2437" t="s">
        <v>529</v>
      </c>
      <c r="C2437" t="s">
        <v>21</v>
      </c>
      <c r="D2437" t="s">
        <v>17</v>
      </c>
      <c r="E2437" t="s">
        <v>32</v>
      </c>
      <c r="F2437" s="1">
        <v>40635</v>
      </c>
      <c r="G2437">
        <v>575479590</v>
      </c>
      <c r="H2437" t="s">
        <v>1418</v>
      </c>
      <c r="I2437">
        <v>6054</v>
      </c>
      <c r="J2437">
        <v>152.58000000000001</v>
      </c>
      <c r="K2437">
        <v>97.44</v>
      </c>
      <c r="L2437">
        <v>923719.32</v>
      </c>
      <c r="M2437">
        <v>589901.76</v>
      </c>
      <c r="N2437">
        <v>333817.56</v>
      </c>
    </row>
    <row r="2438" spans="1:14" x14ac:dyDescent="0.25">
      <c r="A2438" t="s">
        <v>51</v>
      </c>
      <c r="B2438" t="s">
        <v>250</v>
      </c>
      <c r="C2438" t="s">
        <v>40</v>
      </c>
      <c r="D2438" t="s">
        <v>17</v>
      </c>
      <c r="E2438" t="s">
        <v>32</v>
      </c>
      <c r="F2438" t="s">
        <v>249</v>
      </c>
      <c r="G2438">
        <v>295211923</v>
      </c>
      <c r="H2438" t="s">
        <v>470</v>
      </c>
      <c r="I2438">
        <v>8623</v>
      </c>
      <c r="J2438">
        <v>81.73</v>
      </c>
      <c r="K2438">
        <v>56.67</v>
      </c>
      <c r="L2438">
        <v>704757.79</v>
      </c>
      <c r="M2438">
        <v>488665.41</v>
      </c>
      <c r="N2438">
        <v>216092.38</v>
      </c>
    </row>
    <row r="2439" spans="1:14" x14ac:dyDescent="0.25">
      <c r="A2439" t="s">
        <v>14</v>
      </c>
      <c r="B2439" t="s">
        <v>432</v>
      </c>
      <c r="C2439" t="s">
        <v>44</v>
      </c>
      <c r="D2439" t="s">
        <v>22</v>
      </c>
      <c r="E2439" t="s">
        <v>45</v>
      </c>
      <c r="F2439" t="s">
        <v>110</v>
      </c>
      <c r="G2439">
        <v>795371806</v>
      </c>
      <c r="H2439" s="1">
        <v>41002</v>
      </c>
      <c r="I2439">
        <v>7047</v>
      </c>
      <c r="J2439">
        <v>109.28</v>
      </c>
      <c r="K2439">
        <v>35.840000000000003</v>
      </c>
      <c r="L2439">
        <v>770096.16</v>
      </c>
      <c r="M2439">
        <v>252564.48000000001</v>
      </c>
      <c r="N2439">
        <v>517531.68</v>
      </c>
    </row>
    <row r="2440" spans="1:14" x14ac:dyDescent="0.25">
      <c r="A2440" t="s">
        <v>77</v>
      </c>
      <c r="B2440" t="s">
        <v>622</v>
      </c>
      <c r="C2440" t="s">
        <v>40</v>
      </c>
      <c r="D2440" t="s">
        <v>22</v>
      </c>
      <c r="E2440" t="s">
        <v>32</v>
      </c>
      <c r="F2440" t="s">
        <v>818</v>
      </c>
      <c r="G2440">
        <v>793195569</v>
      </c>
      <c r="H2440" t="s">
        <v>996</v>
      </c>
      <c r="I2440">
        <v>3050</v>
      </c>
      <c r="J2440">
        <v>81.73</v>
      </c>
      <c r="K2440">
        <v>56.67</v>
      </c>
      <c r="L2440">
        <v>249276.5</v>
      </c>
      <c r="M2440">
        <v>172843.5</v>
      </c>
      <c r="N2440">
        <v>76433</v>
      </c>
    </row>
    <row r="2441" spans="1:14" x14ac:dyDescent="0.25">
      <c r="A2441" t="s">
        <v>14</v>
      </c>
      <c r="B2441" t="s">
        <v>15</v>
      </c>
      <c r="C2441" t="s">
        <v>40</v>
      </c>
      <c r="D2441" t="s">
        <v>22</v>
      </c>
      <c r="E2441" t="s">
        <v>45</v>
      </c>
      <c r="F2441" t="s">
        <v>1378</v>
      </c>
      <c r="G2441">
        <v>876232039</v>
      </c>
      <c r="H2441" s="1">
        <v>41466</v>
      </c>
      <c r="I2441">
        <v>5387</v>
      </c>
      <c r="J2441">
        <v>81.73</v>
      </c>
      <c r="K2441">
        <v>56.67</v>
      </c>
      <c r="L2441">
        <v>440279.51</v>
      </c>
      <c r="M2441">
        <v>305281.28999999998</v>
      </c>
      <c r="N2441">
        <v>134998.22</v>
      </c>
    </row>
    <row r="2442" spans="1:14" x14ac:dyDescent="0.25">
      <c r="A2442" t="s">
        <v>25</v>
      </c>
      <c r="B2442" t="s">
        <v>426</v>
      </c>
      <c r="C2442" t="s">
        <v>21</v>
      </c>
      <c r="D2442" t="s">
        <v>22</v>
      </c>
      <c r="E2442" t="s">
        <v>18</v>
      </c>
      <c r="F2442" t="s">
        <v>1338</v>
      </c>
      <c r="G2442">
        <v>352342545</v>
      </c>
      <c r="H2442" t="s">
        <v>292</v>
      </c>
      <c r="I2442">
        <v>4844</v>
      </c>
      <c r="J2442">
        <v>152.58000000000001</v>
      </c>
      <c r="K2442">
        <v>97.44</v>
      </c>
      <c r="L2442">
        <v>739097.52</v>
      </c>
      <c r="M2442">
        <v>471999.36</v>
      </c>
      <c r="N2442">
        <v>267098.15999999997</v>
      </c>
    </row>
    <row r="2443" spans="1:14" x14ac:dyDescent="0.25">
      <c r="A2443" t="s">
        <v>14</v>
      </c>
      <c r="B2443" t="s">
        <v>20</v>
      </c>
      <c r="C2443" t="s">
        <v>131</v>
      </c>
      <c r="D2443" t="s">
        <v>22</v>
      </c>
      <c r="E2443" t="s">
        <v>23</v>
      </c>
      <c r="F2443" s="1">
        <v>41122</v>
      </c>
      <c r="G2443">
        <v>399700915</v>
      </c>
      <c r="H2443" t="s">
        <v>1587</v>
      </c>
      <c r="I2443">
        <v>9238</v>
      </c>
      <c r="J2443">
        <v>668.27</v>
      </c>
      <c r="K2443">
        <v>502.54</v>
      </c>
      <c r="L2443">
        <v>6173478.2599999998</v>
      </c>
      <c r="M2443">
        <v>4642464.5199999996</v>
      </c>
      <c r="N2443">
        <v>1531013.74</v>
      </c>
    </row>
    <row r="2444" spans="1:14" x14ac:dyDescent="0.25">
      <c r="A2444" t="s">
        <v>29</v>
      </c>
      <c r="B2444" t="s">
        <v>137</v>
      </c>
      <c r="C2444" t="s">
        <v>16</v>
      </c>
      <c r="D2444" t="s">
        <v>17</v>
      </c>
      <c r="E2444" t="s">
        <v>23</v>
      </c>
      <c r="F2444" t="s">
        <v>394</v>
      </c>
      <c r="G2444">
        <v>916793477</v>
      </c>
      <c r="H2444" s="1">
        <v>40270</v>
      </c>
      <c r="I2444">
        <v>8418</v>
      </c>
      <c r="J2444">
        <v>255.28</v>
      </c>
      <c r="K2444">
        <v>159.41999999999999</v>
      </c>
      <c r="L2444">
        <v>2148947.04</v>
      </c>
      <c r="M2444">
        <v>1341997.56</v>
      </c>
      <c r="N2444">
        <v>806949.48</v>
      </c>
    </row>
    <row r="2445" spans="1:14" x14ac:dyDescent="0.25">
      <c r="A2445" t="s">
        <v>25</v>
      </c>
      <c r="B2445" t="s">
        <v>239</v>
      </c>
      <c r="C2445" t="s">
        <v>31</v>
      </c>
      <c r="D2445" t="s">
        <v>17</v>
      </c>
      <c r="E2445" t="s">
        <v>45</v>
      </c>
      <c r="F2445" t="s">
        <v>822</v>
      </c>
      <c r="G2445">
        <v>972419059</v>
      </c>
      <c r="H2445" t="s">
        <v>761</v>
      </c>
      <c r="I2445">
        <v>9264</v>
      </c>
      <c r="J2445">
        <v>205.7</v>
      </c>
      <c r="K2445">
        <v>117.11</v>
      </c>
      <c r="L2445">
        <v>1905604.8</v>
      </c>
      <c r="M2445">
        <v>1084907.04</v>
      </c>
      <c r="N2445">
        <v>820697.76</v>
      </c>
    </row>
    <row r="2446" spans="1:14" x14ac:dyDescent="0.25">
      <c r="A2446" t="s">
        <v>38</v>
      </c>
      <c r="B2446" t="s">
        <v>329</v>
      </c>
      <c r="C2446" t="s">
        <v>69</v>
      </c>
      <c r="D2446" t="s">
        <v>17</v>
      </c>
      <c r="E2446" t="s">
        <v>32</v>
      </c>
      <c r="F2446" t="s">
        <v>970</v>
      </c>
      <c r="G2446">
        <v>155688989</v>
      </c>
      <c r="H2446" s="1">
        <v>41888</v>
      </c>
      <c r="I2446">
        <v>686</v>
      </c>
      <c r="J2446">
        <v>421.89</v>
      </c>
      <c r="K2446">
        <v>364.69</v>
      </c>
      <c r="L2446">
        <v>289416.53999999998</v>
      </c>
      <c r="M2446">
        <v>250177.34</v>
      </c>
      <c r="N2446">
        <v>39239.199999999997</v>
      </c>
    </row>
    <row r="2447" spans="1:14" x14ac:dyDescent="0.25">
      <c r="A2447" t="s">
        <v>29</v>
      </c>
      <c r="B2447" t="s">
        <v>159</v>
      </c>
      <c r="C2447" t="s">
        <v>69</v>
      </c>
      <c r="D2447" t="s">
        <v>22</v>
      </c>
      <c r="E2447" t="s">
        <v>18</v>
      </c>
      <c r="F2447" s="1">
        <v>42220</v>
      </c>
      <c r="G2447">
        <v>826027095</v>
      </c>
      <c r="H2447" t="s">
        <v>1107</v>
      </c>
      <c r="I2447">
        <v>8628</v>
      </c>
      <c r="J2447">
        <v>421.89</v>
      </c>
      <c r="K2447">
        <v>364.69</v>
      </c>
      <c r="L2447">
        <v>3640066.92</v>
      </c>
      <c r="M2447">
        <v>3146545.32</v>
      </c>
      <c r="N2447">
        <v>493521.6</v>
      </c>
    </row>
    <row r="2448" spans="1:14" x14ac:dyDescent="0.25">
      <c r="A2448" t="s">
        <v>51</v>
      </c>
      <c r="B2448" t="s">
        <v>664</v>
      </c>
      <c r="C2448" t="s">
        <v>69</v>
      </c>
      <c r="D2448" t="s">
        <v>22</v>
      </c>
      <c r="E2448" t="s">
        <v>18</v>
      </c>
      <c r="F2448" s="1">
        <v>42016</v>
      </c>
      <c r="G2448">
        <v>463169705</v>
      </c>
      <c r="H2448" t="s">
        <v>1588</v>
      </c>
      <c r="I2448">
        <v>1063</v>
      </c>
      <c r="J2448">
        <v>421.89</v>
      </c>
      <c r="K2448">
        <v>364.69</v>
      </c>
      <c r="L2448">
        <v>448469.07</v>
      </c>
      <c r="M2448">
        <v>387665.47</v>
      </c>
      <c r="N2448">
        <v>60803.6</v>
      </c>
    </row>
    <row r="2449" spans="1:14" x14ac:dyDescent="0.25">
      <c r="A2449" t="s">
        <v>25</v>
      </c>
      <c r="B2449" t="s">
        <v>426</v>
      </c>
      <c r="C2449" t="s">
        <v>69</v>
      </c>
      <c r="D2449" t="s">
        <v>22</v>
      </c>
      <c r="E2449" t="s">
        <v>18</v>
      </c>
      <c r="F2449" t="s">
        <v>499</v>
      </c>
      <c r="G2449">
        <v>217165648</v>
      </c>
      <c r="H2449" s="1">
        <v>41857</v>
      </c>
      <c r="I2449">
        <v>2996</v>
      </c>
      <c r="J2449">
        <v>421.89</v>
      </c>
      <c r="K2449">
        <v>364.69</v>
      </c>
      <c r="L2449">
        <v>1263982.44</v>
      </c>
      <c r="M2449">
        <v>1092611.24</v>
      </c>
      <c r="N2449">
        <v>171371.2</v>
      </c>
    </row>
    <row r="2450" spans="1:14" x14ac:dyDescent="0.25">
      <c r="A2450" t="s">
        <v>38</v>
      </c>
      <c r="B2450" t="s">
        <v>430</v>
      </c>
      <c r="C2450" t="s">
        <v>21</v>
      </c>
      <c r="D2450" t="s">
        <v>17</v>
      </c>
      <c r="E2450" t="s">
        <v>23</v>
      </c>
      <c r="F2450" s="1">
        <v>42860</v>
      </c>
      <c r="G2450">
        <v>858376252</v>
      </c>
      <c r="H2450" s="1">
        <v>42983</v>
      </c>
      <c r="I2450">
        <v>1463</v>
      </c>
      <c r="J2450">
        <v>152.58000000000001</v>
      </c>
      <c r="K2450">
        <v>97.44</v>
      </c>
      <c r="L2450">
        <v>223224.54</v>
      </c>
      <c r="M2450">
        <v>142554.72</v>
      </c>
      <c r="N2450">
        <v>80669.820000000007</v>
      </c>
    </row>
    <row r="2451" spans="1:14" x14ac:dyDescent="0.25">
      <c r="A2451" t="s">
        <v>38</v>
      </c>
      <c r="B2451" t="s">
        <v>1268</v>
      </c>
      <c r="C2451" t="s">
        <v>113</v>
      </c>
      <c r="D2451" t="s">
        <v>17</v>
      </c>
      <c r="E2451" t="s">
        <v>23</v>
      </c>
      <c r="F2451" s="1">
        <v>41494</v>
      </c>
      <c r="G2451">
        <v>527475345</v>
      </c>
      <c r="H2451" t="s">
        <v>1589</v>
      </c>
      <c r="I2451">
        <v>531</v>
      </c>
      <c r="J2451">
        <v>154.06</v>
      </c>
      <c r="K2451">
        <v>90.93</v>
      </c>
      <c r="L2451">
        <v>81805.86</v>
      </c>
      <c r="M2451">
        <v>48283.83</v>
      </c>
      <c r="N2451">
        <v>33522.03</v>
      </c>
    </row>
    <row r="2452" spans="1:14" x14ac:dyDescent="0.25">
      <c r="A2452" t="s">
        <v>42</v>
      </c>
      <c r="B2452" t="s">
        <v>552</v>
      </c>
      <c r="C2452" t="s">
        <v>59</v>
      </c>
      <c r="D2452" t="s">
        <v>22</v>
      </c>
      <c r="E2452" t="s">
        <v>18</v>
      </c>
      <c r="F2452" s="1">
        <v>42073</v>
      </c>
      <c r="G2452">
        <v>585449254</v>
      </c>
      <c r="H2452" t="s">
        <v>1590</v>
      </c>
      <c r="I2452">
        <v>6299</v>
      </c>
      <c r="J2452">
        <v>437.2</v>
      </c>
      <c r="K2452">
        <v>263.33</v>
      </c>
      <c r="L2452">
        <v>2753922.8</v>
      </c>
      <c r="M2452">
        <v>1658715.67</v>
      </c>
      <c r="N2452">
        <v>1095207.1299999999</v>
      </c>
    </row>
    <row r="2453" spans="1:14" x14ac:dyDescent="0.25">
      <c r="A2453" t="s">
        <v>42</v>
      </c>
      <c r="B2453" t="s">
        <v>150</v>
      </c>
      <c r="C2453" t="s">
        <v>16</v>
      </c>
      <c r="D2453" t="s">
        <v>22</v>
      </c>
      <c r="E2453" t="s">
        <v>32</v>
      </c>
      <c r="F2453" s="1">
        <v>40524</v>
      </c>
      <c r="G2453">
        <v>663596808</v>
      </c>
      <c r="H2453" s="1">
        <v>40695</v>
      </c>
      <c r="I2453">
        <v>1897</v>
      </c>
      <c r="J2453">
        <v>255.28</v>
      </c>
      <c r="K2453">
        <v>159.41999999999999</v>
      </c>
      <c r="L2453">
        <v>484266.16</v>
      </c>
      <c r="M2453">
        <v>302419.74</v>
      </c>
      <c r="N2453">
        <v>181846.42</v>
      </c>
    </row>
    <row r="2454" spans="1:14" x14ac:dyDescent="0.25">
      <c r="A2454" t="s">
        <v>51</v>
      </c>
      <c r="B2454" t="s">
        <v>327</v>
      </c>
      <c r="C2454" t="s">
        <v>16</v>
      </c>
      <c r="D2454" t="s">
        <v>22</v>
      </c>
      <c r="E2454" t="s">
        <v>23</v>
      </c>
      <c r="F2454" s="1">
        <v>40484</v>
      </c>
      <c r="G2454">
        <v>913529336</v>
      </c>
      <c r="H2454" t="s">
        <v>787</v>
      </c>
      <c r="I2454">
        <v>2486</v>
      </c>
      <c r="J2454">
        <v>255.28</v>
      </c>
      <c r="K2454">
        <v>159.41999999999999</v>
      </c>
      <c r="L2454">
        <v>634626.07999999996</v>
      </c>
      <c r="M2454">
        <v>396318.12</v>
      </c>
      <c r="N2454">
        <v>238307.96</v>
      </c>
    </row>
    <row r="2455" spans="1:14" x14ac:dyDescent="0.25">
      <c r="A2455" t="s">
        <v>14</v>
      </c>
      <c r="B2455" t="s">
        <v>226</v>
      </c>
      <c r="C2455" t="s">
        <v>55</v>
      </c>
      <c r="D2455" t="s">
        <v>17</v>
      </c>
      <c r="E2455" t="s">
        <v>18</v>
      </c>
      <c r="F2455" t="s">
        <v>798</v>
      </c>
      <c r="G2455">
        <v>657170665</v>
      </c>
      <c r="H2455" t="s">
        <v>544</v>
      </c>
      <c r="I2455">
        <v>258</v>
      </c>
      <c r="J2455">
        <v>651.21</v>
      </c>
      <c r="K2455">
        <v>524.96</v>
      </c>
      <c r="L2455">
        <v>168012.18</v>
      </c>
      <c r="M2455">
        <v>135439.67999999999</v>
      </c>
      <c r="N2455">
        <v>32572.5</v>
      </c>
    </row>
    <row r="2456" spans="1:14" x14ac:dyDescent="0.25">
      <c r="A2456" t="s">
        <v>29</v>
      </c>
      <c r="B2456" t="s">
        <v>467</v>
      </c>
      <c r="C2456" t="s">
        <v>113</v>
      </c>
      <c r="D2456" t="s">
        <v>22</v>
      </c>
      <c r="E2456" t="s">
        <v>32</v>
      </c>
      <c r="F2456" s="1">
        <v>42466</v>
      </c>
      <c r="G2456">
        <v>636757123</v>
      </c>
      <c r="H2456" s="1">
        <v>42589</v>
      </c>
      <c r="I2456">
        <v>9438</v>
      </c>
      <c r="J2456">
        <v>154.06</v>
      </c>
      <c r="K2456">
        <v>90.93</v>
      </c>
      <c r="L2456">
        <v>1454018.28</v>
      </c>
      <c r="M2456">
        <v>858197.34</v>
      </c>
      <c r="N2456">
        <v>595820.93999999994</v>
      </c>
    </row>
    <row r="2457" spans="1:14" x14ac:dyDescent="0.25">
      <c r="A2457" t="s">
        <v>25</v>
      </c>
      <c r="B2457" t="s">
        <v>303</v>
      </c>
      <c r="C2457" t="s">
        <v>16</v>
      </c>
      <c r="D2457" t="s">
        <v>17</v>
      </c>
      <c r="E2457" t="s">
        <v>32</v>
      </c>
      <c r="F2457" s="1">
        <v>42530</v>
      </c>
      <c r="G2457">
        <v>764837539</v>
      </c>
      <c r="H2457" s="1">
        <v>42530</v>
      </c>
      <c r="I2457">
        <v>1279</v>
      </c>
      <c r="J2457">
        <v>255.28</v>
      </c>
      <c r="K2457">
        <v>159.41999999999999</v>
      </c>
      <c r="L2457">
        <v>326503.12</v>
      </c>
      <c r="M2457">
        <v>203898.18</v>
      </c>
      <c r="N2457">
        <v>122604.94</v>
      </c>
    </row>
    <row r="2458" spans="1:14" x14ac:dyDescent="0.25">
      <c r="A2458" t="s">
        <v>51</v>
      </c>
      <c r="B2458" t="s">
        <v>877</v>
      </c>
      <c r="C2458" t="s">
        <v>88</v>
      </c>
      <c r="D2458" t="s">
        <v>17</v>
      </c>
      <c r="E2458" t="s">
        <v>23</v>
      </c>
      <c r="F2458" t="s">
        <v>1591</v>
      </c>
      <c r="G2458">
        <v>574273240</v>
      </c>
      <c r="H2458" t="s">
        <v>1258</v>
      </c>
      <c r="I2458">
        <v>9068</v>
      </c>
      <c r="J2458">
        <v>9.33</v>
      </c>
      <c r="K2458">
        <v>6.92</v>
      </c>
      <c r="L2458">
        <v>84604.44</v>
      </c>
      <c r="M2458">
        <v>62750.559999999998</v>
      </c>
      <c r="N2458">
        <v>21853.88</v>
      </c>
    </row>
    <row r="2459" spans="1:14" x14ac:dyDescent="0.25">
      <c r="A2459" t="s">
        <v>14</v>
      </c>
      <c r="B2459" t="s">
        <v>213</v>
      </c>
      <c r="C2459" t="s">
        <v>31</v>
      </c>
      <c r="D2459" t="s">
        <v>22</v>
      </c>
      <c r="E2459" t="s">
        <v>23</v>
      </c>
      <c r="F2459" s="1">
        <v>42191</v>
      </c>
      <c r="G2459">
        <v>568238055</v>
      </c>
      <c r="H2459" t="s">
        <v>1106</v>
      </c>
      <c r="I2459">
        <v>3123</v>
      </c>
      <c r="J2459">
        <v>205.7</v>
      </c>
      <c r="K2459">
        <v>117.11</v>
      </c>
      <c r="L2459">
        <v>642401.1</v>
      </c>
      <c r="M2459">
        <v>365734.53</v>
      </c>
      <c r="N2459">
        <v>276666.57</v>
      </c>
    </row>
    <row r="2460" spans="1:14" x14ac:dyDescent="0.25">
      <c r="A2460" t="s">
        <v>25</v>
      </c>
      <c r="B2460" t="s">
        <v>201</v>
      </c>
      <c r="C2460" t="s">
        <v>88</v>
      </c>
      <c r="D2460" t="s">
        <v>22</v>
      </c>
      <c r="E2460" t="s">
        <v>45</v>
      </c>
      <c r="F2460" t="s">
        <v>1536</v>
      </c>
      <c r="G2460">
        <v>870218312</v>
      </c>
      <c r="H2460" t="s">
        <v>292</v>
      </c>
      <c r="I2460">
        <v>5792</v>
      </c>
      <c r="J2460">
        <v>9.33</v>
      </c>
      <c r="K2460">
        <v>6.92</v>
      </c>
      <c r="L2460">
        <v>54039.360000000001</v>
      </c>
      <c r="M2460">
        <v>40080.639999999999</v>
      </c>
      <c r="N2460">
        <v>13958.72</v>
      </c>
    </row>
    <row r="2461" spans="1:14" x14ac:dyDescent="0.25">
      <c r="A2461" t="s">
        <v>42</v>
      </c>
      <c r="B2461" t="s">
        <v>150</v>
      </c>
      <c r="C2461" t="s">
        <v>40</v>
      </c>
      <c r="D2461" t="s">
        <v>17</v>
      </c>
      <c r="E2461" t="s">
        <v>23</v>
      </c>
      <c r="F2461" t="s">
        <v>1222</v>
      </c>
      <c r="G2461">
        <v>774012839</v>
      </c>
      <c r="H2461" t="s">
        <v>461</v>
      </c>
      <c r="I2461">
        <v>6454</v>
      </c>
      <c r="J2461">
        <v>81.73</v>
      </c>
      <c r="K2461">
        <v>56.67</v>
      </c>
      <c r="L2461">
        <v>527485.42000000004</v>
      </c>
      <c r="M2461">
        <v>365748.18</v>
      </c>
      <c r="N2461">
        <v>161737.24</v>
      </c>
    </row>
    <row r="2462" spans="1:14" x14ac:dyDescent="0.25">
      <c r="A2462" t="s">
        <v>42</v>
      </c>
      <c r="B2462" t="s">
        <v>290</v>
      </c>
      <c r="C2462" t="s">
        <v>44</v>
      </c>
      <c r="D2462" t="s">
        <v>17</v>
      </c>
      <c r="E2462" t="s">
        <v>23</v>
      </c>
      <c r="F2462" t="s">
        <v>421</v>
      </c>
      <c r="G2462">
        <v>993732964</v>
      </c>
      <c r="H2462" t="s">
        <v>251</v>
      </c>
      <c r="I2462">
        <v>6522</v>
      </c>
      <c r="J2462">
        <v>109.28</v>
      </c>
      <c r="K2462">
        <v>35.840000000000003</v>
      </c>
      <c r="L2462">
        <v>712724.16</v>
      </c>
      <c r="M2462">
        <v>233748.48000000001</v>
      </c>
      <c r="N2462">
        <v>478975.68</v>
      </c>
    </row>
    <row r="2463" spans="1:14" x14ac:dyDescent="0.25">
      <c r="A2463" t="s">
        <v>25</v>
      </c>
      <c r="B2463" t="s">
        <v>426</v>
      </c>
      <c r="C2463" t="s">
        <v>55</v>
      </c>
      <c r="D2463" t="s">
        <v>17</v>
      </c>
      <c r="E2463" t="s">
        <v>32</v>
      </c>
      <c r="F2463" s="1">
        <v>42773</v>
      </c>
      <c r="G2463">
        <v>513802516</v>
      </c>
      <c r="H2463" s="1">
        <v>42924</v>
      </c>
      <c r="I2463">
        <v>4437</v>
      </c>
      <c r="J2463">
        <v>651.21</v>
      </c>
      <c r="K2463">
        <v>524.96</v>
      </c>
      <c r="L2463">
        <v>2889418.77</v>
      </c>
      <c r="M2463">
        <v>2329247.52</v>
      </c>
      <c r="N2463">
        <v>560171.25</v>
      </c>
    </row>
    <row r="2464" spans="1:14" x14ac:dyDescent="0.25">
      <c r="A2464" t="s">
        <v>25</v>
      </c>
      <c r="B2464" t="s">
        <v>569</v>
      </c>
      <c r="C2464" t="s">
        <v>27</v>
      </c>
      <c r="D2464" t="s">
        <v>17</v>
      </c>
      <c r="E2464" t="s">
        <v>18</v>
      </c>
      <c r="F2464" t="s">
        <v>1550</v>
      </c>
      <c r="G2464">
        <v>638957822</v>
      </c>
      <c r="H2464" t="s">
        <v>1507</v>
      </c>
      <c r="I2464">
        <v>673</v>
      </c>
      <c r="J2464">
        <v>47.45</v>
      </c>
      <c r="K2464">
        <v>31.79</v>
      </c>
      <c r="L2464">
        <v>31933.85</v>
      </c>
      <c r="M2464">
        <v>21394.67</v>
      </c>
      <c r="N2464">
        <v>10539.18</v>
      </c>
    </row>
    <row r="2465" spans="1:14" x14ac:dyDescent="0.25">
      <c r="A2465" t="s">
        <v>25</v>
      </c>
      <c r="B2465" t="s">
        <v>74</v>
      </c>
      <c r="C2465" t="s">
        <v>16</v>
      </c>
      <c r="D2465" t="s">
        <v>17</v>
      </c>
      <c r="E2465" t="s">
        <v>45</v>
      </c>
      <c r="F2465" t="s">
        <v>562</v>
      </c>
      <c r="G2465">
        <v>944247710</v>
      </c>
      <c r="H2465" t="s">
        <v>1358</v>
      </c>
      <c r="I2465">
        <v>2736</v>
      </c>
      <c r="J2465">
        <v>255.28</v>
      </c>
      <c r="K2465">
        <v>159.41999999999999</v>
      </c>
      <c r="L2465">
        <v>698446.08</v>
      </c>
      <c r="M2465">
        <v>436173.12</v>
      </c>
      <c r="N2465">
        <v>262272.96000000002</v>
      </c>
    </row>
    <row r="2466" spans="1:14" x14ac:dyDescent="0.25">
      <c r="A2466" t="s">
        <v>38</v>
      </c>
      <c r="B2466" t="s">
        <v>39</v>
      </c>
      <c r="C2466" t="s">
        <v>44</v>
      </c>
      <c r="D2466" t="s">
        <v>17</v>
      </c>
      <c r="E2466" t="s">
        <v>32</v>
      </c>
      <c r="F2466" t="s">
        <v>948</v>
      </c>
      <c r="G2466">
        <v>625033509</v>
      </c>
      <c r="H2466" t="s">
        <v>948</v>
      </c>
      <c r="I2466">
        <v>160</v>
      </c>
      <c r="J2466">
        <v>109.28</v>
      </c>
      <c r="K2466">
        <v>35.840000000000003</v>
      </c>
      <c r="L2466">
        <v>17484.8</v>
      </c>
      <c r="M2466">
        <v>5734.4</v>
      </c>
      <c r="N2466">
        <v>11750.4</v>
      </c>
    </row>
    <row r="2467" spans="1:14" x14ac:dyDescent="0.25">
      <c r="A2467" t="s">
        <v>51</v>
      </c>
      <c r="B2467" t="s">
        <v>578</v>
      </c>
      <c r="C2467" t="s">
        <v>131</v>
      </c>
      <c r="D2467" t="s">
        <v>22</v>
      </c>
      <c r="E2467" t="s">
        <v>45</v>
      </c>
      <c r="F2467" t="s">
        <v>1307</v>
      </c>
      <c r="G2467">
        <v>746989047</v>
      </c>
      <c r="H2467" t="s">
        <v>1526</v>
      </c>
      <c r="I2467">
        <v>9514</v>
      </c>
      <c r="J2467">
        <v>668.27</v>
      </c>
      <c r="K2467">
        <v>502.54</v>
      </c>
      <c r="L2467">
        <v>6357920.7800000003</v>
      </c>
      <c r="M2467">
        <v>4781165.5599999996</v>
      </c>
      <c r="N2467">
        <v>1576755.22</v>
      </c>
    </row>
    <row r="2468" spans="1:14" x14ac:dyDescent="0.25">
      <c r="A2468" t="s">
        <v>51</v>
      </c>
      <c r="B2468" t="s">
        <v>151</v>
      </c>
      <c r="C2468" t="s">
        <v>21</v>
      </c>
      <c r="D2468" t="s">
        <v>17</v>
      </c>
      <c r="E2468" t="s">
        <v>23</v>
      </c>
      <c r="F2468" t="s">
        <v>1466</v>
      </c>
      <c r="G2468">
        <v>196100652</v>
      </c>
      <c r="H2468" t="s">
        <v>1073</v>
      </c>
      <c r="I2468">
        <v>9395</v>
      </c>
      <c r="J2468">
        <v>152.58000000000001</v>
      </c>
      <c r="K2468">
        <v>97.44</v>
      </c>
      <c r="L2468">
        <v>1433489.1</v>
      </c>
      <c r="M2468">
        <v>915448.8</v>
      </c>
      <c r="N2468">
        <v>518040.3</v>
      </c>
    </row>
    <row r="2469" spans="1:14" x14ac:dyDescent="0.25">
      <c r="A2469" t="s">
        <v>51</v>
      </c>
      <c r="B2469" t="s">
        <v>194</v>
      </c>
      <c r="C2469" t="s">
        <v>55</v>
      </c>
      <c r="D2469" t="s">
        <v>17</v>
      </c>
      <c r="E2469" t="s">
        <v>18</v>
      </c>
      <c r="F2469" s="1">
        <v>41283</v>
      </c>
      <c r="G2469">
        <v>628667151</v>
      </c>
      <c r="H2469" t="s">
        <v>1014</v>
      </c>
      <c r="I2469">
        <v>5435</v>
      </c>
      <c r="J2469">
        <v>651.21</v>
      </c>
      <c r="K2469">
        <v>524.96</v>
      </c>
      <c r="L2469">
        <v>3539326.35</v>
      </c>
      <c r="M2469">
        <v>2853157.6</v>
      </c>
      <c r="N2469">
        <v>686168.75</v>
      </c>
    </row>
    <row r="2470" spans="1:14" x14ac:dyDescent="0.25">
      <c r="A2470" t="s">
        <v>51</v>
      </c>
      <c r="B2470" t="s">
        <v>575</v>
      </c>
      <c r="C2470" t="s">
        <v>69</v>
      </c>
      <c r="D2470" t="s">
        <v>22</v>
      </c>
      <c r="E2470" t="s">
        <v>32</v>
      </c>
      <c r="F2470" t="s">
        <v>1592</v>
      </c>
      <c r="G2470">
        <v>621299874</v>
      </c>
      <c r="H2470" s="1">
        <v>42592</v>
      </c>
      <c r="I2470">
        <v>5294</v>
      </c>
      <c r="J2470">
        <v>421.89</v>
      </c>
      <c r="K2470">
        <v>364.69</v>
      </c>
      <c r="L2470">
        <v>2233485.66</v>
      </c>
      <c r="M2470">
        <v>1930668.86</v>
      </c>
      <c r="N2470">
        <v>302816.8</v>
      </c>
    </row>
    <row r="2471" spans="1:14" x14ac:dyDescent="0.25">
      <c r="A2471" t="s">
        <v>42</v>
      </c>
      <c r="B2471" t="s">
        <v>630</v>
      </c>
      <c r="C2471" t="s">
        <v>31</v>
      </c>
      <c r="D2471" t="s">
        <v>17</v>
      </c>
      <c r="E2471" t="s">
        <v>45</v>
      </c>
      <c r="F2471" t="s">
        <v>1537</v>
      </c>
      <c r="G2471">
        <v>620922648</v>
      </c>
      <c r="H2471" t="s">
        <v>1343</v>
      </c>
      <c r="I2471">
        <v>3665</v>
      </c>
      <c r="J2471">
        <v>205.7</v>
      </c>
      <c r="K2471">
        <v>117.11</v>
      </c>
      <c r="L2471">
        <v>753890.5</v>
      </c>
      <c r="M2471">
        <v>429208.15</v>
      </c>
      <c r="N2471">
        <v>324682.34999999998</v>
      </c>
    </row>
    <row r="2472" spans="1:14" x14ac:dyDescent="0.25">
      <c r="A2472" t="s">
        <v>25</v>
      </c>
      <c r="B2472" t="s">
        <v>172</v>
      </c>
      <c r="C2472" t="s">
        <v>16</v>
      </c>
      <c r="D2472" t="s">
        <v>22</v>
      </c>
      <c r="E2472" t="s">
        <v>45</v>
      </c>
      <c r="F2472" t="s">
        <v>1593</v>
      </c>
      <c r="G2472">
        <v>694771802</v>
      </c>
      <c r="H2472" t="s">
        <v>322</v>
      </c>
      <c r="I2472">
        <v>7270</v>
      </c>
      <c r="J2472">
        <v>255.28</v>
      </c>
      <c r="K2472">
        <v>159.41999999999999</v>
      </c>
      <c r="L2472">
        <v>1855885.6</v>
      </c>
      <c r="M2472">
        <v>1158983.3999999999</v>
      </c>
      <c r="N2472">
        <v>696902.2</v>
      </c>
    </row>
    <row r="2473" spans="1:14" x14ac:dyDescent="0.25">
      <c r="A2473" t="s">
        <v>51</v>
      </c>
      <c r="B2473" t="s">
        <v>877</v>
      </c>
      <c r="C2473" t="s">
        <v>59</v>
      </c>
      <c r="D2473" t="s">
        <v>17</v>
      </c>
      <c r="E2473" t="s">
        <v>45</v>
      </c>
      <c r="F2473" t="s">
        <v>1269</v>
      </c>
      <c r="G2473">
        <v>980396163</v>
      </c>
      <c r="H2473" t="s">
        <v>1594</v>
      </c>
      <c r="I2473">
        <v>9866</v>
      </c>
      <c r="J2473">
        <v>437.2</v>
      </c>
      <c r="K2473">
        <v>263.33</v>
      </c>
      <c r="L2473">
        <v>4313415.2</v>
      </c>
      <c r="M2473">
        <v>2598013.7799999998</v>
      </c>
      <c r="N2473">
        <v>1715401.42</v>
      </c>
    </row>
    <row r="2474" spans="1:14" x14ac:dyDescent="0.25">
      <c r="A2474" t="s">
        <v>29</v>
      </c>
      <c r="B2474" t="s">
        <v>356</v>
      </c>
      <c r="C2474" t="s">
        <v>59</v>
      </c>
      <c r="D2474" t="s">
        <v>17</v>
      </c>
      <c r="E2474" t="s">
        <v>18</v>
      </c>
      <c r="F2474" t="s">
        <v>1017</v>
      </c>
      <c r="G2474">
        <v>335657060</v>
      </c>
      <c r="H2474" t="s">
        <v>489</v>
      </c>
      <c r="I2474">
        <v>7238</v>
      </c>
      <c r="J2474">
        <v>437.2</v>
      </c>
      <c r="K2474">
        <v>263.33</v>
      </c>
      <c r="L2474">
        <v>3164453.6</v>
      </c>
      <c r="M2474">
        <v>1905982.54</v>
      </c>
      <c r="N2474">
        <v>1258471.06</v>
      </c>
    </row>
    <row r="2475" spans="1:14" x14ac:dyDescent="0.25">
      <c r="A2475" t="s">
        <v>25</v>
      </c>
      <c r="B2475" t="s">
        <v>47</v>
      </c>
      <c r="C2475" t="s">
        <v>21</v>
      </c>
      <c r="D2475" t="s">
        <v>22</v>
      </c>
      <c r="E2475" t="s">
        <v>23</v>
      </c>
      <c r="F2475" t="s">
        <v>1486</v>
      </c>
      <c r="G2475">
        <v>388728320</v>
      </c>
      <c r="H2475" s="1">
        <v>41187</v>
      </c>
      <c r="I2475">
        <v>2203</v>
      </c>
      <c r="J2475">
        <v>152.58000000000001</v>
      </c>
      <c r="K2475">
        <v>97.44</v>
      </c>
      <c r="L2475">
        <v>336133.74</v>
      </c>
      <c r="M2475">
        <v>214660.32</v>
      </c>
      <c r="N2475">
        <v>121473.42</v>
      </c>
    </row>
    <row r="2476" spans="1:14" x14ac:dyDescent="0.25">
      <c r="A2476" t="s">
        <v>29</v>
      </c>
      <c r="B2476" t="s">
        <v>137</v>
      </c>
      <c r="C2476" t="s">
        <v>44</v>
      </c>
      <c r="D2476" t="s">
        <v>17</v>
      </c>
      <c r="E2476" t="s">
        <v>32</v>
      </c>
      <c r="F2476" t="s">
        <v>1570</v>
      </c>
      <c r="G2476">
        <v>588096272</v>
      </c>
      <c r="H2476" t="s">
        <v>819</v>
      </c>
      <c r="I2476">
        <v>9611</v>
      </c>
      <c r="J2476">
        <v>109.28</v>
      </c>
      <c r="K2476">
        <v>35.840000000000003</v>
      </c>
      <c r="L2476">
        <v>1050290.08</v>
      </c>
      <c r="M2476">
        <v>344458.23999999999</v>
      </c>
      <c r="N2476">
        <v>705831.84</v>
      </c>
    </row>
    <row r="2477" spans="1:14" x14ac:dyDescent="0.25">
      <c r="A2477" t="s">
        <v>25</v>
      </c>
      <c r="B2477" t="s">
        <v>603</v>
      </c>
      <c r="C2477" t="s">
        <v>113</v>
      </c>
      <c r="D2477" t="s">
        <v>22</v>
      </c>
      <c r="E2477" t="s">
        <v>32</v>
      </c>
      <c r="F2477" t="s">
        <v>1031</v>
      </c>
      <c r="G2477">
        <v>452559745</v>
      </c>
      <c r="H2477" t="s">
        <v>611</v>
      </c>
      <c r="I2477">
        <v>1340</v>
      </c>
      <c r="J2477">
        <v>154.06</v>
      </c>
      <c r="K2477">
        <v>90.93</v>
      </c>
      <c r="L2477">
        <v>206440.4</v>
      </c>
      <c r="M2477">
        <v>121846.2</v>
      </c>
      <c r="N2477">
        <v>84594.2</v>
      </c>
    </row>
    <row r="2478" spans="1:14" x14ac:dyDescent="0.25">
      <c r="A2478" t="s">
        <v>25</v>
      </c>
      <c r="B2478" t="s">
        <v>211</v>
      </c>
      <c r="C2478" t="s">
        <v>16</v>
      </c>
      <c r="D2478" t="s">
        <v>22</v>
      </c>
      <c r="E2478" t="s">
        <v>18</v>
      </c>
      <c r="F2478" t="s">
        <v>1277</v>
      </c>
      <c r="G2478">
        <v>921230065</v>
      </c>
      <c r="H2478" t="s">
        <v>1595</v>
      </c>
      <c r="I2478">
        <v>1303</v>
      </c>
      <c r="J2478">
        <v>255.28</v>
      </c>
      <c r="K2478">
        <v>159.41999999999999</v>
      </c>
      <c r="L2478">
        <v>332629.84000000003</v>
      </c>
      <c r="M2478">
        <v>207724.26</v>
      </c>
      <c r="N2478">
        <v>124905.58</v>
      </c>
    </row>
    <row r="2479" spans="1:14" x14ac:dyDescent="0.25">
      <c r="A2479" t="s">
        <v>38</v>
      </c>
      <c r="B2479" t="s">
        <v>105</v>
      </c>
      <c r="C2479" t="s">
        <v>88</v>
      </c>
      <c r="D2479" t="s">
        <v>22</v>
      </c>
      <c r="E2479" t="s">
        <v>45</v>
      </c>
      <c r="F2479" s="1">
        <v>42502</v>
      </c>
      <c r="G2479">
        <v>303531062</v>
      </c>
      <c r="H2479" t="s">
        <v>702</v>
      </c>
      <c r="I2479">
        <v>441</v>
      </c>
      <c r="J2479">
        <v>9.33</v>
      </c>
      <c r="K2479">
        <v>6.92</v>
      </c>
      <c r="L2479">
        <v>4114.53</v>
      </c>
      <c r="M2479">
        <v>3051.72</v>
      </c>
      <c r="N2479">
        <v>1062.81</v>
      </c>
    </row>
    <row r="2480" spans="1:14" x14ac:dyDescent="0.25">
      <c r="A2480" t="s">
        <v>29</v>
      </c>
      <c r="B2480" t="s">
        <v>338</v>
      </c>
      <c r="C2480" t="s">
        <v>88</v>
      </c>
      <c r="D2480" t="s">
        <v>22</v>
      </c>
      <c r="E2480" t="s">
        <v>23</v>
      </c>
      <c r="F2480" s="1">
        <v>41429</v>
      </c>
      <c r="G2480">
        <v>129199063</v>
      </c>
      <c r="H2480" t="s">
        <v>60</v>
      </c>
      <c r="I2480">
        <v>1729</v>
      </c>
      <c r="J2480">
        <v>9.33</v>
      </c>
      <c r="K2480">
        <v>6.92</v>
      </c>
      <c r="L2480">
        <v>16131.57</v>
      </c>
      <c r="M2480">
        <v>11964.68</v>
      </c>
      <c r="N2480">
        <v>4166.8900000000003</v>
      </c>
    </row>
    <row r="2481" spans="1:14" x14ac:dyDescent="0.25">
      <c r="A2481" t="s">
        <v>51</v>
      </c>
      <c r="B2481" t="s">
        <v>250</v>
      </c>
      <c r="C2481" t="s">
        <v>59</v>
      </c>
      <c r="D2481" t="s">
        <v>17</v>
      </c>
      <c r="E2481" t="s">
        <v>32</v>
      </c>
      <c r="F2481" t="s">
        <v>951</v>
      </c>
      <c r="G2481">
        <v>198282897</v>
      </c>
      <c r="H2481" t="s">
        <v>1596</v>
      </c>
      <c r="I2481">
        <v>5170</v>
      </c>
      <c r="J2481">
        <v>437.2</v>
      </c>
      <c r="K2481">
        <v>263.33</v>
      </c>
      <c r="L2481">
        <v>2260324</v>
      </c>
      <c r="M2481">
        <v>1361416.1</v>
      </c>
      <c r="N2481">
        <v>898907.9</v>
      </c>
    </row>
    <row r="2482" spans="1:14" x14ac:dyDescent="0.25">
      <c r="A2482" t="s">
        <v>25</v>
      </c>
      <c r="B2482" t="s">
        <v>242</v>
      </c>
      <c r="C2482" t="s">
        <v>88</v>
      </c>
      <c r="D2482" t="s">
        <v>17</v>
      </c>
      <c r="E2482" t="s">
        <v>18</v>
      </c>
      <c r="F2482" s="1">
        <v>42618</v>
      </c>
      <c r="G2482">
        <v>831143891</v>
      </c>
      <c r="H2482" s="1">
        <v>42375</v>
      </c>
      <c r="I2482">
        <v>2802</v>
      </c>
      <c r="J2482">
        <v>9.33</v>
      </c>
      <c r="K2482">
        <v>6.92</v>
      </c>
      <c r="L2482">
        <v>26142.66</v>
      </c>
      <c r="M2482">
        <v>19389.84</v>
      </c>
      <c r="N2482">
        <v>6752.82</v>
      </c>
    </row>
    <row r="2483" spans="1:14" x14ac:dyDescent="0.25">
      <c r="A2483" t="s">
        <v>38</v>
      </c>
      <c r="B2483" t="s">
        <v>92</v>
      </c>
      <c r="C2483" t="s">
        <v>55</v>
      </c>
      <c r="D2483" t="s">
        <v>22</v>
      </c>
      <c r="E2483" t="s">
        <v>32</v>
      </c>
      <c r="F2483" s="1">
        <v>40756</v>
      </c>
      <c r="G2483">
        <v>618455874</v>
      </c>
      <c r="H2483" t="s">
        <v>249</v>
      </c>
      <c r="I2483">
        <v>3692</v>
      </c>
      <c r="J2483">
        <v>651.21</v>
      </c>
      <c r="K2483">
        <v>524.96</v>
      </c>
      <c r="L2483">
        <v>2404267.3199999998</v>
      </c>
      <c r="M2483">
        <v>1938152.32</v>
      </c>
      <c r="N2483">
        <v>466115</v>
      </c>
    </row>
    <row r="2484" spans="1:14" x14ac:dyDescent="0.25">
      <c r="A2484" t="s">
        <v>51</v>
      </c>
      <c r="B2484" t="s">
        <v>299</v>
      </c>
      <c r="C2484" t="s">
        <v>131</v>
      </c>
      <c r="D2484" t="s">
        <v>17</v>
      </c>
      <c r="E2484" t="s">
        <v>32</v>
      </c>
      <c r="F2484" s="1">
        <v>42095</v>
      </c>
      <c r="G2484">
        <v>471205174</v>
      </c>
      <c r="H2484" t="s">
        <v>1597</v>
      </c>
      <c r="I2484">
        <v>8937</v>
      </c>
      <c r="J2484">
        <v>668.27</v>
      </c>
      <c r="K2484">
        <v>502.54</v>
      </c>
      <c r="L2484">
        <v>5972328.9900000002</v>
      </c>
      <c r="M2484">
        <v>4491199.9800000004</v>
      </c>
      <c r="N2484">
        <v>1481129.01</v>
      </c>
    </row>
    <row r="2485" spans="1:14" x14ac:dyDescent="0.25">
      <c r="A2485" t="s">
        <v>14</v>
      </c>
      <c r="B2485" t="s">
        <v>432</v>
      </c>
      <c r="C2485" t="s">
        <v>16</v>
      </c>
      <c r="D2485" t="s">
        <v>17</v>
      </c>
      <c r="E2485" t="s">
        <v>32</v>
      </c>
      <c r="F2485" s="1">
        <v>40764</v>
      </c>
      <c r="G2485">
        <v>470690619</v>
      </c>
      <c r="H2485" t="s">
        <v>1518</v>
      </c>
      <c r="I2485">
        <v>6669</v>
      </c>
      <c r="J2485">
        <v>255.28</v>
      </c>
      <c r="K2485">
        <v>159.41999999999999</v>
      </c>
      <c r="L2485">
        <v>1702462.32</v>
      </c>
      <c r="M2485">
        <v>1063171.98</v>
      </c>
      <c r="N2485">
        <v>639290.34</v>
      </c>
    </row>
    <row r="2486" spans="1:14" x14ac:dyDescent="0.25">
      <c r="A2486" t="s">
        <v>25</v>
      </c>
      <c r="B2486" t="s">
        <v>87</v>
      </c>
      <c r="C2486" t="s">
        <v>31</v>
      </c>
      <c r="D2486" t="s">
        <v>17</v>
      </c>
      <c r="E2486" t="s">
        <v>18</v>
      </c>
      <c r="F2486" s="1">
        <v>42195</v>
      </c>
      <c r="G2486">
        <v>318523538</v>
      </c>
      <c r="H2486" s="1">
        <v>42135</v>
      </c>
      <c r="I2486">
        <v>7048</v>
      </c>
      <c r="J2486">
        <v>205.7</v>
      </c>
      <c r="K2486">
        <v>117.11</v>
      </c>
      <c r="L2486">
        <v>1449773.6</v>
      </c>
      <c r="M2486">
        <v>825391.28</v>
      </c>
      <c r="N2486">
        <v>624382.31999999995</v>
      </c>
    </row>
    <row r="2487" spans="1:14" x14ac:dyDescent="0.25">
      <c r="A2487" t="s">
        <v>14</v>
      </c>
      <c r="B2487" t="s">
        <v>20</v>
      </c>
      <c r="C2487" t="s">
        <v>131</v>
      </c>
      <c r="D2487" t="s">
        <v>22</v>
      </c>
      <c r="E2487" t="s">
        <v>45</v>
      </c>
      <c r="F2487" t="s">
        <v>1598</v>
      </c>
      <c r="G2487">
        <v>686627757</v>
      </c>
      <c r="H2487" t="s">
        <v>330</v>
      </c>
      <c r="I2487">
        <v>7267</v>
      </c>
      <c r="J2487">
        <v>668.27</v>
      </c>
      <c r="K2487">
        <v>502.54</v>
      </c>
      <c r="L2487">
        <v>4856318.09</v>
      </c>
      <c r="M2487">
        <v>3651958.18</v>
      </c>
      <c r="N2487">
        <v>1204359.9099999999</v>
      </c>
    </row>
    <row r="2488" spans="1:14" x14ac:dyDescent="0.25">
      <c r="A2488" t="s">
        <v>51</v>
      </c>
      <c r="B2488" t="s">
        <v>295</v>
      </c>
      <c r="C2488" t="s">
        <v>55</v>
      </c>
      <c r="D2488" t="s">
        <v>17</v>
      </c>
      <c r="E2488" t="s">
        <v>45</v>
      </c>
      <c r="F2488" t="s">
        <v>1543</v>
      </c>
      <c r="G2488">
        <v>967239606</v>
      </c>
      <c r="H2488" s="1">
        <v>41153</v>
      </c>
      <c r="I2488">
        <v>6548</v>
      </c>
      <c r="J2488">
        <v>651.21</v>
      </c>
      <c r="K2488">
        <v>524.96</v>
      </c>
      <c r="L2488">
        <v>4264123.08</v>
      </c>
      <c r="M2488">
        <v>3437438.08</v>
      </c>
      <c r="N2488">
        <v>826685</v>
      </c>
    </row>
    <row r="2489" spans="1:14" x14ac:dyDescent="0.25">
      <c r="A2489" t="s">
        <v>14</v>
      </c>
      <c r="B2489" t="s">
        <v>488</v>
      </c>
      <c r="C2489" t="s">
        <v>27</v>
      </c>
      <c r="D2489" t="s">
        <v>22</v>
      </c>
      <c r="E2489" t="s">
        <v>45</v>
      </c>
      <c r="F2489" t="s">
        <v>1599</v>
      </c>
      <c r="G2489">
        <v>622907912</v>
      </c>
      <c r="H2489" s="1">
        <v>41033</v>
      </c>
      <c r="I2489">
        <v>1148</v>
      </c>
      <c r="J2489">
        <v>47.45</v>
      </c>
      <c r="K2489">
        <v>31.79</v>
      </c>
      <c r="L2489">
        <v>54472.6</v>
      </c>
      <c r="M2489">
        <v>36494.92</v>
      </c>
      <c r="N2489">
        <v>17977.68</v>
      </c>
    </row>
    <row r="2490" spans="1:14" x14ac:dyDescent="0.25">
      <c r="A2490" t="s">
        <v>14</v>
      </c>
      <c r="B2490" t="s">
        <v>98</v>
      </c>
      <c r="C2490" t="s">
        <v>131</v>
      </c>
      <c r="D2490" t="s">
        <v>22</v>
      </c>
      <c r="E2490" t="s">
        <v>32</v>
      </c>
      <c r="F2490" s="1">
        <v>41374</v>
      </c>
      <c r="G2490">
        <v>536494004</v>
      </c>
      <c r="H2490" t="s">
        <v>861</v>
      </c>
      <c r="I2490">
        <v>9353</v>
      </c>
      <c r="J2490">
        <v>668.27</v>
      </c>
      <c r="K2490">
        <v>502.54</v>
      </c>
      <c r="L2490">
        <v>6250329.3099999996</v>
      </c>
      <c r="M2490">
        <v>4700256.62</v>
      </c>
      <c r="N2490">
        <v>1550072.69</v>
      </c>
    </row>
    <row r="2491" spans="1:14" x14ac:dyDescent="0.25">
      <c r="A2491" t="s">
        <v>51</v>
      </c>
      <c r="B2491" t="s">
        <v>638</v>
      </c>
      <c r="C2491" t="s">
        <v>59</v>
      </c>
      <c r="D2491" t="s">
        <v>17</v>
      </c>
      <c r="E2491" t="s">
        <v>45</v>
      </c>
      <c r="F2491" t="s">
        <v>1600</v>
      </c>
      <c r="G2491">
        <v>761171710</v>
      </c>
      <c r="H2491" s="1">
        <v>40240</v>
      </c>
      <c r="I2491">
        <v>6479</v>
      </c>
      <c r="J2491">
        <v>437.2</v>
      </c>
      <c r="K2491">
        <v>263.33</v>
      </c>
      <c r="L2491">
        <v>2832618.8</v>
      </c>
      <c r="M2491">
        <v>1706115.07</v>
      </c>
      <c r="N2491">
        <v>1126503.73</v>
      </c>
    </row>
    <row r="2492" spans="1:14" x14ac:dyDescent="0.25">
      <c r="A2492" t="s">
        <v>25</v>
      </c>
      <c r="B2492" t="s">
        <v>284</v>
      </c>
      <c r="C2492" t="s">
        <v>69</v>
      </c>
      <c r="D2492" t="s">
        <v>22</v>
      </c>
      <c r="E2492" t="s">
        <v>45</v>
      </c>
      <c r="F2492" t="s">
        <v>846</v>
      </c>
      <c r="G2492">
        <v>970427358</v>
      </c>
      <c r="H2492" t="s">
        <v>75</v>
      </c>
      <c r="I2492">
        <v>9875</v>
      </c>
      <c r="J2492">
        <v>421.89</v>
      </c>
      <c r="K2492">
        <v>364.69</v>
      </c>
      <c r="L2492">
        <v>4166163.75</v>
      </c>
      <c r="M2492">
        <v>3601313.75</v>
      </c>
      <c r="N2492">
        <v>564850</v>
      </c>
    </row>
    <row r="2493" spans="1:14" x14ac:dyDescent="0.25">
      <c r="A2493" t="s">
        <v>29</v>
      </c>
      <c r="B2493" t="s">
        <v>494</v>
      </c>
      <c r="C2493" t="s">
        <v>88</v>
      </c>
      <c r="D2493" t="s">
        <v>22</v>
      </c>
      <c r="E2493" t="s">
        <v>32</v>
      </c>
      <c r="F2493" t="s">
        <v>1601</v>
      </c>
      <c r="G2493">
        <v>908059775</v>
      </c>
      <c r="H2493" s="1">
        <v>42316</v>
      </c>
      <c r="I2493">
        <v>3921</v>
      </c>
      <c r="J2493">
        <v>9.33</v>
      </c>
      <c r="K2493">
        <v>6.92</v>
      </c>
      <c r="L2493">
        <v>36582.93</v>
      </c>
      <c r="M2493">
        <v>27133.32</v>
      </c>
      <c r="N2493">
        <v>9449.61</v>
      </c>
    </row>
    <row r="2494" spans="1:14" x14ac:dyDescent="0.25">
      <c r="A2494" t="s">
        <v>14</v>
      </c>
      <c r="B2494" t="s">
        <v>20</v>
      </c>
      <c r="C2494" t="s">
        <v>113</v>
      </c>
      <c r="D2494" t="s">
        <v>17</v>
      </c>
      <c r="E2494" t="s">
        <v>45</v>
      </c>
      <c r="F2494" t="s">
        <v>79</v>
      </c>
      <c r="G2494">
        <v>838180291</v>
      </c>
      <c r="H2494" s="1">
        <v>42770</v>
      </c>
      <c r="I2494">
        <v>5029</v>
      </c>
      <c r="J2494">
        <v>154.06</v>
      </c>
      <c r="K2494">
        <v>90.93</v>
      </c>
      <c r="L2494">
        <v>774767.74</v>
      </c>
      <c r="M2494">
        <v>457286.97</v>
      </c>
      <c r="N2494">
        <v>317480.77</v>
      </c>
    </row>
    <row r="2495" spans="1:14" x14ac:dyDescent="0.25">
      <c r="A2495" t="s">
        <v>25</v>
      </c>
      <c r="B2495" t="s">
        <v>87</v>
      </c>
      <c r="C2495" t="s">
        <v>31</v>
      </c>
      <c r="D2495" t="s">
        <v>22</v>
      </c>
      <c r="E2495" t="s">
        <v>45</v>
      </c>
      <c r="F2495" t="s">
        <v>158</v>
      </c>
      <c r="G2495">
        <v>195212733</v>
      </c>
      <c r="H2495" t="s">
        <v>1164</v>
      </c>
      <c r="I2495">
        <v>6641</v>
      </c>
      <c r="J2495">
        <v>205.7</v>
      </c>
      <c r="K2495">
        <v>117.11</v>
      </c>
      <c r="L2495">
        <v>1366053.7</v>
      </c>
      <c r="M2495">
        <v>777727.51</v>
      </c>
      <c r="N2495">
        <v>588326.18999999994</v>
      </c>
    </row>
    <row r="2496" spans="1:14" x14ac:dyDescent="0.25">
      <c r="A2496" t="s">
        <v>51</v>
      </c>
      <c r="B2496" t="s">
        <v>414</v>
      </c>
      <c r="C2496" t="s">
        <v>113</v>
      </c>
      <c r="D2496" t="s">
        <v>17</v>
      </c>
      <c r="E2496" t="s">
        <v>23</v>
      </c>
      <c r="F2496" t="s">
        <v>1602</v>
      </c>
      <c r="G2496">
        <v>733893430</v>
      </c>
      <c r="H2496" s="1">
        <v>40604</v>
      </c>
      <c r="I2496">
        <v>4229</v>
      </c>
      <c r="J2496">
        <v>154.06</v>
      </c>
      <c r="K2496">
        <v>90.93</v>
      </c>
      <c r="L2496">
        <v>651519.74</v>
      </c>
      <c r="M2496">
        <v>384542.97</v>
      </c>
      <c r="N2496">
        <v>266976.77</v>
      </c>
    </row>
    <row r="2497" spans="1:14" x14ac:dyDescent="0.25">
      <c r="A2497" t="s">
        <v>14</v>
      </c>
      <c r="B2497" t="s">
        <v>20</v>
      </c>
      <c r="C2497" t="s">
        <v>59</v>
      </c>
      <c r="D2497" t="s">
        <v>17</v>
      </c>
      <c r="E2497" t="s">
        <v>32</v>
      </c>
      <c r="F2497" t="s">
        <v>1414</v>
      </c>
      <c r="G2497">
        <v>679271209</v>
      </c>
      <c r="H2497" t="s">
        <v>1361</v>
      </c>
      <c r="I2497">
        <v>300</v>
      </c>
      <c r="J2497">
        <v>437.2</v>
      </c>
      <c r="K2497">
        <v>263.33</v>
      </c>
      <c r="L2497">
        <v>131160</v>
      </c>
      <c r="M2497">
        <v>78999</v>
      </c>
      <c r="N2497">
        <v>52161</v>
      </c>
    </row>
    <row r="2498" spans="1:14" x14ac:dyDescent="0.25">
      <c r="A2498" t="s">
        <v>51</v>
      </c>
      <c r="B2498" t="s">
        <v>578</v>
      </c>
      <c r="C2498" t="s">
        <v>88</v>
      </c>
      <c r="D2498" t="s">
        <v>17</v>
      </c>
      <c r="E2498" t="s">
        <v>32</v>
      </c>
      <c r="F2498" t="s">
        <v>749</v>
      </c>
      <c r="G2498">
        <v>576707398</v>
      </c>
      <c r="H2498" t="s">
        <v>509</v>
      </c>
      <c r="I2498">
        <v>9390</v>
      </c>
      <c r="J2498">
        <v>9.33</v>
      </c>
      <c r="K2498">
        <v>6.92</v>
      </c>
      <c r="L2498">
        <v>87608.7</v>
      </c>
      <c r="M2498">
        <v>64978.8</v>
      </c>
      <c r="N2498">
        <v>22629.9</v>
      </c>
    </row>
    <row r="2499" spans="1:14" x14ac:dyDescent="0.25">
      <c r="A2499" t="s">
        <v>25</v>
      </c>
      <c r="B2499" t="s">
        <v>218</v>
      </c>
      <c r="C2499" t="s">
        <v>131</v>
      </c>
      <c r="D2499" t="s">
        <v>17</v>
      </c>
      <c r="E2499" t="s">
        <v>23</v>
      </c>
      <c r="F2499" t="s">
        <v>345</v>
      </c>
      <c r="G2499">
        <v>141875827</v>
      </c>
      <c r="H2499" t="s">
        <v>483</v>
      </c>
      <c r="I2499">
        <v>3065</v>
      </c>
      <c r="J2499">
        <v>668.27</v>
      </c>
      <c r="K2499">
        <v>502.54</v>
      </c>
      <c r="L2499">
        <v>2048247.55</v>
      </c>
      <c r="M2499">
        <v>1540285.1</v>
      </c>
      <c r="N2499">
        <v>507962.45</v>
      </c>
    </row>
    <row r="2500" spans="1:14" x14ac:dyDescent="0.25">
      <c r="A2500" t="s">
        <v>25</v>
      </c>
      <c r="B2500" t="s">
        <v>603</v>
      </c>
      <c r="C2500" t="s">
        <v>27</v>
      </c>
      <c r="D2500" t="s">
        <v>22</v>
      </c>
      <c r="E2500" t="s">
        <v>32</v>
      </c>
      <c r="F2500" s="1">
        <v>40644</v>
      </c>
      <c r="G2500">
        <v>510762822</v>
      </c>
      <c r="H2500" t="s">
        <v>431</v>
      </c>
      <c r="I2500">
        <v>4924</v>
      </c>
      <c r="J2500">
        <v>47.45</v>
      </c>
      <c r="K2500">
        <v>31.79</v>
      </c>
      <c r="L2500">
        <v>233643.8</v>
      </c>
      <c r="M2500">
        <v>156533.96</v>
      </c>
      <c r="N2500">
        <v>77109.84</v>
      </c>
    </row>
    <row r="2501" spans="1:14" x14ac:dyDescent="0.25">
      <c r="A2501" t="s">
        <v>25</v>
      </c>
      <c r="B2501" t="s">
        <v>185</v>
      </c>
      <c r="C2501" t="s">
        <v>21</v>
      </c>
      <c r="D2501" t="s">
        <v>22</v>
      </c>
      <c r="E2501" t="s">
        <v>45</v>
      </c>
      <c r="F2501" t="s">
        <v>1603</v>
      </c>
      <c r="G2501">
        <v>189667212</v>
      </c>
      <c r="H2501" s="1">
        <v>40977</v>
      </c>
      <c r="I2501">
        <v>5598</v>
      </c>
      <c r="J2501">
        <v>152.58000000000001</v>
      </c>
      <c r="K2501">
        <v>97.44</v>
      </c>
      <c r="L2501">
        <v>854142.84</v>
      </c>
      <c r="M2501">
        <v>545469.12</v>
      </c>
      <c r="N2501">
        <v>308673.71999999997</v>
      </c>
    </row>
    <row r="2502" spans="1:14" x14ac:dyDescent="0.25">
      <c r="A2502" t="s">
        <v>14</v>
      </c>
      <c r="B2502" t="s">
        <v>208</v>
      </c>
      <c r="C2502" t="s">
        <v>131</v>
      </c>
      <c r="D2502" t="s">
        <v>22</v>
      </c>
      <c r="E2502" t="s">
        <v>32</v>
      </c>
      <c r="F2502" s="1">
        <v>41831</v>
      </c>
      <c r="G2502">
        <v>905200326</v>
      </c>
      <c r="H2502" t="s">
        <v>377</v>
      </c>
      <c r="I2502">
        <v>7747</v>
      </c>
      <c r="J2502">
        <v>668.27</v>
      </c>
      <c r="K2502">
        <v>502.54</v>
      </c>
      <c r="L2502">
        <v>5177087.6900000004</v>
      </c>
      <c r="M2502">
        <v>3893177.38</v>
      </c>
      <c r="N2502">
        <v>1283910.31</v>
      </c>
    </row>
    <row r="2503" spans="1:14" x14ac:dyDescent="0.25">
      <c r="A2503" t="s">
        <v>14</v>
      </c>
      <c r="B2503" t="s">
        <v>433</v>
      </c>
      <c r="C2503" t="s">
        <v>88</v>
      </c>
      <c r="D2503" t="s">
        <v>17</v>
      </c>
      <c r="E2503" t="s">
        <v>32</v>
      </c>
      <c r="F2503" s="1">
        <v>42831</v>
      </c>
      <c r="G2503">
        <v>854285991</v>
      </c>
      <c r="H2503" t="s">
        <v>668</v>
      </c>
      <c r="I2503">
        <v>1064</v>
      </c>
      <c r="J2503">
        <v>9.33</v>
      </c>
      <c r="K2503">
        <v>6.92</v>
      </c>
      <c r="L2503">
        <v>9927.1200000000008</v>
      </c>
      <c r="M2503">
        <v>7362.88</v>
      </c>
      <c r="N2503">
        <v>2564.2399999999998</v>
      </c>
    </row>
    <row r="2504" spans="1:14" x14ac:dyDescent="0.25">
      <c r="A2504" t="s">
        <v>29</v>
      </c>
      <c r="B2504" t="s">
        <v>137</v>
      </c>
      <c r="C2504" t="s">
        <v>131</v>
      </c>
      <c r="D2504" t="s">
        <v>22</v>
      </c>
      <c r="E2504" t="s">
        <v>23</v>
      </c>
      <c r="F2504" t="s">
        <v>479</v>
      </c>
      <c r="G2504">
        <v>554160535</v>
      </c>
      <c r="H2504" t="s">
        <v>1377</v>
      </c>
      <c r="I2504">
        <v>7272</v>
      </c>
      <c r="J2504">
        <v>668.27</v>
      </c>
      <c r="K2504">
        <v>502.54</v>
      </c>
      <c r="L2504">
        <v>4859659.4400000004</v>
      </c>
      <c r="M2504">
        <v>3654470.88</v>
      </c>
      <c r="N2504">
        <v>1205188.56</v>
      </c>
    </row>
    <row r="2505" spans="1:14" x14ac:dyDescent="0.25">
      <c r="A2505" t="s">
        <v>29</v>
      </c>
      <c r="B2505" t="s">
        <v>121</v>
      </c>
      <c r="C2505" t="s">
        <v>69</v>
      </c>
      <c r="D2505" t="s">
        <v>22</v>
      </c>
      <c r="E2505" t="s">
        <v>23</v>
      </c>
      <c r="F2505" t="s">
        <v>1604</v>
      </c>
      <c r="G2505">
        <v>592372786</v>
      </c>
      <c r="H2505" s="1">
        <v>41219</v>
      </c>
      <c r="I2505">
        <v>5126</v>
      </c>
      <c r="J2505">
        <v>421.89</v>
      </c>
      <c r="K2505">
        <v>364.69</v>
      </c>
      <c r="L2505">
        <v>2162608.14</v>
      </c>
      <c r="M2505">
        <v>1869400.94</v>
      </c>
      <c r="N2505">
        <v>293207.2</v>
      </c>
    </row>
    <row r="2506" spans="1:14" x14ac:dyDescent="0.25">
      <c r="A2506" t="s">
        <v>25</v>
      </c>
      <c r="B2506" t="s">
        <v>497</v>
      </c>
      <c r="C2506" t="s">
        <v>44</v>
      </c>
      <c r="D2506" t="s">
        <v>17</v>
      </c>
      <c r="E2506" t="s">
        <v>23</v>
      </c>
      <c r="F2506" t="s">
        <v>1016</v>
      </c>
      <c r="G2506">
        <v>276784074</v>
      </c>
      <c r="H2506" t="s">
        <v>316</v>
      </c>
      <c r="I2506">
        <v>5413</v>
      </c>
      <c r="J2506">
        <v>109.28</v>
      </c>
      <c r="K2506">
        <v>35.840000000000003</v>
      </c>
      <c r="L2506">
        <v>591532.64</v>
      </c>
      <c r="M2506">
        <v>194001.92000000001</v>
      </c>
      <c r="N2506">
        <v>397530.72</v>
      </c>
    </row>
    <row r="2507" spans="1:14" x14ac:dyDescent="0.25">
      <c r="A2507" t="s">
        <v>38</v>
      </c>
      <c r="B2507" t="s">
        <v>1268</v>
      </c>
      <c r="C2507" t="s">
        <v>21</v>
      </c>
      <c r="D2507" t="s">
        <v>17</v>
      </c>
      <c r="E2507" t="s">
        <v>45</v>
      </c>
      <c r="F2507" t="s">
        <v>443</v>
      </c>
      <c r="G2507">
        <v>785568225</v>
      </c>
      <c r="H2507" t="s">
        <v>1605</v>
      </c>
      <c r="I2507">
        <v>5950</v>
      </c>
      <c r="J2507">
        <v>152.58000000000001</v>
      </c>
      <c r="K2507">
        <v>97.44</v>
      </c>
      <c r="L2507">
        <v>907851</v>
      </c>
      <c r="M2507">
        <v>579768</v>
      </c>
      <c r="N2507">
        <v>328083</v>
      </c>
    </row>
    <row r="2508" spans="1:14" x14ac:dyDescent="0.25">
      <c r="A2508" t="s">
        <v>51</v>
      </c>
      <c r="B2508" t="s">
        <v>169</v>
      </c>
      <c r="C2508" t="s">
        <v>131</v>
      </c>
      <c r="D2508" t="s">
        <v>22</v>
      </c>
      <c r="E2508" t="s">
        <v>23</v>
      </c>
      <c r="F2508" t="s">
        <v>897</v>
      </c>
      <c r="G2508">
        <v>217211568</v>
      </c>
      <c r="H2508" s="1">
        <v>41096</v>
      </c>
      <c r="I2508">
        <v>6585</v>
      </c>
      <c r="J2508">
        <v>668.27</v>
      </c>
      <c r="K2508">
        <v>502.54</v>
      </c>
      <c r="L2508">
        <v>4400557.95</v>
      </c>
      <c r="M2508">
        <v>3309225.9</v>
      </c>
      <c r="N2508">
        <v>1091332.05</v>
      </c>
    </row>
    <row r="2509" spans="1:14" x14ac:dyDescent="0.25">
      <c r="A2509" t="s">
        <v>51</v>
      </c>
      <c r="B2509" t="s">
        <v>350</v>
      </c>
      <c r="C2509" t="s">
        <v>55</v>
      </c>
      <c r="D2509" t="s">
        <v>17</v>
      </c>
      <c r="E2509" t="s">
        <v>23</v>
      </c>
      <c r="F2509" t="s">
        <v>1606</v>
      </c>
      <c r="G2509">
        <v>340512931</v>
      </c>
      <c r="H2509" t="s">
        <v>793</v>
      </c>
      <c r="I2509">
        <v>4198</v>
      </c>
      <c r="J2509">
        <v>651.21</v>
      </c>
      <c r="K2509">
        <v>524.96</v>
      </c>
      <c r="L2509">
        <v>2733779.58</v>
      </c>
      <c r="M2509">
        <v>2203782.08</v>
      </c>
      <c r="N2509">
        <v>529997.5</v>
      </c>
    </row>
    <row r="2510" spans="1:14" x14ac:dyDescent="0.25">
      <c r="A2510" t="s">
        <v>25</v>
      </c>
      <c r="B2510" t="s">
        <v>426</v>
      </c>
      <c r="C2510" t="s">
        <v>44</v>
      </c>
      <c r="D2510" t="s">
        <v>17</v>
      </c>
      <c r="E2510" t="s">
        <v>45</v>
      </c>
      <c r="F2510" t="s">
        <v>978</v>
      </c>
      <c r="G2510">
        <v>744583642</v>
      </c>
      <c r="H2510" t="s">
        <v>742</v>
      </c>
      <c r="I2510">
        <v>7701</v>
      </c>
      <c r="J2510">
        <v>109.28</v>
      </c>
      <c r="K2510">
        <v>35.840000000000003</v>
      </c>
      <c r="L2510">
        <v>841565.28</v>
      </c>
      <c r="M2510">
        <v>276003.84000000003</v>
      </c>
      <c r="N2510">
        <v>565561.43999999994</v>
      </c>
    </row>
    <row r="2511" spans="1:14" x14ac:dyDescent="0.25">
      <c r="A2511" t="s">
        <v>51</v>
      </c>
      <c r="B2511" t="s">
        <v>260</v>
      </c>
      <c r="C2511" t="s">
        <v>21</v>
      </c>
      <c r="D2511" t="s">
        <v>22</v>
      </c>
      <c r="E2511" t="s">
        <v>23</v>
      </c>
      <c r="F2511" s="1">
        <v>41710</v>
      </c>
      <c r="G2511">
        <v>188847529</v>
      </c>
      <c r="H2511" t="s">
        <v>1084</v>
      </c>
      <c r="I2511">
        <v>3035</v>
      </c>
      <c r="J2511">
        <v>152.58000000000001</v>
      </c>
      <c r="K2511">
        <v>97.44</v>
      </c>
      <c r="L2511">
        <v>463080.3</v>
      </c>
      <c r="M2511">
        <v>295730.40000000002</v>
      </c>
      <c r="N2511">
        <v>167349.9</v>
      </c>
    </row>
    <row r="2512" spans="1:14" x14ac:dyDescent="0.25">
      <c r="A2512" t="s">
        <v>38</v>
      </c>
      <c r="B2512" t="s">
        <v>1268</v>
      </c>
      <c r="C2512" t="s">
        <v>88</v>
      </c>
      <c r="D2512" t="s">
        <v>22</v>
      </c>
      <c r="E2512" t="s">
        <v>32</v>
      </c>
      <c r="F2512" t="s">
        <v>281</v>
      </c>
      <c r="G2512">
        <v>653040921</v>
      </c>
      <c r="H2512" s="1">
        <v>40431</v>
      </c>
      <c r="I2512">
        <v>8175</v>
      </c>
      <c r="J2512">
        <v>9.33</v>
      </c>
      <c r="K2512">
        <v>6.92</v>
      </c>
      <c r="L2512">
        <v>76272.75</v>
      </c>
      <c r="M2512">
        <v>56571</v>
      </c>
      <c r="N2512">
        <v>19701.75</v>
      </c>
    </row>
    <row r="2513" spans="1:14" x14ac:dyDescent="0.25">
      <c r="A2513" t="s">
        <v>29</v>
      </c>
      <c r="B2513" t="s">
        <v>494</v>
      </c>
      <c r="C2513" t="s">
        <v>44</v>
      </c>
      <c r="D2513" t="s">
        <v>22</v>
      </c>
      <c r="E2513" t="s">
        <v>32</v>
      </c>
      <c r="F2513" t="s">
        <v>1607</v>
      </c>
      <c r="G2513">
        <v>587212646</v>
      </c>
      <c r="H2513" t="s">
        <v>1061</v>
      </c>
      <c r="I2513">
        <v>8126</v>
      </c>
      <c r="J2513">
        <v>109.28</v>
      </c>
      <c r="K2513">
        <v>35.840000000000003</v>
      </c>
      <c r="L2513">
        <v>888009.28</v>
      </c>
      <c r="M2513">
        <v>291235.84000000003</v>
      </c>
      <c r="N2513">
        <v>596773.43999999994</v>
      </c>
    </row>
    <row r="2514" spans="1:14" x14ac:dyDescent="0.25">
      <c r="A2514" t="s">
        <v>25</v>
      </c>
      <c r="B2514" t="s">
        <v>386</v>
      </c>
      <c r="C2514" t="s">
        <v>27</v>
      </c>
      <c r="D2514" t="s">
        <v>17</v>
      </c>
      <c r="E2514" t="s">
        <v>45</v>
      </c>
      <c r="F2514" t="s">
        <v>106</v>
      </c>
      <c r="G2514">
        <v>761724030</v>
      </c>
      <c r="H2514" t="s">
        <v>1325</v>
      </c>
      <c r="I2514">
        <v>9923</v>
      </c>
      <c r="J2514">
        <v>47.45</v>
      </c>
      <c r="K2514">
        <v>31.79</v>
      </c>
      <c r="L2514">
        <v>470846.35</v>
      </c>
      <c r="M2514">
        <v>315452.17</v>
      </c>
      <c r="N2514">
        <v>155394.18</v>
      </c>
    </row>
    <row r="2515" spans="1:14" x14ac:dyDescent="0.25">
      <c r="A2515" t="s">
        <v>25</v>
      </c>
      <c r="B2515" t="s">
        <v>569</v>
      </c>
      <c r="C2515" t="s">
        <v>55</v>
      </c>
      <c r="D2515" t="s">
        <v>17</v>
      </c>
      <c r="E2515" t="s">
        <v>23</v>
      </c>
      <c r="F2515" s="1">
        <v>41034</v>
      </c>
      <c r="G2515">
        <v>217248904</v>
      </c>
      <c r="H2515" t="s">
        <v>1238</v>
      </c>
      <c r="I2515">
        <v>7633</v>
      </c>
      <c r="J2515">
        <v>651.21</v>
      </c>
      <c r="K2515">
        <v>524.96</v>
      </c>
      <c r="L2515">
        <v>4970685.93</v>
      </c>
      <c r="M2515">
        <v>4007019.68</v>
      </c>
      <c r="N2515">
        <v>963666.25</v>
      </c>
    </row>
    <row r="2516" spans="1:14" x14ac:dyDescent="0.25">
      <c r="A2516" t="s">
        <v>14</v>
      </c>
      <c r="B2516" t="s">
        <v>208</v>
      </c>
      <c r="C2516" t="s">
        <v>69</v>
      </c>
      <c r="D2516" t="s">
        <v>17</v>
      </c>
      <c r="E2516" t="s">
        <v>18</v>
      </c>
      <c r="F2516" t="s">
        <v>499</v>
      </c>
      <c r="G2516">
        <v>314773595</v>
      </c>
      <c r="H2516" s="1">
        <v>41645</v>
      </c>
      <c r="I2516">
        <v>7357</v>
      </c>
      <c r="J2516">
        <v>421.89</v>
      </c>
      <c r="K2516">
        <v>364.69</v>
      </c>
      <c r="L2516">
        <v>3103844.73</v>
      </c>
      <c r="M2516">
        <v>2683024.33</v>
      </c>
      <c r="N2516">
        <v>420820.4</v>
      </c>
    </row>
    <row r="2517" spans="1:14" x14ac:dyDescent="0.25">
      <c r="A2517" t="s">
        <v>25</v>
      </c>
      <c r="B2517" t="s">
        <v>96</v>
      </c>
      <c r="C2517" t="s">
        <v>44</v>
      </c>
      <c r="D2517" t="s">
        <v>17</v>
      </c>
      <c r="E2517" t="s">
        <v>32</v>
      </c>
      <c r="F2517" t="s">
        <v>1367</v>
      </c>
      <c r="G2517">
        <v>685596930</v>
      </c>
      <c r="H2517" t="s">
        <v>1062</v>
      </c>
      <c r="I2517">
        <v>2222</v>
      </c>
      <c r="J2517">
        <v>109.28</v>
      </c>
      <c r="K2517">
        <v>35.840000000000003</v>
      </c>
      <c r="L2517">
        <v>242820.16</v>
      </c>
      <c r="M2517">
        <v>79636.479999999996</v>
      </c>
      <c r="N2517">
        <v>163183.67999999999</v>
      </c>
    </row>
    <row r="2518" spans="1:14" x14ac:dyDescent="0.25">
      <c r="A2518" t="s">
        <v>14</v>
      </c>
      <c r="B2518" t="s">
        <v>213</v>
      </c>
      <c r="C2518" t="s">
        <v>55</v>
      </c>
      <c r="D2518" t="s">
        <v>17</v>
      </c>
      <c r="E2518" t="s">
        <v>45</v>
      </c>
      <c r="F2518" t="s">
        <v>1608</v>
      </c>
      <c r="G2518">
        <v>581330239</v>
      </c>
      <c r="H2518" s="1">
        <v>41761</v>
      </c>
      <c r="I2518">
        <v>7391</v>
      </c>
      <c r="J2518">
        <v>651.21</v>
      </c>
      <c r="K2518">
        <v>524.96</v>
      </c>
      <c r="L2518">
        <v>4813093.1100000003</v>
      </c>
      <c r="M2518">
        <v>3879979.36</v>
      </c>
      <c r="N2518">
        <v>933113.75</v>
      </c>
    </row>
    <row r="2519" spans="1:14" x14ac:dyDescent="0.25">
      <c r="A2519" t="s">
        <v>42</v>
      </c>
      <c r="B2519" t="s">
        <v>107</v>
      </c>
      <c r="C2519" t="s">
        <v>131</v>
      </c>
      <c r="D2519" t="s">
        <v>17</v>
      </c>
      <c r="E2519" t="s">
        <v>32</v>
      </c>
      <c r="F2519" s="1">
        <v>42101</v>
      </c>
      <c r="G2519">
        <v>223897349</v>
      </c>
      <c r="H2519" s="1">
        <v>42101</v>
      </c>
      <c r="I2519">
        <v>5056</v>
      </c>
      <c r="J2519">
        <v>668.27</v>
      </c>
      <c r="K2519">
        <v>502.54</v>
      </c>
      <c r="L2519">
        <v>3378773.12</v>
      </c>
      <c r="M2519">
        <v>2540842.2400000002</v>
      </c>
      <c r="N2519">
        <v>837930.88</v>
      </c>
    </row>
    <row r="2520" spans="1:14" x14ac:dyDescent="0.25">
      <c r="A2520" t="s">
        <v>25</v>
      </c>
      <c r="B2520" t="s">
        <v>462</v>
      </c>
      <c r="C2520" t="s">
        <v>44</v>
      </c>
      <c r="D2520" t="s">
        <v>17</v>
      </c>
      <c r="E2520" t="s">
        <v>45</v>
      </c>
      <c r="F2520" t="s">
        <v>1358</v>
      </c>
      <c r="G2520">
        <v>355534589</v>
      </c>
      <c r="H2520" s="1">
        <v>42157</v>
      </c>
      <c r="I2520">
        <v>9440</v>
      </c>
      <c r="J2520">
        <v>109.28</v>
      </c>
      <c r="K2520">
        <v>35.840000000000003</v>
      </c>
      <c r="L2520">
        <v>1031603.2</v>
      </c>
      <c r="M2520">
        <v>338329.59999999998</v>
      </c>
      <c r="N2520">
        <v>693273.59999999998</v>
      </c>
    </row>
    <row r="2521" spans="1:14" x14ac:dyDescent="0.25">
      <c r="A2521" t="s">
        <v>29</v>
      </c>
      <c r="B2521" t="s">
        <v>137</v>
      </c>
      <c r="C2521" t="s">
        <v>131</v>
      </c>
      <c r="D2521" t="s">
        <v>22</v>
      </c>
      <c r="E2521" t="s">
        <v>18</v>
      </c>
      <c r="F2521" s="1">
        <v>40703</v>
      </c>
      <c r="G2521">
        <v>888790786</v>
      </c>
      <c r="H2521" s="1">
        <v>40886</v>
      </c>
      <c r="I2521">
        <v>1799</v>
      </c>
      <c r="J2521">
        <v>668.27</v>
      </c>
      <c r="K2521">
        <v>502.54</v>
      </c>
      <c r="L2521">
        <v>1202217.73</v>
      </c>
      <c r="M2521">
        <v>904069.46</v>
      </c>
      <c r="N2521">
        <v>298148.27</v>
      </c>
    </row>
    <row r="2522" spans="1:14" x14ac:dyDescent="0.25">
      <c r="A2522" t="s">
        <v>25</v>
      </c>
      <c r="B2522" t="s">
        <v>140</v>
      </c>
      <c r="C2522" t="s">
        <v>55</v>
      </c>
      <c r="D2522" t="s">
        <v>22</v>
      </c>
      <c r="E2522" t="s">
        <v>32</v>
      </c>
      <c r="F2522" s="1">
        <v>40920</v>
      </c>
      <c r="G2522">
        <v>456527268</v>
      </c>
      <c r="H2522" s="1">
        <v>40951</v>
      </c>
      <c r="I2522">
        <v>5419</v>
      </c>
      <c r="J2522">
        <v>651.21</v>
      </c>
      <c r="K2522">
        <v>524.96</v>
      </c>
      <c r="L2522">
        <v>3528906.99</v>
      </c>
      <c r="M2522">
        <v>2844758.24</v>
      </c>
      <c r="N2522">
        <v>684148.75</v>
      </c>
    </row>
    <row r="2523" spans="1:14" x14ac:dyDescent="0.25">
      <c r="A2523" t="s">
        <v>25</v>
      </c>
      <c r="B2523" t="s">
        <v>96</v>
      </c>
      <c r="C2523" t="s">
        <v>16</v>
      </c>
      <c r="D2523" t="s">
        <v>22</v>
      </c>
      <c r="E2523" t="s">
        <v>23</v>
      </c>
      <c r="F2523" t="s">
        <v>489</v>
      </c>
      <c r="G2523">
        <v>461917865</v>
      </c>
      <c r="H2523" t="s">
        <v>670</v>
      </c>
      <c r="I2523">
        <v>616</v>
      </c>
      <c r="J2523">
        <v>255.28</v>
      </c>
      <c r="K2523">
        <v>159.41999999999999</v>
      </c>
      <c r="L2523">
        <v>157252.48000000001</v>
      </c>
      <c r="M2523">
        <v>98202.72</v>
      </c>
      <c r="N2523">
        <v>59049.760000000002</v>
      </c>
    </row>
    <row r="2524" spans="1:14" x14ac:dyDescent="0.25">
      <c r="A2524" t="s">
        <v>42</v>
      </c>
      <c r="B2524" t="s">
        <v>681</v>
      </c>
      <c r="C2524" t="s">
        <v>59</v>
      </c>
      <c r="D2524" t="s">
        <v>17</v>
      </c>
      <c r="E2524" t="s">
        <v>32</v>
      </c>
      <c r="F2524" s="1">
        <v>41245</v>
      </c>
      <c r="G2524">
        <v>128448903</v>
      </c>
      <c r="H2524" t="s">
        <v>1548</v>
      </c>
      <c r="I2524">
        <v>9740</v>
      </c>
      <c r="J2524">
        <v>437.2</v>
      </c>
      <c r="K2524">
        <v>263.33</v>
      </c>
      <c r="L2524">
        <v>4258328</v>
      </c>
      <c r="M2524">
        <v>2564834.2000000002</v>
      </c>
      <c r="N2524">
        <v>1693493.8</v>
      </c>
    </row>
    <row r="2525" spans="1:14" x14ac:dyDescent="0.25">
      <c r="A2525" t="s">
        <v>14</v>
      </c>
      <c r="B2525" t="s">
        <v>835</v>
      </c>
      <c r="C2525" t="s">
        <v>44</v>
      </c>
      <c r="D2525" t="s">
        <v>22</v>
      </c>
      <c r="E2525" t="s">
        <v>18</v>
      </c>
      <c r="F2525" t="s">
        <v>1252</v>
      </c>
      <c r="G2525">
        <v>549919211</v>
      </c>
      <c r="H2525" s="1">
        <v>40612</v>
      </c>
      <c r="I2525">
        <v>2170</v>
      </c>
      <c r="J2525">
        <v>109.28</v>
      </c>
      <c r="K2525">
        <v>35.840000000000003</v>
      </c>
      <c r="L2525">
        <v>237137.6</v>
      </c>
      <c r="M2525">
        <v>77772.800000000003</v>
      </c>
      <c r="N2525">
        <v>159364.79999999999</v>
      </c>
    </row>
    <row r="2526" spans="1:14" x14ac:dyDescent="0.25">
      <c r="A2526" t="s">
        <v>29</v>
      </c>
      <c r="B2526" t="s">
        <v>30</v>
      </c>
      <c r="C2526" t="s">
        <v>88</v>
      </c>
      <c r="D2526" t="s">
        <v>17</v>
      </c>
      <c r="E2526" t="s">
        <v>32</v>
      </c>
      <c r="F2526" t="s">
        <v>747</v>
      </c>
      <c r="G2526">
        <v>640440118</v>
      </c>
      <c r="H2526" s="1">
        <v>40733</v>
      </c>
      <c r="I2526">
        <v>9318</v>
      </c>
      <c r="J2526">
        <v>9.33</v>
      </c>
      <c r="K2526">
        <v>6.92</v>
      </c>
      <c r="L2526">
        <v>86936.94</v>
      </c>
      <c r="M2526">
        <v>64480.56</v>
      </c>
      <c r="N2526">
        <v>22456.38</v>
      </c>
    </row>
    <row r="2527" spans="1:14" x14ac:dyDescent="0.25">
      <c r="A2527" t="s">
        <v>25</v>
      </c>
      <c r="B2527" t="s">
        <v>96</v>
      </c>
      <c r="C2527" t="s">
        <v>40</v>
      </c>
      <c r="D2527" t="s">
        <v>22</v>
      </c>
      <c r="E2527" t="s">
        <v>23</v>
      </c>
      <c r="F2527" t="s">
        <v>1609</v>
      </c>
      <c r="G2527">
        <v>284435451</v>
      </c>
      <c r="H2527" t="s">
        <v>1609</v>
      </c>
      <c r="I2527">
        <v>9625</v>
      </c>
      <c r="J2527">
        <v>81.73</v>
      </c>
      <c r="K2527">
        <v>56.67</v>
      </c>
      <c r="L2527">
        <v>786651.25</v>
      </c>
      <c r="M2527">
        <v>545448.75</v>
      </c>
      <c r="N2527">
        <v>241202.5</v>
      </c>
    </row>
    <row r="2528" spans="1:14" x14ac:dyDescent="0.25">
      <c r="A2528" t="s">
        <v>51</v>
      </c>
      <c r="B2528" t="s">
        <v>414</v>
      </c>
      <c r="C2528" t="s">
        <v>16</v>
      </c>
      <c r="D2528" t="s">
        <v>17</v>
      </c>
      <c r="E2528" t="s">
        <v>23</v>
      </c>
      <c r="F2528" s="1">
        <v>41065</v>
      </c>
      <c r="G2528">
        <v>786641538</v>
      </c>
      <c r="H2528" s="1">
        <v>40914</v>
      </c>
      <c r="I2528">
        <v>3567</v>
      </c>
      <c r="J2528">
        <v>255.28</v>
      </c>
      <c r="K2528">
        <v>159.41999999999999</v>
      </c>
      <c r="L2528">
        <v>910583.76</v>
      </c>
      <c r="M2528">
        <v>568651.14</v>
      </c>
      <c r="N2528">
        <v>341932.62</v>
      </c>
    </row>
    <row r="2529" spans="1:14" x14ac:dyDescent="0.25">
      <c r="A2529" t="s">
        <v>38</v>
      </c>
      <c r="B2529" t="s">
        <v>346</v>
      </c>
      <c r="C2529" t="s">
        <v>31</v>
      </c>
      <c r="D2529" t="s">
        <v>22</v>
      </c>
      <c r="E2529" t="s">
        <v>45</v>
      </c>
      <c r="F2529" t="s">
        <v>314</v>
      </c>
      <c r="G2529">
        <v>822107207</v>
      </c>
      <c r="H2529" t="s">
        <v>728</v>
      </c>
      <c r="I2529">
        <v>8647</v>
      </c>
      <c r="J2529">
        <v>205.7</v>
      </c>
      <c r="K2529">
        <v>117.11</v>
      </c>
      <c r="L2529">
        <v>1778687.9</v>
      </c>
      <c r="M2529">
        <v>1012650.17</v>
      </c>
      <c r="N2529">
        <v>766037.73</v>
      </c>
    </row>
    <row r="2530" spans="1:14" x14ac:dyDescent="0.25">
      <c r="A2530" t="s">
        <v>38</v>
      </c>
      <c r="B2530" t="s">
        <v>58</v>
      </c>
      <c r="C2530" t="s">
        <v>31</v>
      </c>
      <c r="D2530" t="s">
        <v>22</v>
      </c>
      <c r="E2530" t="s">
        <v>45</v>
      </c>
      <c r="F2530" t="s">
        <v>1523</v>
      </c>
      <c r="G2530">
        <v>486193788</v>
      </c>
      <c r="H2530" t="s">
        <v>1523</v>
      </c>
      <c r="I2530">
        <v>4401</v>
      </c>
      <c r="J2530">
        <v>205.7</v>
      </c>
      <c r="K2530">
        <v>117.11</v>
      </c>
      <c r="L2530">
        <v>905285.7</v>
      </c>
      <c r="M2530">
        <v>515401.11</v>
      </c>
      <c r="N2530">
        <v>389884.59</v>
      </c>
    </row>
    <row r="2531" spans="1:14" x14ac:dyDescent="0.25">
      <c r="A2531" t="s">
        <v>25</v>
      </c>
      <c r="B2531" t="s">
        <v>134</v>
      </c>
      <c r="C2531" t="s">
        <v>69</v>
      </c>
      <c r="D2531" t="s">
        <v>17</v>
      </c>
      <c r="E2531" t="s">
        <v>45</v>
      </c>
      <c r="F2531" t="s">
        <v>500</v>
      </c>
      <c r="G2531">
        <v>844575107</v>
      </c>
      <c r="H2531" t="s">
        <v>758</v>
      </c>
      <c r="I2531">
        <v>7397</v>
      </c>
      <c r="J2531">
        <v>421.89</v>
      </c>
      <c r="K2531">
        <v>364.69</v>
      </c>
      <c r="L2531">
        <v>3120720.33</v>
      </c>
      <c r="M2531">
        <v>2697611.93</v>
      </c>
      <c r="N2531">
        <v>423108.4</v>
      </c>
    </row>
    <row r="2532" spans="1:14" x14ac:dyDescent="0.25">
      <c r="A2532" t="s">
        <v>29</v>
      </c>
      <c r="B2532" t="s">
        <v>137</v>
      </c>
      <c r="C2532" t="s">
        <v>55</v>
      </c>
      <c r="D2532" t="s">
        <v>17</v>
      </c>
      <c r="E2532" t="s">
        <v>18</v>
      </c>
      <c r="F2532" t="s">
        <v>642</v>
      </c>
      <c r="G2532">
        <v>783237493</v>
      </c>
      <c r="H2532" s="1">
        <v>42187</v>
      </c>
      <c r="I2532">
        <v>6234</v>
      </c>
      <c r="J2532">
        <v>651.21</v>
      </c>
      <c r="K2532">
        <v>524.96</v>
      </c>
      <c r="L2532">
        <v>4059643.14</v>
      </c>
      <c r="M2532">
        <v>3272600.64</v>
      </c>
      <c r="N2532">
        <v>787042.5</v>
      </c>
    </row>
    <row r="2533" spans="1:14" x14ac:dyDescent="0.25">
      <c r="A2533" t="s">
        <v>25</v>
      </c>
      <c r="B2533" t="s">
        <v>185</v>
      </c>
      <c r="C2533" t="s">
        <v>16</v>
      </c>
      <c r="D2533" t="s">
        <v>22</v>
      </c>
      <c r="E2533" t="s">
        <v>32</v>
      </c>
      <c r="F2533" t="s">
        <v>592</v>
      </c>
      <c r="G2533">
        <v>158479773</v>
      </c>
      <c r="H2533" t="s">
        <v>1610</v>
      </c>
      <c r="I2533">
        <v>6542</v>
      </c>
      <c r="J2533">
        <v>255.28</v>
      </c>
      <c r="K2533">
        <v>159.41999999999999</v>
      </c>
      <c r="L2533">
        <v>1670041.76</v>
      </c>
      <c r="M2533">
        <v>1042925.64</v>
      </c>
      <c r="N2533">
        <v>627116.12</v>
      </c>
    </row>
    <row r="2534" spans="1:14" x14ac:dyDescent="0.25">
      <c r="A2534" t="s">
        <v>38</v>
      </c>
      <c r="B2534" t="s">
        <v>39</v>
      </c>
      <c r="C2534" t="s">
        <v>59</v>
      </c>
      <c r="D2534" t="s">
        <v>17</v>
      </c>
      <c r="E2534" t="s">
        <v>45</v>
      </c>
      <c r="F2534" s="1">
        <v>41488</v>
      </c>
      <c r="G2534">
        <v>246913278</v>
      </c>
      <c r="H2534" t="s">
        <v>1197</v>
      </c>
      <c r="I2534">
        <v>5981</v>
      </c>
      <c r="J2534">
        <v>437.2</v>
      </c>
      <c r="K2534">
        <v>263.33</v>
      </c>
      <c r="L2534">
        <v>2614893.2000000002</v>
      </c>
      <c r="M2534">
        <v>1574976.73</v>
      </c>
      <c r="N2534">
        <v>1039916.47</v>
      </c>
    </row>
    <row r="2535" spans="1:14" x14ac:dyDescent="0.25">
      <c r="A2535" t="s">
        <v>77</v>
      </c>
      <c r="B2535" t="s">
        <v>78</v>
      </c>
      <c r="C2535" t="s">
        <v>59</v>
      </c>
      <c r="D2535" t="s">
        <v>17</v>
      </c>
      <c r="E2535" t="s">
        <v>45</v>
      </c>
      <c r="F2535" s="1">
        <v>40461</v>
      </c>
      <c r="G2535">
        <v>595461833</v>
      </c>
      <c r="H2535" t="s">
        <v>1419</v>
      </c>
      <c r="I2535">
        <v>9244</v>
      </c>
      <c r="J2535">
        <v>437.2</v>
      </c>
      <c r="K2535">
        <v>263.33</v>
      </c>
      <c r="L2535">
        <v>4041476.8</v>
      </c>
      <c r="M2535">
        <v>2434222.52</v>
      </c>
      <c r="N2535">
        <v>1607254.28</v>
      </c>
    </row>
    <row r="2536" spans="1:14" x14ac:dyDescent="0.25">
      <c r="A2536" t="s">
        <v>77</v>
      </c>
      <c r="B2536" t="s">
        <v>320</v>
      </c>
      <c r="C2536" t="s">
        <v>131</v>
      </c>
      <c r="D2536" t="s">
        <v>22</v>
      </c>
      <c r="E2536" t="s">
        <v>23</v>
      </c>
      <c r="F2536" t="s">
        <v>579</v>
      </c>
      <c r="G2536">
        <v>371361768</v>
      </c>
      <c r="H2536" t="s">
        <v>729</v>
      </c>
      <c r="I2536">
        <v>3054</v>
      </c>
      <c r="J2536">
        <v>668.27</v>
      </c>
      <c r="K2536">
        <v>502.54</v>
      </c>
      <c r="L2536">
        <v>2040896.58</v>
      </c>
      <c r="M2536">
        <v>1534757.16</v>
      </c>
      <c r="N2536">
        <v>506139.42</v>
      </c>
    </row>
    <row r="2537" spans="1:14" x14ac:dyDescent="0.25">
      <c r="A2537" t="s">
        <v>51</v>
      </c>
      <c r="B2537" t="s">
        <v>424</v>
      </c>
      <c r="C2537" t="s">
        <v>40</v>
      </c>
      <c r="D2537" t="s">
        <v>22</v>
      </c>
      <c r="E2537" t="s">
        <v>18</v>
      </c>
      <c r="F2537" s="1">
        <v>40483</v>
      </c>
      <c r="G2537">
        <v>612161910</v>
      </c>
      <c r="H2537" t="s">
        <v>787</v>
      </c>
      <c r="I2537">
        <v>1168</v>
      </c>
      <c r="J2537">
        <v>81.73</v>
      </c>
      <c r="K2537">
        <v>56.67</v>
      </c>
      <c r="L2537">
        <v>95460.64</v>
      </c>
      <c r="M2537">
        <v>66190.559999999998</v>
      </c>
      <c r="N2537">
        <v>29270.080000000002</v>
      </c>
    </row>
    <row r="2538" spans="1:14" x14ac:dyDescent="0.25">
      <c r="A2538" t="s">
        <v>25</v>
      </c>
      <c r="B2538" t="s">
        <v>256</v>
      </c>
      <c r="C2538" t="s">
        <v>131</v>
      </c>
      <c r="D2538" t="s">
        <v>17</v>
      </c>
      <c r="E2538" t="s">
        <v>32</v>
      </c>
      <c r="F2538" s="1">
        <v>41888</v>
      </c>
      <c r="G2538">
        <v>175723588</v>
      </c>
      <c r="H2538" t="s">
        <v>939</v>
      </c>
      <c r="I2538">
        <v>9370</v>
      </c>
      <c r="J2538">
        <v>668.27</v>
      </c>
      <c r="K2538">
        <v>502.54</v>
      </c>
      <c r="L2538">
        <v>6261689.9000000004</v>
      </c>
      <c r="M2538">
        <v>4708799.8</v>
      </c>
      <c r="N2538">
        <v>1552890.1</v>
      </c>
    </row>
    <row r="2539" spans="1:14" x14ac:dyDescent="0.25">
      <c r="A2539" t="s">
        <v>25</v>
      </c>
      <c r="B2539" t="s">
        <v>172</v>
      </c>
      <c r="C2539" t="s">
        <v>131</v>
      </c>
      <c r="D2539" t="s">
        <v>17</v>
      </c>
      <c r="E2539" t="s">
        <v>23</v>
      </c>
      <c r="F2539" s="1">
        <v>42471</v>
      </c>
      <c r="G2539">
        <v>690220630</v>
      </c>
      <c r="H2539" t="s">
        <v>1611</v>
      </c>
      <c r="I2539">
        <v>477</v>
      </c>
      <c r="J2539">
        <v>668.27</v>
      </c>
      <c r="K2539">
        <v>502.54</v>
      </c>
      <c r="L2539">
        <v>318764.78999999998</v>
      </c>
      <c r="M2539">
        <v>239711.58</v>
      </c>
      <c r="N2539">
        <v>79053.210000000006</v>
      </c>
    </row>
    <row r="2540" spans="1:14" x14ac:dyDescent="0.25">
      <c r="A2540" t="s">
        <v>25</v>
      </c>
      <c r="B2540" t="s">
        <v>458</v>
      </c>
      <c r="C2540" t="s">
        <v>27</v>
      </c>
      <c r="D2540" t="s">
        <v>22</v>
      </c>
      <c r="E2540" t="s">
        <v>18</v>
      </c>
      <c r="F2540" t="s">
        <v>1242</v>
      </c>
      <c r="G2540">
        <v>704139363</v>
      </c>
      <c r="H2540" t="s">
        <v>1413</v>
      </c>
      <c r="I2540">
        <v>9340</v>
      </c>
      <c r="J2540">
        <v>47.45</v>
      </c>
      <c r="K2540">
        <v>31.79</v>
      </c>
      <c r="L2540">
        <v>443183</v>
      </c>
      <c r="M2540">
        <v>296918.59999999998</v>
      </c>
      <c r="N2540">
        <v>146264.4</v>
      </c>
    </row>
    <row r="2541" spans="1:14" x14ac:dyDescent="0.25">
      <c r="A2541" t="s">
        <v>25</v>
      </c>
      <c r="B2541" t="s">
        <v>469</v>
      </c>
      <c r="C2541" t="s">
        <v>88</v>
      </c>
      <c r="D2541" t="s">
        <v>17</v>
      </c>
      <c r="E2541" t="s">
        <v>45</v>
      </c>
      <c r="F2541" s="1">
        <v>41672</v>
      </c>
      <c r="G2541">
        <v>636278617</v>
      </c>
      <c r="H2541" t="s">
        <v>740</v>
      </c>
      <c r="I2541">
        <v>7837</v>
      </c>
      <c r="J2541">
        <v>9.33</v>
      </c>
      <c r="K2541">
        <v>6.92</v>
      </c>
      <c r="L2541">
        <v>73119.210000000006</v>
      </c>
      <c r="M2541">
        <v>54232.04</v>
      </c>
      <c r="N2541">
        <v>18887.169999999998</v>
      </c>
    </row>
    <row r="2542" spans="1:14" x14ac:dyDescent="0.25">
      <c r="A2542" t="s">
        <v>25</v>
      </c>
      <c r="B2542" t="s">
        <v>609</v>
      </c>
      <c r="C2542" t="s">
        <v>21</v>
      </c>
      <c r="D2542" t="s">
        <v>17</v>
      </c>
      <c r="E2542" t="s">
        <v>32</v>
      </c>
      <c r="F2542" s="1">
        <v>41161</v>
      </c>
      <c r="G2542">
        <v>525749719</v>
      </c>
      <c r="H2542" t="s">
        <v>240</v>
      </c>
      <c r="I2542">
        <v>9880</v>
      </c>
      <c r="J2542">
        <v>152.58000000000001</v>
      </c>
      <c r="K2542">
        <v>97.44</v>
      </c>
      <c r="L2542">
        <v>1507490.4</v>
      </c>
      <c r="M2542">
        <v>962707.2</v>
      </c>
      <c r="N2542">
        <v>544783.19999999995</v>
      </c>
    </row>
    <row r="2543" spans="1:14" x14ac:dyDescent="0.25">
      <c r="A2543" t="s">
        <v>25</v>
      </c>
      <c r="B2543" t="s">
        <v>752</v>
      </c>
      <c r="C2543" t="s">
        <v>88</v>
      </c>
      <c r="D2543" t="s">
        <v>17</v>
      </c>
      <c r="E2543" t="s">
        <v>45</v>
      </c>
      <c r="F2543" t="s">
        <v>298</v>
      </c>
      <c r="G2543">
        <v>481976497</v>
      </c>
      <c r="H2543" s="1">
        <v>42441</v>
      </c>
      <c r="I2543">
        <v>6411</v>
      </c>
      <c r="J2543">
        <v>9.33</v>
      </c>
      <c r="K2543">
        <v>6.92</v>
      </c>
      <c r="L2543">
        <v>59814.63</v>
      </c>
      <c r="M2543">
        <v>44364.12</v>
      </c>
      <c r="N2543">
        <v>15450.51</v>
      </c>
    </row>
    <row r="2544" spans="1:14" x14ac:dyDescent="0.25">
      <c r="A2544" t="s">
        <v>29</v>
      </c>
      <c r="B2544" t="s">
        <v>485</v>
      </c>
      <c r="C2544" t="s">
        <v>69</v>
      </c>
      <c r="D2544" t="s">
        <v>22</v>
      </c>
      <c r="E2544" t="s">
        <v>23</v>
      </c>
      <c r="F2544" t="s">
        <v>318</v>
      </c>
      <c r="G2544">
        <v>234695279</v>
      </c>
      <c r="H2544" s="1">
        <v>42614</v>
      </c>
      <c r="I2544">
        <v>403</v>
      </c>
      <c r="J2544">
        <v>421.89</v>
      </c>
      <c r="K2544">
        <v>364.69</v>
      </c>
      <c r="L2544">
        <v>170021.67</v>
      </c>
      <c r="M2544">
        <v>146970.07</v>
      </c>
      <c r="N2544">
        <v>23051.599999999999</v>
      </c>
    </row>
    <row r="2545" spans="1:14" x14ac:dyDescent="0.25">
      <c r="A2545" t="s">
        <v>51</v>
      </c>
      <c r="B2545" t="s">
        <v>638</v>
      </c>
      <c r="C2545" t="s">
        <v>31</v>
      </c>
      <c r="D2545" t="s">
        <v>17</v>
      </c>
      <c r="E2545" t="s">
        <v>18</v>
      </c>
      <c r="F2545" t="s">
        <v>1612</v>
      </c>
      <c r="G2545">
        <v>483954894</v>
      </c>
      <c r="H2545" t="s">
        <v>1518</v>
      </c>
      <c r="I2545">
        <v>1863</v>
      </c>
      <c r="J2545">
        <v>205.7</v>
      </c>
      <c r="K2545">
        <v>117.11</v>
      </c>
      <c r="L2545">
        <v>383219.1</v>
      </c>
      <c r="M2545">
        <v>218175.93</v>
      </c>
      <c r="N2545">
        <v>165043.17000000001</v>
      </c>
    </row>
    <row r="2546" spans="1:14" x14ac:dyDescent="0.25">
      <c r="A2546" t="s">
        <v>38</v>
      </c>
      <c r="B2546" t="s">
        <v>68</v>
      </c>
      <c r="C2546" t="s">
        <v>27</v>
      </c>
      <c r="D2546" t="s">
        <v>17</v>
      </c>
      <c r="E2546" t="s">
        <v>45</v>
      </c>
      <c r="F2546" t="s">
        <v>1258</v>
      </c>
      <c r="G2546">
        <v>650116670</v>
      </c>
      <c r="H2546" t="s">
        <v>1193</v>
      </c>
      <c r="I2546">
        <v>2824</v>
      </c>
      <c r="J2546">
        <v>47.45</v>
      </c>
      <c r="K2546">
        <v>31.79</v>
      </c>
      <c r="L2546">
        <v>133998.79999999999</v>
      </c>
      <c r="M2546">
        <v>89774.96</v>
      </c>
      <c r="N2546">
        <v>44223.839999999997</v>
      </c>
    </row>
    <row r="2547" spans="1:14" x14ac:dyDescent="0.25">
      <c r="A2547" t="s">
        <v>29</v>
      </c>
      <c r="B2547" t="s">
        <v>243</v>
      </c>
      <c r="C2547" t="s">
        <v>31</v>
      </c>
      <c r="D2547" t="s">
        <v>22</v>
      </c>
      <c r="E2547" t="s">
        <v>18</v>
      </c>
      <c r="F2547" t="s">
        <v>1613</v>
      </c>
      <c r="G2547">
        <v>223854434</v>
      </c>
      <c r="H2547" t="s">
        <v>632</v>
      </c>
      <c r="I2547">
        <v>2356</v>
      </c>
      <c r="J2547">
        <v>205.7</v>
      </c>
      <c r="K2547">
        <v>117.11</v>
      </c>
      <c r="L2547">
        <v>484629.2</v>
      </c>
      <c r="M2547">
        <v>275911.15999999997</v>
      </c>
      <c r="N2547">
        <v>208718.04</v>
      </c>
    </row>
    <row r="2548" spans="1:14" x14ac:dyDescent="0.25">
      <c r="A2548" t="s">
        <v>29</v>
      </c>
      <c r="B2548" t="s">
        <v>586</v>
      </c>
      <c r="C2548" t="s">
        <v>40</v>
      </c>
      <c r="D2548" t="s">
        <v>22</v>
      </c>
      <c r="E2548" t="s">
        <v>18</v>
      </c>
      <c r="F2548" t="s">
        <v>1552</v>
      </c>
      <c r="G2548">
        <v>116154515</v>
      </c>
      <c r="H2548" t="s">
        <v>544</v>
      </c>
      <c r="I2548">
        <v>1557</v>
      </c>
      <c r="J2548">
        <v>81.73</v>
      </c>
      <c r="K2548">
        <v>56.67</v>
      </c>
      <c r="L2548">
        <v>127253.61</v>
      </c>
      <c r="M2548">
        <v>88235.19</v>
      </c>
      <c r="N2548">
        <v>39018.42</v>
      </c>
    </row>
    <row r="2549" spans="1:14" x14ac:dyDescent="0.25">
      <c r="A2549" t="s">
        <v>14</v>
      </c>
      <c r="B2549" t="s">
        <v>835</v>
      </c>
      <c r="C2549" t="s">
        <v>113</v>
      </c>
      <c r="D2549" t="s">
        <v>17</v>
      </c>
      <c r="E2549" t="s">
        <v>32</v>
      </c>
      <c r="F2549" t="s">
        <v>594</v>
      </c>
      <c r="G2549">
        <v>408315742</v>
      </c>
      <c r="H2549" t="s">
        <v>813</v>
      </c>
      <c r="I2549">
        <v>8556</v>
      </c>
      <c r="J2549">
        <v>154.06</v>
      </c>
      <c r="K2549">
        <v>90.93</v>
      </c>
      <c r="L2549">
        <v>1318137.3600000001</v>
      </c>
      <c r="M2549">
        <v>777997.08</v>
      </c>
      <c r="N2549">
        <v>540140.28</v>
      </c>
    </row>
    <row r="2550" spans="1:14" x14ac:dyDescent="0.25">
      <c r="A2550" t="s">
        <v>14</v>
      </c>
      <c r="B2550" t="s">
        <v>15</v>
      </c>
      <c r="C2550" t="s">
        <v>16</v>
      </c>
      <c r="D2550" t="s">
        <v>17</v>
      </c>
      <c r="E2550" t="s">
        <v>18</v>
      </c>
      <c r="F2550" s="1">
        <v>41247</v>
      </c>
      <c r="G2550">
        <v>801949441</v>
      </c>
      <c r="H2550" s="1">
        <v>41095</v>
      </c>
      <c r="I2550">
        <v>3516</v>
      </c>
      <c r="J2550">
        <v>255.28</v>
      </c>
      <c r="K2550">
        <v>159.41999999999999</v>
      </c>
      <c r="L2550">
        <v>897564.48</v>
      </c>
      <c r="M2550">
        <v>560520.72</v>
      </c>
      <c r="N2550">
        <v>337043.76</v>
      </c>
    </row>
    <row r="2551" spans="1:14" x14ac:dyDescent="0.25">
      <c r="A2551" t="s">
        <v>25</v>
      </c>
      <c r="B2551" t="s">
        <v>142</v>
      </c>
      <c r="C2551" t="s">
        <v>69</v>
      </c>
      <c r="D2551" t="s">
        <v>17</v>
      </c>
      <c r="E2551" t="s">
        <v>45</v>
      </c>
      <c r="F2551" t="s">
        <v>147</v>
      </c>
      <c r="G2551">
        <v>168979442</v>
      </c>
      <c r="H2551" s="1">
        <v>40463</v>
      </c>
      <c r="I2551">
        <v>3627</v>
      </c>
      <c r="J2551">
        <v>421.89</v>
      </c>
      <c r="K2551">
        <v>364.69</v>
      </c>
      <c r="L2551">
        <v>1530195.03</v>
      </c>
      <c r="M2551">
        <v>1322730.6299999999</v>
      </c>
      <c r="N2551">
        <v>207464.4</v>
      </c>
    </row>
    <row r="2552" spans="1:14" x14ac:dyDescent="0.25">
      <c r="A2552" t="s">
        <v>51</v>
      </c>
      <c r="B2552" t="s">
        <v>223</v>
      </c>
      <c r="C2552" t="s">
        <v>113</v>
      </c>
      <c r="D2552" t="s">
        <v>22</v>
      </c>
      <c r="E2552" t="s">
        <v>45</v>
      </c>
      <c r="F2552" t="s">
        <v>1614</v>
      </c>
      <c r="G2552">
        <v>601642072</v>
      </c>
      <c r="H2552" t="s">
        <v>1615</v>
      </c>
      <c r="I2552">
        <v>8114</v>
      </c>
      <c r="J2552">
        <v>154.06</v>
      </c>
      <c r="K2552">
        <v>90.93</v>
      </c>
      <c r="L2552">
        <v>1250042.8400000001</v>
      </c>
      <c r="M2552">
        <v>737806.02</v>
      </c>
      <c r="N2552">
        <v>512236.82</v>
      </c>
    </row>
    <row r="2553" spans="1:14" x14ac:dyDescent="0.25">
      <c r="A2553" t="s">
        <v>51</v>
      </c>
      <c r="B2553" t="s">
        <v>502</v>
      </c>
      <c r="C2553" t="s">
        <v>88</v>
      </c>
      <c r="D2553" t="s">
        <v>22</v>
      </c>
      <c r="E2553" t="s">
        <v>18</v>
      </c>
      <c r="F2553" t="s">
        <v>1502</v>
      </c>
      <c r="G2553">
        <v>662486159</v>
      </c>
      <c r="H2553" t="s">
        <v>1052</v>
      </c>
      <c r="I2553">
        <v>3231</v>
      </c>
      <c r="J2553">
        <v>9.33</v>
      </c>
      <c r="K2553">
        <v>6.92</v>
      </c>
      <c r="L2553">
        <v>30145.23</v>
      </c>
      <c r="M2553">
        <v>22358.52</v>
      </c>
      <c r="N2553">
        <v>7786.71</v>
      </c>
    </row>
    <row r="2554" spans="1:14" x14ac:dyDescent="0.25">
      <c r="A2554" t="s">
        <v>51</v>
      </c>
      <c r="B2554" t="s">
        <v>575</v>
      </c>
      <c r="C2554" t="s">
        <v>69</v>
      </c>
      <c r="D2554" t="s">
        <v>17</v>
      </c>
      <c r="E2554" t="s">
        <v>45</v>
      </c>
      <c r="F2554" t="s">
        <v>1606</v>
      </c>
      <c r="G2554">
        <v>334373033</v>
      </c>
      <c r="H2554" t="s">
        <v>1313</v>
      </c>
      <c r="I2554">
        <v>7266</v>
      </c>
      <c r="J2554">
        <v>421.89</v>
      </c>
      <c r="K2554">
        <v>364.69</v>
      </c>
      <c r="L2554">
        <v>3065452.74</v>
      </c>
      <c r="M2554">
        <v>2649837.54</v>
      </c>
      <c r="N2554">
        <v>415615.2</v>
      </c>
    </row>
    <row r="2555" spans="1:14" x14ac:dyDescent="0.25">
      <c r="A2555" t="s">
        <v>25</v>
      </c>
      <c r="B2555" t="s">
        <v>374</v>
      </c>
      <c r="C2555" t="s">
        <v>131</v>
      </c>
      <c r="D2555" t="s">
        <v>17</v>
      </c>
      <c r="E2555" t="s">
        <v>32</v>
      </c>
      <c r="F2555" t="s">
        <v>379</v>
      </c>
      <c r="G2555">
        <v>570476520</v>
      </c>
      <c r="H2555" t="s">
        <v>1529</v>
      </c>
      <c r="I2555">
        <v>5534</v>
      </c>
      <c r="J2555">
        <v>668.27</v>
      </c>
      <c r="K2555">
        <v>502.54</v>
      </c>
      <c r="L2555">
        <v>3698206.18</v>
      </c>
      <c r="M2555">
        <v>2781056.36</v>
      </c>
      <c r="N2555">
        <v>917149.82</v>
      </c>
    </row>
    <row r="2556" spans="1:14" x14ac:dyDescent="0.25">
      <c r="A2556" t="s">
        <v>25</v>
      </c>
      <c r="B2556" t="s">
        <v>134</v>
      </c>
      <c r="C2556" t="s">
        <v>31</v>
      </c>
      <c r="D2556" t="s">
        <v>17</v>
      </c>
      <c r="E2556" t="s">
        <v>45</v>
      </c>
      <c r="F2556" t="s">
        <v>776</v>
      </c>
      <c r="G2556">
        <v>144282948</v>
      </c>
      <c r="H2556" s="1">
        <v>41282</v>
      </c>
      <c r="I2556">
        <v>5386</v>
      </c>
      <c r="J2556">
        <v>205.7</v>
      </c>
      <c r="K2556">
        <v>117.11</v>
      </c>
      <c r="L2556">
        <v>1107900.2</v>
      </c>
      <c r="M2556">
        <v>630754.46</v>
      </c>
      <c r="N2556">
        <v>477145.74</v>
      </c>
    </row>
    <row r="2557" spans="1:14" x14ac:dyDescent="0.25">
      <c r="A2557" t="s">
        <v>38</v>
      </c>
      <c r="B2557" t="s">
        <v>451</v>
      </c>
      <c r="C2557" t="s">
        <v>16</v>
      </c>
      <c r="D2557" t="s">
        <v>22</v>
      </c>
      <c r="E2557" t="s">
        <v>23</v>
      </c>
      <c r="F2557" s="1">
        <v>40765</v>
      </c>
      <c r="G2557">
        <v>599591147</v>
      </c>
      <c r="H2557" t="s">
        <v>1048</v>
      </c>
      <c r="I2557">
        <v>1200</v>
      </c>
      <c r="J2557">
        <v>255.28</v>
      </c>
      <c r="K2557">
        <v>159.41999999999999</v>
      </c>
      <c r="L2557">
        <v>306336</v>
      </c>
      <c r="M2557">
        <v>191304</v>
      </c>
      <c r="N2557">
        <v>115032</v>
      </c>
    </row>
    <row r="2558" spans="1:14" x14ac:dyDescent="0.25">
      <c r="A2558" t="s">
        <v>38</v>
      </c>
      <c r="B2558" t="s">
        <v>92</v>
      </c>
      <c r="C2558" t="s">
        <v>69</v>
      </c>
      <c r="D2558" t="s">
        <v>22</v>
      </c>
      <c r="E2558" t="s">
        <v>32</v>
      </c>
      <c r="F2558" s="1">
        <v>41527</v>
      </c>
      <c r="G2558">
        <v>400512444</v>
      </c>
      <c r="H2558" t="s">
        <v>861</v>
      </c>
      <c r="I2558">
        <v>9387</v>
      </c>
      <c r="J2558">
        <v>421.89</v>
      </c>
      <c r="K2558">
        <v>364.69</v>
      </c>
      <c r="L2558">
        <v>3960281.43</v>
      </c>
      <c r="M2558">
        <v>3423345.03</v>
      </c>
      <c r="N2558">
        <v>536936.4</v>
      </c>
    </row>
    <row r="2559" spans="1:14" x14ac:dyDescent="0.25">
      <c r="A2559" t="s">
        <v>51</v>
      </c>
      <c r="B2559" t="s">
        <v>129</v>
      </c>
      <c r="C2559" t="s">
        <v>21</v>
      </c>
      <c r="D2559" t="s">
        <v>17</v>
      </c>
      <c r="E2559" t="s">
        <v>45</v>
      </c>
      <c r="F2559" s="1">
        <v>42860</v>
      </c>
      <c r="G2559">
        <v>781470668</v>
      </c>
      <c r="H2559" s="1">
        <v>43013</v>
      </c>
      <c r="I2559">
        <v>3391</v>
      </c>
      <c r="J2559">
        <v>152.58000000000001</v>
      </c>
      <c r="K2559">
        <v>97.44</v>
      </c>
      <c r="L2559">
        <v>517398.78</v>
      </c>
      <c r="M2559">
        <v>330419.03999999998</v>
      </c>
      <c r="N2559">
        <v>186979.74</v>
      </c>
    </row>
    <row r="2560" spans="1:14" x14ac:dyDescent="0.25">
      <c r="A2560" t="s">
        <v>25</v>
      </c>
      <c r="B2560" t="s">
        <v>185</v>
      </c>
      <c r="C2560" t="s">
        <v>27</v>
      </c>
      <c r="D2560" t="s">
        <v>17</v>
      </c>
      <c r="E2560" t="s">
        <v>18</v>
      </c>
      <c r="F2560" s="1">
        <v>41557</v>
      </c>
      <c r="G2560">
        <v>797202146</v>
      </c>
      <c r="H2560" t="s">
        <v>1452</v>
      </c>
      <c r="I2560">
        <v>8685</v>
      </c>
      <c r="J2560">
        <v>47.45</v>
      </c>
      <c r="K2560">
        <v>31.79</v>
      </c>
      <c r="L2560">
        <v>412103.25</v>
      </c>
      <c r="M2560">
        <v>276096.15000000002</v>
      </c>
      <c r="N2560">
        <v>136007.1</v>
      </c>
    </row>
    <row r="2561" spans="1:14" x14ac:dyDescent="0.25">
      <c r="A2561" t="s">
        <v>29</v>
      </c>
      <c r="B2561" t="s">
        <v>586</v>
      </c>
      <c r="C2561" t="s">
        <v>21</v>
      </c>
      <c r="D2561" t="s">
        <v>17</v>
      </c>
      <c r="E2561" t="s">
        <v>18</v>
      </c>
      <c r="F2561" s="1">
        <v>41917</v>
      </c>
      <c r="G2561">
        <v>472755706</v>
      </c>
      <c r="H2561" t="s">
        <v>953</v>
      </c>
      <c r="I2561">
        <v>7774</v>
      </c>
      <c r="J2561">
        <v>152.58000000000001</v>
      </c>
      <c r="K2561">
        <v>97.44</v>
      </c>
      <c r="L2561">
        <v>1186156.92</v>
      </c>
      <c r="M2561">
        <v>757498.56</v>
      </c>
      <c r="N2561">
        <v>428658.36</v>
      </c>
    </row>
    <row r="2562" spans="1:14" x14ac:dyDescent="0.25">
      <c r="A2562" t="s">
        <v>25</v>
      </c>
      <c r="B2562" t="s">
        <v>343</v>
      </c>
      <c r="C2562" t="s">
        <v>88</v>
      </c>
      <c r="D2562" t="s">
        <v>22</v>
      </c>
      <c r="E2562" t="s">
        <v>23</v>
      </c>
      <c r="F2562" t="s">
        <v>790</v>
      </c>
      <c r="G2562">
        <v>353492677</v>
      </c>
      <c r="H2562" t="s">
        <v>1499</v>
      </c>
      <c r="I2562">
        <v>5193</v>
      </c>
      <c r="J2562">
        <v>9.33</v>
      </c>
      <c r="K2562">
        <v>6.92</v>
      </c>
      <c r="L2562">
        <v>48450.69</v>
      </c>
      <c r="M2562">
        <v>35935.56</v>
      </c>
      <c r="N2562">
        <v>12515.13</v>
      </c>
    </row>
    <row r="2563" spans="1:14" x14ac:dyDescent="0.25">
      <c r="A2563" t="s">
        <v>25</v>
      </c>
      <c r="B2563" t="s">
        <v>239</v>
      </c>
      <c r="C2563" t="s">
        <v>59</v>
      </c>
      <c r="D2563" t="s">
        <v>22</v>
      </c>
      <c r="E2563" t="s">
        <v>18</v>
      </c>
      <c r="F2563" t="s">
        <v>831</v>
      </c>
      <c r="G2563">
        <v>155086886</v>
      </c>
      <c r="H2563" s="1">
        <v>41761</v>
      </c>
      <c r="I2563">
        <v>2511</v>
      </c>
      <c r="J2563">
        <v>437.2</v>
      </c>
      <c r="K2563">
        <v>263.33</v>
      </c>
      <c r="L2563">
        <v>1097809.2</v>
      </c>
      <c r="M2563">
        <v>661221.63</v>
      </c>
      <c r="N2563">
        <v>436587.57</v>
      </c>
    </row>
    <row r="2564" spans="1:14" x14ac:dyDescent="0.25">
      <c r="A2564" t="s">
        <v>25</v>
      </c>
      <c r="B2564" t="s">
        <v>185</v>
      </c>
      <c r="C2564" t="s">
        <v>59</v>
      </c>
      <c r="D2564" t="s">
        <v>17</v>
      </c>
      <c r="E2564" t="s">
        <v>32</v>
      </c>
      <c r="F2564" t="s">
        <v>148</v>
      </c>
      <c r="G2564">
        <v>113524663</v>
      </c>
      <c r="H2564" s="1">
        <v>40433</v>
      </c>
      <c r="I2564">
        <v>3325</v>
      </c>
      <c r="J2564">
        <v>437.2</v>
      </c>
      <c r="K2564">
        <v>263.33</v>
      </c>
      <c r="L2564">
        <v>1453690</v>
      </c>
      <c r="M2564">
        <v>875572.25</v>
      </c>
      <c r="N2564">
        <v>578117.75</v>
      </c>
    </row>
    <row r="2565" spans="1:14" x14ac:dyDescent="0.25">
      <c r="A2565" t="s">
        <v>51</v>
      </c>
      <c r="B2565" t="s">
        <v>182</v>
      </c>
      <c r="C2565" t="s">
        <v>27</v>
      </c>
      <c r="D2565" t="s">
        <v>17</v>
      </c>
      <c r="E2565" t="s">
        <v>23</v>
      </c>
      <c r="F2565" s="1">
        <v>41919</v>
      </c>
      <c r="G2565">
        <v>535104835</v>
      </c>
      <c r="H2565" t="s">
        <v>506</v>
      </c>
      <c r="I2565">
        <v>8267</v>
      </c>
      <c r="J2565">
        <v>47.45</v>
      </c>
      <c r="K2565">
        <v>31.79</v>
      </c>
      <c r="L2565">
        <v>392269.15</v>
      </c>
      <c r="M2565">
        <v>262807.93</v>
      </c>
      <c r="N2565">
        <v>129461.22</v>
      </c>
    </row>
    <row r="2566" spans="1:14" x14ac:dyDescent="0.25">
      <c r="A2566" t="s">
        <v>14</v>
      </c>
      <c r="B2566" t="s">
        <v>154</v>
      </c>
      <c r="C2566" t="s">
        <v>16</v>
      </c>
      <c r="D2566" t="s">
        <v>17</v>
      </c>
      <c r="E2566" t="s">
        <v>23</v>
      </c>
      <c r="F2566" t="s">
        <v>1616</v>
      </c>
      <c r="G2566">
        <v>446438729</v>
      </c>
      <c r="H2566" s="1">
        <v>40702</v>
      </c>
      <c r="I2566">
        <v>9996</v>
      </c>
      <c r="J2566">
        <v>255.28</v>
      </c>
      <c r="K2566">
        <v>159.41999999999999</v>
      </c>
      <c r="L2566">
        <v>2551778.88</v>
      </c>
      <c r="M2566">
        <v>1593562.32</v>
      </c>
      <c r="N2566">
        <v>958216.56</v>
      </c>
    </row>
    <row r="2567" spans="1:14" x14ac:dyDescent="0.25">
      <c r="A2567" t="s">
        <v>51</v>
      </c>
      <c r="B2567" t="s">
        <v>424</v>
      </c>
      <c r="C2567" t="s">
        <v>27</v>
      </c>
      <c r="D2567" t="s">
        <v>17</v>
      </c>
      <c r="E2567" t="s">
        <v>32</v>
      </c>
      <c r="F2567" s="1">
        <v>42255</v>
      </c>
      <c r="G2567">
        <v>744450175</v>
      </c>
      <c r="H2567" t="s">
        <v>253</v>
      </c>
      <c r="I2567">
        <v>8205</v>
      </c>
      <c r="J2567">
        <v>47.45</v>
      </c>
      <c r="K2567">
        <v>31.79</v>
      </c>
      <c r="L2567">
        <v>389327.25</v>
      </c>
      <c r="M2567">
        <v>260836.95</v>
      </c>
      <c r="N2567">
        <v>128490.3</v>
      </c>
    </row>
    <row r="2568" spans="1:14" x14ac:dyDescent="0.25">
      <c r="A2568" t="s">
        <v>51</v>
      </c>
      <c r="B2568" t="s">
        <v>258</v>
      </c>
      <c r="C2568" t="s">
        <v>27</v>
      </c>
      <c r="D2568" t="s">
        <v>22</v>
      </c>
      <c r="E2568" t="s">
        <v>45</v>
      </c>
      <c r="F2568" t="s">
        <v>1177</v>
      </c>
      <c r="G2568">
        <v>146375501</v>
      </c>
      <c r="H2568" t="s">
        <v>1324</v>
      </c>
      <c r="I2568">
        <v>4618</v>
      </c>
      <c r="J2568">
        <v>47.45</v>
      </c>
      <c r="K2568">
        <v>31.79</v>
      </c>
      <c r="L2568">
        <v>219124.1</v>
      </c>
      <c r="M2568">
        <v>146806.22</v>
      </c>
      <c r="N2568">
        <v>72317.88</v>
      </c>
    </row>
    <row r="2569" spans="1:14" x14ac:dyDescent="0.25">
      <c r="A2569" t="s">
        <v>14</v>
      </c>
      <c r="B2569" t="s">
        <v>64</v>
      </c>
      <c r="C2569" t="s">
        <v>40</v>
      </c>
      <c r="D2569" t="s">
        <v>22</v>
      </c>
      <c r="E2569" t="s">
        <v>23</v>
      </c>
      <c r="F2569" t="s">
        <v>1528</v>
      </c>
      <c r="G2569">
        <v>139763534</v>
      </c>
      <c r="H2569" s="1">
        <v>40610</v>
      </c>
      <c r="I2569">
        <v>7990</v>
      </c>
      <c r="J2569">
        <v>81.73</v>
      </c>
      <c r="K2569">
        <v>56.67</v>
      </c>
      <c r="L2569">
        <v>653022.69999999995</v>
      </c>
      <c r="M2569">
        <v>452793.3</v>
      </c>
      <c r="N2569">
        <v>200229.4</v>
      </c>
    </row>
    <row r="2570" spans="1:14" x14ac:dyDescent="0.25">
      <c r="A2570" t="s">
        <v>25</v>
      </c>
      <c r="B2570" t="s">
        <v>529</v>
      </c>
      <c r="C2570" t="s">
        <v>27</v>
      </c>
      <c r="D2570" t="s">
        <v>22</v>
      </c>
      <c r="E2570" t="s">
        <v>32</v>
      </c>
      <c r="F2570" s="1">
        <v>41527</v>
      </c>
      <c r="G2570">
        <v>932475602</v>
      </c>
      <c r="H2570" t="s">
        <v>257</v>
      </c>
      <c r="I2570">
        <v>9107</v>
      </c>
      <c r="J2570">
        <v>47.45</v>
      </c>
      <c r="K2570">
        <v>31.79</v>
      </c>
      <c r="L2570">
        <v>432127.15</v>
      </c>
      <c r="M2570">
        <v>289511.53000000003</v>
      </c>
      <c r="N2570">
        <v>142615.62</v>
      </c>
    </row>
    <row r="2571" spans="1:14" x14ac:dyDescent="0.25">
      <c r="A2571" t="s">
        <v>51</v>
      </c>
      <c r="B2571" t="s">
        <v>734</v>
      </c>
      <c r="C2571" t="s">
        <v>88</v>
      </c>
      <c r="D2571" t="s">
        <v>17</v>
      </c>
      <c r="E2571" t="s">
        <v>32</v>
      </c>
      <c r="F2571" t="s">
        <v>1617</v>
      </c>
      <c r="G2571">
        <v>102685534</v>
      </c>
      <c r="H2571" t="s">
        <v>1144</v>
      </c>
      <c r="I2571">
        <v>5786</v>
      </c>
      <c r="J2571">
        <v>9.33</v>
      </c>
      <c r="K2571">
        <v>6.92</v>
      </c>
      <c r="L2571">
        <v>53983.38</v>
      </c>
      <c r="M2571">
        <v>40039.120000000003</v>
      </c>
      <c r="N2571">
        <v>13944.26</v>
      </c>
    </row>
    <row r="2572" spans="1:14" x14ac:dyDescent="0.25">
      <c r="A2572" t="s">
        <v>51</v>
      </c>
      <c r="B2572" t="s">
        <v>414</v>
      </c>
      <c r="C2572" t="s">
        <v>69</v>
      </c>
      <c r="D2572" t="s">
        <v>22</v>
      </c>
      <c r="E2572" t="s">
        <v>45</v>
      </c>
      <c r="F2572" t="s">
        <v>682</v>
      </c>
      <c r="G2572">
        <v>248879659</v>
      </c>
      <c r="H2572" t="s">
        <v>449</v>
      </c>
      <c r="I2572">
        <v>7877</v>
      </c>
      <c r="J2572">
        <v>421.89</v>
      </c>
      <c r="K2572">
        <v>364.69</v>
      </c>
      <c r="L2572">
        <v>3323227.53</v>
      </c>
      <c r="M2572">
        <v>2872663.13</v>
      </c>
      <c r="N2572">
        <v>450564.4</v>
      </c>
    </row>
    <row r="2573" spans="1:14" x14ac:dyDescent="0.25">
      <c r="A2573" t="s">
        <v>38</v>
      </c>
      <c r="B2573" t="s">
        <v>58</v>
      </c>
      <c r="C2573" t="s">
        <v>27</v>
      </c>
      <c r="D2573" t="s">
        <v>22</v>
      </c>
      <c r="E2573" t="s">
        <v>45</v>
      </c>
      <c r="F2573" t="s">
        <v>844</v>
      </c>
      <c r="G2573">
        <v>439856803</v>
      </c>
      <c r="H2573" s="1">
        <v>41248</v>
      </c>
      <c r="I2573">
        <v>2257</v>
      </c>
      <c r="J2573">
        <v>47.45</v>
      </c>
      <c r="K2573">
        <v>31.79</v>
      </c>
      <c r="L2573">
        <v>107094.65</v>
      </c>
      <c r="M2573">
        <v>71750.03</v>
      </c>
      <c r="N2573">
        <v>35344.620000000003</v>
      </c>
    </row>
    <row r="2574" spans="1:14" x14ac:dyDescent="0.25">
      <c r="A2574" t="s">
        <v>51</v>
      </c>
      <c r="B2574" t="s">
        <v>305</v>
      </c>
      <c r="C2574" t="s">
        <v>88</v>
      </c>
      <c r="D2574" t="s">
        <v>17</v>
      </c>
      <c r="E2574" t="s">
        <v>45</v>
      </c>
      <c r="F2574" t="s">
        <v>326</v>
      </c>
      <c r="G2574">
        <v>264728295</v>
      </c>
      <c r="H2574" s="1">
        <v>42186</v>
      </c>
      <c r="I2574">
        <v>7840</v>
      </c>
      <c r="J2574">
        <v>9.33</v>
      </c>
      <c r="K2574">
        <v>6.92</v>
      </c>
      <c r="L2574">
        <v>73147.199999999997</v>
      </c>
      <c r="M2574">
        <v>54252.800000000003</v>
      </c>
      <c r="N2574">
        <v>18894.400000000001</v>
      </c>
    </row>
    <row r="2575" spans="1:14" x14ac:dyDescent="0.25">
      <c r="A2575" t="s">
        <v>25</v>
      </c>
      <c r="B2575" t="s">
        <v>185</v>
      </c>
      <c r="C2575" t="s">
        <v>55</v>
      </c>
      <c r="D2575" t="s">
        <v>22</v>
      </c>
      <c r="E2575" t="s">
        <v>32</v>
      </c>
      <c r="F2575" t="s">
        <v>819</v>
      </c>
      <c r="G2575">
        <v>282917964</v>
      </c>
      <c r="H2575" t="s">
        <v>1597</v>
      </c>
      <c r="I2575">
        <v>567</v>
      </c>
      <c r="J2575">
        <v>651.21</v>
      </c>
      <c r="K2575">
        <v>524.96</v>
      </c>
      <c r="L2575">
        <v>369236.07</v>
      </c>
      <c r="M2575">
        <v>297652.32</v>
      </c>
      <c r="N2575">
        <v>71583.75</v>
      </c>
    </row>
    <row r="2576" spans="1:14" x14ac:dyDescent="0.25">
      <c r="A2576" t="s">
        <v>51</v>
      </c>
      <c r="B2576" t="s">
        <v>575</v>
      </c>
      <c r="C2576" t="s">
        <v>59</v>
      </c>
      <c r="D2576" t="s">
        <v>22</v>
      </c>
      <c r="E2576" t="s">
        <v>18</v>
      </c>
      <c r="F2576" s="1">
        <v>41341</v>
      </c>
      <c r="G2576">
        <v>674162137</v>
      </c>
      <c r="H2576" s="1">
        <v>41617</v>
      </c>
      <c r="I2576">
        <v>8413</v>
      </c>
      <c r="J2576">
        <v>437.2</v>
      </c>
      <c r="K2576">
        <v>263.33</v>
      </c>
      <c r="L2576">
        <v>3678163.6</v>
      </c>
      <c r="M2576">
        <v>2215395.29</v>
      </c>
      <c r="N2576">
        <v>1462768.31</v>
      </c>
    </row>
    <row r="2577" spans="1:14" x14ac:dyDescent="0.25">
      <c r="A2577" t="s">
        <v>51</v>
      </c>
      <c r="B2577" t="s">
        <v>219</v>
      </c>
      <c r="C2577" t="s">
        <v>88</v>
      </c>
      <c r="D2577" t="s">
        <v>17</v>
      </c>
      <c r="E2577" t="s">
        <v>45</v>
      </c>
      <c r="F2577" s="1">
        <v>42462</v>
      </c>
      <c r="G2577">
        <v>788509643</v>
      </c>
      <c r="H2577" s="1">
        <v>42432</v>
      </c>
      <c r="I2577">
        <v>6381</v>
      </c>
      <c r="J2577">
        <v>9.33</v>
      </c>
      <c r="K2577">
        <v>6.92</v>
      </c>
      <c r="L2577">
        <v>59534.73</v>
      </c>
      <c r="M2577">
        <v>44156.52</v>
      </c>
      <c r="N2577">
        <v>15378.21</v>
      </c>
    </row>
    <row r="2578" spans="1:14" x14ac:dyDescent="0.25">
      <c r="A2578" t="s">
        <v>51</v>
      </c>
      <c r="B2578" t="s">
        <v>182</v>
      </c>
      <c r="C2578" t="s">
        <v>59</v>
      </c>
      <c r="D2578" t="s">
        <v>17</v>
      </c>
      <c r="E2578" t="s">
        <v>32</v>
      </c>
      <c r="F2578" s="1">
        <v>41761</v>
      </c>
      <c r="G2578">
        <v>496321809</v>
      </c>
      <c r="H2578" t="s">
        <v>1618</v>
      </c>
      <c r="I2578">
        <v>1507</v>
      </c>
      <c r="J2578">
        <v>437.2</v>
      </c>
      <c r="K2578">
        <v>263.33</v>
      </c>
      <c r="L2578">
        <v>658860.4</v>
      </c>
      <c r="M2578">
        <v>396838.31</v>
      </c>
      <c r="N2578">
        <v>262022.09</v>
      </c>
    </row>
    <row r="2579" spans="1:14" x14ac:dyDescent="0.25">
      <c r="A2579" t="s">
        <v>51</v>
      </c>
      <c r="B2579" t="s">
        <v>308</v>
      </c>
      <c r="C2579" t="s">
        <v>131</v>
      </c>
      <c r="D2579" t="s">
        <v>17</v>
      </c>
      <c r="E2579" t="s">
        <v>18</v>
      </c>
      <c r="F2579" t="s">
        <v>554</v>
      </c>
      <c r="G2579">
        <v>638272464</v>
      </c>
      <c r="H2579" s="1">
        <v>40795</v>
      </c>
      <c r="I2579">
        <v>7861</v>
      </c>
      <c r="J2579">
        <v>668.27</v>
      </c>
      <c r="K2579">
        <v>502.54</v>
      </c>
      <c r="L2579">
        <v>5253270.47</v>
      </c>
      <c r="M2579">
        <v>3950466.94</v>
      </c>
      <c r="N2579">
        <v>1302803.53</v>
      </c>
    </row>
    <row r="2580" spans="1:14" x14ac:dyDescent="0.25">
      <c r="A2580" t="s">
        <v>25</v>
      </c>
      <c r="B2580" t="s">
        <v>556</v>
      </c>
      <c r="C2580" t="s">
        <v>16</v>
      </c>
      <c r="D2580" t="s">
        <v>22</v>
      </c>
      <c r="E2580" t="s">
        <v>23</v>
      </c>
      <c r="F2580" t="s">
        <v>741</v>
      </c>
      <c r="G2580">
        <v>775347936</v>
      </c>
      <c r="H2580" s="1">
        <v>41493</v>
      </c>
      <c r="I2580">
        <v>1539</v>
      </c>
      <c r="J2580">
        <v>255.28</v>
      </c>
      <c r="K2580">
        <v>159.41999999999999</v>
      </c>
      <c r="L2580">
        <v>392875.92</v>
      </c>
      <c r="M2580">
        <v>245347.38</v>
      </c>
      <c r="N2580">
        <v>147528.54</v>
      </c>
    </row>
    <row r="2581" spans="1:14" x14ac:dyDescent="0.25">
      <c r="A2581" t="s">
        <v>42</v>
      </c>
      <c r="B2581" t="s">
        <v>630</v>
      </c>
      <c r="C2581" t="s">
        <v>131</v>
      </c>
      <c r="D2581" t="s">
        <v>22</v>
      </c>
      <c r="E2581" t="s">
        <v>45</v>
      </c>
      <c r="F2581" s="1">
        <v>41951</v>
      </c>
      <c r="G2581">
        <v>538847053</v>
      </c>
      <c r="H2581" t="s">
        <v>1471</v>
      </c>
      <c r="I2581">
        <v>5672</v>
      </c>
      <c r="J2581">
        <v>668.27</v>
      </c>
      <c r="K2581">
        <v>502.54</v>
      </c>
      <c r="L2581">
        <v>3790427.44</v>
      </c>
      <c r="M2581">
        <v>2850406.88</v>
      </c>
      <c r="N2581">
        <v>940020.56</v>
      </c>
    </row>
    <row r="2582" spans="1:14" x14ac:dyDescent="0.25">
      <c r="A2582" t="s">
        <v>25</v>
      </c>
      <c r="B2582" t="s">
        <v>74</v>
      </c>
      <c r="C2582" t="s">
        <v>16</v>
      </c>
      <c r="D2582" t="s">
        <v>22</v>
      </c>
      <c r="E2582" t="s">
        <v>23</v>
      </c>
      <c r="F2582" t="s">
        <v>1360</v>
      </c>
      <c r="G2582">
        <v>980381143</v>
      </c>
      <c r="H2582" t="s">
        <v>742</v>
      </c>
      <c r="I2582">
        <v>5421</v>
      </c>
      <c r="J2582">
        <v>255.28</v>
      </c>
      <c r="K2582">
        <v>159.41999999999999</v>
      </c>
      <c r="L2582">
        <v>1383872.88</v>
      </c>
      <c r="M2582">
        <v>864215.82</v>
      </c>
      <c r="N2582">
        <v>519657.06</v>
      </c>
    </row>
    <row r="2583" spans="1:14" x14ac:dyDescent="0.25">
      <c r="A2583" t="s">
        <v>25</v>
      </c>
      <c r="B2583" t="s">
        <v>609</v>
      </c>
      <c r="C2583" t="s">
        <v>59</v>
      </c>
      <c r="D2583" t="s">
        <v>22</v>
      </c>
      <c r="E2583" t="s">
        <v>18</v>
      </c>
      <c r="F2583" s="1">
        <v>40330</v>
      </c>
      <c r="G2583">
        <v>521874034</v>
      </c>
      <c r="H2583" s="1">
        <v>40239</v>
      </c>
      <c r="I2583">
        <v>2979</v>
      </c>
      <c r="J2583">
        <v>437.2</v>
      </c>
      <c r="K2583">
        <v>263.33</v>
      </c>
      <c r="L2583">
        <v>1302418.8</v>
      </c>
      <c r="M2583">
        <v>784460.07</v>
      </c>
      <c r="N2583">
        <v>517958.73</v>
      </c>
    </row>
    <row r="2584" spans="1:14" x14ac:dyDescent="0.25">
      <c r="A2584" t="s">
        <v>51</v>
      </c>
      <c r="B2584" t="s">
        <v>575</v>
      </c>
      <c r="C2584" t="s">
        <v>113</v>
      </c>
      <c r="D2584" t="s">
        <v>22</v>
      </c>
      <c r="E2584" t="s">
        <v>23</v>
      </c>
      <c r="F2584" t="s">
        <v>646</v>
      </c>
      <c r="G2584">
        <v>805562055</v>
      </c>
      <c r="H2584" t="s">
        <v>986</v>
      </c>
      <c r="I2584">
        <v>2568</v>
      </c>
      <c r="J2584">
        <v>154.06</v>
      </c>
      <c r="K2584">
        <v>90.93</v>
      </c>
      <c r="L2584">
        <v>395626.08</v>
      </c>
      <c r="M2584">
        <v>233508.24</v>
      </c>
      <c r="N2584">
        <v>162117.84</v>
      </c>
    </row>
    <row r="2585" spans="1:14" x14ac:dyDescent="0.25">
      <c r="A2585" t="s">
        <v>42</v>
      </c>
      <c r="B2585" t="s">
        <v>552</v>
      </c>
      <c r="C2585" t="s">
        <v>40</v>
      </c>
      <c r="D2585" t="s">
        <v>17</v>
      </c>
      <c r="E2585" t="s">
        <v>18</v>
      </c>
      <c r="F2585" t="s">
        <v>1102</v>
      </c>
      <c r="G2585">
        <v>843994033</v>
      </c>
      <c r="H2585" s="1">
        <v>41681</v>
      </c>
      <c r="I2585">
        <v>5445</v>
      </c>
      <c r="J2585">
        <v>81.73</v>
      </c>
      <c r="K2585">
        <v>56.67</v>
      </c>
      <c r="L2585">
        <v>445019.85</v>
      </c>
      <c r="M2585">
        <v>308568.15000000002</v>
      </c>
      <c r="N2585">
        <v>136451.70000000001</v>
      </c>
    </row>
    <row r="2586" spans="1:14" x14ac:dyDescent="0.25">
      <c r="A2586" t="s">
        <v>42</v>
      </c>
      <c r="B2586" t="s">
        <v>290</v>
      </c>
      <c r="C2586" t="s">
        <v>21</v>
      </c>
      <c r="D2586" t="s">
        <v>17</v>
      </c>
      <c r="E2586" t="s">
        <v>23</v>
      </c>
      <c r="F2586" s="1">
        <v>40671</v>
      </c>
      <c r="G2586">
        <v>170031297</v>
      </c>
      <c r="H2586" t="s">
        <v>1619</v>
      </c>
      <c r="I2586">
        <v>4894</v>
      </c>
      <c r="J2586">
        <v>152.58000000000001</v>
      </c>
      <c r="K2586">
        <v>97.44</v>
      </c>
      <c r="L2586">
        <v>746726.52</v>
      </c>
      <c r="M2586">
        <v>476871.36</v>
      </c>
      <c r="N2586">
        <v>269855.15999999997</v>
      </c>
    </row>
    <row r="2587" spans="1:14" x14ac:dyDescent="0.25">
      <c r="A2587" t="s">
        <v>25</v>
      </c>
      <c r="B2587" t="s">
        <v>533</v>
      </c>
      <c r="C2587" t="s">
        <v>59</v>
      </c>
      <c r="D2587" t="s">
        <v>17</v>
      </c>
      <c r="E2587" t="s">
        <v>18</v>
      </c>
      <c r="F2587" t="s">
        <v>838</v>
      </c>
      <c r="G2587">
        <v>186847674</v>
      </c>
      <c r="H2587" t="s">
        <v>324</v>
      </c>
      <c r="I2587">
        <v>1234</v>
      </c>
      <c r="J2587">
        <v>437.2</v>
      </c>
      <c r="K2587">
        <v>263.33</v>
      </c>
      <c r="L2587">
        <v>539504.80000000005</v>
      </c>
      <c r="M2587">
        <v>324949.21999999997</v>
      </c>
      <c r="N2587">
        <v>214555.58</v>
      </c>
    </row>
    <row r="2588" spans="1:14" x14ac:dyDescent="0.25">
      <c r="A2588" t="s">
        <v>25</v>
      </c>
      <c r="B2588" t="s">
        <v>603</v>
      </c>
      <c r="C2588" t="s">
        <v>88</v>
      </c>
      <c r="D2588" t="s">
        <v>22</v>
      </c>
      <c r="E2588" t="s">
        <v>45</v>
      </c>
      <c r="F2588" t="s">
        <v>803</v>
      </c>
      <c r="G2588">
        <v>117929494</v>
      </c>
      <c r="H2588" s="1">
        <v>42038</v>
      </c>
      <c r="I2588">
        <v>6813</v>
      </c>
      <c r="J2588">
        <v>9.33</v>
      </c>
      <c r="K2588">
        <v>6.92</v>
      </c>
      <c r="L2588">
        <v>63565.29</v>
      </c>
      <c r="M2588">
        <v>47145.96</v>
      </c>
      <c r="N2588">
        <v>16419.330000000002</v>
      </c>
    </row>
    <row r="2589" spans="1:14" x14ac:dyDescent="0.25">
      <c r="A2589" t="s">
        <v>38</v>
      </c>
      <c r="B2589" t="s">
        <v>156</v>
      </c>
      <c r="C2589" t="s">
        <v>16</v>
      </c>
      <c r="D2589" t="s">
        <v>22</v>
      </c>
      <c r="E2589" t="s">
        <v>18</v>
      </c>
      <c r="F2589" t="s">
        <v>914</v>
      </c>
      <c r="G2589">
        <v>157075583</v>
      </c>
      <c r="H2589" s="1">
        <v>42073</v>
      </c>
      <c r="I2589">
        <v>1011</v>
      </c>
      <c r="J2589">
        <v>255.28</v>
      </c>
      <c r="K2589">
        <v>159.41999999999999</v>
      </c>
      <c r="L2589">
        <v>258088.08</v>
      </c>
      <c r="M2589">
        <v>161173.62</v>
      </c>
      <c r="N2589">
        <v>96914.46</v>
      </c>
    </row>
    <row r="2590" spans="1:14" x14ac:dyDescent="0.25">
      <c r="A2590" t="s">
        <v>38</v>
      </c>
      <c r="B2590" t="s">
        <v>190</v>
      </c>
      <c r="C2590" t="s">
        <v>16</v>
      </c>
      <c r="D2590" t="s">
        <v>17</v>
      </c>
      <c r="E2590" t="s">
        <v>23</v>
      </c>
      <c r="F2590" s="1">
        <v>42614</v>
      </c>
      <c r="G2590">
        <v>118397271</v>
      </c>
      <c r="H2590" s="1">
        <v>42584</v>
      </c>
      <c r="I2590">
        <v>5238</v>
      </c>
      <c r="J2590">
        <v>255.28</v>
      </c>
      <c r="K2590">
        <v>159.41999999999999</v>
      </c>
      <c r="L2590">
        <v>1337156.6399999999</v>
      </c>
      <c r="M2590">
        <v>835041.96</v>
      </c>
      <c r="N2590">
        <v>502114.68</v>
      </c>
    </row>
    <row r="2591" spans="1:14" x14ac:dyDescent="0.25">
      <c r="A2591" t="s">
        <v>25</v>
      </c>
      <c r="B2591" t="s">
        <v>172</v>
      </c>
      <c r="C2591" t="s">
        <v>27</v>
      </c>
      <c r="D2591" t="s">
        <v>22</v>
      </c>
      <c r="E2591" t="s">
        <v>18</v>
      </c>
      <c r="F2591" s="1">
        <v>43046</v>
      </c>
      <c r="G2591">
        <v>786318385</v>
      </c>
      <c r="H2591" t="s">
        <v>1620</v>
      </c>
      <c r="I2591">
        <v>7939</v>
      </c>
      <c r="J2591">
        <v>47.45</v>
      </c>
      <c r="K2591">
        <v>31.79</v>
      </c>
      <c r="L2591">
        <v>376705.55</v>
      </c>
      <c r="M2591">
        <v>252380.81</v>
      </c>
      <c r="N2591">
        <v>124324.74</v>
      </c>
    </row>
    <row r="2592" spans="1:14" x14ac:dyDescent="0.25">
      <c r="A2592" t="s">
        <v>29</v>
      </c>
      <c r="B2592" t="s">
        <v>619</v>
      </c>
      <c r="C2592" t="s">
        <v>59</v>
      </c>
      <c r="D2592" t="s">
        <v>22</v>
      </c>
      <c r="E2592" t="s">
        <v>23</v>
      </c>
      <c r="F2592" t="s">
        <v>1621</v>
      </c>
      <c r="G2592">
        <v>765575253</v>
      </c>
      <c r="H2592" s="1">
        <v>42099</v>
      </c>
      <c r="I2592">
        <v>9585</v>
      </c>
      <c r="J2592">
        <v>437.2</v>
      </c>
      <c r="K2592">
        <v>263.33</v>
      </c>
      <c r="L2592">
        <v>4190562</v>
      </c>
      <c r="M2592">
        <v>2524018.0499999998</v>
      </c>
      <c r="N2592">
        <v>1666543.95</v>
      </c>
    </row>
    <row r="2593" spans="1:14" x14ac:dyDescent="0.25">
      <c r="A2593" t="s">
        <v>38</v>
      </c>
      <c r="B2593" t="s">
        <v>329</v>
      </c>
      <c r="C2593" t="s">
        <v>113</v>
      </c>
      <c r="D2593" t="s">
        <v>22</v>
      </c>
      <c r="E2593" t="s">
        <v>32</v>
      </c>
      <c r="F2593" t="s">
        <v>1435</v>
      </c>
      <c r="G2593">
        <v>531216704</v>
      </c>
      <c r="H2593" t="s">
        <v>701</v>
      </c>
      <c r="I2593">
        <v>7682</v>
      </c>
      <c r="J2593">
        <v>154.06</v>
      </c>
      <c r="K2593">
        <v>90.93</v>
      </c>
      <c r="L2593">
        <v>1183488.92</v>
      </c>
      <c r="M2593">
        <v>698524.26</v>
      </c>
      <c r="N2593">
        <v>484964.66</v>
      </c>
    </row>
    <row r="2594" spans="1:14" x14ac:dyDescent="0.25">
      <c r="A2594" t="s">
        <v>25</v>
      </c>
      <c r="B2594" t="s">
        <v>72</v>
      </c>
      <c r="C2594" t="s">
        <v>131</v>
      </c>
      <c r="D2594" t="s">
        <v>17</v>
      </c>
      <c r="E2594" t="s">
        <v>23</v>
      </c>
      <c r="F2594" t="s">
        <v>532</v>
      </c>
      <c r="G2594">
        <v>178604066</v>
      </c>
      <c r="H2594" t="s">
        <v>1583</v>
      </c>
      <c r="I2594">
        <v>1767</v>
      </c>
      <c r="J2594">
        <v>668.27</v>
      </c>
      <c r="K2594">
        <v>502.54</v>
      </c>
      <c r="L2594">
        <v>1180833.0900000001</v>
      </c>
      <c r="M2594">
        <v>887988.18</v>
      </c>
      <c r="N2594">
        <v>292844.90999999997</v>
      </c>
    </row>
    <row r="2595" spans="1:14" x14ac:dyDescent="0.25">
      <c r="A2595" t="s">
        <v>51</v>
      </c>
      <c r="B2595" t="s">
        <v>231</v>
      </c>
      <c r="C2595" t="s">
        <v>40</v>
      </c>
      <c r="D2595" t="s">
        <v>22</v>
      </c>
      <c r="E2595" t="s">
        <v>18</v>
      </c>
      <c r="F2595" s="1">
        <v>40330</v>
      </c>
      <c r="G2595">
        <v>773411166</v>
      </c>
      <c r="H2595" t="s">
        <v>600</v>
      </c>
      <c r="I2595">
        <v>8406</v>
      </c>
      <c r="J2595">
        <v>81.73</v>
      </c>
      <c r="K2595">
        <v>56.67</v>
      </c>
      <c r="L2595">
        <v>687022.38</v>
      </c>
      <c r="M2595">
        <v>476368.02</v>
      </c>
      <c r="N2595">
        <v>210654.36</v>
      </c>
    </row>
    <row r="2596" spans="1:14" x14ac:dyDescent="0.25">
      <c r="A2596" t="s">
        <v>14</v>
      </c>
      <c r="B2596" t="s">
        <v>627</v>
      </c>
      <c r="C2596" t="s">
        <v>59</v>
      </c>
      <c r="D2596" t="s">
        <v>17</v>
      </c>
      <c r="E2596" t="s">
        <v>45</v>
      </c>
      <c r="F2596" t="s">
        <v>143</v>
      </c>
      <c r="G2596">
        <v>301624333</v>
      </c>
      <c r="H2596" s="1">
        <v>41764</v>
      </c>
      <c r="I2596">
        <v>6198</v>
      </c>
      <c r="J2596">
        <v>437.2</v>
      </c>
      <c r="K2596">
        <v>263.33</v>
      </c>
      <c r="L2596">
        <v>2709765.6</v>
      </c>
      <c r="M2596">
        <v>1632119.34</v>
      </c>
      <c r="N2596">
        <v>1077646.26</v>
      </c>
    </row>
    <row r="2597" spans="1:14" x14ac:dyDescent="0.25">
      <c r="A2597" t="s">
        <v>38</v>
      </c>
      <c r="B2597" t="s">
        <v>105</v>
      </c>
      <c r="C2597" t="s">
        <v>131</v>
      </c>
      <c r="D2597" t="s">
        <v>17</v>
      </c>
      <c r="E2597" t="s">
        <v>23</v>
      </c>
      <c r="F2597" t="s">
        <v>1329</v>
      </c>
      <c r="G2597">
        <v>419542396</v>
      </c>
      <c r="H2597" s="1">
        <v>42955</v>
      </c>
      <c r="I2597">
        <v>773</v>
      </c>
      <c r="J2597">
        <v>668.27</v>
      </c>
      <c r="K2597">
        <v>502.54</v>
      </c>
      <c r="L2597">
        <v>516572.71</v>
      </c>
      <c r="M2597">
        <v>388463.42</v>
      </c>
      <c r="N2597">
        <v>128109.29</v>
      </c>
    </row>
    <row r="2598" spans="1:14" x14ac:dyDescent="0.25">
      <c r="A2598" t="s">
        <v>51</v>
      </c>
      <c r="B2598" t="s">
        <v>424</v>
      </c>
      <c r="C2598" t="s">
        <v>31</v>
      </c>
      <c r="D2598" t="s">
        <v>22</v>
      </c>
      <c r="E2598" t="s">
        <v>23</v>
      </c>
      <c r="F2598" t="s">
        <v>404</v>
      </c>
      <c r="G2598">
        <v>603776681</v>
      </c>
      <c r="H2598" t="s">
        <v>179</v>
      </c>
      <c r="I2598">
        <v>9792</v>
      </c>
      <c r="J2598">
        <v>205.7</v>
      </c>
      <c r="K2598">
        <v>117.11</v>
      </c>
      <c r="L2598">
        <v>2014214.4</v>
      </c>
      <c r="M2598">
        <v>1146741.1200000001</v>
      </c>
      <c r="N2598">
        <v>867473.28</v>
      </c>
    </row>
    <row r="2599" spans="1:14" x14ac:dyDescent="0.25">
      <c r="A2599" t="s">
        <v>38</v>
      </c>
      <c r="B2599" t="s">
        <v>190</v>
      </c>
      <c r="C2599" t="s">
        <v>55</v>
      </c>
      <c r="D2599" t="s">
        <v>17</v>
      </c>
      <c r="E2599" t="s">
        <v>32</v>
      </c>
      <c r="F2599" s="1">
        <v>42500</v>
      </c>
      <c r="G2599">
        <v>401251018</v>
      </c>
      <c r="H2599" t="s">
        <v>802</v>
      </c>
      <c r="I2599">
        <v>7948</v>
      </c>
      <c r="J2599">
        <v>651.21</v>
      </c>
      <c r="K2599">
        <v>524.96</v>
      </c>
      <c r="L2599">
        <v>5175817.08</v>
      </c>
      <c r="M2599">
        <v>4172382.08</v>
      </c>
      <c r="N2599">
        <v>1003435</v>
      </c>
    </row>
    <row r="2600" spans="1:14" x14ac:dyDescent="0.25">
      <c r="A2600" t="s">
        <v>51</v>
      </c>
      <c r="B2600" t="s">
        <v>398</v>
      </c>
      <c r="C2600" t="s">
        <v>69</v>
      </c>
      <c r="D2600" t="s">
        <v>17</v>
      </c>
      <c r="E2600" t="s">
        <v>23</v>
      </c>
      <c r="F2600" t="s">
        <v>1374</v>
      </c>
      <c r="G2600">
        <v>779201734</v>
      </c>
      <c r="H2600" s="1">
        <v>40821</v>
      </c>
      <c r="I2600">
        <v>1963</v>
      </c>
      <c r="J2600">
        <v>421.89</v>
      </c>
      <c r="K2600">
        <v>364.69</v>
      </c>
      <c r="L2600">
        <v>828170.07</v>
      </c>
      <c r="M2600">
        <v>715886.47</v>
      </c>
      <c r="N2600">
        <v>112283.6</v>
      </c>
    </row>
    <row r="2601" spans="1:14" x14ac:dyDescent="0.25">
      <c r="A2601" t="s">
        <v>51</v>
      </c>
      <c r="B2601" t="s">
        <v>578</v>
      </c>
      <c r="C2601" t="s">
        <v>88</v>
      </c>
      <c r="D2601" t="s">
        <v>22</v>
      </c>
      <c r="E2601" t="s">
        <v>18</v>
      </c>
      <c r="F2601" t="s">
        <v>878</v>
      </c>
      <c r="G2601">
        <v>975177657</v>
      </c>
      <c r="H2601" s="1">
        <v>42856</v>
      </c>
      <c r="I2601">
        <v>5594</v>
      </c>
      <c r="J2601">
        <v>9.33</v>
      </c>
      <c r="K2601">
        <v>6.92</v>
      </c>
      <c r="L2601">
        <v>52192.02</v>
      </c>
      <c r="M2601">
        <v>38710.480000000003</v>
      </c>
      <c r="N2601">
        <v>13481.54</v>
      </c>
    </row>
    <row r="2602" spans="1:14" x14ac:dyDescent="0.25">
      <c r="A2602" t="s">
        <v>51</v>
      </c>
      <c r="B2602" t="s">
        <v>301</v>
      </c>
      <c r="C2602" t="s">
        <v>55</v>
      </c>
      <c r="D2602" t="s">
        <v>17</v>
      </c>
      <c r="E2602" t="s">
        <v>45</v>
      </c>
      <c r="F2602" t="s">
        <v>1214</v>
      </c>
      <c r="G2602">
        <v>747040116</v>
      </c>
      <c r="H2602" t="s">
        <v>559</v>
      </c>
      <c r="I2602">
        <v>4626</v>
      </c>
      <c r="J2602">
        <v>651.21</v>
      </c>
      <c r="K2602">
        <v>524.96</v>
      </c>
      <c r="L2602">
        <v>3012497.46</v>
      </c>
      <c r="M2602">
        <v>2428464.96</v>
      </c>
      <c r="N2602">
        <v>584032.5</v>
      </c>
    </row>
    <row r="2603" spans="1:14" x14ac:dyDescent="0.25">
      <c r="A2603" t="s">
        <v>14</v>
      </c>
      <c r="B2603" t="s">
        <v>66</v>
      </c>
      <c r="C2603" t="s">
        <v>40</v>
      </c>
      <c r="D2603" t="s">
        <v>17</v>
      </c>
      <c r="E2603" t="s">
        <v>45</v>
      </c>
      <c r="F2603" s="1">
        <v>41764</v>
      </c>
      <c r="G2603">
        <v>822962939</v>
      </c>
      <c r="H2603" t="s">
        <v>1622</v>
      </c>
      <c r="I2603">
        <v>1877</v>
      </c>
      <c r="J2603">
        <v>81.73</v>
      </c>
      <c r="K2603">
        <v>56.67</v>
      </c>
      <c r="L2603">
        <v>153407.21</v>
      </c>
      <c r="M2603">
        <v>106369.59</v>
      </c>
      <c r="N2603">
        <v>47037.62</v>
      </c>
    </row>
    <row r="2604" spans="1:14" x14ac:dyDescent="0.25">
      <c r="A2604" t="s">
        <v>51</v>
      </c>
      <c r="B2604" t="s">
        <v>525</v>
      </c>
      <c r="C2604" t="s">
        <v>55</v>
      </c>
      <c r="D2604" t="s">
        <v>17</v>
      </c>
      <c r="E2604" t="s">
        <v>18</v>
      </c>
      <c r="F2604" t="s">
        <v>1263</v>
      </c>
      <c r="G2604">
        <v>651432454</v>
      </c>
      <c r="H2604" s="1">
        <v>41610</v>
      </c>
      <c r="I2604">
        <v>2194</v>
      </c>
      <c r="J2604">
        <v>651.21</v>
      </c>
      <c r="K2604">
        <v>524.96</v>
      </c>
      <c r="L2604">
        <v>1428754.74</v>
      </c>
      <c r="M2604">
        <v>1151762.24</v>
      </c>
      <c r="N2604">
        <v>276992.5</v>
      </c>
    </row>
    <row r="2605" spans="1:14" x14ac:dyDescent="0.25">
      <c r="A2605" t="s">
        <v>25</v>
      </c>
      <c r="B2605" t="s">
        <v>74</v>
      </c>
      <c r="C2605" t="s">
        <v>113</v>
      </c>
      <c r="D2605" t="s">
        <v>22</v>
      </c>
      <c r="E2605" t="s">
        <v>23</v>
      </c>
      <c r="F2605" s="1">
        <v>41949</v>
      </c>
      <c r="G2605">
        <v>651247489</v>
      </c>
      <c r="H2605" s="1">
        <v>41677</v>
      </c>
      <c r="I2605">
        <v>7459</v>
      </c>
      <c r="J2605">
        <v>154.06</v>
      </c>
      <c r="K2605">
        <v>90.93</v>
      </c>
      <c r="L2605">
        <v>1149133.54</v>
      </c>
      <c r="M2605">
        <v>678246.87</v>
      </c>
      <c r="N2605">
        <v>470886.67</v>
      </c>
    </row>
    <row r="2606" spans="1:14" x14ac:dyDescent="0.25">
      <c r="A2606" t="s">
        <v>38</v>
      </c>
      <c r="B2606" t="s">
        <v>288</v>
      </c>
      <c r="C2606" t="s">
        <v>27</v>
      </c>
      <c r="D2606" t="s">
        <v>17</v>
      </c>
      <c r="E2606" t="s">
        <v>45</v>
      </c>
      <c r="F2606" s="1">
        <v>43042</v>
      </c>
      <c r="G2606">
        <v>861519372</v>
      </c>
      <c r="H2606" t="s">
        <v>123</v>
      </c>
      <c r="I2606">
        <v>1582</v>
      </c>
      <c r="J2606">
        <v>47.45</v>
      </c>
      <c r="K2606">
        <v>31.79</v>
      </c>
      <c r="L2606">
        <v>75065.899999999994</v>
      </c>
      <c r="M2606">
        <v>50291.78</v>
      </c>
      <c r="N2606">
        <v>24774.12</v>
      </c>
    </row>
    <row r="2607" spans="1:14" x14ac:dyDescent="0.25">
      <c r="A2607" t="s">
        <v>51</v>
      </c>
      <c r="B2607" t="s">
        <v>182</v>
      </c>
      <c r="C2607" t="s">
        <v>55</v>
      </c>
      <c r="D2607" t="s">
        <v>22</v>
      </c>
      <c r="E2607" t="s">
        <v>32</v>
      </c>
      <c r="F2607" s="1">
        <v>43011</v>
      </c>
      <c r="G2607">
        <v>491671931</v>
      </c>
      <c r="H2607" t="s">
        <v>122</v>
      </c>
      <c r="I2607">
        <v>5505</v>
      </c>
      <c r="J2607">
        <v>651.21</v>
      </c>
      <c r="K2607">
        <v>524.96</v>
      </c>
      <c r="L2607">
        <v>3584911.05</v>
      </c>
      <c r="M2607">
        <v>2889904.8</v>
      </c>
      <c r="N2607">
        <v>695006.25</v>
      </c>
    </row>
    <row r="2608" spans="1:14" x14ac:dyDescent="0.25">
      <c r="A2608" t="s">
        <v>38</v>
      </c>
      <c r="B2608" t="s">
        <v>177</v>
      </c>
      <c r="C2608" t="s">
        <v>16</v>
      </c>
      <c r="D2608" t="s">
        <v>17</v>
      </c>
      <c r="E2608" t="s">
        <v>45</v>
      </c>
      <c r="F2608" t="s">
        <v>1623</v>
      </c>
      <c r="G2608">
        <v>171441495</v>
      </c>
      <c r="H2608" s="1">
        <v>40701</v>
      </c>
      <c r="I2608">
        <v>2203</v>
      </c>
      <c r="J2608">
        <v>255.28</v>
      </c>
      <c r="K2608">
        <v>159.41999999999999</v>
      </c>
      <c r="L2608">
        <v>562381.84</v>
      </c>
      <c r="M2608">
        <v>351202.26</v>
      </c>
      <c r="N2608">
        <v>211179.58</v>
      </c>
    </row>
    <row r="2609" spans="1:14" x14ac:dyDescent="0.25">
      <c r="A2609" t="s">
        <v>29</v>
      </c>
      <c r="B2609" t="s">
        <v>35</v>
      </c>
      <c r="C2609" t="s">
        <v>59</v>
      </c>
      <c r="D2609" t="s">
        <v>17</v>
      </c>
      <c r="E2609" t="s">
        <v>32</v>
      </c>
      <c r="F2609" t="s">
        <v>1139</v>
      </c>
      <c r="G2609">
        <v>600876891</v>
      </c>
      <c r="H2609" s="1">
        <v>42686</v>
      </c>
      <c r="I2609">
        <v>1680</v>
      </c>
      <c r="J2609">
        <v>437.2</v>
      </c>
      <c r="K2609">
        <v>263.33</v>
      </c>
      <c r="L2609">
        <v>734496</v>
      </c>
      <c r="M2609">
        <v>442394.4</v>
      </c>
      <c r="N2609">
        <v>292101.59999999998</v>
      </c>
    </row>
    <row r="2610" spans="1:14" x14ac:dyDescent="0.25">
      <c r="A2610" t="s">
        <v>29</v>
      </c>
      <c r="B2610" t="s">
        <v>440</v>
      </c>
      <c r="C2610" t="s">
        <v>44</v>
      </c>
      <c r="D2610" t="s">
        <v>17</v>
      </c>
      <c r="E2610" t="s">
        <v>18</v>
      </c>
      <c r="F2610" s="1">
        <v>41282</v>
      </c>
      <c r="G2610">
        <v>300339448</v>
      </c>
      <c r="H2610" t="s">
        <v>1624</v>
      </c>
      <c r="I2610">
        <v>5972</v>
      </c>
      <c r="J2610">
        <v>109.28</v>
      </c>
      <c r="K2610">
        <v>35.840000000000003</v>
      </c>
      <c r="L2610">
        <v>652620.16</v>
      </c>
      <c r="M2610">
        <v>214036.48000000001</v>
      </c>
      <c r="N2610">
        <v>438583.68</v>
      </c>
    </row>
    <row r="2611" spans="1:14" x14ac:dyDescent="0.25">
      <c r="A2611" t="s">
        <v>51</v>
      </c>
      <c r="B2611" t="s">
        <v>420</v>
      </c>
      <c r="C2611" t="s">
        <v>16</v>
      </c>
      <c r="D2611" t="s">
        <v>22</v>
      </c>
      <c r="E2611" t="s">
        <v>18</v>
      </c>
      <c r="F2611" s="1">
        <v>42948</v>
      </c>
      <c r="G2611">
        <v>560502994</v>
      </c>
      <c r="H2611" t="s">
        <v>574</v>
      </c>
      <c r="I2611">
        <v>4146</v>
      </c>
      <c r="J2611">
        <v>255.28</v>
      </c>
      <c r="K2611">
        <v>159.41999999999999</v>
      </c>
      <c r="L2611">
        <v>1058390.8799999999</v>
      </c>
      <c r="M2611">
        <v>660955.31999999995</v>
      </c>
      <c r="N2611">
        <v>397435.56</v>
      </c>
    </row>
    <row r="2612" spans="1:14" x14ac:dyDescent="0.25">
      <c r="A2612" t="s">
        <v>25</v>
      </c>
      <c r="B2612" t="s">
        <v>252</v>
      </c>
      <c r="C2612" t="s">
        <v>131</v>
      </c>
      <c r="D2612" t="s">
        <v>17</v>
      </c>
      <c r="E2612" t="s">
        <v>32</v>
      </c>
      <c r="F2612" t="s">
        <v>1049</v>
      </c>
      <c r="G2612">
        <v>492353856</v>
      </c>
      <c r="H2612" s="1">
        <v>41582</v>
      </c>
      <c r="I2612">
        <v>7302</v>
      </c>
      <c r="J2612">
        <v>668.27</v>
      </c>
      <c r="K2612">
        <v>502.54</v>
      </c>
      <c r="L2612">
        <v>4879707.54</v>
      </c>
      <c r="M2612">
        <v>3669547.08</v>
      </c>
      <c r="N2612">
        <v>1210160.46</v>
      </c>
    </row>
    <row r="2613" spans="1:14" x14ac:dyDescent="0.25">
      <c r="A2613" t="s">
        <v>14</v>
      </c>
      <c r="B2613" t="s">
        <v>357</v>
      </c>
      <c r="C2613" t="s">
        <v>21</v>
      </c>
      <c r="D2613" t="s">
        <v>22</v>
      </c>
      <c r="E2613" t="s">
        <v>32</v>
      </c>
      <c r="F2613" t="s">
        <v>536</v>
      </c>
      <c r="G2613">
        <v>177190864</v>
      </c>
      <c r="H2613" t="s">
        <v>235</v>
      </c>
      <c r="I2613">
        <v>3569</v>
      </c>
      <c r="J2613">
        <v>152.58000000000001</v>
      </c>
      <c r="K2613">
        <v>97.44</v>
      </c>
      <c r="L2613">
        <v>544558.02</v>
      </c>
      <c r="M2613">
        <v>347763.36</v>
      </c>
      <c r="N2613">
        <v>196794.66</v>
      </c>
    </row>
    <row r="2614" spans="1:14" x14ac:dyDescent="0.25">
      <c r="A2614" t="s">
        <v>51</v>
      </c>
      <c r="B2614" t="s">
        <v>210</v>
      </c>
      <c r="C2614" t="s">
        <v>88</v>
      </c>
      <c r="D2614" t="s">
        <v>22</v>
      </c>
      <c r="E2614" t="s">
        <v>32</v>
      </c>
      <c r="F2614" s="1">
        <v>42440</v>
      </c>
      <c r="G2614">
        <v>216625344</v>
      </c>
      <c r="H2614" t="s">
        <v>809</v>
      </c>
      <c r="I2614">
        <v>3108</v>
      </c>
      <c r="J2614">
        <v>9.33</v>
      </c>
      <c r="K2614">
        <v>6.92</v>
      </c>
      <c r="L2614">
        <v>28997.64</v>
      </c>
      <c r="M2614">
        <v>21507.360000000001</v>
      </c>
      <c r="N2614">
        <v>7490.28</v>
      </c>
    </row>
    <row r="2615" spans="1:14" x14ac:dyDescent="0.25">
      <c r="A2615" t="s">
        <v>25</v>
      </c>
      <c r="B2615" t="s">
        <v>615</v>
      </c>
      <c r="C2615" t="s">
        <v>40</v>
      </c>
      <c r="D2615" t="s">
        <v>22</v>
      </c>
      <c r="E2615" t="s">
        <v>18</v>
      </c>
      <c r="F2615" t="s">
        <v>1625</v>
      </c>
      <c r="G2615">
        <v>382581126</v>
      </c>
      <c r="H2615" t="s">
        <v>885</v>
      </c>
      <c r="I2615">
        <v>3112</v>
      </c>
      <c r="J2615">
        <v>81.73</v>
      </c>
      <c r="K2615">
        <v>56.67</v>
      </c>
      <c r="L2615">
        <v>254343.76</v>
      </c>
      <c r="M2615">
        <v>176357.04</v>
      </c>
      <c r="N2615">
        <v>77986.720000000001</v>
      </c>
    </row>
    <row r="2616" spans="1:14" x14ac:dyDescent="0.25">
      <c r="A2616" t="s">
        <v>14</v>
      </c>
      <c r="B2616" t="s">
        <v>433</v>
      </c>
      <c r="C2616" t="s">
        <v>69</v>
      </c>
      <c r="D2616" t="s">
        <v>17</v>
      </c>
      <c r="E2616" t="s">
        <v>32</v>
      </c>
      <c r="F2616" s="1">
        <v>40271</v>
      </c>
      <c r="G2616">
        <v>967294538</v>
      </c>
      <c r="H2616" t="s">
        <v>1626</v>
      </c>
      <c r="I2616">
        <v>2804</v>
      </c>
      <c r="J2616">
        <v>421.89</v>
      </c>
      <c r="K2616">
        <v>364.69</v>
      </c>
      <c r="L2616">
        <v>1182979.56</v>
      </c>
      <c r="M2616">
        <v>1022590.76</v>
      </c>
      <c r="N2616">
        <v>160388.79999999999</v>
      </c>
    </row>
    <row r="2617" spans="1:14" x14ac:dyDescent="0.25">
      <c r="A2617" t="s">
        <v>25</v>
      </c>
      <c r="B2617" t="s">
        <v>529</v>
      </c>
      <c r="C2617" t="s">
        <v>131</v>
      </c>
      <c r="D2617" t="s">
        <v>17</v>
      </c>
      <c r="E2617" t="s">
        <v>23</v>
      </c>
      <c r="F2617" t="s">
        <v>659</v>
      </c>
      <c r="G2617">
        <v>533314406</v>
      </c>
      <c r="H2617" t="s">
        <v>148</v>
      </c>
      <c r="I2617">
        <v>8439</v>
      </c>
      <c r="J2617">
        <v>668.27</v>
      </c>
      <c r="K2617">
        <v>502.54</v>
      </c>
      <c r="L2617">
        <v>5639530.5300000003</v>
      </c>
      <c r="M2617">
        <v>4240935.0599999996</v>
      </c>
      <c r="N2617">
        <v>1398595.47</v>
      </c>
    </row>
    <row r="2618" spans="1:14" x14ac:dyDescent="0.25">
      <c r="A2618" t="s">
        <v>42</v>
      </c>
      <c r="B2618" t="s">
        <v>174</v>
      </c>
      <c r="C2618" t="s">
        <v>69</v>
      </c>
      <c r="D2618" t="s">
        <v>17</v>
      </c>
      <c r="E2618" t="s">
        <v>23</v>
      </c>
      <c r="F2618" s="1">
        <v>40788</v>
      </c>
      <c r="G2618">
        <v>863502061</v>
      </c>
      <c r="H2618" s="1">
        <v>40666</v>
      </c>
      <c r="I2618">
        <v>8304</v>
      </c>
      <c r="J2618">
        <v>421.89</v>
      </c>
      <c r="K2618">
        <v>364.69</v>
      </c>
      <c r="L2618">
        <v>3503374.56</v>
      </c>
      <c r="M2618">
        <v>3028385.76</v>
      </c>
      <c r="N2618">
        <v>474988.79999999999</v>
      </c>
    </row>
    <row r="2619" spans="1:14" x14ac:dyDescent="0.25">
      <c r="A2619" t="s">
        <v>51</v>
      </c>
      <c r="B2619" t="s">
        <v>194</v>
      </c>
      <c r="C2619" t="s">
        <v>55</v>
      </c>
      <c r="D2619" t="s">
        <v>17</v>
      </c>
      <c r="E2619" t="s">
        <v>23</v>
      </c>
      <c r="F2619" t="s">
        <v>988</v>
      </c>
      <c r="G2619">
        <v>211031329</v>
      </c>
      <c r="H2619" t="s">
        <v>745</v>
      </c>
      <c r="I2619">
        <v>7715</v>
      </c>
      <c r="J2619">
        <v>651.21</v>
      </c>
      <c r="K2619">
        <v>524.96</v>
      </c>
      <c r="L2619">
        <v>5024085.1500000004</v>
      </c>
      <c r="M2619">
        <v>4050066.4</v>
      </c>
      <c r="N2619">
        <v>974018.75</v>
      </c>
    </row>
    <row r="2620" spans="1:14" x14ac:dyDescent="0.25">
      <c r="A2620" t="s">
        <v>25</v>
      </c>
      <c r="B2620" t="s">
        <v>185</v>
      </c>
      <c r="C2620" t="s">
        <v>21</v>
      </c>
      <c r="D2620" t="s">
        <v>17</v>
      </c>
      <c r="E2620" t="s">
        <v>18</v>
      </c>
      <c r="F2620" t="s">
        <v>1384</v>
      </c>
      <c r="G2620">
        <v>949388539</v>
      </c>
      <c r="H2620" t="s">
        <v>160</v>
      </c>
      <c r="I2620">
        <v>4021</v>
      </c>
      <c r="J2620">
        <v>152.58000000000001</v>
      </c>
      <c r="K2620">
        <v>97.44</v>
      </c>
      <c r="L2620">
        <v>613524.18000000005</v>
      </c>
      <c r="M2620">
        <v>391806.24</v>
      </c>
      <c r="N2620">
        <v>221717.94</v>
      </c>
    </row>
    <row r="2621" spans="1:14" x14ac:dyDescent="0.25">
      <c r="A2621" t="s">
        <v>25</v>
      </c>
      <c r="B2621" t="s">
        <v>211</v>
      </c>
      <c r="C2621" t="s">
        <v>27</v>
      </c>
      <c r="D2621" t="s">
        <v>22</v>
      </c>
      <c r="E2621" t="s">
        <v>32</v>
      </c>
      <c r="F2621" s="1">
        <v>42644</v>
      </c>
      <c r="G2621">
        <v>122372519</v>
      </c>
      <c r="H2621" t="s">
        <v>1007</v>
      </c>
      <c r="I2621">
        <v>1603</v>
      </c>
      <c r="J2621">
        <v>47.45</v>
      </c>
      <c r="K2621">
        <v>31.79</v>
      </c>
      <c r="L2621">
        <v>76062.350000000006</v>
      </c>
      <c r="M2621">
        <v>50959.37</v>
      </c>
      <c r="N2621">
        <v>25102.98</v>
      </c>
    </row>
    <row r="2622" spans="1:14" x14ac:dyDescent="0.25">
      <c r="A2622" t="s">
        <v>51</v>
      </c>
      <c r="B2622" t="s">
        <v>299</v>
      </c>
      <c r="C2622" t="s">
        <v>21</v>
      </c>
      <c r="D2622" t="s">
        <v>22</v>
      </c>
      <c r="E2622" t="s">
        <v>32</v>
      </c>
      <c r="F2622" t="s">
        <v>846</v>
      </c>
      <c r="G2622">
        <v>694094598</v>
      </c>
      <c r="H2622" t="s">
        <v>1627</v>
      </c>
      <c r="I2622">
        <v>6871</v>
      </c>
      <c r="J2622">
        <v>152.58000000000001</v>
      </c>
      <c r="K2622">
        <v>97.44</v>
      </c>
      <c r="L2622">
        <v>1048377.18</v>
      </c>
      <c r="M2622">
        <v>669510.24</v>
      </c>
      <c r="N2622">
        <v>378866.94</v>
      </c>
    </row>
    <row r="2623" spans="1:14" x14ac:dyDescent="0.25">
      <c r="A2623" t="s">
        <v>25</v>
      </c>
      <c r="B2623" t="s">
        <v>418</v>
      </c>
      <c r="C2623" t="s">
        <v>44</v>
      </c>
      <c r="D2623" t="s">
        <v>22</v>
      </c>
      <c r="E2623" t="s">
        <v>18</v>
      </c>
      <c r="F2623" t="s">
        <v>887</v>
      </c>
      <c r="G2623">
        <v>298978602</v>
      </c>
      <c r="H2623" t="s">
        <v>831</v>
      </c>
      <c r="I2623">
        <v>3267</v>
      </c>
      <c r="J2623">
        <v>109.28</v>
      </c>
      <c r="K2623">
        <v>35.840000000000003</v>
      </c>
      <c r="L2623">
        <v>357017.76</v>
      </c>
      <c r="M2623">
        <v>117089.28</v>
      </c>
      <c r="N2623">
        <v>239928.48</v>
      </c>
    </row>
    <row r="2624" spans="1:14" x14ac:dyDescent="0.25">
      <c r="A2624" t="s">
        <v>25</v>
      </c>
      <c r="B2624" t="s">
        <v>609</v>
      </c>
      <c r="C2624" t="s">
        <v>44</v>
      </c>
      <c r="D2624" t="s">
        <v>22</v>
      </c>
      <c r="E2624" t="s">
        <v>23</v>
      </c>
      <c r="F2624" t="s">
        <v>1628</v>
      </c>
      <c r="G2624">
        <v>691760861</v>
      </c>
      <c r="H2624" t="s">
        <v>1629</v>
      </c>
      <c r="I2624">
        <v>6266</v>
      </c>
      <c r="J2624">
        <v>109.28</v>
      </c>
      <c r="K2624">
        <v>35.840000000000003</v>
      </c>
      <c r="L2624">
        <v>684748.48</v>
      </c>
      <c r="M2624">
        <v>224573.44</v>
      </c>
      <c r="N2624">
        <v>460175.04</v>
      </c>
    </row>
    <row r="2625" spans="1:14" x14ac:dyDescent="0.25">
      <c r="A2625" t="s">
        <v>14</v>
      </c>
      <c r="B2625" t="s">
        <v>154</v>
      </c>
      <c r="C2625" t="s">
        <v>131</v>
      </c>
      <c r="D2625" t="s">
        <v>17</v>
      </c>
      <c r="E2625" t="s">
        <v>18</v>
      </c>
      <c r="F2625" t="s">
        <v>875</v>
      </c>
      <c r="G2625">
        <v>997490203</v>
      </c>
      <c r="H2625" t="s">
        <v>452</v>
      </c>
      <c r="I2625">
        <v>8372</v>
      </c>
      <c r="J2625">
        <v>668.27</v>
      </c>
      <c r="K2625">
        <v>502.54</v>
      </c>
      <c r="L2625">
        <v>5594756.4400000004</v>
      </c>
      <c r="M2625">
        <v>4207264.88</v>
      </c>
      <c r="N2625">
        <v>1387491.56</v>
      </c>
    </row>
    <row r="2626" spans="1:14" x14ac:dyDescent="0.25">
      <c r="A2626" t="s">
        <v>42</v>
      </c>
      <c r="B2626" t="s">
        <v>150</v>
      </c>
      <c r="C2626" t="s">
        <v>55</v>
      </c>
      <c r="D2626" t="s">
        <v>17</v>
      </c>
      <c r="E2626" t="s">
        <v>18</v>
      </c>
      <c r="F2626" s="1">
        <v>42189</v>
      </c>
      <c r="G2626">
        <v>861527955</v>
      </c>
      <c r="H2626" s="1">
        <v>42099</v>
      </c>
      <c r="I2626">
        <v>4122</v>
      </c>
      <c r="J2626">
        <v>651.21</v>
      </c>
      <c r="K2626">
        <v>524.96</v>
      </c>
      <c r="L2626">
        <v>2684287.62</v>
      </c>
      <c r="M2626">
        <v>2163885.12</v>
      </c>
      <c r="N2626">
        <v>520402.5</v>
      </c>
    </row>
    <row r="2627" spans="1:14" x14ac:dyDescent="0.25">
      <c r="A2627" t="s">
        <v>14</v>
      </c>
      <c r="B2627" t="s">
        <v>627</v>
      </c>
      <c r="C2627" t="s">
        <v>21</v>
      </c>
      <c r="D2627" t="s">
        <v>22</v>
      </c>
      <c r="E2627" t="s">
        <v>18</v>
      </c>
      <c r="F2627" s="1">
        <v>42892</v>
      </c>
      <c r="G2627">
        <v>899547946</v>
      </c>
      <c r="H2627" t="s">
        <v>1079</v>
      </c>
      <c r="I2627">
        <v>5082</v>
      </c>
      <c r="J2627">
        <v>152.58000000000001</v>
      </c>
      <c r="K2627">
        <v>97.44</v>
      </c>
      <c r="L2627">
        <v>775411.56</v>
      </c>
      <c r="M2627">
        <v>495190.08</v>
      </c>
      <c r="N2627">
        <v>280221.48</v>
      </c>
    </row>
    <row r="2628" spans="1:14" x14ac:dyDescent="0.25">
      <c r="A2628" t="s">
        <v>25</v>
      </c>
      <c r="B2628" t="s">
        <v>204</v>
      </c>
      <c r="C2628" t="s">
        <v>69</v>
      </c>
      <c r="D2628" t="s">
        <v>22</v>
      </c>
      <c r="E2628" t="s">
        <v>45</v>
      </c>
      <c r="F2628" t="s">
        <v>509</v>
      </c>
      <c r="G2628">
        <v>447536504</v>
      </c>
      <c r="H2628" t="s">
        <v>366</v>
      </c>
      <c r="I2628">
        <v>4852</v>
      </c>
      <c r="J2628">
        <v>421.89</v>
      </c>
      <c r="K2628">
        <v>364.69</v>
      </c>
      <c r="L2628">
        <v>2047010.28</v>
      </c>
      <c r="M2628">
        <v>1769475.88</v>
      </c>
      <c r="N2628">
        <v>277534.40000000002</v>
      </c>
    </row>
    <row r="2629" spans="1:14" x14ac:dyDescent="0.25">
      <c r="A2629" t="s">
        <v>29</v>
      </c>
      <c r="B2629" t="s">
        <v>159</v>
      </c>
      <c r="C2629" t="s">
        <v>88</v>
      </c>
      <c r="D2629" t="s">
        <v>17</v>
      </c>
      <c r="E2629" t="s">
        <v>23</v>
      </c>
      <c r="F2629" s="1">
        <v>42686</v>
      </c>
      <c r="G2629">
        <v>711792457</v>
      </c>
      <c r="H2629" t="s">
        <v>701</v>
      </c>
      <c r="I2629">
        <v>4060</v>
      </c>
      <c r="J2629">
        <v>9.33</v>
      </c>
      <c r="K2629">
        <v>6.92</v>
      </c>
      <c r="L2629">
        <v>37879.800000000003</v>
      </c>
      <c r="M2629">
        <v>28095.200000000001</v>
      </c>
      <c r="N2629">
        <v>9784.6</v>
      </c>
    </row>
    <row r="2630" spans="1:14" x14ac:dyDescent="0.25">
      <c r="A2630" t="s">
        <v>14</v>
      </c>
      <c r="B2630" t="s">
        <v>357</v>
      </c>
      <c r="C2630" t="s">
        <v>55</v>
      </c>
      <c r="D2630" t="s">
        <v>22</v>
      </c>
      <c r="E2630" t="s">
        <v>18</v>
      </c>
      <c r="F2630" t="s">
        <v>1630</v>
      </c>
      <c r="G2630">
        <v>718927133</v>
      </c>
      <c r="H2630" t="s">
        <v>910</v>
      </c>
      <c r="I2630">
        <v>5370</v>
      </c>
      <c r="J2630">
        <v>651.21</v>
      </c>
      <c r="K2630">
        <v>524.96</v>
      </c>
      <c r="L2630">
        <v>3496997.7</v>
      </c>
      <c r="M2630">
        <v>2819035.2</v>
      </c>
      <c r="N2630">
        <v>677962.5</v>
      </c>
    </row>
    <row r="2631" spans="1:14" x14ac:dyDescent="0.25">
      <c r="A2631" t="s">
        <v>51</v>
      </c>
      <c r="B2631" t="s">
        <v>299</v>
      </c>
      <c r="C2631" t="s">
        <v>44</v>
      </c>
      <c r="D2631" t="s">
        <v>22</v>
      </c>
      <c r="E2631" t="s">
        <v>32</v>
      </c>
      <c r="F2631" s="1">
        <v>41702</v>
      </c>
      <c r="G2631">
        <v>465864360</v>
      </c>
      <c r="H2631" t="s">
        <v>1074</v>
      </c>
      <c r="I2631">
        <v>8471</v>
      </c>
      <c r="J2631">
        <v>109.28</v>
      </c>
      <c r="K2631">
        <v>35.840000000000003</v>
      </c>
      <c r="L2631">
        <v>925710.88</v>
      </c>
      <c r="M2631">
        <v>303600.64000000001</v>
      </c>
      <c r="N2631">
        <v>622110.24</v>
      </c>
    </row>
    <row r="2632" spans="1:14" x14ac:dyDescent="0.25">
      <c r="A2632" t="s">
        <v>25</v>
      </c>
      <c r="B2632" t="s">
        <v>218</v>
      </c>
      <c r="C2632" t="s">
        <v>113</v>
      </c>
      <c r="D2632" t="s">
        <v>22</v>
      </c>
      <c r="E2632" t="s">
        <v>45</v>
      </c>
      <c r="F2632" t="s">
        <v>1602</v>
      </c>
      <c r="G2632">
        <v>469840466</v>
      </c>
      <c r="H2632" t="s">
        <v>197</v>
      </c>
      <c r="I2632">
        <v>5090</v>
      </c>
      <c r="J2632">
        <v>154.06</v>
      </c>
      <c r="K2632">
        <v>90.93</v>
      </c>
      <c r="L2632">
        <v>784165.4</v>
      </c>
      <c r="M2632">
        <v>462833.7</v>
      </c>
      <c r="N2632">
        <v>321331.7</v>
      </c>
    </row>
    <row r="2633" spans="1:14" x14ac:dyDescent="0.25">
      <c r="A2633" t="s">
        <v>25</v>
      </c>
      <c r="B2633" t="s">
        <v>284</v>
      </c>
      <c r="C2633" t="s">
        <v>21</v>
      </c>
      <c r="D2633" t="s">
        <v>22</v>
      </c>
      <c r="E2633" t="s">
        <v>18</v>
      </c>
      <c r="F2633" s="1">
        <v>40577</v>
      </c>
      <c r="G2633">
        <v>418404281</v>
      </c>
      <c r="H2633" t="s">
        <v>1002</v>
      </c>
      <c r="I2633">
        <v>3979</v>
      </c>
      <c r="J2633">
        <v>152.58000000000001</v>
      </c>
      <c r="K2633">
        <v>97.44</v>
      </c>
      <c r="L2633">
        <v>607115.81999999995</v>
      </c>
      <c r="M2633">
        <v>387713.76</v>
      </c>
      <c r="N2633">
        <v>219402.06</v>
      </c>
    </row>
    <row r="2634" spans="1:14" x14ac:dyDescent="0.25">
      <c r="A2634" t="s">
        <v>38</v>
      </c>
      <c r="B2634" t="s">
        <v>105</v>
      </c>
      <c r="C2634" t="s">
        <v>59</v>
      </c>
      <c r="D2634" t="s">
        <v>22</v>
      </c>
      <c r="E2634" t="s">
        <v>23</v>
      </c>
      <c r="F2634" t="s">
        <v>657</v>
      </c>
      <c r="G2634">
        <v>519417130</v>
      </c>
      <c r="H2634" t="s">
        <v>1343</v>
      </c>
      <c r="I2634">
        <v>5926</v>
      </c>
      <c r="J2634">
        <v>437.2</v>
      </c>
      <c r="K2634">
        <v>263.33</v>
      </c>
      <c r="L2634">
        <v>2590847.2000000002</v>
      </c>
      <c r="M2634">
        <v>1560493.58</v>
      </c>
      <c r="N2634">
        <v>1030353.62</v>
      </c>
    </row>
    <row r="2635" spans="1:14" x14ac:dyDescent="0.25">
      <c r="A2635" t="s">
        <v>14</v>
      </c>
      <c r="B2635" t="s">
        <v>66</v>
      </c>
      <c r="C2635" t="s">
        <v>44</v>
      </c>
      <c r="D2635" t="s">
        <v>17</v>
      </c>
      <c r="E2635" t="s">
        <v>18</v>
      </c>
      <c r="F2635" t="s">
        <v>830</v>
      </c>
      <c r="G2635">
        <v>151052844</v>
      </c>
      <c r="H2635" s="1">
        <v>40730</v>
      </c>
      <c r="I2635">
        <v>8748</v>
      </c>
      <c r="J2635">
        <v>109.28</v>
      </c>
      <c r="K2635">
        <v>35.840000000000003</v>
      </c>
      <c r="L2635">
        <v>955981.44</v>
      </c>
      <c r="M2635">
        <v>313528.32000000001</v>
      </c>
      <c r="N2635">
        <v>642453.12</v>
      </c>
    </row>
    <row r="2636" spans="1:14" x14ac:dyDescent="0.25">
      <c r="A2636" t="s">
        <v>14</v>
      </c>
      <c r="B2636" t="s">
        <v>98</v>
      </c>
      <c r="C2636" t="s">
        <v>69</v>
      </c>
      <c r="D2636" t="s">
        <v>22</v>
      </c>
      <c r="E2636" t="s">
        <v>32</v>
      </c>
      <c r="F2636" t="s">
        <v>1631</v>
      </c>
      <c r="G2636">
        <v>111797749</v>
      </c>
      <c r="H2636" t="s">
        <v>1632</v>
      </c>
      <c r="I2636">
        <v>2293</v>
      </c>
      <c r="J2636">
        <v>421.89</v>
      </c>
      <c r="K2636">
        <v>364.69</v>
      </c>
      <c r="L2636">
        <v>967393.77</v>
      </c>
      <c r="M2636">
        <v>836234.17</v>
      </c>
      <c r="N2636">
        <v>131159.6</v>
      </c>
    </row>
    <row r="2637" spans="1:14" x14ac:dyDescent="0.25">
      <c r="A2637" t="s">
        <v>51</v>
      </c>
      <c r="B2637" t="s">
        <v>487</v>
      </c>
      <c r="C2637" t="s">
        <v>40</v>
      </c>
      <c r="D2637" t="s">
        <v>17</v>
      </c>
      <c r="E2637" t="s">
        <v>18</v>
      </c>
      <c r="F2637" t="s">
        <v>1410</v>
      </c>
      <c r="G2637">
        <v>370450675</v>
      </c>
      <c r="H2637" s="1">
        <v>40920</v>
      </c>
      <c r="I2637">
        <v>3442</v>
      </c>
      <c r="J2637">
        <v>81.73</v>
      </c>
      <c r="K2637">
        <v>56.67</v>
      </c>
      <c r="L2637">
        <v>281314.65999999997</v>
      </c>
      <c r="M2637">
        <v>195058.14</v>
      </c>
      <c r="N2637">
        <v>86256.52</v>
      </c>
    </row>
    <row r="2638" spans="1:14" x14ac:dyDescent="0.25">
      <c r="A2638" t="s">
        <v>25</v>
      </c>
      <c r="B2638" t="s">
        <v>72</v>
      </c>
      <c r="C2638" t="s">
        <v>21</v>
      </c>
      <c r="D2638" t="s">
        <v>17</v>
      </c>
      <c r="E2638" t="s">
        <v>18</v>
      </c>
      <c r="F2638" t="s">
        <v>1135</v>
      </c>
      <c r="G2638">
        <v>516122949</v>
      </c>
      <c r="H2638" t="s">
        <v>1548</v>
      </c>
      <c r="I2638">
        <v>1105</v>
      </c>
      <c r="J2638">
        <v>152.58000000000001</v>
      </c>
      <c r="K2638">
        <v>97.44</v>
      </c>
      <c r="L2638">
        <v>168600.9</v>
      </c>
      <c r="M2638">
        <v>107671.2</v>
      </c>
      <c r="N2638">
        <v>60929.7</v>
      </c>
    </row>
    <row r="2639" spans="1:14" x14ac:dyDescent="0.25">
      <c r="A2639" t="s">
        <v>25</v>
      </c>
      <c r="B2639" t="s">
        <v>374</v>
      </c>
      <c r="C2639" t="s">
        <v>59</v>
      </c>
      <c r="D2639" t="s">
        <v>22</v>
      </c>
      <c r="E2639" t="s">
        <v>32</v>
      </c>
      <c r="F2639" t="s">
        <v>1633</v>
      </c>
      <c r="G2639">
        <v>208238399</v>
      </c>
      <c r="H2639" t="s">
        <v>539</v>
      </c>
      <c r="I2639">
        <v>1224</v>
      </c>
      <c r="J2639">
        <v>437.2</v>
      </c>
      <c r="K2639">
        <v>263.33</v>
      </c>
      <c r="L2639">
        <v>535132.80000000005</v>
      </c>
      <c r="M2639">
        <v>322315.92</v>
      </c>
      <c r="N2639">
        <v>212816.88</v>
      </c>
    </row>
    <row r="2640" spans="1:14" x14ac:dyDescent="0.25">
      <c r="A2640" t="s">
        <v>25</v>
      </c>
      <c r="B2640" t="s">
        <v>785</v>
      </c>
      <c r="C2640" t="s">
        <v>88</v>
      </c>
      <c r="D2640" t="s">
        <v>17</v>
      </c>
      <c r="E2640" t="s">
        <v>18</v>
      </c>
      <c r="F2640" s="1">
        <v>42412</v>
      </c>
      <c r="G2640">
        <v>526533353</v>
      </c>
      <c r="H2640" s="1">
        <v>43070</v>
      </c>
      <c r="I2640">
        <v>1775</v>
      </c>
      <c r="J2640">
        <v>9.33</v>
      </c>
      <c r="K2640">
        <v>6.92</v>
      </c>
      <c r="L2640">
        <v>16560.75</v>
      </c>
      <c r="M2640">
        <v>12283</v>
      </c>
      <c r="N2640">
        <v>4277.75</v>
      </c>
    </row>
    <row r="2641" spans="1:14" x14ac:dyDescent="0.25">
      <c r="A2641" t="s">
        <v>14</v>
      </c>
      <c r="B2641" t="s">
        <v>357</v>
      </c>
      <c r="C2641" t="s">
        <v>27</v>
      </c>
      <c r="D2641" t="s">
        <v>17</v>
      </c>
      <c r="E2641" t="s">
        <v>45</v>
      </c>
      <c r="F2641" t="s">
        <v>1185</v>
      </c>
      <c r="G2641">
        <v>821056640</v>
      </c>
      <c r="H2641" s="1">
        <v>41699</v>
      </c>
      <c r="I2641">
        <v>7760</v>
      </c>
      <c r="J2641">
        <v>47.45</v>
      </c>
      <c r="K2641">
        <v>31.79</v>
      </c>
      <c r="L2641">
        <v>368212</v>
      </c>
      <c r="M2641">
        <v>246690.4</v>
      </c>
      <c r="N2641">
        <v>121521.60000000001</v>
      </c>
    </row>
    <row r="2642" spans="1:14" x14ac:dyDescent="0.25">
      <c r="A2642" t="s">
        <v>29</v>
      </c>
      <c r="B2642" t="s">
        <v>248</v>
      </c>
      <c r="C2642" t="s">
        <v>40</v>
      </c>
      <c r="D2642" t="s">
        <v>22</v>
      </c>
      <c r="E2642" t="s">
        <v>18</v>
      </c>
      <c r="F2642" s="1">
        <v>41520</v>
      </c>
      <c r="G2642">
        <v>962169587</v>
      </c>
      <c r="H2642" t="s">
        <v>1198</v>
      </c>
      <c r="I2642">
        <v>6217</v>
      </c>
      <c r="J2642">
        <v>81.73</v>
      </c>
      <c r="K2642">
        <v>56.67</v>
      </c>
      <c r="L2642">
        <v>508115.41</v>
      </c>
      <c r="M2642">
        <v>352317.39</v>
      </c>
      <c r="N2642">
        <v>155798.01999999999</v>
      </c>
    </row>
    <row r="2643" spans="1:14" x14ac:dyDescent="0.25">
      <c r="A2643" t="s">
        <v>38</v>
      </c>
      <c r="B2643" t="s">
        <v>584</v>
      </c>
      <c r="C2643" t="s">
        <v>31</v>
      </c>
      <c r="D2643" t="s">
        <v>17</v>
      </c>
      <c r="E2643" t="s">
        <v>45</v>
      </c>
      <c r="F2643" t="s">
        <v>442</v>
      </c>
      <c r="G2643">
        <v>890546023</v>
      </c>
      <c r="H2643" s="1">
        <v>40579</v>
      </c>
      <c r="I2643">
        <v>1213</v>
      </c>
      <c r="J2643">
        <v>205.7</v>
      </c>
      <c r="K2643">
        <v>117.11</v>
      </c>
      <c r="L2643">
        <v>249514.1</v>
      </c>
      <c r="M2643">
        <v>142054.43</v>
      </c>
      <c r="N2643">
        <v>107459.67</v>
      </c>
    </row>
    <row r="2644" spans="1:14" x14ac:dyDescent="0.25">
      <c r="A2644" t="s">
        <v>29</v>
      </c>
      <c r="B2644" t="s">
        <v>199</v>
      </c>
      <c r="C2644" t="s">
        <v>131</v>
      </c>
      <c r="D2644" t="s">
        <v>22</v>
      </c>
      <c r="E2644" t="s">
        <v>32</v>
      </c>
      <c r="F2644" t="s">
        <v>1634</v>
      </c>
      <c r="G2644">
        <v>167172276</v>
      </c>
      <c r="H2644" s="1">
        <v>41367</v>
      </c>
      <c r="I2644">
        <v>8846</v>
      </c>
      <c r="J2644">
        <v>668.27</v>
      </c>
      <c r="K2644">
        <v>502.54</v>
      </c>
      <c r="L2644">
        <v>5911516.4199999999</v>
      </c>
      <c r="M2644">
        <v>4445468.84</v>
      </c>
      <c r="N2644">
        <v>1466047.58</v>
      </c>
    </row>
    <row r="2645" spans="1:14" x14ac:dyDescent="0.25">
      <c r="A2645" t="s">
        <v>14</v>
      </c>
      <c r="B2645" t="s">
        <v>15</v>
      </c>
      <c r="C2645" t="s">
        <v>21</v>
      </c>
      <c r="D2645" t="s">
        <v>17</v>
      </c>
      <c r="E2645" t="s">
        <v>45</v>
      </c>
      <c r="F2645" t="s">
        <v>886</v>
      </c>
      <c r="G2645">
        <v>223347175</v>
      </c>
      <c r="H2645" s="1">
        <v>41553</v>
      </c>
      <c r="I2645">
        <v>2247</v>
      </c>
      <c r="J2645">
        <v>152.58000000000001</v>
      </c>
      <c r="K2645">
        <v>97.44</v>
      </c>
      <c r="L2645">
        <v>342847.26</v>
      </c>
      <c r="M2645">
        <v>218947.68</v>
      </c>
      <c r="N2645">
        <v>123899.58</v>
      </c>
    </row>
    <row r="2646" spans="1:14" x14ac:dyDescent="0.25">
      <c r="A2646" t="s">
        <v>29</v>
      </c>
      <c r="B2646" t="s">
        <v>137</v>
      </c>
      <c r="C2646" t="s">
        <v>44</v>
      </c>
      <c r="D2646" t="s">
        <v>17</v>
      </c>
      <c r="E2646" t="s">
        <v>32</v>
      </c>
      <c r="F2646" s="1">
        <v>42192</v>
      </c>
      <c r="G2646">
        <v>310682046</v>
      </c>
      <c r="H2646" t="s">
        <v>1635</v>
      </c>
      <c r="I2646">
        <v>6576</v>
      </c>
      <c r="J2646">
        <v>109.28</v>
      </c>
      <c r="K2646">
        <v>35.840000000000003</v>
      </c>
      <c r="L2646">
        <v>718625.28000000003</v>
      </c>
      <c r="M2646">
        <v>235683.84</v>
      </c>
      <c r="N2646">
        <v>482941.44</v>
      </c>
    </row>
    <row r="2647" spans="1:14" x14ac:dyDescent="0.25">
      <c r="A2647" t="s">
        <v>51</v>
      </c>
      <c r="B2647" t="s">
        <v>260</v>
      </c>
      <c r="C2647" t="s">
        <v>21</v>
      </c>
      <c r="D2647" t="s">
        <v>22</v>
      </c>
      <c r="E2647" t="s">
        <v>18</v>
      </c>
      <c r="F2647" t="s">
        <v>1603</v>
      </c>
      <c r="G2647">
        <v>651100718</v>
      </c>
      <c r="H2647" t="s">
        <v>1485</v>
      </c>
      <c r="I2647">
        <v>4026</v>
      </c>
      <c r="J2647">
        <v>152.58000000000001</v>
      </c>
      <c r="K2647">
        <v>97.44</v>
      </c>
      <c r="L2647">
        <v>614287.07999999996</v>
      </c>
      <c r="M2647">
        <v>392293.44</v>
      </c>
      <c r="N2647">
        <v>221993.64</v>
      </c>
    </row>
    <row r="2648" spans="1:14" x14ac:dyDescent="0.25">
      <c r="A2648" t="s">
        <v>38</v>
      </c>
      <c r="B2648" t="s">
        <v>92</v>
      </c>
      <c r="C2648" t="s">
        <v>16</v>
      </c>
      <c r="D2648" t="s">
        <v>17</v>
      </c>
      <c r="E2648" t="s">
        <v>23</v>
      </c>
      <c r="F2648" t="s">
        <v>1026</v>
      </c>
      <c r="G2648">
        <v>186839520</v>
      </c>
      <c r="H2648" s="1">
        <v>41376</v>
      </c>
      <c r="I2648">
        <v>8821</v>
      </c>
      <c r="J2648">
        <v>255.28</v>
      </c>
      <c r="K2648">
        <v>159.41999999999999</v>
      </c>
      <c r="L2648">
        <v>2251824.88</v>
      </c>
      <c r="M2648">
        <v>1406243.82</v>
      </c>
      <c r="N2648">
        <v>845581.06</v>
      </c>
    </row>
    <row r="2649" spans="1:14" x14ac:dyDescent="0.25">
      <c r="A2649" t="s">
        <v>51</v>
      </c>
      <c r="B2649" t="s">
        <v>305</v>
      </c>
      <c r="C2649" t="s">
        <v>131</v>
      </c>
      <c r="D2649" t="s">
        <v>17</v>
      </c>
      <c r="E2649" t="s">
        <v>32</v>
      </c>
      <c r="F2649" s="1">
        <v>40218</v>
      </c>
      <c r="G2649">
        <v>630447280</v>
      </c>
      <c r="H2649" s="1">
        <v>40277</v>
      </c>
      <c r="I2649">
        <v>2215</v>
      </c>
      <c r="J2649">
        <v>668.27</v>
      </c>
      <c r="K2649">
        <v>502.54</v>
      </c>
      <c r="L2649">
        <v>1480218.05</v>
      </c>
      <c r="M2649">
        <v>1113126.1000000001</v>
      </c>
      <c r="N2649">
        <v>367091.95</v>
      </c>
    </row>
    <row r="2650" spans="1:14" x14ac:dyDescent="0.25">
      <c r="A2650" t="s">
        <v>51</v>
      </c>
      <c r="B2650" t="s">
        <v>182</v>
      </c>
      <c r="C2650" t="s">
        <v>55</v>
      </c>
      <c r="D2650" t="s">
        <v>22</v>
      </c>
      <c r="E2650" t="s">
        <v>18</v>
      </c>
      <c r="F2650" t="s">
        <v>743</v>
      </c>
      <c r="G2650">
        <v>614785325</v>
      </c>
      <c r="H2650" t="s">
        <v>846</v>
      </c>
      <c r="I2650">
        <v>7494</v>
      </c>
      <c r="J2650">
        <v>651.21</v>
      </c>
      <c r="K2650">
        <v>524.96</v>
      </c>
      <c r="L2650">
        <v>4880167.74</v>
      </c>
      <c r="M2650">
        <v>3934050.24</v>
      </c>
      <c r="N2650">
        <v>946117.5</v>
      </c>
    </row>
    <row r="2651" spans="1:14" x14ac:dyDescent="0.25">
      <c r="A2651" t="s">
        <v>25</v>
      </c>
      <c r="B2651" t="s">
        <v>533</v>
      </c>
      <c r="C2651" t="s">
        <v>69</v>
      </c>
      <c r="D2651" t="s">
        <v>17</v>
      </c>
      <c r="E2651" t="s">
        <v>45</v>
      </c>
      <c r="F2651" s="1">
        <v>40852</v>
      </c>
      <c r="G2651">
        <v>643027484</v>
      </c>
      <c r="H2651" t="s">
        <v>830</v>
      </c>
      <c r="I2651">
        <v>4977</v>
      </c>
      <c r="J2651">
        <v>421.89</v>
      </c>
      <c r="K2651">
        <v>364.69</v>
      </c>
      <c r="L2651">
        <v>2099746.5299999998</v>
      </c>
      <c r="M2651">
        <v>1815062.13</v>
      </c>
      <c r="N2651">
        <v>284684.40000000002</v>
      </c>
    </row>
    <row r="2652" spans="1:14" x14ac:dyDescent="0.25">
      <c r="A2652" t="s">
        <v>38</v>
      </c>
      <c r="B2652" t="s">
        <v>430</v>
      </c>
      <c r="C2652" t="s">
        <v>40</v>
      </c>
      <c r="D2652" t="s">
        <v>22</v>
      </c>
      <c r="E2652" t="s">
        <v>45</v>
      </c>
      <c r="F2652" t="s">
        <v>1408</v>
      </c>
      <c r="G2652">
        <v>838660085</v>
      </c>
      <c r="H2652" t="s">
        <v>1602</v>
      </c>
      <c r="I2652">
        <v>7011</v>
      </c>
      <c r="J2652">
        <v>81.73</v>
      </c>
      <c r="K2652">
        <v>56.67</v>
      </c>
      <c r="L2652">
        <v>573009.03</v>
      </c>
      <c r="M2652">
        <v>397313.37</v>
      </c>
      <c r="N2652">
        <v>175695.66</v>
      </c>
    </row>
    <row r="2653" spans="1:14" x14ac:dyDescent="0.25">
      <c r="A2653" t="s">
        <v>42</v>
      </c>
      <c r="B2653" t="s">
        <v>552</v>
      </c>
      <c r="C2653" t="s">
        <v>40</v>
      </c>
      <c r="D2653" t="s">
        <v>17</v>
      </c>
      <c r="E2653" t="s">
        <v>32</v>
      </c>
      <c r="F2653" t="s">
        <v>1377</v>
      </c>
      <c r="G2653">
        <v>495481956</v>
      </c>
      <c r="H2653" t="s">
        <v>782</v>
      </c>
      <c r="I2653">
        <v>2976</v>
      </c>
      <c r="J2653">
        <v>81.73</v>
      </c>
      <c r="K2653">
        <v>56.67</v>
      </c>
      <c r="L2653">
        <v>243228.48</v>
      </c>
      <c r="M2653">
        <v>168649.92</v>
      </c>
      <c r="N2653">
        <v>74578.559999999998</v>
      </c>
    </row>
    <row r="2654" spans="1:14" x14ac:dyDescent="0.25">
      <c r="A2654" t="s">
        <v>25</v>
      </c>
      <c r="B2654" t="s">
        <v>343</v>
      </c>
      <c r="C2654" t="s">
        <v>27</v>
      </c>
      <c r="D2654" t="s">
        <v>17</v>
      </c>
      <c r="E2654" t="s">
        <v>32</v>
      </c>
      <c r="F2654" t="s">
        <v>1237</v>
      </c>
      <c r="G2654">
        <v>327604424</v>
      </c>
      <c r="H2654" t="s">
        <v>886</v>
      </c>
      <c r="I2654">
        <v>4284</v>
      </c>
      <c r="J2654">
        <v>47.45</v>
      </c>
      <c r="K2654">
        <v>31.79</v>
      </c>
      <c r="L2654">
        <v>203275.8</v>
      </c>
      <c r="M2654">
        <v>136188.35999999999</v>
      </c>
      <c r="N2654">
        <v>67087.44</v>
      </c>
    </row>
    <row r="2655" spans="1:14" x14ac:dyDescent="0.25">
      <c r="A2655" t="s">
        <v>25</v>
      </c>
      <c r="B2655" t="s">
        <v>196</v>
      </c>
      <c r="C2655" t="s">
        <v>69</v>
      </c>
      <c r="D2655" t="s">
        <v>22</v>
      </c>
      <c r="E2655" t="s">
        <v>18</v>
      </c>
      <c r="F2655" t="s">
        <v>1216</v>
      </c>
      <c r="G2655">
        <v>219451320</v>
      </c>
      <c r="H2655" s="1">
        <v>41677</v>
      </c>
      <c r="I2655">
        <v>9377</v>
      </c>
      <c r="J2655">
        <v>421.89</v>
      </c>
      <c r="K2655">
        <v>364.69</v>
      </c>
      <c r="L2655">
        <v>3956062.53</v>
      </c>
      <c r="M2655">
        <v>3419698.13</v>
      </c>
      <c r="N2655">
        <v>536364.4</v>
      </c>
    </row>
    <row r="2656" spans="1:14" x14ac:dyDescent="0.25">
      <c r="A2656" t="s">
        <v>25</v>
      </c>
      <c r="B2656" t="s">
        <v>418</v>
      </c>
      <c r="C2656" t="s">
        <v>40</v>
      </c>
      <c r="D2656" t="s">
        <v>17</v>
      </c>
      <c r="E2656" t="s">
        <v>45</v>
      </c>
      <c r="F2656" t="s">
        <v>1568</v>
      </c>
      <c r="G2656">
        <v>575758969</v>
      </c>
      <c r="H2656" t="s">
        <v>1402</v>
      </c>
      <c r="I2656">
        <v>8729</v>
      </c>
      <c r="J2656">
        <v>81.73</v>
      </c>
      <c r="K2656">
        <v>56.67</v>
      </c>
      <c r="L2656">
        <v>713421.17</v>
      </c>
      <c r="M2656">
        <v>494672.43</v>
      </c>
      <c r="N2656">
        <v>218748.74</v>
      </c>
    </row>
    <row r="2657" spans="1:14" x14ac:dyDescent="0.25">
      <c r="A2657" t="s">
        <v>38</v>
      </c>
      <c r="B2657" t="s">
        <v>92</v>
      </c>
      <c r="C2657" t="s">
        <v>21</v>
      </c>
      <c r="D2657" t="s">
        <v>17</v>
      </c>
      <c r="E2657" t="s">
        <v>45</v>
      </c>
      <c r="F2657" s="1">
        <v>40787</v>
      </c>
      <c r="G2657">
        <v>971576201</v>
      </c>
      <c r="H2657" t="s">
        <v>528</v>
      </c>
      <c r="I2657">
        <v>9843</v>
      </c>
      <c r="J2657">
        <v>152.58000000000001</v>
      </c>
      <c r="K2657">
        <v>97.44</v>
      </c>
      <c r="L2657">
        <v>1501844.94</v>
      </c>
      <c r="M2657">
        <v>959101.92</v>
      </c>
      <c r="N2657">
        <v>542743.02</v>
      </c>
    </row>
    <row r="2658" spans="1:14" x14ac:dyDescent="0.25">
      <c r="A2658" t="s">
        <v>25</v>
      </c>
      <c r="B2658" t="s">
        <v>242</v>
      </c>
      <c r="C2658" t="s">
        <v>55</v>
      </c>
      <c r="D2658" t="s">
        <v>22</v>
      </c>
      <c r="E2658" t="s">
        <v>45</v>
      </c>
      <c r="F2658" s="1">
        <v>41741</v>
      </c>
      <c r="G2658">
        <v>602264344</v>
      </c>
      <c r="H2658" s="1">
        <v>42186</v>
      </c>
      <c r="I2658">
        <v>2258</v>
      </c>
      <c r="J2658">
        <v>651.21</v>
      </c>
      <c r="K2658">
        <v>524.96</v>
      </c>
      <c r="L2658">
        <v>1470432.18</v>
      </c>
      <c r="M2658">
        <v>1185359.68</v>
      </c>
      <c r="N2658">
        <v>285072.5</v>
      </c>
    </row>
    <row r="2659" spans="1:14" x14ac:dyDescent="0.25">
      <c r="A2659" t="s">
        <v>77</v>
      </c>
      <c r="B2659" t="s">
        <v>320</v>
      </c>
      <c r="C2659" t="s">
        <v>21</v>
      </c>
      <c r="D2659" t="s">
        <v>17</v>
      </c>
      <c r="E2659" t="s">
        <v>45</v>
      </c>
      <c r="F2659" s="1">
        <v>41525</v>
      </c>
      <c r="G2659">
        <v>533497226</v>
      </c>
      <c r="H2659" t="s">
        <v>1195</v>
      </c>
      <c r="I2659">
        <v>2539</v>
      </c>
      <c r="J2659">
        <v>152.58000000000001</v>
      </c>
      <c r="K2659">
        <v>97.44</v>
      </c>
      <c r="L2659">
        <v>387400.62</v>
      </c>
      <c r="M2659">
        <v>247400.16</v>
      </c>
      <c r="N2659">
        <v>140000.46</v>
      </c>
    </row>
    <row r="2660" spans="1:14" x14ac:dyDescent="0.25">
      <c r="A2660" t="s">
        <v>29</v>
      </c>
      <c r="B2660" t="s">
        <v>153</v>
      </c>
      <c r="C2660" t="s">
        <v>59</v>
      </c>
      <c r="D2660" t="s">
        <v>17</v>
      </c>
      <c r="E2660" t="s">
        <v>18</v>
      </c>
      <c r="F2660" t="s">
        <v>1314</v>
      </c>
      <c r="G2660">
        <v>551261174</v>
      </c>
      <c r="H2660" t="s">
        <v>538</v>
      </c>
      <c r="I2660">
        <v>9287</v>
      </c>
      <c r="J2660">
        <v>437.2</v>
      </c>
      <c r="K2660">
        <v>263.33</v>
      </c>
      <c r="L2660">
        <v>4060276.4</v>
      </c>
      <c r="M2660">
        <v>2445545.71</v>
      </c>
      <c r="N2660">
        <v>1614730.69</v>
      </c>
    </row>
    <row r="2661" spans="1:14" x14ac:dyDescent="0.25">
      <c r="A2661" t="s">
        <v>29</v>
      </c>
      <c r="B2661" t="s">
        <v>485</v>
      </c>
      <c r="C2661" t="s">
        <v>40</v>
      </c>
      <c r="D2661" t="s">
        <v>22</v>
      </c>
      <c r="E2661" t="s">
        <v>18</v>
      </c>
      <c r="F2661" t="s">
        <v>1236</v>
      </c>
      <c r="G2661">
        <v>511855018</v>
      </c>
      <c r="H2661" t="s">
        <v>571</v>
      </c>
      <c r="I2661">
        <v>8129</v>
      </c>
      <c r="J2661">
        <v>81.73</v>
      </c>
      <c r="K2661">
        <v>56.67</v>
      </c>
      <c r="L2661">
        <v>664383.17000000004</v>
      </c>
      <c r="M2661">
        <v>460670.43</v>
      </c>
      <c r="N2661">
        <v>203712.74</v>
      </c>
    </row>
    <row r="2662" spans="1:14" x14ac:dyDescent="0.25">
      <c r="A2662" t="s">
        <v>25</v>
      </c>
      <c r="B2662" t="s">
        <v>140</v>
      </c>
      <c r="C2662" t="s">
        <v>31</v>
      </c>
      <c r="D2662" t="s">
        <v>22</v>
      </c>
      <c r="E2662" t="s">
        <v>45</v>
      </c>
      <c r="F2662" t="s">
        <v>1636</v>
      </c>
      <c r="G2662">
        <v>791890084</v>
      </c>
      <c r="H2662" t="s">
        <v>377</v>
      </c>
      <c r="I2662">
        <v>6728</v>
      </c>
      <c r="J2662">
        <v>205.7</v>
      </c>
      <c r="K2662">
        <v>117.11</v>
      </c>
      <c r="L2662">
        <v>1383949.6</v>
      </c>
      <c r="M2662">
        <v>787916.08</v>
      </c>
      <c r="N2662">
        <v>596033.52</v>
      </c>
    </row>
    <row r="2663" spans="1:14" x14ac:dyDescent="0.25">
      <c r="A2663" t="s">
        <v>51</v>
      </c>
      <c r="B2663" t="s">
        <v>327</v>
      </c>
      <c r="C2663" t="s">
        <v>21</v>
      </c>
      <c r="D2663" t="s">
        <v>22</v>
      </c>
      <c r="E2663" t="s">
        <v>32</v>
      </c>
      <c r="F2663" t="s">
        <v>1412</v>
      </c>
      <c r="G2663">
        <v>938290202</v>
      </c>
      <c r="H2663" t="s">
        <v>1633</v>
      </c>
      <c r="I2663">
        <v>9777</v>
      </c>
      <c r="J2663">
        <v>152.58000000000001</v>
      </c>
      <c r="K2663">
        <v>97.44</v>
      </c>
      <c r="L2663">
        <v>1491774.66</v>
      </c>
      <c r="M2663">
        <v>952670.88</v>
      </c>
      <c r="N2663">
        <v>539103.78</v>
      </c>
    </row>
    <row r="2664" spans="1:14" x14ac:dyDescent="0.25">
      <c r="A2664" t="s">
        <v>42</v>
      </c>
      <c r="B2664" t="s">
        <v>552</v>
      </c>
      <c r="C2664" t="s">
        <v>69</v>
      </c>
      <c r="D2664" t="s">
        <v>22</v>
      </c>
      <c r="E2664" t="s">
        <v>18</v>
      </c>
      <c r="F2664" t="s">
        <v>1454</v>
      </c>
      <c r="G2664">
        <v>118291699</v>
      </c>
      <c r="H2664" t="s">
        <v>1070</v>
      </c>
      <c r="I2664">
        <v>3997</v>
      </c>
      <c r="J2664">
        <v>421.89</v>
      </c>
      <c r="K2664">
        <v>364.69</v>
      </c>
      <c r="L2664">
        <v>1686294.33</v>
      </c>
      <c r="M2664">
        <v>1457665.93</v>
      </c>
      <c r="N2664">
        <v>228628.4</v>
      </c>
    </row>
    <row r="2665" spans="1:14" x14ac:dyDescent="0.25">
      <c r="A2665" t="s">
        <v>29</v>
      </c>
      <c r="B2665" t="s">
        <v>619</v>
      </c>
      <c r="C2665" t="s">
        <v>59</v>
      </c>
      <c r="D2665" t="s">
        <v>17</v>
      </c>
      <c r="E2665" t="s">
        <v>18</v>
      </c>
      <c r="F2665" t="s">
        <v>1436</v>
      </c>
      <c r="G2665">
        <v>269443404</v>
      </c>
      <c r="H2665" s="1">
        <v>42501</v>
      </c>
      <c r="I2665">
        <v>3146</v>
      </c>
      <c r="J2665">
        <v>437.2</v>
      </c>
      <c r="K2665">
        <v>263.33</v>
      </c>
      <c r="L2665">
        <v>1375431.2</v>
      </c>
      <c r="M2665">
        <v>828436.18</v>
      </c>
      <c r="N2665">
        <v>546995.02</v>
      </c>
    </row>
    <row r="2666" spans="1:14" x14ac:dyDescent="0.25">
      <c r="A2666" t="s">
        <v>25</v>
      </c>
      <c r="B2666" t="s">
        <v>229</v>
      </c>
      <c r="C2666" t="s">
        <v>88</v>
      </c>
      <c r="D2666" t="s">
        <v>22</v>
      </c>
      <c r="E2666" t="s">
        <v>23</v>
      </c>
      <c r="F2666" t="s">
        <v>1213</v>
      </c>
      <c r="G2666">
        <v>249606645</v>
      </c>
      <c r="H2666" t="s">
        <v>929</v>
      </c>
      <c r="I2666">
        <v>3008</v>
      </c>
      <c r="J2666">
        <v>9.33</v>
      </c>
      <c r="K2666">
        <v>6.92</v>
      </c>
      <c r="L2666">
        <v>28064.639999999999</v>
      </c>
      <c r="M2666">
        <v>20815.36</v>
      </c>
      <c r="N2666">
        <v>7249.28</v>
      </c>
    </row>
    <row r="2667" spans="1:14" x14ac:dyDescent="0.25">
      <c r="A2667" t="s">
        <v>42</v>
      </c>
      <c r="B2667" t="s">
        <v>107</v>
      </c>
      <c r="C2667" t="s">
        <v>44</v>
      </c>
      <c r="D2667" t="s">
        <v>22</v>
      </c>
      <c r="E2667" t="s">
        <v>32</v>
      </c>
      <c r="F2667" t="s">
        <v>844</v>
      </c>
      <c r="G2667">
        <v>786955249</v>
      </c>
      <c r="H2667" t="s">
        <v>1344</v>
      </c>
      <c r="I2667">
        <v>6401</v>
      </c>
      <c r="J2667">
        <v>109.28</v>
      </c>
      <c r="K2667">
        <v>35.840000000000003</v>
      </c>
      <c r="L2667">
        <v>699501.28</v>
      </c>
      <c r="M2667">
        <v>229411.84</v>
      </c>
      <c r="N2667">
        <v>470089.44</v>
      </c>
    </row>
    <row r="2668" spans="1:14" x14ac:dyDescent="0.25">
      <c r="A2668" t="s">
        <v>38</v>
      </c>
      <c r="B2668" t="s">
        <v>68</v>
      </c>
      <c r="C2668" t="s">
        <v>16</v>
      </c>
      <c r="D2668" t="s">
        <v>17</v>
      </c>
      <c r="E2668" t="s">
        <v>32</v>
      </c>
      <c r="F2668" t="s">
        <v>1133</v>
      </c>
      <c r="G2668">
        <v>429975545</v>
      </c>
      <c r="H2668" s="1">
        <v>42683</v>
      </c>
      <c r="I2668">
        <v>8174</v>
      </c>
      <c r="J2668">
        <v>255.28</v>
      </c>
      <c r="K2668">
        <v>159.41999999999999</v>
      </c>
      <c r="L2668">
        <v>2086658.72</v>
      </c>
      <c r="M2668">
        <v>1303099.08</v>
      </c>
      <c r="N2668">
        <v>783559.64</v>
      </c>
    </row>
    <row r="2669" spans="1:14" x14ac:dyDescent="0.25">
      <c r="A2669" t="s">
        <v>25</v>
      </c>
      <c r="B2669" t="s">
        <v>140</v>
      </c>
      <c r="C2669" t="s">
        <v>131</v>
      </c>
      <c r="D2669" t="s">
        <v>22</v>
      </c>
      <c r="E2669" t="s">
        <v>23</v>
      </c>
      <c r="F2669" s="1">
        <v>42220</v>
      </c>
      <c r="G2669">
        <v>497466361</v>
      </c>
      <c r="H2669" s="1">
        <v>42009</v>
      </c>
      <c r="I2669">
        <v>206</v>
      </c>
      <c r="J2669">
        <v>668.27</v>
      </c>
      <c r="K2669">
        <v>502.54</v>
      </c>
      <c r="L2669">
        <v>137663.62</v>
      </c>
      <c r="M2669">
        <v>103523.24</v>
      </c>
      <c r="N2669">
        <v>34140.379999999997</v>
      </c>
    </row>
    <row r="2670" spans="1:14" x14ac:dyDescent="0.25">
      <c r="A2670" t="s">
        <v>38</v>
      </c>
      <c r="B2670" t="s">
        <v>49</v>
      </c>
      <c r="C2670" t="s">
        <v>31</v>
      </c>
      <c r="D2670" t="s">
        <v>17</v>
      </c>
      <c r="E2670" t="s">
        <v>23</v>
      </c>
      <c r="F2670" s="1">
        <v>41767</v>
      </c>
      <c r="G2670">
        <v>128539025</v>
      </c>
      <c r="H2670" t="s">
        <v>692</v>
      </c>
      <c r="I2670">
        <v>6409</v>
      </c>
      <c r="J2670">
        <v>205.7</v>
      </c>
      <c r="K2670">
        <v>117.11</v>
      </c>
      <c r="L2670">
        <v>1318331.3</v>
      </c>
      <c r="M2670">
        <v>750557.99</v>
      </c>
      <c r="N2670">
        <v>567773.31000000006</v>
      </c>
    </row>
    <row r="2671" spans="1:14" x14ac:dyDescent="0.25">
      <c r="A2671" t="s">
        <v>29</v>
      </c>
      <c r="B2671" t="s">
        <v>61</v>
      </c>
      <c r="C2671" t="s">
        <v>44</v>
      </c>
      <c r="D2671" t="s">
        <v>17</v>
      </c>
      <c r="E2671" t="s">
        <v>18</v>
      </c>
      <c r="F2671" t="s">
        <v>183</v>
      </c>
      <c r="G2671">
        <v>332617366</v>
      </c>
      <c r="H2671" t="s">
        <v>899</v>
      </c>
      <c r="I2671">
        <v>7725</v>
      </c>
      <c r="J2671">
        <v>109.28</v>
      </c>
      <c r="K2671">
        <v>35.840000000000003</v>
      </c>
      <c r="L2671">
        <v>844188</v>
      </c>
      <c r="M2671">
        <v>276864</v>
      </c>
      <c r="N2671">
        <v>567324</v>
      </c>
    </row>
    <row r="2672" spans="1:14" x14ac:dyDescent="0.25">
      <c r="A2672" t="s">
        <v>25</v>
      </c>
      <c r="B2672" t="s">
        <v>609</v>
      </c>
      <c r="C2672" t="s">
        <v>44</v>
      </c>
      <c r="D2672" t="s">
        <v>22</v>
      </c>
      <c r="E2672" t="s">
        <v>32</v>
      </c>
      <c r="F2672" t="s">
        <v>165</v>
      </c>
      <c r="G2672">
        <v>839437711</v>
      </c>
      <c r="H2672" t="s">
        <v>1637</v>
      </c>
      <c r="I2672">
        <v>7128</v>
      </c>
      <c r="J2672">
        <v>109.28</v>
      </c>
      <c r="K2672">
        <v>35.840000000000003</v>
      </c>
      <c r="L2672">
        <v>778947.84</v>
      </c>
      <c r="M2672">
        <v>255467.51999999999</v>
      </c>
      <c r="N2672">
        <v>523480.32000000001</v>
      </c>
    </row>
    <row r="2673" spans="1:14" x14ac:dyDescent="0.25">
      <c r="A2673" t="s">
        <v>25</v>
      </c>
      <c r="B2673" t="s">
        <v>112</v>
      </c>
      <c r="C2673" t="s">
        <v>55</v>
      </c>
      <c r="D2673" t="s">
        <v>17</v>
      </c>
      <c r="E2673" t="s">
        <v>45</v>
      </c>
      <c r="F2673" t="s">
        <v>1306</v>
      </c>
      <c r="G2673">
        <v>549048888</v>
      </c>
      <c r="H2673" s="1">
        <v>41682</v>
      </c>
      <c r="I2673">
        <v>4622</v>
      </c>
      <c r="J2673">
        <v>651.21</v>
      </c>
      <c r="K2673">
        <v>524.96</v>
      </c>
      <c r="L2673">
        <v>3009892.62</v>
      </c>
      <c r="M2673">
        <v>2426365.12</v>
      </c>
      <c r="N2673">
        <v>583527.5</v>
      </c>
    </row>
    <row r="2674" spans="1:14" x14ac:dyDescent="0.25">
      <c r="A2674" t="s">
        <v>42</v>
      </c>
      <c r="B2674" t="s">
        <v>681</v>
      </c>
      <c r="C2674" t="s">
        <v>44</v>
      </c>
      <c r="D2674" t="s">
        <v>17</v>
      </c>
      <c r="E2674" t="s">
        <v>32</v>
      </c>
      <c r="F2674" t="s">
        <v>1343</v>
      </c>
      <c r="G2674">
        <v>681812226</v>
      </c>
      <c r="H2674" t="s">
        <v>913</v>
      </c>
      <c r="I2674">
        <v>2244</v>
      </c>
      <c r="J2674">
        <v>109.28</v>
      </c>
      <c r="K2674">
        <v>35.840000000000003</v>
      </c>
      <c r="L2674">
        <v>245224.32000000001</v>
      </c>
      <c r="M2674">
        <v>80424.960000000006</v>
      </c>
      <c r="N2674">
        <v>164799.35999999999</v>
      </c>
    </row>
    <row r="2675" spans="1:14" x14ac:dyDescent="0.25">
      <c r="A2675" t="s">
        <v>51</v>
      </c>
      <c r="B2675" t="s">
        <v>52</v>
      </c>
      <c r="C2675" t="s">
        <v>16</v>
      </c>
      <c r="D2675" t="s">
        <v>22</v>
      </c>
      <c r="E2675" t="s">
        <v>23</v>
      </c>
      <c r="F2675" s="1">
        <v>42686</v>
      </c>
      <c r="G2675">
        <v>728401553</v>
      </c>
      <c r="H2675" t="s">
        <v>639</v>
      </c>
      <c r="I2675">
        <v>9061</v>
      </c>
      <c r="J2675">
        <v>255.28</v>
      </c>
      <c r="K2675">
        <v>159.41999999999999</v>
      </c>
      <c r="L2675">
        <v>2313092.08</v>
      </c>
      <c r="M2675">
        <v>1444504.62</v>
      </c>
      <c r="N2675">
        <v>868587.46</v>
      </c>
    </row>
    <row r="2676" spans="1:14" x14ac:dyDescent="0.25">
      <c r="A2676" t="s">
        <v>14</v>
      </c>
      <c r="B2676" t="s">
        <v>357</v>
      </c>
      <c r="C2676" t="s">
        <v>27</v>
      </c>
      <c r="D2676" t="s">
        <v>22</v>
      </c>
      <c r="E2676" t="s">
        <v>45</v>
      </c>
      <c r="F2676" s="1">
        <v>41548</v>
      </c>
      <c r="G2676">
        <v>699803197</v>
      </c>
      <c r="H2676" t="s">
        <v>968</v>
      </c>
      <c r="I2676">
        <v>6172</v>
      </c>
      <c r="J2676">
        <v>47.45</v>
      </c>
      <c r="K2676">
        <v>31.79</v>
      </c>
      <c r="L2676">
        <v>292861.40000000002</v>
      </c>
      <c r="M2676">
        <v>196207.88</v>
      </c>
      <c r="N2676">
        <v>96653.52</v>
      </c>
    </row>
    <row r="2677" spans="1:14" x14ac:dyDescent="0.25">
      <c r="A2677" t="s">
        <v>51</v>
      </c>
      <c r="B2677" t="s">
        <v>52</v>
      </c>
      <c r="C2677" t="s">
        <v>40</v>
      </c>
      <c r="D2677" t="s">
        <v>17</v>
      </c>
      <c r="E2677" t="s">
        <v>45</v>
      </c>
      <c r="F2677" t="s">
        <v>1638</v>
      </c>
      <c r="G2677">
        <v>677315986</v>
      </c>
      <c r="H2677" s="1">
        <v>41741</v>
      </c>
      <c r="I2677">
        <v>1706</v>
      </c>
      <c r="J2677">
        <v>81.73</v>
      </c>
      <c r="K2677">
        <v>56.67</v>
      </c>
      <c r="L2677">
        <v>139431.38</v>
      </c>
      <c r="M2677">
        <v>96679.02</v>
      </c>
      <c r="N2677">
        <v>42752.36</v>
      </c>
    </row>
    <row r="2678" spans="1:14" x14ac:dyDescent="0.25">
      <c r="A2678" t="s">
        <v>38</v>
      </c>
      <c r="B2678" t="s">
        <v>388</v>
      </c>
      <c r="C2678" t="s">
        <v>40</v>
      </c>
      <c r="D2678" t="s">
        <v>22</v>
      </c>
      <c r="E2678" t="s">
        <v>45</v>
      </c>
      <c r="F2678" t="s">
        <v>1541</v>
      </c>
      <c r="G2678">
        <v>362551248</v>
      </c>
      <c r="H2678" t="s">
        <v>1541</v>
      </c>
      <c r="I2678">
        <v>5826</v>
      </c>
      <c r="J2678">
        <v>81.73</v>
      </c>
      <c r="K2678">
        <v>56.67</v>
      </c>
      <c r="L2678">
        <v>476158.98</v>
      </c>
      <c r="M2678">
        <v>330159.42</v>
      </c>
      <c r="N2678">
        <v>145999.56</v>
      </c>
    </row>
    <row r="2679" spans="1:14" x14ac:dyDescent="0.25">
      <c r="A2679" t="s">
        <v>25</v>
      </c>
      <c r="B2679" t="s">
        <v>134</v>
      </c>
      <c r="C2679" t="s">
        <v>21</v>
      </c>
      <c r="D2679" t="s">
        <v>17</v>
      </c>
      <c r="E2679" t="s">
        <v>45</v>
      </c>
      <c r="F2679" s="1">
        <v>42075</v>
      </c>
      <c r="G2679">
        <v>427432811</v>
      </c>
      <c r="H2679" s="1">
        <v>42320</v>
      </c>
      <c r="I2679">
        <v>5722</v>
      </c>
      <c r="J2679">
        <v>152.58000000000001</v>
      </c>
      <c r="K2679">
        <v>97.44</v>
      </c>
      <c r="L2679">
        <v>873062.76</v>
      </c>
      <c r="M2679">
        <v>557551.68000000005</v>
      </c>
      <c r="N2679">
        <v>315511.08</v>
      </c>
    </row>
    <row r="2680" spans="1:14" x14ac:dyDescent="0.25">
      <c r="A2680" t="s">
        <v>14</v>
      </c>
      <c r="B2680" t="s">
        <v>226</v>
      </c>
      <c r="C2680" t="s">
        <v>21</v>
      </c>
      <c r="D2680" t="s">
        <v>17</v>
      </c>
      <c r="E2680" t="s">
        <v>18</v>
      </c>
      <c r="F2680" s="1">
        <v>40330</v>
      </c>
      <c r="G2680">
        <v>264197003</v>
      </c>
      <c r="H2680" t="s">
        <v>904</v>
      </c>
      <c r="I2680">
        <v>619</v>
      </c>
      <c r="J2680">
        <v>152.58000000000001</v>
      </c>
      <c r="K2680">
        <v>97.44</v>
      </c>
      <c r="L2680">
        <v>94447.02</v>
      </c>
      <c r="M2680">
        <v>60315.360000000001</v>
      </c>
      <c r="N2680">
        <v>34131.660000000003</v>
      </c>
    </row>
    <row r="2681" spans="1:14" x14ac:dyDescent="0.25">
      <c r="A2681" t="s">
        <v>51</v>
      </c>
      <c r="B2681" t="s">
        <v>417</v>
      </c>
      <c r="C2681" t="s">
        <v>113</v>
      </c>
      <c r="D2681" t="s">
        <v>17</v>
      </c>
      <c r="E2681" t="s">
        <v>23</v>
      </c>
      <c r="F2681" s="1">
        <v>41677</v>
      </c>
      <c r="G2681">
        <v>235392653</v>
      </c>
      <c r="H2681" s="1">
        <v>41858</v>
      </c>
      <c r="I2681">
        <v>6772</v>
      </c>
      <c r="J2681">
        <v>154.06</v>
      </c>
      <c r="K2681">
        <v>90.93</v>
      </c>
      <c r="L2681">
        <v>1043294.32</v>
      </c>
      <c r="M2681">
        <v>615777.96</v>
      </c>
      <c r="N2681">
        <v>427516.36</v>
      </c>
    </row>
    <row r="2682" spans="1:14" x14ac:dyDescent="0.25">
      <c r="A2682" t="s">
        <v>38</v>
      </c>
      <c r="B2682" t="s">
        <v>105</v>
      </c>
      <c r="C2682" t="s">
        <v>131</v>
      </c>
      <c r="D2682" t="s">
        <v>22</v>
      </c>
      <c r="E2682" t="s">
        <v>45</v>
      </c>
      <c r="F2682" t="s">
        <v>472</v>
      </c>
      <c r="G2682">
        <v>323881089</v>
      </c>
      <c r="H2682" s="1">
        <v>40398</v>
      </c>
      <c r="I2682">
        <v>2467</v>
      </c>
      <c r="J2682">
        <v>668.27</v>
      </c>
      <c r="K2682">
        <v>502.54</v>
      </c>
      <c r="L2682">
        <v>1648622.09</v>
      </c>
      <c r="M2682">
        <v>1239766.18</v>
      </c>
      <c r="N2682">
        <v>408855.91</v>
      </c>
    </row>
    <row r="2683" spans="1:14" x14ac:dyDescent="0.25">
      <c r="A2683" t="s">
        <v>25</v>
      </c>
      <c r="B2683" t="s">
        <v>529</v>
      </c>
      <c r="C2683" t="s">
        <v>55</v>
      </c>
      <c r="D2683" t="s">
        <v>17</v>
      </c>
      <c r="E2683" t="s">
        <v>45</v>
      </c>
      <c r="F2683" t="s">
        <v>1111</v>
      </c>
      <c r="G2683">
        <v>582836139</v>
      </c>
      <c r="H2683" s="1">
        <v>41763</v>
      </c>
      <c r="I2683">
        <v>3020</v>
      </c>
      <c r="J2683">
        <v>651.21</v>
      </c>
      <c r="K2683">
        <v>524.96</v>
      </c>
      <c r="L2683">
        <v>1966654.2</v>
      </c>
      <c r="M2683">
        <v>1585379.2</v>
      </c>
      <c r="N2683">
        <v>381275</v>
      </c>
    </row>
    <row r="2684" spans="1:14" x14ac:dyDescent="0.25">
      <c r="A2684" t="s">
        <v>51</v>
      </c>
      <c r="B2684" t="s">
        <v>128</v>
      </c>
      <c r="C2684" t="s">
        <v>131</v>
      </c>
      <c r="D2684" t="s">
        <v>17</v>
      </c>
      <c r="E2684" t="s">
        <v>45</v>
      </c>
      <c r="F2684" t="s">
        <v>568</v>
      </c>
      <c r="G2684">
        <v>685744130</v>
      </c>
      <c r="H2684" t="s">
        <v>241</v>
      </c>
      <c r="I2684">
        <v>5782</v>
      </c>
      <c r="J2684">
        <v>668.27</v>
      </c>
      <c r="K2684">
        <v>502.54</v>
      </c>
      <c r="L2684">
        <v>3863937.14</v>
      </c>
      <c r="M2684">
        <v>2905686.28</v>
      </c>
      <c r="N2684">
        <v>958250.86</v>
      </c>
    </row>
    <row r="2685" spans="1:14" x14ac:dyDescent="0.25">
      <c r="A2685" t="s">
        <v>51</v>
      </c>
      <c r="B2685" t="s">
        <v>417</v>
      </c>
      <c r="C2685" t="s">
        <v>16</v>
      </c>
      <c r="D2685" t="s">
        <v>22</v>
      </c>
      <c r="E2685" t="s">
        <v>18</v>
      </c>
      <c r="F2685" s="1">
        <v>41458</v>
      </c>
      <c r="G2685">
        <v>376403892</v>
      </c>
      <c r="H2685" t="s">
        <v>795</v>
      </c>
      <c r="I2685">
        <v>5131</v>
      </c>
      <c r="J2685">
        <v>255.28</v>
      </c>
      <c r="K2685">
        <v>159.41999999999999</v>
      </c>
      <c r="L2685">
        <v>1309841.68</v>
      </c>
      <c r="M2685">
        <v>817984.02</v>
      </c>
      <c r="N2685">
        <v>491857.66</v>
      </c>
    </row>
    <row r="2686" spans="1:14" x14ac:dyDescent="0.25">
      <c r="A2686" t="s">
        <v>14</v>
      </c>
      <c r="B2686" t="s">
        <v>226</v>
      </c>
      <c r="C2686" t="s">
        <v>113</v>
      </c>
      <c r="D2686" t="s">
        <v>17</v>
      </c>
      <c r="E2686" t="s">
        <v>23</v>
      </c>
      <c r="F2686" t="s">
        <v>1415</v>
      </c>
      <c r="G2686">
        <v>818926751</v>
      </c>
      <c r="H2686" s="1">
        <v>42047</v>
      </c>
      <c r="I2686">
        <v>7479</v>
      </c>
      <c r="J2686">
        <v>154.06</v>
      </c>
      <c r="K2686">
        <v>90.93</v>
      </c>
      <c r="L2686">
        <v>1152214.74</v>
      </c>
      <c r="M2686">
        <v>680065.47</v>
      </c>
      <c r="N2686">
        <v>472149.27</v>
      </c>
    </row>
    <row r="2687" spans="1:14" x14ac:dyDescent="0.25">
      <c r="A2687" t="s">
        <v>42</v>
      </c>
      <c r="B2687" t="s">
        <v>43</v>
      </c>
      <c r="C2687" t="s">
        <v>27</v>
      </c>
      <c r="D2687" t="s">
        <v>17</v>
      </c>
      <c r="E2687" t="s">
        <v>23</v>
      </c>
      <c r="F2687" t="s">
        <v>1607</v>
      </c>
      <c r="G2687">
        <v>547736537</v>
      </c>
      <c r="H2687" s="1">
        <v>40729</v>
      </c>
      <c r="I2687">
        <v>6268</v>
      </c>
      <c r="J2687">
        <v>47.45</v>
      </c>
      <c r="K2687">
        <v>31.79</v>
      </c>
      <c r="L2687">
        <v>297416.59999999998</v>
      </c>
      <c r="M2687">
        <v>199259.72</v>
      </c>
      <c r="N2687">
        <v>98156.88</v>
      </c>
    </row>
    <row r="2688" spans="1:14" x14ac:dyDescent="0.25">
      <c r="A2688" t="s">
        <v>38</v>
      </c>
      <c r="B2688" t="s">
        <v>177</v>
      </c>
      <c r="C2688" t="s">
        <v>131</v>
      </c>
      <c r="D2688" t="s">
        <v>22</v>
      </c>
      <c r="E2688" t="s">
        <v>23</v>
      </c>
      <c r="F2688" s="1">
        <v>41457</v>
      </c>
      <c r="G2688">
        <v>417569577</v>
      </c>
      <c r="H2688" s="1">
        <v>41549</v>
      </c>
      <c r="I2688">
        <v>6972</v>
      </c>
      <c r="J2688">
        <v>668.27</v>
      </c>
      <c r="K2688">
        <v>502.54</v>
      </c>
      <c r="L2688">
        <v>4659178.4400000004</v>
      </c>
      <c r="M2688">
        <v>3503708.88</v>
      </c>
      <c r="N2688">
        <v>1155469.56</v>
      </c>
    </row>
    <row r="2689" spans="1:14" x14ac:dyDescent="0.25">
      <c r="A2689" t="s">
        <v>38</v>
      </c>
      <c r="B2689" t="s">
        <v>85</v>
      </c>
      <c r="C2689" t="s">
        <v>44</v>
      </c>
      <c r="D2689" t="s">
        <v>17</v>
      </c>
      <c r="E2689" t="s">
        <v>23</v>
      </c>
      <c r="F2689" t="s">
        <v>1639</v>
      </c>
      <c r="G2689">
        <v>453474700</v>
      </c>
      <c r="H2689" s="1">
        <v>40394</v>
      </c>
      <c r="I2689">
        <v>2096</v>
      </c>
      <c r="J2689">
        <v>109.28</v>
      </c>
      <c r="K2689">
        <v>35.840000000000003</v>
      </c>
      <c r="L2689">
        <v>229050.88</v>
      </c>
      <c r="M2689">
        <v>75120.639999999999</v>
      </c>
      <c r="N2689">
        <v>153930.23999999999</v>
      </c>
    </row>
    <row r="2690" spans="1:14" x14ac:dyDescent="0.25">
      <c r="A2690" t="s">
        <v>14</v>
      </c>
      <c r="B2690" t="s">
        <v>370</v>
      </c>
      <c r="C2690" t="s">
        <v>44</v>
      </c>
      <c r="D2690" t="s">
        <v>22</v>
      </c>
      <c r="E2690" t="s">
        <v>45</v>
      </c>
      <c r="F2690" t="s">
        <v>753</v>
      </c>
      <c r="G2690">
        <v>300813233</v>
      </c>
      <c r="H2690" s="1">
        <v>41681</v>
      </c>
      <c r="I2690">
        <v>6175</v>
      </c>
      <c r="J2690">
        <v>109.28</v>
      </c>
      <c r="K2690">
        <v>35.840000000000003</v>
      </c>
      <c r="L2690">
        <v>674804</v>
      </c>
      <c r="M2690">
        <v>221312</v>
      </c>
      <c r="N2690">
        <v>453492</v>
      </c>
    </row>
    <row r="2691" spans="1:14" x14ac:dyDescent="0.25">
      <c r="A2691" t="s">
        <v>51</v>
      </c>
      <c r="B2691" t="s">
        <v>575</v>
      </c>
      <c r="C2691" t="s">
        <v>131</v>
      </c>
      <c r="D2691" t="s">
        <v>17</v>
      </c>
      <c r="E2691" t="s">
        <v>32</v>
      </c>
      <c r="F2691" s="1">
        <v>41495</v>
      </c>
      <c r="G2691">
        <v>575259006</v>
      </c>
      <c r="H2691" t="s">
        <v>1021</v>
      </c>
      <c r="I2691">
        <v>778</v>
      </c>
      <c r="J2691">
        <v>668.27</v>
      </c>
      <c r="K2691">
        <v>502.54</v>
      </c>
      <c r="L2691">
        <v>519914.06</v>
      </c>
      <c r="M2691">
        <v>390976.12</v>
      </c>
      <c r="N2691">
        <v>128937.94</v>
      </c>
    </row>
    <row r="2692" spans="1:14" x14ac:dyDescent="0.25">
      <c r="A2692" t="s">
        <v>14</v>
      </c>
      <c r="B2692" t="s">
        <v>383</v>
      </c>
      <c r="C2692" t="s">
        <v>31</v>
      </c>
      <c r="D2692" t="s">
        <v>17</v>
      </c>
      <c r="E2692" t="s">
        <v>23</v>
      </c>
      <c r="F2692" t="s">
        <v>163</v>
      </c>
      <c r="G2692">
        <v>612798345</v>
      </c>
      <c r="H2692" t="s">
        <v>1640</v>
      </c>
      <c r="I2692">
        <v>9503</v>
      </c>
      <c r="J2692">
        <v>205.7</v>
      </c>
      <c r="K2692">
        <v>117.11</v>
      </c>
      <c r="L2692">
        <v>1954767.1</v>
      </c>
      <c r="M2692">
        <v>1112896.33</v>
      </c>
      <c r="N2692">
        <v>841870.77</v>
      </c>
    </row>
    <row r="2693" spans="1:14" x14ac:dyDescent="0.25">
      <c r="A2693" t="s">
        <v>25</v>
      </c>
      <c r="B2693" t="s">
        <v>172</v>
      </c>
      <c r="C2693" t="s">
        <v>44</v>
      </c>
      <c r="D2693" t="s">
        <v>22</v>
      </c>
      <c r="E2693" t="s">
        <v>45</v>
      </c>
      <c r="F2693" s="1">
        <v>41125</v>
      </c>
      <c r="G2693">
        <v>719730079</v>
      </c>
      <c r="H2693" s="1">
        <v>41065</v>
      </c>
      <c r="I2693">
        <v>2979</v>
      </c>
      <c r="J2693">
        <v>109.28</v>
      </c>
      <c r="K2693">
        <v>35.840000000000003</v>
      </c>
      <c r="L2693">
        <v>325545.12</v>
      </c>
      <c r="M2693">
        <v>106767.36</v>
      </c>
      <c r="N2693">
        <v>218777.76</v>
      </c>
    </row>
    <row r="2694" spans="1:14" x14ac:dyDescent="0.25">
      <c r="A2694" t="s">
        <v>51</v>
      </c>
      <c r="B2694" t="s">
        <v>260</v>
      </c>
      <c r="C2694" t="s">
        <v>31</v>
      </c>
      <c r="D2694" t="s">
        <v>22</v>
      </c>
      <c r="E2694" t="s">
        <v>18</v>
      </c>
      <c r="F2694" t="s">
        <v>416</v>
      </c>
      <c r="G2694">
        <v>822665536</v>
      </c>
      <c r="H2694" t="s">
        <v>861</v>
      </c>
      <c r="I2694">
        <v>3868</v>
      </c>
      <c r="J2694">
        <v>205.7</v>
      </c>
      <c r="K2694">
        <v>117.11</v>
      </c>
      <c r="L2694">
        <v>795647.6</v>
      </c>
      <c r="M2694">
        <v>452981.48</v>
      </c>
      <c r="N2694">
        <v>342666.12</v>
      </c>
    </row>
    <row r="2695" spans="1:14" x14ac:dyDescent="0.25">
      <c r="A2695" t="s">
        <v>29</v>
      </c>
      <c r="B2695" t="s">
        <v>271</v>
      </c>
      <c r="C2695" t="s">
        <v>44</v>
      </c>
      <c r="D2695" t="s">
        <v>22</v>
      </c>
      <c r="E2695" t="s">
        <v>45</v>
      </c>
      <c r="F2695" t="s">
        <v>232</v>
      </c>
      <c r="G2695">
        <v>918528544</v>
      </c>
      <c r="H2695" s="1">
        <v>41371</v>
      </c>
      <c r="I2695">
        <v>1863</v>
      </c>
      <c r="J2695">
        <v>109.28</v>
      </c>
      <c r="K2695">
        <v>35.840000000000003</v>
      </c>
      <c r="L2695">
        <v>203588.64</v>
      </c>
      <c r="M2695">
        <v>66769.919999999998</v>
      </c>
      <c r="N2695">
        <v>136818.72</v>
      </c>
    </row>
    <row r="2696" spans="1:14" x14ac:dyDescent="0.25">
      <c r="A2696" t="s">
        <v>38</v>
      </c>
      <c r="B2696" t="s">
        <v>58</v>
      </c>
      <c r="C2696" t="s">
        <v>16</v>
      </c>
      <c r="D2696" t="s">
        <v>22</v>
      </c>
      <c r="E2696" t="s">
        <v>45</v>
      </c>
      <c r="F2696" t="s">
        <v>1388</v>
      </c>
      <c r="G2696">
        <v>624555432</v>
      </c>
      <c r="H2696" s="1">
        <v>40787</v>
      </c>
      <c r="I2696">
        <v>8686</v>
      </c>
      <c r="J2696">
        <v>255.28</v>
      </c>
      <c r="K2696">
        <v>159.41999999999999</v>
      </c>
      <c r="L2696">
        <v>2217362.08</v>
      </c>
      <c r="M2696">
        <v>1384722.12</v>
      </c>
      <c r="N2696">
        <v>832639.96</v>
      </c>
    </row>
    <row r="2697" spans="1:14" x14ac:dyDescent="0.25">
      <c r="A2697" t="s">
        <v>42</v>
      </c>
      <c r="B2697" t="s">
        <v>290</v>
      </c>
      <c r="C2697" t="s">
        <v>88</v>
      </c>
      <c r="D2697" t="s">
        <v>17</v>
      </c>
      <c r="E2697" t="s">
        <v>45</v>
      </c>
      <c r="F2697" s="1">
        <v>40606</v>
      </c>
      <c r="G2697">
        <v>528295028</v>
      </c>
      <c r="H2697" s="1">
        <v>40637</v>
      </c>
      <c r="I2697">
        <v>3093</v>
      </c>
      <c r="J2697">
        <v>9.33</v>
      </c>
      <c r="K2697">
        <v>6.92</v>
      </c>
      <c r="L2697">
        <v>28857.69</v>
      </c>
      <c r="M2697">
        <v>21403.56</v>
      </c>
      <c r="N2697">
        <v>7454.13</v>
      </c>
    </row>
    <row r="2698" spans="1:14" x14ac:dyDescent="0.25">
      <c r="A2698" t="s">
        <v>25</v>
      </c>
      <c r="B2698" t="s">
        <v>74</v>
      </c>
      <c r="C2698" t="s">
        <v>131</v>
      </c>
      <c r="D2698" t="s">
        <v>17</v>
      </c>
      <c r="E2698" t="s">
        <v>45</v>
      </c>
      <c r="F2698" t="s">
        <v>1083</v>
      </c>
      <c r="G2698">
        <v>837608659</v>
      </c>
      <c r="H2698" s="1">
        <v>40944</v>
      </c>
      <c r="I2698">
        <v>5871</v>
      </c>
      <c r="J2698">
        <v>668.27</v>
      </c>
      <c r="K2698">
        <v>502.54</v>
      </c>
      <c r="L2698">
        <v>3923413.17</v>
      </c>
      <c r="M2698">
        <v>2950412.34</v>
      </c>
      <c r="N2698">
        <v>973000.83</v>
      </c>
    </row>
    <row r="2699" spans="1:14" x14ac:dyDescent="0.25">
      <c r="A2699" t="s">
        <v>25</v>
      </c>
      <c r="B2699" t="s">
        <v>266</v>
      </c>
      <c r="C2699" t="s">
        <v>69</v>
      </c>
      <c r="D2699" t="s">
        <v>17</v>
      </c>
      <c r="E2699" t="s">
        <v>32</v>
      </c>
      <c r="F2699" t="s">
        <v>574</v>
      </c>
      <c r="G2699">
        <v>930670154</v>
      </c>
      <c r="H2699" t="s">
        <v>439</v>
      </c>
      <c r="I2699">
        <v>4835</v>
      </c>
      <c r="J2699">
        <v>421.89</v>
      </c>
      <c r="K2699">
        <v>364.69</v>
      </c>
      <c r="L2699">
        <v>2039838.15</v>
      </c>
      <c r="M2699">
        <v>1763276.15</v>
      </c>
      <c r="N2699">
        <v>276562</v>
      </c>
    </row>
    <row r="2700" spans="1:14" x14ac:dyDescent="0.25">
      <c r="A2700" t="s">
        <v>14</v>
      </c>
      <c r="B2700" t="s">
        <v>213</v>
      </c>
      <c r="C2700" t="s">
        <v>44</v>
      </c>
      <c r="D2700" t="s">
        <v>17</v>
      </c>
      <c r="E2700" t="s">
        <v>32</v>
      </c>
      <c r="F2700" t="s">
        <v>1641</v>
      </c>
      <c r="G2700">
        <v>705965840</v>
      </c>
      <c r="H2700" s="1">
        <v>41800</v>
      </c>
      <c r="I2700">
        <v>9835</v>
      </c>
      <c r="J2700">
        <v>109.28</v>
      </c>
      <c r="K2700">
        <v>35.840000000000003</v>
      </c>
      <c r="L2700">
        <v>1074768.8</v>
      </c>
      <c r="M2700">
        <v>352486.40000000002</v>
      </c>
      <c r="N2700">
        <v>722282.4</v>
      </c>
    </row>
    <row r="2701" spans="1:14" x14ac:dyDescent="0.25">
      <c r="A2701" t="s">
        <v>38</v>
      </c>
      <c r="B2701" t="s">
        <v>288</v>
      </c>
      <c r="C2701" t="s">
        <v>69</v>
      </c>
      <c r="D2701" t="s">
        <v>22</v>
      </c>
      <c r="E2701" t="s">
        <v>45</v>
      </c>
      <c r="F2701" t="s">
        <v>1608</v>
      </c>
      <c r="G2701">
        <v>132294547</v>
      </c>
      <c r="H2701" s="1">
        <v>41913</v>
      </c>
      <c r="I2701">
        <v>7751</v>
      </c>
      <c r="J2701">
        <v>421.89</v>
      </c>
      <c r="K2701">
        <v>364.69</v>
      </c>
      <c r="L2701">
        <v>3270069.39</v>
      </c>
      <c r="M2701">
        <v>2826712.19</v>
      </c>
      <c r="N2701">
        <v>443357.2</v>
      </c>
    </row>
    <row r="2702" spans="1:14" x14ac:dyDescent="0.25">
      <c r="A2702" t="s">
        <v>51</v>
      </c>
      <c r="B2702" t="s">
        <v>593</v>
      </c>
      <c r="C2702" t="s">
        <v>131</v>
      </c>
      <c r="D2702" t="s">
        <v>22</v>
      </c>
      <c r="E2702" t="s">
        <v>23</v>
      </c>
      <c r="F2702" s="1">
        <v>42829</v>
      </c>
      <c r="G2702">
        <v>598767602</v>
      </c>
      <c r="H2702" t="s">
        <v>1642</v>
      </c>
      <c r="I2702">
        <v>7494</v>
      </c>
      <c r="J2702">
        <v>668.27</v>
      </c>
      <c r="K2702">
        <v>502.54</v>
      </c>
      <c r="L2702">
        <v>5008015.38</v>
      </c>
      <c r="M2702">
        <v>3766034.76</v>
      </c>
      <c r="N2702">
        <v>1241980.6200000001</v>
      </c>
    </row>
    <row r="2703" spans="1:14" x14ac:dyDescent="0.25">
      <c r="A2703" t="s">
        <v>29</v>
      </c>
      <c r="B2703" t="s">
        <v>153</v>
      </c>
      <c r="C2703" t="s">
        <v>31</v>
      </c>
      <c r="D2703" t="s">
        <v>22</v>
      </c>
      <c r="E2703" t="s">
        <v>23</v>
      </c>
      <c r="F2703" t="s">
        <v>391</v>
      </c>
      <c r="G2703">
        <v>864808833</v>
      </c>
      <c r="H2703" s="1">
        <v>42623</v>
      </c>
      <c r="I2703">
        <v>5007</v>
      </c>
      <c r="J2703">
        <v>205.7</v>
      </c>
      <c r="K2703">
        <v>117.11</v>
      </c>
      <c r="L2703">
        <v>1029939.9</v>
      </c>
      <c r="M2703">
        <v>586369.77</v>
      </c>
      <c r="N2703">
        <v>443570.13</v>
      </c>
    </row>
    <row r="2704" spans="1:14" x14ac:dyDescent="0.25">
      <c r="A2704" t="s">
        <v>42</v>
      </c>
      <c r="B2704" t="s">
        <v>103</v>
      </c>
      <c r="C2704" t="s">
        <v>69</v>
      </c>
      <c r="D2704" t="s">
        <v>22</v>
      </c>
      <c r="E2704" t="s">
        <v>32</v>
      </c>
      <c r="F2704" t="s">
        <v>644</v>
      </c>
      <c r="G2704">
        <v>210154569</v>
      </c>
      <c r="H2704" t="s">
        <v>411</v>
      </c>
      <c r="I2704">
        <v>8262</v>
      </c>
      <c r="J2704">
        <v>421.89</v>
      </c>
      <c r="K2704">
        <v>364.69</v>
      </c>
      <c r="L2704">
        <v>3485655.18</v>
      </c>
      <c r="M2704">
        <v>3013068.78</v>
      </c>
      <c r="N2704">
        <v>472586.4</v>
      </c>
    </row>
    <row r="2705" spans="1:14" x14ac:dyDescent="0.25">
      <c r="A2705" t="s">
        <v>25</v>
      </c>
      <c r="B2705" t="s">
        <v>211</v>
      </c>
      <c r="C2705" t="s">
        <v>44</v>
      </c>
      <c r="D2705" t="s">
        <v>22</v>
      </c>
      <c r="E2705" t="s">
        <v>45</v>
      </c>
      <c r="F2705" t="s">
        <v>673</v>
      </c>
      <c r="G2705">
        <v>684853637</v>
      </c>
      <c r="H2705" s="1">
        <v>40972</v>
      </c>
      <c r="I2705">
        <v>2265</v>
      </c>
      <c r="J2705">
        <v>109.28</v>
      </c>
      <c r="K2705">
        <v>35.840000000000003</v>
      </c>
      <c r="L2705">
        <v>247519.2</v>
      </c>
      <c r="M2705">
        <v>81177.600000000006</v>
      </c>
      <c r="N2705">
        <v>166341.6</v>
      </c>
    </row>
    <row r="2706" spans="1:14" x14ac:dyDescent="0.25">
      <c r="A2706" t="s">
        <v>77</v>
      </c>
      <c r="B2706" t="s">
        <v>794</v>
      </c>
      <c r="C2706" t="s">
        <v>88</v>
      </c>
      <c r="D2706" t="s">
        <v>22</v>
      </c>
      <c r="E2706" t="s">
        <v>18</v>
      </c>
      <c r="F2706" t="s">
        <v>690</v>
      </c>
      <c r="G2706">
        <v>359267365</v>
      </c>
      <c r="H2706" t="s">
        <v>520</v>
      </c>
      <c r="I2706">
        <v>4052</v>
      </c>
      <c r="J2706">
        <v>9.33</v>
      </c>
      <c r="K2706">
        <v>6.92</v>
      </c>
      <c r="L2706">
        <v>37805.160000000003</v>
      </c>
      <c r="M2706">
        <v>28039.84</v>
      </c>
      <c r="N2706">
        <v>9765.32</v>
      </c>
    </row>
    <row r="2707" spans="1:14" x14ac:dyDescent="0.25">
      <c r="A2707" t="s">
        <v>14</v>
      </c>
      <c r="B2707" t="s">
        <v>488</v>
      </c>
      <c r="C2707" t="s">
        <v>44</v>
      </c>
      <c r="D2707" t="s">
        <v>17</v>
      </c>
      <c r="E2707" t="s">
        <v>18</v>
      </c>
      <c r="F2707" t="s">
        <v>779</v>
      </c>
      <c r="G2707">
        <v>974069583</v>
      </c>
      <c r="H2707" s="1">
        <v>40884</v>
      </c>
      <c r="I2707">
        <v>7690</v>
      </c>
      <c r="J2707">
        <v>109.28</v>
      </c>
      <c r="K2707">
        <v>35.840000000000003</v>
      </c>
      <c r="L2707">
        <v>840363.2</v>
      </c>
      <c r="M2707">
        <v>275609.59999999998</v>
      </c>
      <c r="N2707">
        <v>564753.6</v>
      </c>
    </row>
    <row r="2708" spans="1:14" x14ac:dyDescent="0.25">
      <c r="A2708" t="s">
        <v>42</v>
      </c>
      <c r="B2708" t="s">
        <v>361</v>
      </c>
      <c r="C2708" t="s">
        <v>69</v>
      </c>
      <c r="D2708" t="s">
        <v>22</v>
      </c>
      <c r="E2708" t="s">
        <v>23</v>
      </c>
      <c r="F2708" s="1">
        <v>41549</v>
      </c>
      <c r="G2708">
        <v>290246617</v>
      </c>
      <c r="H2708" t="s">
        <v>849</v>
      </c>
      <c r="I2708">
        <v>9279</v>
      </c>
      <c r="J2708">
        <v>421.89</v>
      </c>
      <c r="K2708">
        <v>364.69</v>
      </c>
      <c r="L2708">
        <v>3914717.31</v>
      </c>
      <c r="M2708">
        <v>3383958.51</v>
      </c>
      <c r="N2708">
        <v>530758.80000000005</v>
      </c>
    </row>
    <row r="2709" spans="1:14" x14ac:dyDescent="0.25">
      <c r="A2709" t="s">
        <v>38</v>
      </c>
      <c r="B2709" t="s">
        <v>83</v>
      </c>
      <c r="C2709" t="s">
        <v>31</v>
      </c>
      <c r="D2709" t="s">
        <v>17</v>
      </c>
      <c r="E2709" t="s">
        <v>45</v>
      </c>
      <c r="F2709" s="1">
        <v>41007</v>
      </c>
      <c r="G2709">
        <v>639097297</v>
      </c>
      <c r="H2709" s="1">
        <v>41130</v>
      </c>
      <c r="I2709">
        <v>1947</v>
      </c>
      <c r="J2709">
        <v>205.7</v>
      </c>
      <c r="K2709">
        <v>117.11</v>
      </c>
      <c r="L2709">
        <v>400497.9</v>
      </c>
      <c r="M2709">
        <v>228013.17</v>
      </c>
      <c r="N2709">
        <v>172484.73</v>
      </c>
    </row>
    <row r="2710" spans="1:14" x14ac:dyDescent="0.25">
      <c r="A2710" t="s">
        <v>42</v>
      </c>
      <c r="B2710" t="s">
        <v>90</v>
      </c>
      <c r="C2710" t="s">
        <v>131</v>
      </c>
      <c r="D2710" t="s">
        <v>17</v>
      </c>
      <c r="E2710" t="s">
        <v>23</v>
      </c>
      <c r="F2710" t="s">
        <v>1482</v>
      </c>
      <c r="G2710">
        <v>372232949</v>
      </c>
      <c r="H2710" t="s">
        <v>1345</v>
      </c>
      <c r="I2710">
        <v>856</v>
      </c>
      <c r="J2710">
        <v>668.27</v>
      </c>
      <c r="K2710">
        <v>502.54</v>
      </c>
      <c r="L2710">
        <v>572039.12</v>
      </c>
      <c r="M2710">
        <v>430174.24</v>
      </c>
      <c r="N2710">
        <v>141864.88</v>
      </c>
    </row>
    <row r="2711" spans="1:14" x14ac:dyDescent="0.25">
      <c r="A2711" t="s">
        <v>38</v>
      </c>
      <c r="B2711" t="s">
        <v>156</v>
      </c>
      <c r="C2711" t="s">
        <v>131</v>
      </c>
      <c r="D2711" t="s">
        <v>17</v>
      </c>
      <c r="E2711" t="s">
        <v>32</v>
      </c>
      <c r="F2711" s="1">
        <v>42224</v>
      </c>
      <c r="G2711">
        <v>611577403</v>
      </c>
      <c r="H2711" t="s">
        <v>1635</v>
      </c>
      <c r="I2711">
        <v>8199</v>
      </c>
      <c r="J2711">
        <v>668.27</v>
      </c>
      <c r="K2711">
        <v>502.54</v>
      </c>
      <c r="L2711">
        <v>5479145.7300000004</v>
      </c>
      <c r="M2711">
        <v>4120325.46</v>
      </c>
      <c r="N2711">
        <v>1358820.27</v>
      </c>
    </row>
    <row r="2712" spans="1:14" x14ac:dyDescent="0.25">
      <c r="A2712" t="s">
        <v>51</v>
      </c>
      <c r="B2712" t="s">
        <v>575</v>
      </c>
      <c r="C2712" t="s">
        <v>16</v>
      </c>
      <c r="D2712" t="s">
        <v>22</v>
      </c>
      <c r="E2712" t="s">
        <v>18</v>
      </c>
      <c r="F2712" t="s">
        <v>1148</v>
      </c>
      <c r="G2712">
        <v>299366986</v>
      </c>
      <c r="H2712" s="1">
        <v>41913</v>
      </c>
      <c r="I2712">
        <v>8199</v>
      </c>
      <c r="J2712">
        <v>255.28</v>
      </c>
      <c r="K2712">
        <v>159.41999999999999</v>
      </c>
      <c r="L2712">
        <v>2093040.72</v>
      </c>
      <c r="M2712">
        <v>1307084.58</v>
      </c>
      <c r="N2712">
        <v>785956.14</v>
      </c>
    </row>
    <row r="2713" spans="1:14" x14ac:dyDescent="0.25">
      <c r="A2713" t="s">
        <v>51</v>
      </c>
      <c r="B2713" t="s">
        <v>210</v>
      </c>
      <c r="C2713" t="s">
        <v>21</v>
      </c>
      <c r="D2713" t="s">
        <v>17</v>
      </c>
      <c r="E2713" t="s">
        <v>45</v>
      </c>
      <c r="F2713" t="s">
        <v>1596</v>
      </c>
      <c r="G2713">
        <v>248150527</v>
      </c>
      <c r="H2713" s="1">
        <v>41983</v>
      </c>
      <c r="I2713">
        <v>2110</v>
      </c>
      <c r="J2713">
        <v>152.58000000000001</v>
      </c>
      <c r="K2713">
        <v>97.44</v>
      </c>
      <c r="L2713">
        <v>321943.8</v>
      </c>
      <c r="M2713">
        <v>205598.4</v>
      </c>
      <c r="N2713">
        <v>116345.4</v>
      </c>
    </row>
    <row r="2714" spans="1:14" x14ac:dyDescent="0.25">
      <c r="A2714" t="s">
        <v>14</v>
      </c>
      <c r="B2714" t="s">
        <v>15</v>
      </c>
      <c r="C2714" t="s">
        <v>88</v>
      </c>
      <c r="D2714" t="s">
        <v>17</v>
      </c>
      <c r="E2714" t="s">
        <v>45</v>
      </c>
      <c r="F2714" s="1">
        <v>40517</v>
      </c>
      <c r="G2714">
        <v>890789353</v>
      </c>
      <c r="H2714" t="s">
        <v>686</v>
      </c>
      <c r="I2714">
        <v>3220</v>
      </c>
      <c r="J2714">
        <v>9.33</v>
      </c>
      <c r="K2714">
        <v>6.92</v>
      </c>
      <c r="L2714">
        <v>30042.6</v>
      </c>
      <c r="M2714">
        <v>22282.400000000001</v>
      </c>
      <c r="N2714">
        <v>7760.2</v>
      </c>
    </row>
    <row r="2715" spans="1:14" x14ac:dyDescent="0.25">
      <c r="A2715" t="s">
        <v>25</v>
      </c>
      <c r="B2715" t="s">
        <v>96</v>
      </c>
      <c r="C2715" t="s">
        <v>31</v>
      </c>
      <c r="D2715" t="s">
        <v>22</v>
      </c>
      <c r="E2715" t="s">
        <v>45</v>
      </c>
      <c r="F2715" t="s">
        <v>633</v>
      </c>
      <c r="G2715">
        <v>930457293</v>
      </c>
      <c r="H2715" t="s">
        <v>1309</v>
      </c>
      <c r="I2715">
        <v>1845</v>
      </c>
      <c r="J2715">
        <v>205.7</v>
      </c>
      <c r="K2715">
        <v>117.11</v>
      </c>
      <c r="L2715">
        <v>379516.5</v>
      </c>
      <c r="M2715">
        <v>216067.95</v>
      </c>
      <c r="N2715">
        <v>163448.54999999999</v>
      </c>
    </row>
    <row r="2716" spans="1:14" x14ac:dyDescent="0.25">
      <c r="A2716" t="s">
        <v>51</v>
      </c>
      <c r="B2716" t="s">
        <v>274</v>
      </c>
      <c r="C2716" t="s">
        <v>31</v>
      </c>
      <c r="D2716" t="s">
        <v>17</v>
      </c>
      <c r="E2716" t="s">
        <v>18</v>
      </c>
      <c r="F2716" t="s">
        <v>1643</v>
      </c>
      <c r="G2716">
        <v>490640676</v>
      </c>
      <c r="H2716" t="s">
        <v>1246</v>
      </c>
      <c r="I2716">
        <v>334</v>
      </c>
      <c r="J2716">
        <v>205.7</v>
      </c>
      <c r="K2716">
        <v>117.11</v>
      </c>
      <c r="L2716">
        <v>68703.8</v>
      </c>
      <c r="M2716">
        <v>39114.74</v>
      </c>
      <c r="N2716">
        <v>29589.06</v>
      </c>
    </row>
    <row r="2717" spans="1:14" x14ac:dyDescent="0.25">
      <c r="A2717" t="s">
        <v>51</v>
      </c>
      <c r="B2717" t="s">
        <v>182</v>
      </c>
      <c r="C2717" t="s">
        <v>88</v>
      </c>
      <c r="D2717" t="s">
        <v>17</v>
      </c>
      <c r="E2717" t="s">
        <v>45</v>
      </c>
      <c r="F2717" t="s">
        <v>1644</v>
      </c>
      <c r="G2717">
        <v>665138328</v>
      </c>
      <c r="H2717" t="s">
        <v>904</v>
      </c>
      <c r="I2717">
        <v>8067</v>
      </c>
      <c r="J2717">
        <v>9.33</v>
      </c>
      <c r="K2717">
        <v>6.92</v>
      </c>
      <c r="L2717">
        <v>75265.11</v>
      </c>
      <c r="M2717">
        <v>55823.64</v>
      </c>
      <c r="N2717">
        <v>19441.47</v>
      </c>
    </row>
    <row r="2718" spans="1:14" x14ac:dyDescent="0.25">
      <c r="A2718" t="s">
        <v>14</v>
      </c>
      <c r="B2718" t="s">
        <v>372</v>
      </c>
      <c r="C2718" t="s">
        <v>16</v>
      </c>
      <c r="D2718" t="s">
        <v>17</v>
      </c>
      <c r="E2718" t="s">
        <v>18</v>
      </c>
      <c r="F2718" t="s">
        <v>1229</v>
      </c>
      <c r="G2718">
        <v>368061578</v>
      </c>
      <c r="H2718" s="1">
        <v>40697</v>
      </c>
      <c r="I2718">
        <v>6455</v>
      </c>
      <c r="J2718">
        <v>255.28</v>
      </c>
      <c r="K2718">
        <v>159.41999999999999</v>
      </c>
      <c r="L2718">
        <v>1647832.4</v>
      </c>
      <c r="M2718">
        <v>1029056.1</v>
      </c>
      <c r="N2718">
        <v>618776.30000000005</v>
      </c>
    </row>
    <row r="2719" spans="1:14" x14ac:dyDescent="0.25">
      <c r="A2719" t="s">
        <v>14</v>
      </c>
      <c r="B2719" t="s">
        <v>64</v>
      </c>
      <c r="C2719" t="s">
        <v>59</v>
      </c>
      <c r="D2719" t="s">
        <v>22</v>
      </c>
      <c r="E2719" t="s">
        <v>18</v>
      </c>
      <c r="F2719" t="s">
        <v>1424</v>
      </c>
      <c r="G2719">
        <v>383834254</v>
      </c>
      <c r="H2719" t="s">
        <v>1543</v>
      </c>
      <c r="I2719">
        <v>3940</v>
      </c>
      <c r="J2719">
        <v>437.2</v>
      </c>
      <c r="K2719">
        <v>263.33</v>
      </c>
      <c r="L2719">
        <v>1722568</v>
      </c>
      <c r="M2719">
        <v>1037520.2</v>
      </c>
      <c r="N2719">
        <v>685047.8</v>
      </c>
    </row>
    <row r="2720" spans="1:14" x14ac:dyDescent="0.25">
      <c r="A2720" t="s">
        <v>51</v>
      </c>
      <c r="B2720" t="s">
        <v>575</v>
      </c>
      <c r="C2720" t="s">
        <v>59</v>
      </c>
      <c r="D2720" t="s">
        <v>22</v>
      </c>
      <c r="E2720" t="s">
        <v>23</v>
      </c>
      <c r="F2720" t="s">
        <v>1052</v>
      </c>
      <c r="G2720">
        <v>217192685</v>
      </c>
      <c r="H2720" t="s">
        <v>1052</v>
      </c>
      <c r="I2720">
        <v>997</v>
      </c>
      <c r="J2720">
        <v>437.2</v>
      </c>
      <c r="K2720">
        <v>263.33</v>
      </c>
      <c r="L2720">
        <v>435888.4</v>
      </c>
      <c r="M2720">
        <v>262540.01</v>
      </c>
      <c r="N2720">
        <v>173348.39</v>
      </c>
    </row>
    <row r="2721" spans="1:14" x14ac:dyDescent="0.25">
      <c r="A2721" t="s">
        <v>25</v>
      </c>
      <c r="B2721" t="s">
        <v>87</v>
      </c>
      <c r="C2721" t="s">
        <v>55</v>
      </c>
      <c r="D2721" t="s">
        <v>22</v>
      </c>
      <c r="E2721" t="s">
        <v>45</v>
      </c>
      <c r="F2721" s="1">
        <v>41458</v>
      </c>
      <c r="G2721">
        <v>343185698</v>
      </c>
      <c r="H2721" t="s">
        <v>1475</v>
      </c>
      <c r="I2721">
        <v>5129</v>
      </c>
      <c r="J2721">
        <v>651.21</v>
      </c>
      <c r="K2721">
        <v>524.96</v>
      </c>
      <c r="L2721">
        <v>3340056.09</v>
      </c>
      <c r="M2721">
        <v>2692519.84</v>
      </c>
      <c r="N2721">
        <v>647536.25</v>
      </c>
    </row>
    <row r="2722" spans="1:14" x14ac:dyDescent="0.25">
      <c r="A2722" t="s">
        <v>14</v>
      </c>
      <c r="B2722" t="s">
        <v>433</v>
      </c>
      <c r="C2722" t="s">
        <v>113</v>
      </c>
      <c r="D2722" t="s">
        <v>17</v>
      </c>
      <c r="E2722" t="s">
        <v>32</v>
      </c>
      <c r="F2722" s="1">
        <v>41890</v>
      </c>
      <c r="G2722">
        <v>857174623</v>
      </c>
      <c r="H2722" t="s">
        <v>1147</v>
      </c>
      <c r="I2722">
        <v>5874</v>
      </c>
      <c r="J2722">
        <v>154.06</v>
      </c>
      <c r="K2722">
        <v>90.93</v>
      </c>
      <c r="L2722">
        <v>904948.44</v>
      </c>
      <c r="M2722">
        <v>534122.81999999995</v>
      </c>
      <c r="N2722">
        <v>370825.62</v>
      </c>
    </row>
    <row r="2723" spans="1:14" x14ac:dyDescent="0.25">
      <c r="A2723" t="s">
        <v>38</v>
      </c>
      <c r="B2723" t="s">
        <v>1268</v>
      </c>
      <c r="C2723" t="s">
        <v>88</v>
      </c>
      <c r="D2723" t="s">
        <v>22</v>
      </c>
      <c r="E2723" t="s">
        <v>23</v>
      </c>
      <c r="F2723" s="1">
        <v>40300</v>
      </c>
      <c r="G2723">
        <v>124833285</v>
      </c>
      <c r="H2723" s="1">
        <v>40453</v>
      </c>
      <c r="I2723">
        <v>9798</v>
      </c>
      <c r="J2723">
        <v>9.33</v>
      </c>
      <c r="K2723">
        <v>6.92</v>
      </c>
      <c r="L2723">
        <v>91415.34</v>
      </c>
      <c r="M2723">
        <v>67802.16</v>
      </c>
      <c r="N2723">
        <v>23613.18</v>
      </c>
    </row>
    <row r="2724" spans="1:14" x14ac:dyDescent="0.25">
      <c r="A2724" t="s">
        <v>51</v>
      </c>
      <c r="B2724" t="s">
        <v>194</v>
      </c>
      <c r="C2724" t="s">
        <v>88</v>
      </c>
      <c r="D2724" t="s">
        <v>22</v>
      </c>
      <c r="E2724" t="s">
        <v>32</v>
      </c>
      <c r="F2724" t="s">
        <v>1155</v>
      </c>
      <c r="G2724">
        <v>632148015</v>
      </c>
      <c r="H2724" t="s">
        <v>982</v>
      </c>
      <c r="I2724">
        <v>5500</v>
      </c>
      <c r="J2724">
        <v>9.33</v>
      </c>
      <c r="K2724">
        <v>6.92</v>
      </c>
      <c r="L2724">
        <v>51315</v>
      </c>
      <c r="M2724">
        <v>38060</v>
      </c>
      <c r="N2724">
        <v>13255</v>
      </c>
    </row>
    <row r="2725" spans="1:14" x14ac:dyDescent="0.25">
      <c r="A2725" t="s">
        <v>29</v>
      </c>
      <c r="B2725" t="s">
        <v>440</v>
      </c>
      <c r="C2725" t="s">
        <v>131</v>
      </c>
      <c r="D2725" t="s">
        <v>17</v>
      </c>
      <c r="E2725" t="s">
        <v>18</v>
      </c>
      <c r="F2725" t="s">
        <v>539</v>
      </c>
      <c r="G2725">
        <v>435417640</v>
      </c>
      <c r="H2725" t="s">
        <v>1645</v>
      </c>
      <c r="I2725">
        <v>8610</v>
      </c>
      <c r="J2725">
        <v>668.27</v>
      </c>
      <c r="K2725">
        <v>502.54</v>
      </c>
      <c r="L2725">
        <v>5753804.7000000002</v>
      </c>
      <c r="M2725">
        <v>4326869.4000000004</v>
      </c>
      <c r="N2725">
        <v>1426935.3</v>
      </c>
    </row>
    <row r="2726" spans="1:14" x14ac:dyDescent="0.25">
      <c r="A2726" t="s">
        <v>42</v>
      </c>
      <c r="B2726" t="s">
        <v>146</v>
      </c>
      <c r="C2726" t="s">
        <v>55</v>
      </c>
      <c r="D2726" t="s">
        <v>22</v>
      </c>
      <c r="E2726" t="s">
        <v>32</v>
      </c>
      <c r="F2726" t="s">
        <v>1646</v>
      </c>
      <c r="G2726">
        <v>811253488</v>
      </c>
      <c r="H2726" t="s">
        <v>1537</v>
      </c>
      <c r="I2726">
        <v>6790</v>
      </c>
      <c r="J2726">
        <v>651.21</v>
      </c>
      <c r="K2726">
        <v>524.96</v>
      </c>
      <c r="L2726">
        <v>4421715.9000000004</v>
      </c>
      <c r="M2726">
        <v>3564478.4</v>
      </c>
      <c r="N2726">
        <v>857237.5</v>
      </c>
    </row>
    <row r="2727" spans="1:14" x14ac:dyDescent="0.25">
      <c r="A2727" t="s">
        <v>14</v>
      </c>
      <c r="B2727" t="s">
        <v>370</v>
      </c>
      <c r="C2727" t="s">
        <v>69</v>
      </c>
      <c r="D2727" t="s">
        <v>17</v>
      </c>
      <c r="E2727" t="s">
        <v>32</v>
      </c>
      <c r="F2727" s="1">
        <v>42125</v>
      </c>
      <c r="G2727">
        <v>406579387</v>
      </c>
      <c r="H2727" t="s">
        <v>803</v>
      </c>
      <c r="I2727">
        <v>4730</v>
      </c>
      <c r="J2727">
        <v>421.89</v>
      </c>
      <c r="K2727">
        <v>364.69</v>
      </c>
      <c r="L2727">
        <v>1995539.7</v>
      </c>
      <c r="M2727">
        <v>1724983.7</v>
      </c>
      <c r="N2727">
        <v>270556</v>
      </c>
    </row>
    <row r="2728" spans="1:14" x14ac:dyDescent="0.25">
      <c r="A2728" t="s">
        <v>38</v>
      </c>
      <c r="B2728" t="s">
        <v>527</v>
      </c>
      <c r="C2728" t="s">
        <v>44</v>
      </c>
      <c r="D2728" t="s">
        <v>17</v>
      </c>
      <c r="E2728" t="s">
        <v>45</v>
      </c>
      <c r="F2728" t="s">
        <v>948</v>
      </c>
      <c r="G2728">
        <v>188631665</v>
      </c>
      <c r="H2728" t="s">
        <v>1093</v>
      </c>
      <c r="I2728">
        <v>9156</v>
      </c>
      <c r="J2728">
        <v>109.28</v>
      </c>
      <c r="K2728">
        <v>35.840000000000003</v>
      </c>
      <c r="L2728">
        <v>1000567.68</v>
      </c>
      <c r="M2728">
        <v>328151.03999999998</v>
      </c>
      <c r="N2728">
        <v>672416.64</v>
      </c>
    </row>
    <row r="2729" spans="1:14" x14ac:dyDescent="0.25">
      <c r="A2729" t="s">
        <v>38</v>
      </c>
      <c r="B2729" t="s">
        <v>117</v>
      </c>
      <c r="C2729" t="s">
        <v>59</v>
      </c>
      <c r="D2729" t="s">
        <v>17</v>
      </c>
      <c r="E2729" t="s">
        <v>23</v>
      </c>
      <c r="F2729" t="s">
        <v>1501</v>
      </c>
      <c r="G2729">
        <v>294959151</v>
      </c>
      <c r="H2729" t="s">
        <v>1647</v>
      </c>
      <c r="I2729">
        <v>3822</v>
      </c>
      <c r="J2729">
        <v>437.2</v>
      </c>
      <c r="K2729">
        <v>263.33</v>
      </c>
      <c r="L2729">
        <v>1670978.4</v>
      </c>
      <c r="M2729">
        <v>1006447.26</v>
      </c>
      <c r="N2729">
        <v>664531.14</v>
      </c>
    </row>
    <row r="2730" spans="1:14" x14ac:dyDescent="0.25">
      <c r="A2730" t="s">
        <v>42</v>
      </c>
      <c r="B2730" t="s">
        <v>174</v>
      </c>
      <c r="C2730" t="s">
        <v>113</v>
      </c>
      <c r="D2730" t="s">
        <v>17</v>
      </c>
      <c r="E2730" t="s">
        <v>23</v>
      </c>
      <c r="F2730" t="s">
        <v>496</v>
      </c>
      <c r="G2730">
        <v>483423173</v>
      </c>
      <c r="H2730" t="s">
        <v>180</v>
      </c>
      <c r="I2730">
        <v>4514</v>
      </c>
      <c r="J2730">
        <v>154.06</v>
      </c>
      <c r="K2730">
        <v>90.93</v>
      </c>
      <c r="L2730">
        <v>695426.84</v>
      </c>
      <c r="M2730">
        <v>410458.02</v>
      </c>
      <c r="N2730">
        <v>284968.82</v>
      </c>
    </row>
    <row r="2731" spans="1:14" x14ac:dyDescent="0.25">
      <c r="A2731" t="s">
        <v>38</v>
      </c>
      <c r="B2731" t="s">
        <v>527</v>
      </c>
      <c r="C2731" t="s">
        <v>31</v>
      </c>
      <c r="D2731" t="s">
        <v>22</v>
      </c>
      <c r="E2731" t="s">
        <v>18</v>
      </c>
      <c r="F2731" s="1">
        <v>40278</v>
      </c>
      <c r="G2731">
        <v>582197558</v>
      </c>
      <c r="H2731" t="s">
        <v>1419</v>
      </c>
      <c r="I2731">
        <v>4050</v>
      </c>
      <c r="J2731">
        <v>205.7</v>
      </c>
      <c r="K2731">
        <v>117.11</v>
      </c>
      <c r="L2731">
        <v>833085</v>
      </c>
      <c r="M2731">
        <v>474295.5</v>
      </c>
      <c r="N2731">
        <v>358789.5</v>
      </c>
    </row>
    <row r="2732" spans="1:14" x14ac:dyDescent="0.25">
      <c r="A2732" t="s">
        <v>51</v>
      </c>
      <c r="B2732" t="s">
        <v>250</v>
      </c>
      <c r="C2732" t="s">
        <v>21</v>
      </c>
      <c r="D2732" t="s">
        <v>17</v>
      </c>
      <c r="E2732" t="s">
        <v>45</v>
      </c>
      <c r="F2732" s="1">
        <v>41426</v>
      </c>
      <c r="G2732">
        <v>939768636</v>
      </c>
      <c r="H2732" s="1">
        <v>41549</v>
      </c>
      <c r="I2732">
        <v>7278</v>
      </c>
      <c r="J2732">
        <v>152.58000000000001</v>
      </c>
      <c r="K2732">
        <v>97.44</v>
      </c>
      <c r="L2732">
        <v>1110477.24</v>
      </c>
      <c r="M2732">
        <v>709168.32</v>
      </c>
      <c r="N2732">
        <v>401308.92</v>
      </c>
    </row>
    <row r="2733" spans="1:14" x14ac:dyDescent="0.25">
      <c r="A2733" t="s">
        <v>25</v>
      </c>
      <c r="B2733" t="s">
        <v>418</v>
      </c>
      <c r="C2733" t="s">
        <v>59</v>
      </c>
      <c r="D2733" t="s">
        <v>17</v>
      </c>
      <c r="E2733" t="s">
        <v>18</v>
      </c>
      <c r="F2733" t="s">
        <v>1369</v>
      </c>
      <c r="G2733">
        <v>174935233</v>
      </c>
      <c r="H2733" t="s">
        <v>1133</v>
      </c>
      <c r="I2733">
        <v>6078</v>
      </c>
      <c r="J2733">
        <v>437.2</v>
      </c>
      <c r="K2733">
        <v>263.33</v>
      </c>
      <c r="L2733">
        <v>2657301.6</v>
      </c>
      <c r="M2733">
        <v>1600519.74</v>
      </c>
      <c r="N2733">
        <v>1056781.8600000001</v>
      </c>
    </row>
    <row r="2734" spans="1:14" x14ac:dyDescent="0.25">
      <c r="A2734" t="s">
        <v>38</v>
      </c>
      <c r="B2734" t="s">
        <v>388</v>
      </c>
      <c r="C2734" t="s">
        <v>69</v>
      </c>
      <c r="D2734" t="s">
        <v>17</v>
      </c>
      <c r="E2734" t="s">
        <v>45</v>
      </c>
      <c r="F2734" t="s">
        <v>1351</v>
      </c>
      <c r="G2734">
        <v>126808679</v>
      </c>
      <c r="H2734" t="s">
        <v>760</v>
      </c>
      <c r="I2734">
        <v>4361</v>
      </c>
      <c r="J2734">
        <v>421.89</v>
      </c>
      <c r="K2734">
        <v>364.69</v>
      </c>
      <c r="L2734">
        <v>1839862.29</v>
      </c>
      <c r="M2734">
        <v>1590413.09</v>
      </c>
      <c r="N2734">
        <v>249449.2</v>
      </c>
    </row>
    <row r="2735" spans="1:14" x14ac:dyDescent="0.25">
      <c r="A2735" t="s">
        <v>25</v>
      </c>
      <c r="B2735" t="s">
        <v>752</v>
      </c>
      <c r="C2735" t="s">
        <v>88</v>
      </c>
      <c r="D2735" t="s">
        <v>22</v>
      </c>
      <c r="E2735" t="s">
        <v>18</v>
      </c>
      <c r="F2735" s="1">
        <v>40796</v>
      </c>
      <c r="G2735">
        <v>904812800</v>
      </c>
      <c r="H2735" t="s">
        <v>173</v>
      </c>
      <c r="I2735">
        <v>3069</v>
      </c>
      <c r="J2735">
        <v>9.33</v>
      </c>
      <c r="K2735">
        <v>6.92</v>
      </c>
      <c r="L2735">
        <v>28633.77</v>
      </c>
      <c r="M2735">
        <v>21237.48</v>
      </c>
      <c r="N2735">
        <v>7396.29</v>
      </c>
    </row>
    <row r="2736" spans="1:14" x14ac:dyDescent="0.25">
      <c r="A2736" t="s">
        <v>25</v>
      </c>
      <c r="B2736" t="s">
        <v>752</v>
      </c>
      <c r="C2736" t="s">
        <v>40</v>
      </c>
      <c r="D2736" t="s">
        <v>17</v>
      </c>
      <c r="E2736" t="s">
        <v>32</v>
      </c>
      <c r="F2736" t="s">
        <v>1547</v>
      </c>
      <c r="G2736">
        <v>438683927</v>
      </c>
      <c r="H2736" t="s">
        <v>1259</v>
      </c>
      <c r="I2736">
        <v>5177</v>
      </c>
      <c r="J2736">
        <v>81.73</v>
      </c>
      <c r="K2736">
        <v>56.67</v>
      </c>
      <c r="L2736">
        <v>423116.21</v>
      </c>
      <c r="M2736">
        <v>293380.59000000003</v>
      </c>
      <c r="N2736">
        <v>129735.62</v>
      </c>
    </row>
    <row r="2737" spans="1:14" x14ac:dyDescent="0.25">
      <c r="A2737" t="s">
        <v>51</v>
      </c>
      <c r="B2737" t="s">
        <v>525</v>
      </c>
      <c r="C2737" t="s">
        <v>21</v>
      </c>
      <c r="D2737" t="s">
        <v>17</v>
      </c>
      <c r="E2737" t="s">
        <v>45</v>
      </c>
      <c r="F2737" t="s">
        <v>640</v>
      </c>
      <c r="G2737">
        <v>328470885</v>
      </c>
      <c r="H2737" s="1">
        <v>41614</v>
      </c>
      <c r="I2737">
        <v>689</v>
      </c>
      <c r="J2737">
        <v>152.58000000000001</v>
      </c>
      <c r="K2737">
        <v>97.44</v>
      </c>
      <c r="L2737">
        <v>105127.62</v>
      </c>
      <c r="M2737">
        <v>67136.160000000003</v>
      </c>
      <c r="N2737">
        <v>37991.46</v>
      </c>
    </row>
    <row r="2738" spans="1:14" x14ac:dyDescent="0.25">
      <c r="A2738" t="s">
        <v>51</v>
      </c>
      <c r="B2738" t="s">
        <v>299</v>
      </c>
      <c r="C2738" t="s">
        <v>16</v>
      </c>
      <c r="D2738" t="s">
        <v>22</v>
      </c>
      <c r="E2738" t="s">
        <v>18</v>
      </c>
      <c r="F2738" t="s">
        <v>1646</v>
      </c>
      <c r="G2738">
        <v>894535005</v>
      </c>
      <c r="H2738" s="1">
        <v>40978</v>
      </c>
      <c r="I2738">
        <v>1641</v>
      </c>
      <c r="J2738">
        <v>255.28</v>
      </c>
      <c r="K2738">
        <v>159.41999999999999</v>
      </c>
      <c r="L2738">
        <v>418914.48</v>
      </c>
      <c r="M2738">
        <v>261608.22</v>
      </c>
      <c r="N2738">
        <v>157306.26</v>
      </c>
    </row>
    <row r="2739" spans="1:14" x14ac:dyDescent="0.25">
      <c r="A2739" t="s">
        <v>51</v>
      </c>
      <c r="B2739" t="s">
        <v>417</v>
      </c>
      <c r="C2739" t="s">
        <v>88</v>
      </c>
      <c r="D2739" t="s">
        <v>17</v>
      </c>
      <c r="E2739" t="s">
        <v>32</v>
      </c>
      <c r="F2739" s="1">
        <v>42860</v>
      </c>
      <c r="G2739">
        <v>727550113</v>
      </c>
      <c r="H2739" t="s">
        <v>1648</v>
      </c>
      <c r="I2739">
        <v>7101</v>
      </c>
      <c r="J2739">
        <v>9.33</v>
      </c>
      <c r="K2739">
        <v>6.92</v>
      </c>
      <c r="L2739">
        <v>66252.33</v>
      </c>
      <c r="M2739">
        <v>49138.92</v>
      </c>
      <c r="N2739">
        <v>17113.41</v>
      </c>
    </row>
    <row r="2740" spans="1:14" x14ac:dyDescent="0.25">
      <c r="A2740" t="s">
        <v>42</v>
      </c>
      <c r="B2740" t="s">
        <v>103</v>
      </c>
      <c r="C2740" t="s">
        <v>55</v>
      </c>
      <c r="D2740" t="s">
        <v>17</v>
      </c>
      <c r="E2740" t="s">
        <v>23</v>
      </c>
      <c r="F2740" t="s">
        <v>1475</v>
      </c>
      <c r="G2740">
        <v>738502538</v>
      </c>
      <c r="H2740" t="s">
        <v>385</v>
      </c>
      <c r="I2740">
        <v>8167</v>
      </c>
      <c r="J2740">
        <v>651.21</v>
      </c>
      <c r="K2740">
        <v>524.96</v>
      </c>
      <c r="L2740">
        <v>5318432.07</v>
      </c>
      <c r="M2740">
        <v>4287348.32</v>
      </c>
      <c r="N2740">
        <v>1031083.75</v>
      </c>
    </row>
    <row r="2741" spans="1:14" x14ac:dyDescent="0.25">
      <c r="A2741" t="s">
        <v>42</v>
      </c>
      <c r="B2741" t="s">
        <v>681</v>
      </c>
      <c r="C2741" t="s">
        <v>55</v>
      </c>
      <c r="D2741" t="s">
        <v>22</v>
      </c>
      <c r="E2741" t="s">
        <v>23</v>
      </c>
      <c r="F2741" s="1">
        <v>41977</v>
      </c>
      <c r="G2741">
        <v>108691108</v>
      </c>
      <c r="H2741" t="s">
        <v>1085</v>
      </c>
      <c r="I2741">
        <v>2969</v>
      </c>
      <c r="J2741">
        <v>651.21</v>
      </c>
      <c r="K2741">
        <v>524.96</v>
      </c>
      <c r="L2741">
        <v>1933442.49</v>
      </c>
      <c r="M2741">
        <v>1558606.24</v>
      </c>
      <c r="N2741">
        <v>374836.25</v>
      </c>
    </row>
    <row r="2742" spans="1:14" x14ac:dyDescent="0.25">
      <c r="A2742" t="s">
        <v>14</v>
      </c>
      <c r="B2742" t="s">
        <v>432</v>
      </c>
      <c r="C2742" t="s">
        <v>59</v>
      </c>
      <c r="D2742" t="s">
        <v>17</v>
      </c>
      <c r="E2742" t="s">
        <v>23</v>
      </c>
      <c r="F2742" t="s">
        <v>111</v>
      </c>
      <c r="G2742">
        <v>339727151</v>
      </c>
      <c r="H2742" t="s">
        <v>987</v>
      </c>
      <c r="I2742">
        <v>1668</v>
      </c>
      <c r="J2742">
        <v>437.2</v>
      </c>
      <c r="K2742">
        <v>263.33</v>
      </c>
      <c r="L2742">
        <v>729249.6</v>
      </c>
      <c r="M2742">
        <v>439234.44</v>
      </c>
      <c r="N2742">
        <v>290015.15999999997</v>
      </c>
    </row>
    <row r="2743" spans="1:14" x14ac:dyDescent="0.25">
      <c r="A2743" t="s">
        <v>25</v>
      </c>
      <c r="B2743" t="s">
        <v>533</v>
      </c>
      <c r="C2743" t="s">
        <v>88</v>
      </c>
      <c r="D2743" t="s">
        <v>22</v>
      </c>
      <c r="E2743" t="s">
        <v>45</v>
      </c>
      <c r="F2743" t="s">
        <v>771</v>
      </c>
      <c r="G2743">
        <v>303534495</v>
      </c>
      <c r="H2743" t="s">
        <v>699</v>
      </c>
      <c r="I2743">
        <v>1457</v>
      </c>
      <c r="J2743">
        <v>9.33</v>
      </c>
      <c r="K2743">
        <v>6.92</v>
      </c>
      <c r="L2743">
        <v>13593.81</v>
      </c>
      <c r="M2743">
        <v>10082.44</v>
      </c>
      <c r="N2743">
        <v>3511.37</v>
      </c>
    </row>
    <row r="2744" spans="1:14" x14ac:dyDescent="0.25">
      <c r="A2744" t="s">
        <v>51</v>
      </c>
      <c r="B2744" t="s">
        <v>877</v>
      </c>
      <c r="C2744" t="s">
        <v>55</v>
      </c>
      <c r="D2744" t="s">
        <v>17</v>
      </c>
      <c r="E2744" t="s">
        <v>32</v>
      </c>
      <c r="F2744" s="1">
        <v>40183</v>
      </c>
      <c r="G2744">
        <v>292349469</v>
      </c>
      <c r="H2744" s="1">
        <v>40487</v>
      </c>
      <c r="I2744">
        <v>1559</v>
      </c>
      <c r="J2744">
        <v>651.21</v>
      </c>
      <c r="K2744">
        <v>524.96</v>
      </c>
      <c r="L2744">
        <v>1015236.39</v>
      </c>
      <c r="M2744">
        <v>818412.64</v>
      </c>
      <c r="N2744">
        <v>196823.75</v>
      </c>
    </row>
    <row r="2745" spans="1:14" x14ac:dyDescent="0.25">
      <c r="A2745" t="s">
        <v>38</v>
      </c>
      <c r="B2745" t="s">
        <v>39</v>
      </c>
      <c r="C2745" t="s">
        <v>59</v>
      </c>
      <c r="D2745" t="s">
        <v>22</v>
      </c>
      <c r="E2745" t="s">
        <v>45</v>
      </c>
      <c r="F2745" t="s">
        <v>948</v>
      </c>
      <c r="G2745">
        <v>668720901</v>
      </c>
      <c r="H2745" s="1">
        <v>40789</v>
      </c>
      <c r="I2745">
        <v>8230</v>
      </c>
      <c r="J2745">
        <v>437.2</v>
      </c>
      <c r="K2745">
        <v>263.33</v>
      </c>
      <c r="L2745">
        <v>3598156</v>
      </c>
      <c r="M2745">
        <v>2167205.9</v>
      </c>
      <c r="N2745">
        <v>1430950.1</v>
      </c>
    </row>
    <row r="2746" spans="1:14" x14ac:dyDescent="0.25">
      <c r="A2746" t="s">
        <v>14</v>
      </c>
      <c r="B2746" t="s">
        <v>98</v>
      </c>
      <c r="C2746" t="s">
        <v>31</v>
      </c>
      <c r="D2746" t="s">
        <v>22</v>
      </c>
      <c r="E2746" t="s">
        <v>32</v>
      </c>
      <c r="F2746" s="1">
        <v>40364</v>
      </c>
      <c r="G2746">
        <v>515510118</v>
      </c>
      <c r="H2746" s="1">
        <v>40488</v>
      </c>
      <c r="I2746">
        <v>9754</v>
      </c>
      <c r="J2746">
        <v>205.7</v>
      </c>
      <c r="K2746">
        <v>117.11</v>
      </c>
      <c r="L2746">
        <v>2006397.8</v>
      </c>
      <c r="M2746">
        <v>1142290.94</v>
      </c>
      <c r="N2746">
        <v>864106.86</v>
      </c>
    </row>
    <row r="2747" spans="1:14" x14ac:dyDescent="0.25">
      <c r="A2747" t="s">
        <v>51</v>
      </c>
      <c r="B2747" t="s">
        <v>166</v>
      </c>
      <c r="C2747" t="s">
        <v>69</v>
      </c>
      <c r="D2747" t="s">
        <v>22</v>
      </c>
      <c r="E2747" t="s">
        <v>23</v>
      </c>
      <c r="F2747" s="1">
        <v>42529</v>
      </c>
      <c r="G2747">
        <v>785890948</v>
      </c>
      <c r="H2747" t="s">
        <v>1649</v>
      </c>
      <c r="I2747">
        <v>1451</v>
      </c>
      <c r="J2747">
        <v>421.89</v>
      </c>
      <c r="K2747">
        <v>364.69</v>
      </c>
      <c r="L2747">
        <v>612162.39</v>
      </c>
      <c r="M2747">
        <v>529165.18999999994</v>
      </c>
      <c r="N2747">
        <v>82997.2</v>
      </c>
    </row>
    <row r="2748" spans="1:14" x14ac:dyDescent="0.25">
      <c r="A2748" t="s">
        <v>51</v>
      </c>
      <c r="B2748" t="s">
        <v>734</v>
      </c>
      <c r="C2748" t="s">
        <v>21</v>
      </c>
      <c r="D2748" t="s">
        <v>17</v>
      </c>
      <c r="E2748" t="s">
        <v>23</v>
      </c>
      <c r="F2748" s="1">
        <v>42533</v>
      </c>
      <c r="G2748">
        <v>253349721</v>
      </c>
      <c r="H2748" s="1">
        <v>42887</v>
      </c>
      <c r="I2748">
        <v>667</v>
      </c>
      <c r="J2748">
        <v>152.58000000000001</v>
      </c>
      <c r="K2748">
        <v>97.44</v>
      </c>
      <c r="L2748">
        <v>101770.86</v>
      </c>
      <c r="M2748">
        <v>64992.480000000003</v>
      </c>
      <c r="N2748">
        <v>36778.379999999997</v>
      </c>
    </row>
    <row r="2749" spans="1:14" x14ac:dyDescent="0.25">
      <c r="A2749" t="s">
        <v>29</v>
      </c>
      <c r="B2749" t="s">
        <v>393</v>
      </c>
      <c r="C2749" t="s">
        <v>88</v>
      </c>
      <c r="D2749" t="s">
        <v>22</v>
      </c>
      <c r="E2749" t="s">
        <v>32</v>
      </c>
      <c r="F2749" t="s">
        <v>1509</v>
      </c>
      <c r="G2749">
        <v>461685264</v>
      </c>
      <c r="H2749" t="s">
        <v>1509</v>
      </c>
      <c r="I2749">
        <v>1784</v>
      </c>
      <c r="J2749">
        <v>9.33</v>
      </c>
      <c r="K2749">
        <v>6.92</v>
      </c>
      <c r="L2749">
        <v>16644.72</v>
      </c>
      <c r="M2749">
        <v>12345.28</v>
      </c>
      <c r="N2749">
        <v>4299.4399999999996</v>
      </c>
    </row>
    <row r="2750" spans="1:14" x14ac:dyDescent="0.25">
      <c r="A2750" t="s">
        <v>25</v>
      </c>
      <c r="B2750" t="s">
        <v>229</v>
      </c>
      <c r="C2750" t="s">
        <v>16</v>
      </c>
      <c r="D2750" t="s">
        <v>17</v>
      </c>
      <c r="E2750" t="s">
        <v>18</v>
      </c>
      <c r="F2750" t="s">
        <v>599</v>
      </c>
      <c r="G2750">
        <v>775008904</v>
      </c>
      <c r="H2750" s="1">
        <v>41671</v>
      </c>
      <c r="I2750">
        <v>1212</v>
      </c>
      <c r="J2750">
        <v>255.28</v>
      </c>
      <c r="K2750">
        <v>159.41999999999999</v>
      </c>
      <c r="L2750">
        <v>309399.36</v>
      </c>
      <c r="M2750">
        <v>193217.04</v>
      </c>
      <c r="N2750">
        <v>116182.32</v>
      </c>
    </row>
    <row r="2751" spans="1:14" x14ac:dyDescent="0.25">
      <c r="A2751" t="s">
        <v>14</v>
      </c>
      <c r="B2751" t="s">
        <v>98</v>
      </c>
      <c r="C2751" t="s">
        <v>88</v>
      </c>
      <c r="D2751" t="s">
        <v>17</v>
      </c>
      <c r="E2751" t="s">
        <v>23</v>
      </c>
      <c r="F2751" s="1">
        <v>42557</v>
      </c>
      <c r="G2751">
        <v>627744472</v>
      </c>
      <c r="H2751" t="s">
        <v>444</v>
      </c>
      <c r="I2751">
        <v>2394</v>
      </c>
      <c r="J2751">
        <v>9.33</v>
      </c>
      <c r="K2751">
        <v>6.92</v>
      </c>
      <c r="L2751">
        <v>22336.02</v>
      </c>
      <c r="M2751">
        <v>16566.48</v>
      </c>
      <c r="N2751">
        <v>5769.54</v>
      </c>
    </row>
    <row r="2752" spans="1:14" x14ac:dyDescent="0.25">
      <c r="A2752" t="s">
        <v>29</v>
      </c>
      <c r="B2752" t="s">
        <v>137</v>
      </c>
      <c r="C2752" t="s">
        <v>27</v>
      </c>
      <c r="D2752" t="s">
        <v>17</v>
      </c>
      <c r="E2752" t="s">
        <v>45</v>
      </c>
      <c r="F2752" s="1">
        <v>42920</v>
      </c>
      <c r="G2752">
        <v>874628293</v>
      </c>
      <c r="H2752" s="1">
        <v>43043</v>
      </c>
      <c r="I2752">
        <v>803</v>
      </c>
      <c r="J2752">
        <v>47.45</v>
      </c>
      <c r="K2752">
        <v>31.79</v>
      </c>
      <c r="L2752">
        <v>38102.35</v>
      </c>
      <c r="M2752">
        <v>25527.37</v>
      </c>
      <c r="N2752">
        <v>12574.98</v>
      </c>
    </row>
    <row r="2753" spans="1:14" x14ac:dyDescent="0.25">
      <c r="A2753" t="s">
        <v>51</v>
      </c>
      <c r="B2753" t="s">
        <v>664</v>
      </c>
      <c r="C2753" t="s">
        <v>16</v>
      </c>
      <c r="D2753" t="s">
        <v>17</v>
      </c>
      <c r="E2753" t="s">
        <v>18</v>
      </c>
      <c r="F2753" t="s">
        <v>302</v>
      </c>
      <c r="G2753">
        <v>640709197</v>
      </c>
      <c r="H2753" t="s">
        <v>1383</v>
      </c>
      <c r="I2753">
        <v>8944</v>
      </c>
      <c r="J2753">
        <v>255.28</v>
      </c>
      <c r="K2753">
        <v>159.41999999999999</v>
      </c>
      <c r="L2753">
        <v>2283224.3199999998</v>
      </c>
      <c r="M2753">
        <v>1425852.48</v>
      </c>
      <c r="N2753">
        <v>857371.84</v>
      </c>
    </row>
    <row r="2754" spans="1:14" x14ac:dyDescent="0.25">
      <c r="A2754" t="s">
        <v>25</v>
      </c>
      <c r="B2754" t="s">
        <v>462</v>
      </c>
      <c r="C2754" t="s">
        <v>88</v>
      </c>
      <c r="D2754" t="s">
        <v>17</v>
      </c>
      <c r="E2754" t="s">
        <v>18</v>
      </c>
      <c r="F2754" t="s">
        <v>692</v>
      </c>
      <c r="G2754">
        <v>471348512</v>
      </c>
      <c r="H2754" s="1">
        <v>41649</v>
      </c>
      <c r="I2754">
        <v>1354</v>
      </c>
      <c r="J2754">
        <v>9.33</v>
      </c>
      <c r="K2754">
        <v>6.92</v>
      </c>
      <c r="L2754">
        <v>12632.82</v>
      </c>
      <c r="M2754">
        <v>9369.68</v>
      </c>
      <c r="N2754">
        <v>3263.14</v>
      </c>
    </row>
    <row r="2755" spans="1:14" x14ac:dyDescent="0.25">
      <c r="A2755" t="s">
        <v>42</v>
      </c>
      <c r="B2755" t="s">
        <v>90</v>
      </c>
      <c r="C2755" t="s">
        <v>131</v>
      </c>
      <c r="D2755" t="s">
        <v>22</v>
      </c>
      <c r="E2755" t="s">
        <v>45</v>
      </c>
      <c r="F2755" s="1">
        <v>40184</v>
      </c>
      <c r="G2755">
        <v>982220065</v>
      </c>
      <c r="H2755" s="1">
        <v>40184</v>
      </c>
      <c r="I2755">
        <v>9599</v>
      </c>
      <c r="J2755">
        <v>668.27</v>
      </c>
      <c r="K2755">
        <v>502.54</v>
      </c>
      <c r="L2755">
        <v>6414723.7300000004</v>
      </c>
      <c r="M2755">
        <v>4823881.46</v>
      </c>
      <c r="N2755">
        <v>1590842.27</v>
      </c>
    </row>
    <row r="2756" spans="1:14" x14ac:dyDescent="0.25">
      <c r="A2756" t="s">
        <v>51</v>
      </c>
      <c r="B2756" t="s">
        <v>848</v>
      </c>
      <c r="C2756" t="s">
        <v>21</v>
      </c>
      <c r="D2756" t="s">
        <v>22</v>
      </c>
      <c r="E2756" t="s">
        <v>23</v>
      </c>
      <c r="F2756" t="s">
        <v>978</v>
      </c>
      <c r="G2756">
        <v>609310185</v>
      </c>
      <c r="H2756" t="s">
        <v>1650</v>
      </c>
      <c r="I2756">
        <v>7279</v>
      </c>
      <c r="J2756">
        <v>152.58000000000001</v>
      </c>
      <c r="K2756">
        <v>97.44</v>
      </c>
      <c r="L2756">
        <v>1110629.82</v>
      </c>
      <c r="M2756">
        <v>709265.76</v>
      </c>
      <c r="N2756">
        <v>401364.06</v>
      </c>
    </row>
    <row r="2757" spans="1:14" x14ac:dyDescent="0.25">
      <c r="A2757" t="s">
        <v>51</v>
      </c>
      <c r="B2757" t="s">
        <v>299</v>
      </c>
      <c r="C2757" t="s">
        <v>55</v>
      </c>
      <c r="D2757" t="s">
        <v>22</v>
      </c>
      <c r="E2757" t="s">
        <v>32</v>
      </c>
      <c r="F2757" t="s">
        <v>643</v>
      </c>
      <c r="G2757">
        <v>558917701</v>
      </c>
      <c r="H2757" t="s">
        <v>336</v>
      </c>
      <c r="I2757">
        <v>5023</v>
      </c>
      <c r="J2757">
        <v>651.21</v>
      </c>
      <c r="K2757">
        <v>524.96</v>
      </c>
      <c r="L2757">
        <v>3271027.83</v>
      </c>
      <c r="M2757">
        <v>2636874.08</v>
      </c>
      <c r="N2757">
        <v>634153.75</v>
      </c>
    </row>
    <row r="2758" spans="1:14" x14ac:dyDescent="0.25">
      <c r="A2758" t="s">
        <v>51</v>
      </c>
      <c r="B2758" t="s">
        <v>502</v>
      </c>
      <c r="C2758" t="s">
        <v>27</v>
      </c>
      <c r="D2758" t="s">
        <v>17</v>
      </c>
      <c r="E2758" t="s">
        <v>18</v>
      </c>
      <c r="F2758" t="s">
        <v>1125</v>
      </c>
      <c r="G2758">
        <v>757653939</v>
      </c>
      <c r="H2758" s="1">
        <v>40644</v>
      </c>
      <c r="I2758">
        <v>5492</v>
      </c>
      <c r="J2758">
        <v>47.45</v>
      </c>
      <c r="K2758">
        <v>31.79</v>
      </c>
      <c r="L2758">
        <v>260595.4</v>
      </c>
      <c r="M2758">
        <v>174590.68</v>
      </c>
      <c r="N2758">
        <v>86004.72</v>
      </c>
    </row>
    <row r="2759" spans="1:14" x14ac:dyDescent="0.25">
      <c r="A2759" t="s">
        <v>25</v>
      </c>
      <c r="B2759" t="s">
        <v>242</v>
      </c>
      <c r="C2759" t="s">
        <v>16</v>
      </c>
      <c r="D2759" t="s">
        <v>22</v>
      </c>
      <c r="E2759" t="s">
        <v>23</v>
      </c>
      <c r="F2759" t="s">
        <v>1057</v>
      </c>
      <c r="G2759">
        <v>302442729</v>
      </c>
      <c r="H2759" t="s">
        <v>261</v>
      </c>
      <c r="I2759">
        <v>8379</v>
      </c>
      <c r="J2759">
        <v>255.28</v>
      </c>
      <c r="K2759">
        <v>159.41999999999999</v>
      </c>
      <c r="L2759">
        <v>2138991.12</v>
      </c>
      <c r="M2759">
        <v>1335780.18</v>
      </c>
      <c r="N2759">
        <v>803210.94</v>
      </c>
    </row>
    <row r="2760" spans="1:14" x14ac:dyDescent="0.25">
      <c r="A2760" t="s">
        <v>29</v>
      </c>
      <c r="B2760" t="s">
        <v>356</v>
      </c>
      <c r="C2760" t="s">
        <v>21</v>
      </c>
      <c r="D2760" t="s">
        <v>17</v>
      </c>
      <c r="E2760" t="s">
        <v>32</v>
      </c>
      <c r="F2760" s="1">
        <v>40700</v>
      </c>
      <c r="G2760">
        <v>610520398</v>
      </c>
      <c r="H2760" t="s">
        <v>825</v>
      </c>
      <c r="I2760">
        <v>5408</v>
      </c>
      <c r="J2760">
        <v>152.58000000000001</v>
      </c>
      <c r="K2760">
        <v>97.44</v>
      </c>
      <c r="L2760">
        <v>825152.64</v>
      </c>
      <c r="M2760">
        <v>526955.52000000002</v>
      </c>
      <c r="N2760">
        <v>298197.12</v>
      </c>
    </row>
    <row r="2761" spans="1:14" x14ac:dyDescent="0.25">
      <c r="A2761" t="s">
        <v>51</v>
      </c>
      <c r="B2761" t="s">
        <v>258</v>
      </c>
      <c r="C2761" t="s">
        <v>27</v>
      </c>
      <c r="D2761" t="s">
        <v>17</v>
      </c>
      <c r="E2761" t="s">
        <v>45</v>
      </c>
      <c r="F2761" t="s">
        <v>1518</v>
      </c>
      <c r="G2761">
        <v>469435775</v>
      </c>
      <c r="H2761" s="1">
        <v>40586</v>
      </c>
      <c r="I2761">
        <v>5333</v>
      </c>
      <c r="J2761">
        <v>47.45</v>
      </c>
      <c r="K2761">
        <v>31.79</v>
      </c>
      <c r="L2761">
        <v>253050.85</v>
      </c>
      <c r="M2761">
        <v>169536.07</v>
      </c>
      <c r="N2761">
        <v>83514.78</v>
      </c>
    </row>
    <row r="2762" spans="1:14" x14ac:dyDescent="0.25">
      <c r="A2762" t="s">
        <v>25</v>
      </c>
      <c r="B2762" t="s">
        <v>458</v>
      </c>
      <c r="C2762" t="s">
        <v>113</v>
      </c>
      <c r="D2762" t="s">
        <v>17</v>
      </c>
      <c r="E2762" t="s">
        <v>23</v>
      </c>
      <c r="F2762" s="1">
        <v>41247</v>
      </c>
      <c r="G2762">
        <v>987050187</v>
      </c>
      <c r="H2762" t="s">
        <v>837</v>
      </c>
      <c r="I2762">
        <v>8940</v>
      </c>
      <c r="J2762">
        <v>154.06</v>
      </c>
      <c r="K2762">
        <v>90.93</v>
      </c>
      <c r="L2762">
        <v>1377296.4</v>
      </c>
      <c r="M2762">
        <v>812914.2</v>
      </c>
      <c r="N2762">
        <v>564382.19999999995</v>
      </c>
    </row>
    <row r="2763" spans="1:14" x14ac:dyDescent="0.25">
      <c r="A2763" t="s">
        <v>25</v>
      </c>
      <c r="B2763" t="s">
        <v>74</v>
      </c>
      <c r="C2763" t="s">
        <v>55</v>
      </c>
      <c r="D2763" t="s">
        <v>17</v>
      </c>
      <c r="E2763" t="s">
        <v>45</v>
      </c>
      <c r="F2763" s="1">
        <v>42046</v>
      </c>
      <c r="G2763">
        <v>641537463</v>
      </c>
      <c r="H2763" t="s">
        <v>235</v>
      </c>
      <c r="I2763">
        <v>4047</v>
      </c>
      <c r="J2763">
        <v>651.21</v>
      </c>
      <c r="K2763">
        <v>524.96</v>
      </c>
      <c r="L2763">
        <v>2635446.87</v>
      </c>
      <c r="M2763">
        <v>2124513.12</v>
      </c>
      <c r="N2763">
        <v>510933.75</v>
      </c>
    </row>
    <row r="2764" spans="1:14" x14ac:dyDescent="0.25">
      <c r="A2764" t="s">
        <v>14</v>
      </c>
      <c r="B2764" t="s">
        <v>94</v>
      </c>
      <c r="C2764" t="s">
        <v>59</v>
      </c>
      <c r="D2764" t="s">
        <v>22</v>
      </c>
      <c r="E2764" t="s">
        <v>23</v>
      </c>
      <c r="F2764" t="s">
        <v>1651</v>
      </c>
      <c r="G2764">
        <v>231383931</v>
      </c>
      <c r="H2764" t="s">
        <v>1652</v>
      </c>
      <c r="I2764">
        <v>502</v>
      </c>
      <c r="J2764">
        <v>437.2</v>
      </c>
      <c r="K2764">
        <v>263.33</v>
      </c>
      <c r="L2764">
        <v>219474.4</v>
      </c>
      <c r="M2764">
        <v>132191.66</v>
      </c>
      <c r="N2764">
        <v>87282.74</v>
      </c>
    </row>
    <row r="2765" spans="1:14" x14ac:dyDescent="0.25">
      <c r="A2765" t="s">
        <v>51</v>
      </c>
      <c r="B2765" t="s">
        <v>593</v>
      </c>
      <c r="C2765" t="s">
        <v>40</v>
      </c>
      <c r="D2765" t="s">
        <v>17</v>
      </c>
      <c r="E2765" t="s">
        <v>45</v>
      </c>
      <c r="F2765" s="1">
        <v>42042</v>
      </c>
      <c r="G2765">
        <v>625388419</v>
      </c>
      <c r="H2765" t="s">
        <v>712</v>
      </c>
      <c r="I2765">
        <v>5186</v>
      </c>
      <c r="J2765">
        <v>81.73</v>
      </c>
      <c r="K2765">
        <v>56.67</v>
      </c>
      <c r="L2765">
        <v>423851.78</v>
      </c>
      <c r="M2765">
        <v>293890.62</v>
      </c>
      <c r="N2765">
        <v>129961.16</v>
      </c>
    </row>
    <row r="2766" spans="1:14" x14ac:dyDescent="0.25">
      <c r="A2766" t="s">
        <v>25</v>
      </c>
      <c r="B2766" t="s">
        <v>26</v>
      </c>
      <c r="C2766" t="s">
        <v>131</v>
      </c>
      <c r="D2766" t="s">
        <v>22</v>
      </c>
      <c r="E2766" t="s">
        <v>32</v>
      </c>
      <c r="F2766" t="s">
        <v>1576</v>
      </c>
      <c r="G2766">
        <v>512662255</v>
      </c>
      <c r="H2766" t="s">
        <v>1304</v>
      </c>
      <c r="I2766">
        <v>7009</v>
      </c>
      <c r="J2766">
        <v>668.27</v>
      </c>
      <c r="K2766">
        <v>502.54</v>
      </c>
      <c r="L2766">
        <v>4683904.43</v>
      </c>
      <c r="M2766">
        <v>3522302.86</v>
      </c>
      <c r="N2766">
        <v>1161601.57</v>
      </c>
    </row>
    <row r="2767" spans="1:14" x14ac:dyDescent="0.25">
      <c r="A2767" t="s">
        <v>29</v>
      </c>
      <c r="B2767" t="s">
        <v>121</v>
      </c>
      <c r="C2767" t="s">
        <v>88</v>
      </c>
      <c r="D2767" t="s">
        <v>17</v>
      </c>
      <c r="E2767" t="s">
        <v>32</v>
      </c>
      <c r="F2767" t="s">
        <v>836</v>
      </c>
      <c r="G2767">
        <v>452629268</v>
      </c>
      <c r="H2767" t="s">
        <v>742</v>
      </c>
      <c r="I2767">
        <v>1914</v>
      </c>
      <c r="J2767">
        <v>9.33</v>
      </c>
      <c r="K2767">
        <v>6.92</v>
      </c>
      <c r="L2767">
        <v>17857.62</v>
      </c>
      <c r="M2767">
        <v>13244.88</v>
      </c>
      <c r="N2767">
        <v>4612.74</v>
      </c>
    </row>
    <row r="2768" spans="1:14" x14ac:dyDescent="0.25">
      <c r="A2768" t="s">
        <v>51</v>
      </c>
      <c r="B2768" t="s">
        <v>360</v>
      </c>
      <c r="C2768" t="s">
        <v>16</v>
      </c>
      <c r="D2768" t="s">
        <v>17</v>
      </c>
      <c r="E2768" t="s">
        <v>45</v>
      </c>
      <c r="F2768" s="1">
        <v>42922</v>
      </c>
      <c r="G2768">
        <v>625025784</v>
      </c>
      <c r="H2768" s="1">
        <v>42832</v>
      </c>
      <c r="I2768">
        <v>7874</v>
      </c>
      <c r="J2768">
        <v>255.28</v>
      </c>
      <c r="K2768">
        <v>159.41999999999999</v>
      </c>
      <c r="L2768">
        <v>2010074.72</v>
      </c>
      <c r="M2768">
        <v>1255273.08</v>
      </c>
      <c r="N2768">
        <v>754801.64</v>
      </c>
    </row>
    <row r="2769" spans="1:14" x14ac:dyDescent="0.25">
      <c r="A2769" t="s">
        <v>25</v>
      </c>
      <c r="B2769" t="s">
        <v>497</v>
      </c>
      <c r="C2769" t="s">
        <v>44</v>
      </c>
      <c r="D2769" t="s">
        <v>22</v>
      </c>
      <c r="E2769" t="s">
        <v>32</v>
      </c>
      <c r="F2769" s="1">
        <v>40370</v>
      </c>
      <c r="G2769">
        <v>379900634</v>
      </c>
      <c r="H2769" s="1">
        <v>40221</v>
      </c>
      <c r="I2769">
        <v>9895</v>
      </c>
      <c r="J2769">
        <v>109.28</v>
      </c>
      <c r="K2769">
        <v>35.840000000000003</v>
      </c>
      <c r="L2769">
        <v>1081325.6000000001</v>
      </c>
      <c r="M2769">
        <v>354636.79999999999</v>
      </c>
      <c r="N2769">
        <v>726688.8</v>
      </c>
    </row>
    <row r="2770" spans="1:14" x14ac:dyDescent="0.25">
      <c r="A2770" t="s">
        <v>29</v>
      </c>
      <c r="B2770" t="s">
        <v>315</v>
      </c>
      <c r="C2770" t="s">
        <v>31</v>
      </c>
      <c r="D2770" t="s">
        <v>17</v>
      </c>
      <c r="E2770" t="s">
        <v>23</v>
      </c>
      <c r="F2770" s="1">
        <v>41253</v>
      </c>
      <c r="G2770">
        <v>487615144</v>
      </c>
      <c r="H2770" s="1">
        <v>40920</v>
      </c>
      <c r="I2770">
        <v>5012</v>
      </c>
      <c r="J2770">
        <v>205.7</v>
      </c>
      <c r="K2770">
        <v>117.11</v>
      </c>
      <c r="L2770">
        <v>1030968.4</v>
      </c>
      <c r="M2770">
        <v>586955.31999999995</v>
      </c>
      <c r="N2770">
        <v>444013.08</v>
      </c>
    </row>
    <row r="2771" spans="1:14" x14ac:dyDescent="0.25">
      <c r="A2771" t="s">
        <v>29</v>
      </c>
      <c r="B2771" t="s">
        <v>199</v>
      </c>
      <c r="C2771" t="s">
        <v>40</v>
      </c>
      <c r="D2771" t="s">
        <v>22</v>
      </c>
      <c r="E2771" t="s">
        <v>32</v>
      </c>
      <c r="F2771" t="s">
        <v>1087</v>
      </c>
      <c r="G2771">
        <v>888843142</v>
      </c>
      <c r="H2771" t="s">
        <v>1653</v>
      </c>
      <c r="I2771">
        <v>7293</v>
      </c>
      <c r="J2771">
        <v>81.73</v>
      </c>
      <c r="K2771">
        <v>56.67</v>
      </c>
      <c r="L2771">
        <v>596056.89</v>
      </c>
      <c r="M2771">
        <v>413294.31</v>
      </c>
      <c r="N2771">
        <v>182762.58</v>
      </c>
    </row>
    <row r="2772" spans="1:14" x14ac:dyDescent="0.25">
      <c r="A2772" t="s">
        <v>51</v>
      </c>
      <c r="B2772" t="s">
        <v>210</v>
      </c>
      <c r="C2772" t="s">
        <v>40</v>
      </c>
      <c r="D2772" t="s">
        <v>22</v>
      </c>
      <c r="E2772" t="s">
        <v>45</v>
      </c>
      <c r="F2772" t="s">
        <v>1589</v>
      </c>
      <c r="G2772">
        <v>244570958</v>
      </c>
      <c r="H2772" t="s">
        <v>636</v>
      </c>
      <c r="I2772">
        <v>2836</v>
      </c>
      <c r="J2772">
        <v>81.73</v>
      </c>
      <c r="K2772">
        <v>56.67</v>
      </c>
      <c r="L2772">
        <v>231786.28</v>
      </c>
      <c r="M2772">
        <v>160716.12</v>
      </c>
      <c r="N2772">
        <v>71070.16</v>
      </c>
    </row>
    <row r="2773" spans="1:14" x14ac:dyDescent="0.25">
      <c r="A2773" t="s">
        <v>42</v>
      </c>
      <c r="B2773" t="s">
        <v>107</v>
      </c>
      <c r="C2773" t="s">
        <v>40</v>
      </c>
      <c r="D2773" t="s">
        <v>22</v>
      </c>
      <c r="E2773" t="s">
        <v>32</v>
      </c>
      <c r="F2773" t="s">
        <v>1533</v>
      </c>
      <c r="G2773">
        <v>886097419</v>
      </c>
      <c r="H2773" s="1">
        <v>41126</v>
      </c>
      <c r="I2773">
        <v>4772</v>
      </c>
      <c r="J2773">
        <v>81.73</v>
      </c>
      <c r="K2773">
        <v>56.67</v>
      </c>
      <c r="L2773">
        <v>390015.56</v>
      </c>
      <c r="M2773">
        <v>270429.24</v>
      </c>
      <c r="N2773">
        <v>119586.32</v>
      </c>
    </row>
    <row r="2774" spans="1:14" x14ac:dyDescent="0.25">
      <c r="A2774" t="s">
        <v>42</v>
      </c>
      <c r="B2774" t="s">
        <v>107</v>
      </c>
      <c r="C2774" t="s">
        <v>21</v>
      </c>
      <c r="D2774" t="s">
        <v>22</v>
      </c>
      <c r="E2774" t="s">
        <v>18</v>
      </c>
      <c r="F2774" t="s">
        <v>1082</v>
      </c>
      <c r="G2774">
        <v>265033853</v>
      </c>
      <c r="H2774" t="s">
        <v>832</v>
      </c>
      <c r="I2774">
        <v>8261</v>
      </c>
      <c r="J2774">
        <v>152.58000000000001</v>
      </c>
      <c r="K2774">
        <v>97.44</v>
      </c>
      <c r="L2774">
        <v>1260463.3799999999</v>
      </c>
      <c r="M2774">
        <v>804951.84</v>
      </c>
      <c r="N2774">
        <v>455511.54</v>
      </c>
    </row>
    <row r="2775" spans="1:14" x14ac:dyDescent="0.25">
      <c r="A2775" t="s">
        <v>51</v>
      </c>
      <c r="B2775" t="s">
        <v>664</v>
      </c>
      <c r="C2775" t="s">
        <v>131</v>
      </c>
      <c r="D2775" t="s">
        <v>17</v>
      </c>
      <c r="E2775" t="s">
        <v>18</v>
      </c>
      <c r="F2775" t="s">
        <v>704</v>
      </c>
      <c r="G2775">
        <v>403304088</v>
      </c>
      <c r="H2775" s="1">
        <v>40794</v>
      </c>
      <c r="I2775">
        <v>5497</v>
      </c>
      <c r="J2775">
        <v>668.27</v>
      </c>
      <c r="K2775">
        <v>502.54</v>
      </c>
      <c r="L2775">
        <v>3673480.19</v>
      </c>
      <c r="M2775">
        <v>2762462.38</v>
      </c>
      <c r="N2775">
        <v>911017.81</v>
      </c>
    </row>
    <row r="2776" spans="1:14" x14ac:dyDescent="0.25">
      <c r="A2776" t="s">
        <v>25</v>
      </c>
      <c r="B2776" t="s">
        <v>785</v>
      </c>
      <c r="C2776" t="s">
        <v>31</v>
      </c>
      <c r="D2776" t="s">
        <v>17</v>
      </c>
      <c r="E2776" t="s">
        <v>45</v>
      </c>
      <c r="F2776" t="s">
        <v>939</v>
      </c>
      <c r="G2776">
        <v>243144452</v>
      </c>
      <c r="H2776" t="s">
        <v>1654</v>
      </c>
      <c r="I2776">
        <v>701</v>
      </c>
      <c r="J2776">
        <v>205.7</v>
      </c>
      <c r="K2776">
        <v>117.11</v>
      </c>
      <c r="L2776">
        <v>144195.70000000001</v>
      </c>
      <c r="M2776">
        <v>82094.11</v>
      </c>
      <c r="N2776">
        <v>62101.59</v>
      </c>
    </row>
    <row r="2777" spans="1:14" x14ac:dyDescent="0.25">
      <c r="A2777" t="s">
        <v>51</v>
      </c>
      <c r="B2777" t="s">
        <v>305</v>
      </c>
      <c r="C2777" t="s">
        <v>113</v>
      </c>
      <c r="D2777" t="s">
        <v>17</v>
      </c>
      <c r="E2777" t="s">
        <v>45</v>
      </c>
      <c r="F2777" t="s">
        <v>1528</v>
      </c>
      <c r="G2777">
        <v>597103774</v>
      </c>
      <c r="H2777" s="1">
        <v>40551</v>
      </c>
      <c r="I2777">
        <v>5131</v>
      </c>
      <c r="J2777">
        <v>154.06</v>
      </c>
      <c r="K2777">
        <v>90.93</v>
      </c>
      <c r="L2777">
        <v>790481.86</v>
      </c>
      <c r="M2777">
        <v>466561.83</v>
      </c>
      <c r="N2777">
        <v>323920.03000000003</v>
      </c>
    </row>
    <row r="2778" spans="1:14" x14ac:dyDescent="0.25">
      <c r="A2778" t="s">
        <v>25</v>
      </c>
      <c r="B2778" t="s">
        <v>242</v>
      </c>
      <c r="C2778" t="s">
        <v>59</v>
      </c>
      <c r="D2778" t="s">
        <v>17</v>
      </c>
      <c r="E2778" t="s">
        <v>45</v>
      </c>
      <c r="F2778" t="s">
        <v>34</v>
      </c>
      <c r="G2778">
        <v>998043382</v>
      </c>
      <c r="H2778" s="1">
        <v>40244</v>
      </c>
      <c r="I2778">
        <v>2070</v>
      </c>
      <c r="J2778">
        <v>437.2</v>
      </c>
      <c r="K2778">
        <v>263.33</v>
      </c>
      <c r="L2778">
        <v>905004</v>
      </c>
      <c r="M2778">
        <v>545093.1</v>
      </c>
      <c r="N2778">
        <v>359910.9</v>
      </c>
    </row>
    <row r="2779" spans="1:14" x14ac:dyDescent="0.25">
      <c r="A2779" t="s">
        <v>14</v>
      </c>
      <c r="B2779" t="s">
        <v>835</v>
      </c>
      <c r="C2779" t="s">
        <v>44</v>
      </c>
      <c r="D2779" t="s">
        <v>22</v>
      </c>
      <c r="E2779" t="s">
        <v>18</v>
      </c>
      <c r="F2779" t="s">
        <v>1220</v>
      </c>
      <c r="G2779">
        <v>149137103</v>
      </c>
      <c r="H2779" s="1">
        <v>42463</v>
      </c>
      <c r="I2779">
        <v>1838</v>
      </c>
      <c r="J2779">
        <v>109.28</v>
      </c>
      <c r="K2779">
        <v>35.840000000000003</v>
      </c>
      <c r="L2779">
        <v>200856.64</v>
      </c>
      <c r="M2779">
        <v>65873.919999999998</v>
      </c>
      <c r="N2779">
        <v>134982.72</v>
      </c>
    </row>
    <row r="2780" spans="1:14" x14ac:dyDescent="0.25">
      <c r="A2780" t="s">
        <v>51</v>
      </c>
      <c r="B2780" t="s">
        <v>250</v>
      </c>
      <c r="C2780" t="s">
        <v>21</v>
      </c>
      <c r="D2780" t="s">
        <v>22</v>
      </c>
      <c r="E2780" t="s">
        <v>23</v>
      </c>
      <c r="F2780" s="1">
        <v>40794</v>
      </c>
      <c r="G2780">
        <v>873871266</v>
      </c>
      <c r="H2780" t="s">
        <v>725</v>
      </c>
      <c r="I2780">
        <v>6782</v>
      </c>
      <c r="J2780">
        <v>152.58000000000001</v>
      </c>
      <c r="K2780">
        <v>97.44</v>
      </c>
      <c r="L2780">
        <v>1034797.56</v>
      </c>
      <c r="M2780">
        <v>660838.07999999996</v>
      </c>
      <c r="N2780">
        <v>373959.48</v>
      </c>
    </row>
    <row r="2781" spans="1:14" x14ac:dyDescent="0.25">
      <c r="A2781" t="s">
        <v>14</v>
      </c>
      <c r="B2781" t="s">
        <v>154</v>
      </c>
      <c r="C2781" t="s">
        <v>59</v>
      </c>
      <c r="D2781" t="s">
        <v>22</v>
      </c>
      <c r="E2781" t="s">
        <v>23</v>
      </c>
      <c r="F2781" t="s">
        <v>1430</v>
      </c>
      <c r="G2781">
        <v>666044700</v>
      </c>
      <c r="H2781" s="1">
        <v>42011</v>
      </c>
      <c r="I2781">
        <v>6282</v>
      </c>
      <c r="J2781">
        <v>437.2</v>
      </c>
      <c r="K2781">
        <v>263.33</v>
      </c>
      <c r="L2781">
        <v>2746490.4</v>
      </c>
      <c r="M2781">
        <v>1654239.06</v>
      </c>
      <c r="N2781">
        <v>1092251.3400000001</v>
      </c>
    </row>
    <row r="2782" spans="1:14" x14ac:dyDescent="0.25">
      <c r="A2782" t="s">
        <v>42</v>
      </c>
      <c r="B2782" t="s">
        <v>565</v>
      </c>
      <c r="C2782" t="s">
        <v>113</v>
      </c>
      <c r="D2782" t="s">
        <v>17</v>
      </c>
      <c r="E2782" t="s">
        <v>32</v>
      </c>
      <c r="F2782" s="1">
        <v>42715</v>
      </c>
      <c r="G2782">
        <v>239768731</v>
      </c>
      <c r="H2782" t="s">
        <v>809</v>
      </c>
      <c r="I2782">
        <v>1751</v>
      </c>
      <c r="J2782">
        <v>154.06</v>
      </c>
      <c r="K2782">
        <v>90.93</v>
      </c>
      <c r="L2782">
        <v>269759.06</v>
      </c>
      <c r="M2782">
        <v>159218.43</v>
      </c>
      <c r="N2782">
        <v>110540.63</v>
      </c>
    </row>
    <row r="2783" spans="1:14" x14ac:dyDescent="0.25">
      <c r="A2783" t="s">
        <v>51</v>
      </c>
      <c r="B2783" t="s">
        <v>578</v>
      </c>
      <c r="C2783" t="s">
        <v>31</v>
      </c>
      <c r="D2783" t="s">
        <v>22</v>
      </c>
      <c r="E2783" t="s">
        <v>23</v>
      </c>
      <c r="F2783" t="s">
        <v>1655</v>
      </c>
      <c r="G2783">
        <v>379467189</v>
      </c>
      <c r="H2783" s="1">
        <v>42984</v>
      </c>
      <c r="I2783">
        <v>1629</v>
      </c>
      <c r="J2783">
        <v>205.7</v>
      </c>
      <c r="K2783">
        <v>117.11</v>
      </c>
      <c r="L2783">
        <v>335085.3</v>
      </c>
      <c r="M2783">
        <v>190772.19</v>
      </c>
      <c r="N2783">
        <v>144313.10999999999</v>
      </c>
    </row>
    <row r="2784" spans="1:14" x14ac:dyDescent="0.25">
      <c r="A2784" t="s">
        <v>38</v>
      </c>
      <c r="B2784" t="s">
        <v>117</v>
      </c>
      <c r="C2784" t="s">
        <v>27</v>
      </c>
      <c r="D2784" t="s">
        <v>17</v>
      </c>
      <c r="E2784" t="s">
        <v>32</v>
      </c>
      <c r="F2784" t="s">
        <v>1335</v>
      </c>
      <c r="G2784">
        <v>589876401</v>
      </c>
      <c r="H2784" t="s">
        <v>491</v>
      </c>
      <c r="I2784">
        <v>6390</v>
      </c>
      <c r="J2784">
        <v>47.45</v>
      </c>
      <c r="K2784">
        <v>31.79</v>
      </c>
      <c r="L2784">
        <v>303205.5</v>
      </c>
      <c r="M2784">
        <v>203138.1</v>
      </c>
      <c r="N2784">
        <v>100067.4</v>
      </c>
    </row>
    <row r="2785" spans="1:14" x14ac:dyDescent="0.25">
      <c r="A2785" t="s">
        <v>25</v>
      </c>
      <c r="B2785" t="s">
        <v>426</v>
      </c>
      <c r="C2785" t="s">
        <v>88</v>
      </c>
      <c r="D2785" t="s">
        <v>22</v>
      </c>
      <c r="E2785" t="s">
        <v>32</v>
      </c>
      <c r="F2785" t="s">
        <v>728</v>
      </c>
      <c r="G2785">
        <v>446045196</v>
      </c>
      <c r="H2785" s="1">
        <v>42015</v>
      </c>
      <c r="I2785">
        <v>3540</v>
      </c>
      <c r="J2785">
        <v>9.33</v>
      </c>
      <c r="K2785">
        <v>6.92</v>
      </c>
      <c r="L2785">
        <v>33028.199999999997</v>
      </c>
      <c r="M2785">
        <v>24496.799999999999</v>
      </c>
      <c r="N2785">
        <v>8531.4</v>
      </c>
    </row>
    <row r="2786" spans="1:14" x14ac:dyDescent="0.25">
      <c r="A2786" t="s">
        <v>51</v>
      </c>
      <c r="B2786" t="s">
        <v>327</v>
      </c>
      <c r="C2786" t="s">
        <v>69</v>
      </c>
      <c r="D2786" t="s">
        <v>22</v>
      </c>
      <c r="E2786" t="s">
        <v>18</v>
      </c>
      <c r="F2786" s="1">
        <v>41739</v>
      </c>
      <c r="G2786">
        <v>943334901</v>
      </c>
      <c r="H2786" s="1">
        <v>41709</v>
      </c>
      <c r="I2786">
        <v>2615</v>
      </c>
      <c r="J2786">
        <v>421.89</v>
      </c>
      <c r="K2786">
        <v>364.69</v>
      </c>
      <c r="L2786">
        <v>1103242.3500000001</v>
      </c>
      <c r="M2786">
        <v>953664.35</v>
      </c>
      <c r="N2786">
        <v>149578</v>
      </c>
    </row>
    <row r="2787" spans="1:14" x14ac:dyDescent="0.25">
      <c r="A2787" t="s">
        <v>29</v>
      </c>
      <c r="B2787" t="s">
        <v>619</v>
      </c>
      <c r="C2787" t="s">
        <v>27</v>
      </c>
      <c r="D2787" t="s">
        <v>22</v>
      </c>
      <c r="E2787" t="s">
        <v>45</v>
      </c>
      <c r="F2787" t="s">
        <v>409</v>
      </c>
      <c r="G2787">
        <v>447419345</v>
      </c>
      <c r="H2787" t="s">
        <v>1050</v>
      </c>
      <c r="I2787">
        <v>182</v>
      </c>
      <c r="J2787">
        <v>47.45</v>
      </c>
      <c r="K2787">
        <v>31.79</v>
      </c>
      <c r="L2787">
        <v>8635.9</v>
      </c>
      <c r="M2787">
        <v>5785.78</v>
      </c>
      <c r="N2787">
        <v>2850.12</v>
      </c>
    </row>
    <row r="2788" spans="1:14" x14ac:dyDescent="0.25">
      <c r="A2788" t="s">
        <v>25</v>
      </c>
      <c r="B2788" t="s">
        <v>363</v>
      </c>
      <c r="C2788" t="s">
        <v>131</v>
      </c>
      <c r="D2788" t="s">
        <v>22</v>
      </c>
      <c r="E2788" t="s">
        <v>18</v>
      </c>
      <c r="F2788" t="s">
        <v>1656</v>
      </c>
      <c r="G2788">
        <v>544284856</v>
      </c>
      <c r="H2788" t="s">
        <v>1193</v>
      </c>
      <c r="I2788">
        <v>4839</v>
      </c>
      <c r="J2788">
        <v>668.27</v>
      </c>
      <c r="K2788">
        <v>502.54</v>
      </c>
      <c r="L2788">
        <v>3233758.53</v>
      </c>
      <c r="M2788">
        <v>2431791.06</v>
      </c>
      <c r="N2788">
        <v>801967.47</v>
      </c>
    </row>
    <row r="2789" spans="1:14" x14ac:dyDescent="0.25">
      <c r="A2789" t="s">
        <v>29</v>
      </c>
      <c r="B2789" t="s">
        <v>545</v>
      </c>
      <c r="C2789" t="s">
        <v>16</v>
      </c>
      <c r="D2789" t="s">
        <v>17</v>
      </c>
      <c r="E2789" t="s">
        <v>32</v>
      </c>
      <c r="F2789" t="s">
        <v>800</v>
      </c>
      <c r="G2789">
        <v>190230262</v>
      </c>
      <c r="H2789" t="s">
        <v>526</v>
      </c>
      <c r="I2789">
        <v>2217</v>
      </c>
      <c r="J2789">
        <v>255.28</v>
      </c>
      <c r="K2789">
        <v>159.41999999999999</v>
      </c>
      <c r="L2789">
        <v>565955.76</v>
      </c>
      <c r="M2789">
        <v>353434.14</v>
      </c>
      <c r="N2789">
        <v>212521.62</v>
      </c>
    </row>
    <row r="2790" spans="1:14" x14ac:dyDescent="0.25">
      <c r="A2790" t="s">
        <v>14</v>
      </c>
      <c r="B2790" t="s">
        <v>20</v>
      </c>
      <c r="C2790" t="s">
        <v>21</v>
      </c>
      <c r="D2790" t="s">
        <v>17</v>
      </c>
      <c r="E2790" t="s">
        <v>32</v>
      </c>
      <c r="F2790" t="s">
        <v>1388</v>
      </c>
      <c r="G2790">
        <v>661866891</v>
      </c>
      <c r="H2790" t="s">
        <v>1269</v>
      </c>
      <c r="I2790">
        <v>9976</v>
      </c>
      <c r="J2790">
        <v>152.58000000000001</v>
      </c>
      <c r="K2790">
        <v>97.44</v>
      </c>
      <c r="L2790">
        <v>1522138.08</v>
      </c>
      <c r="M2790">
        <v>972061.44</v>
      </c>
      <c r="N2790">
        <v>550076.64</v>
      </c>
    </row>
    <row r="2791" spans="1:14" x14ac:dyDescent="0.25">
      <c r="A2791" t="s">
        <v>25</v>
      </c>
      <c r="B2791" t="s">
        <v>752</v>
      </c>
      <c r="C2791" t="s">
        <v>113</v>
      </c>
      <c r="D2791" t="s">
        <v>22</v>
      </c>
      <c r="E2791" t="s">
        <v>45</v>
      </c>
      <c r="F2791" s="1">
        <v>41801</v>
      </c>
      <c r="G2791">
        <v>606118571</v>
      </c>
      <c r="H2791" t="s">
        <v>326</v>
      </c>
      <c r="I2791">
        <v>2809</v>
      </c>
      <c r="J2791">
        <v>154.06</v>
      </c>
      <c r="K2791">
        <v>90.93</v>
      </c>
      <c r="L2791">
        <v>432754.54</v>
      </c>
      <c r="M2791">
        <v>255422.37</v>
      </c>
      <c r="N2791">
        <v>177332.17</v>
      </c>
    </row>
    <row r="2792" spans="1:14" x14ac:dyDescent="0.25">
      <c r="A2792" t="s">
        <v>14</v>
      </c>
      <c r="B2792" t="s">
        <v>98</v>
      </c>
      <c r="C2792" t="s">
        <v>59</v>
      </c>
      <c r="D2792" t="s">
        <v>22</v>
      </c>
      <c r="E2792" t="s">
        <v>45</v>
      </c>
      <c r="F2792" t="s">
        <v>1657</v>
      </c>
      <c r="G2792">
        <v>990221631</v>
      </c>
      <c r="H2792" s="1">
        <v>40706</v>
      </c>
      <c r="I2792">
        <v>7440</v>
      </c>
      <c r="J2792">
        <v>437.2</v>
      </c>
      <c r="K2792">
        <v>263.33</v>
      </c>
      <c r="L2792">
        <v>3252768</v>
      </c>
      <c r="M2792">
        <v>1959175.2</v>
      </c>
      <c r="N2792">
        <v>1293592.8</v>
      </c>
    </row>
    <row r="2793" spans="1:14" x14ac:dyDescent="0.25">
      <c r="A2793" t="s">
        <v>77</v>
      </c>
      <c r="B2793" t="s">
        <v>794</v>
      </c>
      <c r="C2793" t="s">
        <v>55</v>
      </c>
      <c r="D2793" t="s">
        <v>17</v>
      </c>
      <c r="E2793" t="s">
        <v>32</v>
      </c>
      <c r="F2793" t="s">
        <v>762</v>
      </c>
      <c r="G2793">
        <v>151724898</v>
      </c>
      <c r="H2793" t="s">
        <v>183</v>
      </c>
      <c r="I2793">
        <v>7624</v>
      </c>
      <c r="J2793">
        <v>651.21</v>
      </c>
      <c r="K2793">
        <v>524.96</v>
      </c>
      <c r="L2793">
        <v>4964825.04</v>
      </c>
      <c r="M2793">
        <v>4002295.04</v>
      </c>
      <c r="N2793">
        <v>962530</v>
      </c>
    </row>
    <row r="2794" spans="1:14" x14ac:dyDescent="0.25">
      <c r="A2794" t="s">
        <v>14</v>
      </c>
      <c r="B2794" t="s">
        <v>372</v>
      </c>
      <c r="C2794" t="s">
        <v>40</v>
      </c>
      <c r="D2794" t="s">
        <v>22</v>
      </c>
      <c r="E2794" t="s">
        <v>18</v>
      </c>
      <c r="F2794" s="1">
        <v>41219</v>
      </c>
      <c r="G2794">
        <v>548489701</v>
      </c>
      <c r="H2794" t="s">
        <v>667</v>
      </c>
      <c r="I2794">
        <v>9146</v>
      </c>
      <c r="J2794">
        <v>81.73</v>
      </c>
      <c r="K2794">
        <v>56.67</v>
      </c>
      <c r="L2794">
        <v>747502.58</v>
      </c>
      <c r="M2794">
        <v>518303.82</v>
      </c>
      <c r="N2794">
        <v>229198.76</v>
      </c>
    </row>
    <row r="2795" spans="1:14" x14ac:dyDescent="0.25">
      <c r="A2795" t="s">
        <v>14</v>
      </c>
      <c r="B2795" t="s">
        <v>370</v>
      </c>
      <c r="C2795" t="s">
        <v>40</v>
      </c>
      <c r="D2795" t="s">
        <v>17</v>
      </c>
      <c r="E2795" t="s">
        <v>32</v>
      </c>
      <c r="F2795" s="1">
        <v>42739</v>
      </c>
      <c r="G2795">
        <v>208689868</v>
      </c>
      <c r="H2795" s="1">
        <v>42798</v>
      </c>
      <c r="I2795">
        <v>4824</v>
      </c>
      <c r="J2795">
        <v>81.73</v>
      </c>
      <c r="K2795">
        <v>56.67</v>
      </c>
      <c r="L2795">
        <v>394265.52</v>
      </c>
      <c r="M2795">
        <v>273376.08</v>
      </c>
      <c r="N2795">
        <v>120889.44</v>
      </c>
    </row>
    <row r="2796" spans="1:14" x14ac:dyDescent="0.25">
      <c r="A2796" t="s">
        <v>38</v>
      </c>
      <c r="B2796" t="s">
        <v>117</v>
      </c>
      <c r="C2796" t="s">
        <v>44</v>
      </c>
      <c r="D2796" t="s">
        <v>17</v>
      </c>
      <c r="E2796" t="s">
        <v>45</v>
      </c>
      <c r="F2796" s="1">
        <v>42773</v>
      </c>
      <c r="G2796">
        <v>380811727</v>
      </c>
      <c r="H2796" s="1">
        <v>42893</v>
      </c>
      <c r="I2796">
        <v>9507</v>
      </c>
      <c r="J2796">
        <v>109.28</v>
      </c>
      <c r="K2796">
        <v>35.840000000000003</v>
      </c>
      <c r="L2796">
        <v>1038924.96</v>
      </c>
      <c r="M2796">
        <v>340730.88</v>
      </c>
      <c r="N2796">
        <v>698194.08</v>
      </c>
    </row>
    <row r="2797" spans="1:14" x14ac:dyDescent="0.25">
      <c r="A2797" t="s">
        <v>25</v>
      </c>
      <c r="B2797" t="s">
        <v>211</v>
      </c>
      <c r="C2797" t="s">
        <v>21</v>
      </c>
      <c r="D2797" t="s">
        <v>17</v>
      </c>
      <c r="E2797" t="s">
        <v>23</v>
      </c>
      <c r="F2797" s="1">
        <v>40369</v>
      </c>
      <c r="G2797">
        <v>583654105</v>
      </c>
      <c r="H2797" t="s">
        <v>862</v>
      </c>
      <c r="I2797">
        <v>5075</v>
      </c>
      <c r="J2797">
        <v>152.58000000000001</v>
      </c>
      <c r="K2797">
        <v>97.44</v>
      </c>
      <c r="L2797">
        <v>774343.5</v>
      </c>
      <c r="M2797">
        <v>494508</v>
      </c>
      <c r="N2797">
        <v>279835.5</v>
      </c>
    </row>
    <row r="2798" spans="1:14" x14ac:dyDescent="0.25">
      <c r="A2798" t="s">
        <v>38</v>
      </c>
      <c r="B2798" t="s">
        <v>527</v>
      </c>
      <c r="C2798" t="s">
        <v>31</v>
      </c>
      <c r="D2798" t="s">
        <v>17</v>
      </c>
      <c r="E2798" t="s">
        <v>32</v>
      </c>
      <c r="F2798" t="s">
        <v>436</v>
      </c>
      <c r="G2798">
        <v>856328332</v>
      </c>
      <c r="H2798" s="1">
        <v>40402</v>
      </c>
      <c r="I2798">
        <v>5438</v>
      </c>
      <c r="J2798">
        <v>205.7</v>
      </c>
      <c r="K2798">
        <v>117.11</v>
      </c>
      <c r="L2798">
        <v>1118596.6000000001</v>
      </c>
      <c r="M2798">
        <v>636844.18000000005</v>
      </c>
      <c r="N2798">
        <v>481752.42</v>
      </c>
    </row>
    <row r="2799" spans="1:14" x14ac:dyDescent="0.25">
      <c r="A2799" t="s">
        <v>42</v>
      </c>
      <c r="B2799" t="s">
        <v>361</v>
      </c>
      <c r="C2799" t="s">
        <v>16</v>
      </c>
      <c r="D2799" t="s">
        <v>22</v>
      </c>
      <c r="E2799" t="s">
        <v>23</v>
      </c>
      <c r="F2799" t="s">
        <v>384</v>
      </c>
      <c r="G2799">
        <v>408258235</v>
      </c>
      <c r="H2799" t="s">
        <v>677</v>
      </c>
      <c r="I2799">
        <v>1539</v>
      </c>
      <c r="J2799">
        <v>255.28</v>
      </c>
      <c r="K2799">
        <v>159.41999999999999</v>
      </c>
      <c r="L2799">
        <v>392875.92</v>
      </c>
      <c r="M2799">
        <v>245347.38</v>
      </c>
      <c r="N2799">
        <v>147528.54</v>
      </c>
    </row>
    <row r="2800" spans="1:14" x14ac:dyDescent="0.25">
      <c r="A2800" t="s">
        <v>51</v>
      </c>
      <c r="B2800" t="s">
        <v>417</v>
      </c>
      <c r="C2800" t="s">
        <v>131</v>
      </c>
      <c r="D2800" t="s">
        <v>17</v>
      </c>
      <c r="E2800" t="s">
        <v>23</v>
      </c>
      <c r="F2800" t="s">
        <v>397</v>
      </c>
      <c r="G2800">
        <v>769180142</v>
      </c>
      <c r="H2800" s="1">
        <v>42461</v>
      </c>
      <c r="I2800">
        <v>6352</v>
      </c>
      <c r="J2800">
        <v>668.27</v>
      </c>
      <c r="K2800">
        <v>502.54</v>
      </c>
      <c r="L2800">
        <v>4244851.04</v>
      </c>
      <c r="M2800">
        <v>3192134.08</v>
      </c>
      <c r="N2800">
        <v>1052716.96</v>
      </c>
    </row>
    <row r="2801" spans="1:14" x14ac:dyDescent="0.25">
      <c r="A2801" t="s">
        <v>38</v>
      </c>
      <c r="B2801" t="s">
        <v>83</v>
      </c>
      <c r="C2801" t="s">
        <v>69</v>
      </c>
      <c r="D2801" t="s">
        <v>17</v>
      </c>
      <c r="E2801" t="s">
        <v>45</v>
      </c>
      <c r="F2801" t="s">
        <v>1206</v>
      </c>
      <c r="G2801">
        <v>839142882</v>
      </c>
      <c r="H2801" t="s">
        <v>1658</v>
      </c>
      <c r="I2801">
        <v>9881</v>
      </c>
      <c r="J2801">
        <v>421.89</v>
      </c>
      <c r="K2801">
        <v>364.69</v>
      </c>
      <c r="L2801">
        <v>4168695.09</v>
      </c>
      <c r="M2801">
        <v>3603501.89</v>
      </c>
      <c r="N2801">
        <v>565193.19999999995</v>
      </c>
    </row>
    <row r="2802" spans="1:14" x14ac:dyDescent="0.25">
      <c r="A2802" t="s">
        <v>42</v>
      </c>
      <c r="B2802" t="s">
        <v>107</v>
      </c>
      <c r="C2802" t="s">
        <v>55</v>
      </c>
      <c r="D2802" t="s">
        <v>17</v>
      </c>
      <c r="E2802" t="s">
        <v>32</v>
      </c>
      <c r="F2802" t="s">
        <v>1057</v>
      </c>
      <c r="G2802">
        <v>938507783</v>
      </c>
      <c r="H2802" t="s">
        <v>916</v>
      </c>
      <c r="I2802">
        <v>4164</v>
      </c>
      <c r="J2802">
        <v>651.21</v>
      </c>
      <c r="K2802">
        <v>524.96</v>
      </c>
      <c r="L2802">
        <v>2711638.44</v>
      </c>
      <c r="M2802">
        <v>2185933.44</v>
      </c>
      <c r="N2802">
        <v>525705</v>
      </c>
    </row>
    <row r="2803" spans="1:14" x14ac:dyDescent="0.25">
      <c r="A2803" t="s">
        <v>51</v>
      </c>
      <c r="B2803" t="s">
        <v>260</v>
      </c>
      <c r="C2803" t="s">
        <v>131</v>
      </c>
      <c r="D2803" t="s">
        <v>22</v>
      </c>
      <c r="E2803" t="s">
        <v>32</v>
      </c>
      <c r="F2803" t="s">
        <v>1659</v>
      </c>
      <c r="G2803">
        <v>557948672</v>
      </c>
      <c r="H2803" t="s">
        <v>958</v>
      </c>
      <c r="I2803">
        <v>8266</v>
      </c>
      <c r="J2803">
        <v>668.27</v>
      </c>
      <c r="K2803">
        <v>502.54</v>
      </c>
      <c r="L2803">
        <v>5523919.8200000003</v>
      </c>
      <c r="M2803">
        <v>4153995.64</v>
      </c>
      <c r="N2803">
        <v>1369924.18</v>
      </c>
    </row>
    <row r="2804" spans="1:14" x14ac:dyDescent="0.25">
      <c r="A2804" t="s">
        <v>25</v>
      </c>
      <c r="B2804" t="s">
        <v>386</v>
      </c>
      <c r="C2804" t="s">
        <v>16</v>
      </c>
      <c r="D2804" t="s">
        <v>17</v>
      </c>
      <c r="E2804" t="s">
        <v>23</v>
      </c>
      <c r="F2804" t="s">
        <v>777</v>
      </c>
      <c r="G2804">
        <v>608451879</v>
      </c>
      <c r="H2804" s="1">
        <v>41642</v>
      </c>
      <c r="I2804">
        <v>3287</v>
      </c>
      <c r="J2804">
        <v>255.28</v>
      </c>
      <c r="K2804">
        <v>159.41999999999999</v>
      </c>
      <c r="L2804">
        <v>839105.36</v>
      </c>
      <c r="M2804">
        <v>524013.54</v>
      </c>
      <c r="N2804">
        <v>315091.82</v>
      </c>
    </row>
    <row r="2805" spans="1:14" x14ac:dyDescent="0.25">
      <c r="A2805" t="s">
        <v>38</v>
      </c>
      <c r="B2805" t="s">
        <v>177</v>
      </c>
      <c r="C2805" t="s">
        <v>69</v>
      </c>
      <c r="D2805" t="s">
        <v>22</v>
      </c>
      <c r="E2805" t="s">
        <v>45</v>
      </c>
      <c r="F2805" t="s">
        <v>646</v>
      </c>
      <c r="G2805">
        <v>271316230</v>
      </c>
      <c r="H2805" t="s">
        <v>1111</v>
      </c>
      <c r="I2805">
        <v>7356</v>
      </c>
      <c r="J2805">
        <v>421.89</v>
      </c>
      <c r="K2805">
        <v>364.69</v>
      </c>
      <c r="L2805">
        <v>3103422.84</v>
      </c>
      <c r="M2805">
        <v>2682659.64</v>
      </c>
      <c r="N2805">
        <v>420763.2</v>
      </c>
    </row>
    <row r="2806" spans="1:14" x14ac:dyDescent="0.25">
      <c r="A2806" t="s">
        <v>29</v>
      </c>
      <c r="B2806" t="s">
        <v>375</v>
      </c>
      <c r="C2806" t="s">
        <v>21</v>
      </c>
      <c r="D2806" t="s">
        <v>22</v>
      </c>
      <c r="E2806" t="s">
        <v>45</v>
      </c>
      <c r="F2806" t="s">
        <v>971</v>
      </c>
      <c r="G2806">
        <v>148153054</v>
      </c>
      <c r="H2806" s="1">
        <v>40219</v>
      </c>
      <c r="I2806">
        <v>636</v>
      </c>
      <c r="J2806">
        <v>152.58000000000001</v>
      </c>
      <c r="K2806">
        <v>97.44</v>
      </c>
      <c r="L2806">
        <v>97040.88</v>
      </c>
      <c r="M2806">
        <v>61971.839999999997</v>
      </c>
      <c r="N2806">
        <v>35069.040000000001</v>
      </c>
    </row>
    <row r="2807" spans="1:14" x14ac:dyDescent="0.25">
      <c r="A2807" t="s">
        <v>25</v>
      </c>
      <c r="B2807" t="s">
        <v>752</v>
      </c>
      <c r="C2807" t="s">
        <v>27</v>
      </c>
      <c r="D2807" t="s">
        <v>17</v>
      </c>
      <c r="E2807" t="s">
        <v>18</v>
      </c>
      <c r="F2807" s="1">
        <v>42282</v>
      </c>
      <c r="G2807">
        <v>910886180</v>
      </c>
      <c r="H2807" s="1">
        <v>42283</v>
      </c>
      <c r="I2807">
        <v>317</v>
      </c>
      <c r="J2807">
        <v>47.45</v>
      </c>
      <c r="K2807">
        <v>31.79</v>
      </c>
      <c r="L2807">
        <v>15041.65</v>
      </c>
      <c r="M2807">
        <v>10077.43</v>
      </c>
      <c r="N2807">
        <v>4964.22</v>
      </c>
    </row>
    <row r="2808" spans="1:14" x14ac:dyDescent="0.25">
      <c r="A2808" t="s">
        <v>51</v>
      </c>
      <c r="B2808" t="s">
        <v>308</v>
      </c>
      <c r="C2808" t="s">
        <v>31</v>
      </c>
      <c r="D2808" t="s">
        <v>17</v>
      </c>
      <c r="E2808" t="s">
        <v>23</v>
      </c>
      <c r="F2808" t="s">
        <v>249</v>
      </c>
      <c r="G2808">
        <v>151751935</v>
      </c>
      <c r="H2808" t="s">
        <v>1308</v>
      </c>
      <c r="I2808">
        <v>5625</v>
      </c>
      <c r="J2808">
        <v>205.7</v>
      </c>
      <c r="K2808">
        <v>117.11</v>
      </c>
      <c r="L2808">
        <v>1157062.5</v>
      </c>
      <c r="M2808">
        <v>658743.75</v>
      </c>
      <c r="N2808">
        <v>498318.75</v>
      </c>
    </row>
    <row r="2809" spans="1:14" x14ac:dyDescent="0.25">
      <c r="A2809" t="s">
        <v>51</v>
      </c>
      <c r="B2809" t="s">
        <v>593</v>
      </c>
      <c r="C2809" t="s">
        <v>88</v>
      </c>
      <c r="D2809" t="s">
        <v>22</v>
      </c>
      <c r="E2809" t="s">
        <v>32</v>
      </c>
      <c r="F2809" s="1">
        <v>42258</v>
      </c>
      <c r="G2809">
        <v>933299148</v>
      </c>
      <c r="H2809" t="s">
        <v>548</v>
      </c>
      <c r="I2809">
        <v>2813</v>
      </c>
      <c r="J2809">
        <v>9.33</v>
      </c>
      <c r="K2809">
        <v>6.92</v>
      </c>
      <c r="L2809">
        <v>26245.29</v>
      </c>
      <c r="M2809">
        <v>19465.96</v>
      </c>
      <c r="N2809">
        <v>6779.33</v>
      </c>
    </row>
    <row r="2810" spans="1:14" x14ac:dyDescent="0.25">
      <c r="A2810" t="s">
        <v>29</v>
      </c>
      <c r="B2810" t="s">
        <v>545</v>
      </c>
      <c r="C2810" t="s">
        <v>40</v>
      </c>
      <c r="D2810" t="s">
        <v>22</v>
      </c>
      <c r="E2810" t="s">
        <v>18</v>
      </c>
      <c r="F2810" s="1">
        <v>40307</v>
      </c>
      <c r="G2810">
        <v>538389146</v>
      </c>
      <c r="H2810" s="1">
        <v>40521</v>
      </c>
      <c r="I2810">
        <v>167</v>
      </c>
      <c r="J2810">
        <v>81.73</v>
      </c>
      <c r="K2810">
        <v>56.67</v>
      </c>
      <c r="L2810">
        <v>13648.91</v>
      </c>
      <c r="M2810">
        <v>9463.89</v>
      </c>
      <c r="N2810">
        <v>4185.0200000000004</v>
      </c>
    </row>
    <row r="2811" spans="1:14" x14ac:dyDescent="0.25">
      <c r="A2811" t="s">
        <v>25</v>
      </c>
      <c r="B2811" t="s">
        <v>603</v>
      </c>
      <c r="C2811" t="s">
        <v>21</v>
      </c>
      <c r="D2811" t="s">
        <v>22</v>
      </c>
      <c r="E2811" t="s">
        <v>32</v>
      </c>
      <c r="F2811" s="1">
        <v>40674</v>
      </c>
      <c r="G2811">
        <v>820195758</v>
      </c>
      <c r="H2811" t="s">
        <v>173</v>
      </c>
      <c r="I2811">
        <v>3006</v>
      </c>
      <c r="J2811">
        <v>152.58000000000001</v>
      </c>
      <c r="K2811">
        <v>97.44</v>
      </c>
      <c r="L2811">
        <v>458655.48</v>
      </c>
      <c r="M2811">
        <v>292904.64</v>
      </c>
      <c r="N2811">
        <v>165750.84</v>
      </c>
    </row>
    <row r="2812" spans="1:14" x14ac:dyDescent="0.25">
      <c r="A2812" t="s">
        <v>38</v>
      </c>
      <c r="B2812" t="s">
        <v>156</v>
      </c>
      <c r="C2812" t="s">
        <v>31</v>
      </c>
      <c r="D2812" t="s">
        <v>17</v>
      </c>
      <c r="E2812" t="s">
        <v>45</v>
      </c>
      <c r="F2812" t="s">
        <v>1608</v>
      </c>
      <c r="G2812">
        <v>552205312</v>
      </c>
      <c r="H2812" t="s">
        <v>1660</v>
      </c>
      <c r="I2812">
        <v>8678</v>
      </c>
      <c r="J2812">
        <v>205.7</v>
      </c>
      <c r="K2812">
        <v>117.11</v>
      </c>
      <c r="L2812">
        <v>1785064.6</v>
      </c>
      <c r="M2812">
        <v>1016280.58</v>
      </c>
      <c r="N2812">
        <v>768784.02</v>
      </c>
    </row>
    <row r="2813" spans="1:14" x14ac:dyDescent="0.25">
      <c r="A2813" t="s">
        <v>25</v>
      </c>
      <c r="B2813" t="s">
        <v>363</v>
      </c>
      <c r="C2813" t="s">
        <v>44</v>
      </c>
      <c r="D2813" t="s">
        <v>17</v>
      </c>
      <c r="E2813" t="s">
        <v>45</v>
      </c>
      <c r="F2813" t="s">
        <v>1396</v>
      </c>
      <c r="G2813">
        <v>378216636</v>
      </c>
      <c r="H2813" s="1">
        <v>42590</v>
      </c>
      <c r="I2813">
        <v>1562</v>
      </c>
      <c r="J2813">
        <v>109.28</v>
      </c>
      <c r="K2813">
        <v>35.840000000000003</v>
      </c>
      <c r="L2813">
        <v>170695.36</v>
      </c>
      <c r="M2813">
        <v>55982.080000000002</v>
      </c>
      <c r="N2813">
        <v>114713.28</v>
      </c>
    </row>
    <row r="2814" spans="1:14" x14ac:dyDescent="0.25">
      <c r="A2814" t="s">
        <v>38</v>
      </c>
      <c r="B2814" t="s">
        <v>527</v>
      </c>
      <c r="C2814" t="s">
        <v>27</v>
      </c>
      <c r="D2814" t="s">
        <v>17</v>
      </c>
      <c r="E2814" t="s">
        <v>45</v>
      </c>
      <c r="F2814" t="s">
        <v>988</v>
      </c>
      <c r="G2814">
        <v>562341058</v>
      </c>
      <c r="H2814" s="1">
        <v>41006</v>
      </c>
      <c r="I2814">
        <v>8070</v>
      </c>
      <c r="J2814">
        <v>47.45</v>
      </c>
      <c r="K2814">
        <v>31.79</v>
      </c>
      <c r="L2814">
        <v>382921.5</v>
      </c>
      <c r="M2814">
        <v>256545.3</v>
      </c>
      <c r="N2814">
        <v>126376.2</v>
      </c>
    </row>
    <row r="2815" spans="1:14" x14ac:dyDescent="0.25">
      <c r="A2815" t="s">
        <v>25</v>
      </c>
      <c r="B2815" t="s">
        <v>303</v>
      </c>
      <c r="C2815" t="s">
        <v>44</v>
      </c>
      <c r="D2815" t="s">
        <v>17</v>
      </c>
      <c r="E2815" t="s">
        <v>23</v>
      </c>
      <c r="F2815" t="s">
        <v>1661</v>
      </c>
      <c r="G2815">
        <v>539002406</v>
      </c>
      <c r="H2815" t="s">
        <v>954</v>
      </c>
      <c r="I2815">
        <v>1645</v>
      </c>
      <c r="J2815">
        <v>109.28</v>
      </c>
      <c r="K2815">
        <v>35.840000000000003</v>
      </c>
      <c r="L2815">
        <v>179765.6</v>
      </c>
      <c r="M2815">
        <v>58956.800000000003</v>
      </c>
      <c r="N2815">
        <v>120808.8</v>
      </c>
    </row>
    <row r="2816" spans="1:14" x14ac:dyDescent="0.25">
      <c r="A2816" t="s">
        <v>29</v>
      </c>
      <c r="B2816" t="s">
        <v>485</v>
      </c>
      <c r="C2816" t="s">
        <v>88</v>
      </c>
      <c r="D2816" t="s">
        <v>17</v>
      </c>
      <c r="E2816" t="s">
        <v>32</v>
      </c>
      <c r="F2816" t="s">
        <v>401</v>
      </c>
      <c r="G2816">
        <v>262937009</v>
      </c>
      <c r="H2816" s="1">
        <v>41676</v>
      </c>
      <c r="I2816">
        <v>7759</v>
      </c>
      <c r="J2816">
        <v>9.33</v>
      </c>
      <c r="K2816">
        <v>6.92</v>
      </c>
      <c r="L2816">
        <v>72391.47</v>
      </c>
      <c r="M2816">
        <v>53692.28</v>
      </c>
      <c r="N2816">
        <v>18699.189999999999</v>
      </c>
    </row>
    <row r="2817" spans="1:14" x14ac:dyDescent="0.25">
      <c r="A2817" t="s">
        <v>25</v>
      </c>
      <c r="B2817" t="s">
        <v>204</v>
      </c>
      <c r="C2817" t="s">
        <v>55</v>
      </c>
      <c r="D2817" t="s">
        <v>17</v>
      </c>
      <c r="E2817" t="s">
        <v>18</v>
      </c>
      <c r="F2817" t="s">
        <v>1662</v>
      </c>
      <c r="G2817">
        <v>659193694</v>
      </c>
      <c r="H2817" s="1">
        <v>42314</v>
      </c>
      <c r="I2817">
        <v>8918</v>
      </c>
      <c r="J2817">
        <v>651.21</v>
      </c>
      <c r="K2817">
        <v>524.96</v>
      </c>
      <c r="L2817">
        <v>5807490.7800000003</v>
      </c>
      <c r="M2817">
        <v>4681593.28</v>
      </c>
      <c r="N2817">
        <v>1125897.5</v>
      </c>
    </row>
    <row r="2818" spans="1:14" x14ac:dyDescent="0.25">
      <c r="A2818" t="s">
        <v>38</v>
      </c>
      <c r="B2818" t="s">
        <v>85</v>
      </c>
      <c r="C2818" t="s">
        <v>16</v>
      </c>
      <c r="D2818" t="s">
        <v>17</v>
      </c>
      <c r="E2818" t="s">
        <v>32</v>
      </c>
      <c r="F2818" s="1">
        <v>42125</v>
      </c>
      <c r="G2818">
        <v>473133790</v>
      </c>
      <c r="H2818" t="s">
        <v>1597</v>
      </c>
      <c r="I2818">
        <v>9657</v>
      </c>
      <c r="J2818">
        <v>255.28</v>
      </c>
      <c r="K2818">
        <v>159.41999999999999</v>
      </c>
      <c r="L2818">
        <v>2465238.96</v>
      </c>
      <c r="M2818">
        <v>1539518.94</v>
      </c>
      <c r="N2818">
        <v>925720.02</v>
      </c>
    </row>
    <row r="2819" spans="1:14" x14ac:dyDescent="0.25">
      <c r="A2819" t="s">
        <v>25</v>
      </c>
      <c r="B2819" t="s">
        <v>529</v>
      </c>
      <c r="C2819" t="s">
        <v>27</v>
      </c>
      <c r="D2819" t="s">
        <v>17</v>
      </c>
      <c r="E2819" t="s">
        <v>45</v>
      </c>
      <c r="F2819" s="1">
        <v>42311</v>
      </c>
      <c r="G2819">
        <v>320431125</v>
      </c>
      <c r="H2819" t="s">
        <v>865</v>
      </c>
      <c r="I2819">
        <v>1545</v>
      </c>
      <c r="J2819">
        <v>47.45</v>
      </c>
      <c r="K2819">
        <v>31.79</v>
      </c>
      <c r="L2819">
        <v>73310.25</v>
      </c>
      <c r="M2819">
        <v>49115.55</v>
      </c>
      <c r="N2819">
        <v>24194.7</v>
      </c>
    </row>
    <row r="2820" spans="1:14" x14ac:dyDescent="0.25">
      <c r="A2820" t="s">
        <v>51</v>
      </c>
      <c r="B2820" t="s">
        <v>301</v>
      </c>
      <c r="C2820" t="s">
        <v>44</v>
      </c>
      <c r="D2820" t="s">
        <v>17</v>
      </c>
      <c r="E2820" t="s">
        <v>18</v>
      </c>
      <c r="F2820" s="1">
        <v>40550</v>
      </c>
      <c r="G2820">
        <v>437072026</v>
      </c>
      <c r="H2820" t="s">
        <v>771</v>
      </c>
      <c r="I2820">
        <v>8180</v>
      </c>
      <c r="J2820">
        <v>109.28</v>
      </c>
      <c r="K2820">
        <v>35.840000000000003</v>
      </c>
      <c r="L2820">
        <v>893910.4</v>
      </c>
      <c r="M2820">
        <v>293171.20000000001</v>
      </c>
      <c r="N2820">
        <v>600739.19999999995</v>
      </c>
    </row>
    <row r="2821" spans="1:14" x14ac:dyDescent="0.25">
      <c r="A2821" t="s">
        <v>25</v>
      </c>
      <c r="B2821" t="s">
        <v>229</v>
      </c>
      <c r="C2821" t="s">
        <v>113</v>
      </c>
      <c r="D2821" t="s">
        <v>22</v>
      </c>
      <c r="E2821" t="s">
        <v>32</v>
      </c>
      <c r="F2821" t="s">
        <v>1543</v>
      </c>
      <c r="G2821">
        <v>229355323</v>
      </c>
      <c r="H2821" s="1">
        <v>40828</v>
      </c>
      <c r="I2821">
        <v>192</v>
      </c>
      <c r="J2821">
        <v>154.06</v>
      </c>
      <c r="K2821">
        <v>90.93</v>
      </c>
      <c r="L2821">
        <v>29579.52</v>
      </c>
      <c r="M2821">
        <v>17458.560000000001</v>
      </c>
      <c r="N2821">
        <v>12120.96</v>
      </c>
    </row>
    <row r="2822" spans="1:14" x14ac:dyDescent="0.25">
      <c r="A2822" t="s">
        <v>29</v>
      </c>
      <c r="B2822" t="s">
        <v>338</v>
      </c>
      <c r="C2822" t="s">
        <v>16</v>
      </c>
      <c r="D2822" t="s">
        <v>22</v>
      </c>
      <c r="E2822" t="s">
        <v>23</v>
      </c>
      <c r="F2822" t="s">
        <v>1663</v>
      </c>
      <c r="G2822">
        <v>523892343</v>
      </c>
      <c r="H2822" t="s">
        <v>1664</v>
      </c>
      <c r="I2822">
        <v>241</v>
      </c>
      <c r="J2822">
        <v>255.28</v>
      </c>
      <c r="K2822">
        <v>159.41999999999999</v>
      </c>
      <c r="L2822">
        <v>61522.48</v>
      </c>
      <c r="M2822">
        <v>38420.22</v>
      </c>
      <c r="N2822">
        <v>23102.26</v>
      </c>
    </row>
    <row r="2823" spans="1:14" x14ac:dyDescent="0.25">
      <c r="A2823" t="s">
        <v>51</v>
      </c>
      <c r="B2823" t="s">
        <v>525</v>
      </c>
      <c r="C2823" t="s">
        <v>55</v>
      </c>
      <c r="D2823" t="s">
        <v>22</v>
      </c>
      <c r="E2823" t="s">
        <v>45</v>
      </c>
      <c r="F2823" t="s">
        <v>1665</v>
      </c>
      <c r="G2823">
        <v>417606914</v>
      </c>
      <c r="H2823" t="s">
        <v>1282</v>
      </c>
      <c r="I2823">
        <v>8021</v>
      </c>
      <c r="J2823">
        <v>651.21</v>
      </c>
      <c r="K2823">
        <v>524.96</v>
      </c>
      <c r="L2823">
        <v>5223355.41</v>
      </c>
      <c r="M2823">
        <v>4210704.16</v>
      </c>
      <c r="N2823">
        <v>1012651.25</v>
      </c>
    </row>
    <row r="2824" spans="1:14" x14ac:dyDescent="0.25">
      <c r="A2824" t="s">
        <v>42</v>
      </c>
      <c r="B2824" t="s">
        <v>681</v>
      </c>
      <c r="C2824" t="s">
        <v>21</v>
      </c>
      <c r="D2824" t="s">
        <v>17</v>
      </c>
      <c r="E2824" t="s">
        <v>45</v>
      </c>
      <c r="F2824" s="1">
        <v>40973</v>
      </c>
      <c r="G2824">
        <v>427735364</v>
      </c>
      <c r="H2824" t="s">
        <v>555</v>
      </c>
      <c r="I2824">
        <v>5254</v>
      </c>
      <c r="J2824">
        <v>152.58000000000001</v>
      </c>
      <c r="K2824">
        <v>97.44</v>
      </c>
      <c r="L2824">
        <v>801655.32</v>
      </c>
      <c r="M2824">
        <v>511949.76</v>
      </c>
      <c r="N2824">
        <v>289705.56</v>
      </c>
    </row>
    <row r="2825" spans="1:14" x14ac:dyDescent="0.25">
      <c r="A2825" t="s">
        <v>14</v>
      </c>
      <c r="B2825" t="s">
        <v>94</v>
      </c>
      <c r="C2825" t="s">
        <v>44</v>
      </c>
      <c r="D2825" t="s">
        <v>22</v>
      </c>
      <c r="E2825" t="s">
        <v>32</v>
      </c>
      <c r="F2825" s="1">
        <v>41010</v>
      </c>
      <c r="G2825">
        <v>241826522</v>
      </c>
      <c r="H2825" s="1">
        <v>41071</v>
      </c>
      <c r="I2825">
        <v>697</v>
      </c>
      <c r="J2825">
        <v>109.28</v>
      </c>
      <c r="K2825">
        <v>35.840000000000003</v>
      </c>
      <c r="L2825">
        <v>76168.160000000003</v>
      </c>
      <c r="M2825">
        <v>24980.48</v>
      </c>
      <c r="N2825">
        <v>51187.68</v>
      </c>
    </row>
    <row r="2826" spans="1:14" x14ac:dyDescent="0.25">
      <c r="A2826" t="s">
        <v>14</v>
      </c>
      <c r="B2826" t="s">
        <v>488</v>
      </c>
      <c r="C2826" t="s">
        <v>59</v>
      </c>
      <c r="D2826" t="s">
        <v>22</v>
      </c>
      <c r="E2826" t="s">
        <v>45</v>
      </c>
      <c r="F2826" t="s">
        <v>518</v>
      </c>
      <c r="G2826">
        <v>967741715</v>
      </c>
      <c r="H2826" s="1">
        <v>41010</v>
      </c>
      <c r="I2826">
        <v>5134</v>
      </c>
      <c r="J2826">
        <v>437.2</v>
      </c>
      <c r="K2826">
        <v>263.33</v>
      </c>
      <c r="L2826">
        <v>2244584.7999999998</v>
      </c>
      <c r="M2826">
        <v>1351936.22</v>
      </c>
      <c r="N2826">
        <v>892648.58</v>
      </c>
    </row>
    <row r="2827" spans="1:14" x14ac:dyDescent="0.25">
      <c r="A2827" t="s">
        <v>38</v>
      </c>
      <c r="B2827" t="s">
        <v>92</v>
      </c>
      <c r="C2827" t="s">
        <v>40</v>
      </c>
      <c r="D2827" t="s">
        <v>22</v>
      </c>
      <c r="E2827" t="s">
        <v>23</v>
      </c>
      <c r="F2827" t="s">
        <v>550</v>
      </c>
      <c r="G2827">
        <v>183654773</v>
      </c>
      <c r="H2827" s="1">
        <v>42340</v>
      </c>
      <c r="I2827">
        <v>6383</v>
      </c>
      <c r="J2827">
        <v>81.73</v>
      </c>
      <c r="K2827">
        <v>56.67</v>
      </c>
      <c r="L2827">
        <v>521682.59</v>
      </c>
      <c r="M2827">
        <v>361724.61</v>
      </c>
      <c r="N2827">
        <v>159957.98000000001</v>
      </c>
    </row>
    <row r="2828" spans="1:14" x14ac:dyDescent="0.25">
      <c r="A2828" t="s">
        <v>51</v>
      </c>
      <c r="B2828" t="s">
        <v>128</v>
      </c>
      <c r="C2828" t="s">
        <v>44</v>
      </c>
      <c r="D2828" t="s">
        <v>17</v>
      </c>
      <c r="E2828" t="s">
        <v>18</v>
      </c>
      <c r="F2828" t="s">
        <v>1023</v>
      </c>
      <c r="G2828">
        <v>488052022</v>
      </c>
      <c r="H2828" t="s">
        <v>1023</v>
      </c>
      <c r="I2828">
        <v>4294</v>
      </c>
      <c r="J2828">
        <v>109.28</v>
      </c>
      <c r="K2828">
        <v>35.840000000000003</v>
      </c>
      <c r="L2828">
        <v>469248.32</v>
      </c>
      <c r="M2828">
        <v>153896.95999999999</v>
      </c>
      <c r="N2828">
        <v>315351.36</v>
      </c>
    </row>
    <row r="2829" spans="1:14" x14ac:dyDescent="0.25">
      <c r="A2829" t="s">
        <v>25</v>
      </c>
      <c r="B2829" t="s">
        <v>458</v>
      </c>
      <c r="C2829" t="s">
        <v>27</v>
      </c>
      <c r="D2829" t="s">
        <v>22</v>
      </c>
      <c r="E2829" t="s">
        <v>32</v>
      </c>
      <c r="F2829" s="1">
        <v>42862</v>
      </c>
      <c r="G2829">
        <v>949732291</v>
      </c>
      <c r="H2829" t="s">
        <v>464</v>
      </c>
      <c r="I2829">
        <v>5745</v>
      </c>
      <c r="J2829">
        <v>47.45</v>
      </c>
      <c r="K2829">
        <v>31.79</v>
      </c>
      <c r="L2829">
        <v>272600.25</v>
      </c>
      <c r="M2829">
        <v>182633.55</v>
      </c>
      <c r="N2829">
        <v>89966.7</v>
      </c>
    </row>
    <row r="2830" spans="1:14" x14ac:dyDescent="0.25">
      <c r="A2830" t="s">
        <v>42</v>
      </c>
      <c r="B2830" t="s">
        <v>146</v>
      </c>
      <c r="C2830" t="s">
        <v>21</v>
      </c>
      <c r="D2830" t="s">
        <v>17</v>
      </c>
      <c r="E2830" t="s">
        <v>23</v>
      </c>
      <c r="F2830" t="s">
        <v>511</v>
      </c>
      <c r="G2830">
        <v>257806909</v>
      </c>
      <c r="H2830" t="s">
        <v>214</v>
      </c>
      <c r="I2830">
        <v>9648</v>
      </c>
      <c r="J2830">
        <v>152.58000000000001</v>
      </c>
      <c r="K2830">
        <v>97.44</v>
      </c>
      <c r="L2830">
        <v>1472091.84</v>
      </c>
      <c r="M2830">
        <v>940101.12</v>
      </c>
      <c r="N2830">
        <v>531990.72</v>
      </c>
    </row>
    <row r="2831" spans="1:14" x14ac:dyDescent="0.25">
      <c r="A2831" t="s">
        <v>29</v>
      </c>
      <c r="B2831" t="s">
        <v>159</v>
      </c>
      <c r="C2831" t="s">
        <v>69</v>
      </c>
      <c r="D2831" t="s">
        <v>17</v>
      </c>
      <c r="E2831" t="s">
        <v>32</v>
      </c>
      <c r="F2831" t="s">
        <v>705</v>
      </c>
      <c r="G2831">
        <v>771699702</v>
      </c>
      <c r="H2831" t="s">
        <v>783</v>
      </c>
      <c r="I2831">
        <v>1946</v>
      </c>
      <c r="J2831">
        <v>421.89</v>
      </c>
      <c r="K2831">
        <v>364.69</v>
      </c>
      <c r="L2831">
        <v>820997.94</v>
      </c>
      <c r="M2831">
        <v>709686.74</v>
      </c>
      <c r="N2831">
        <v>111311.2</v>
      </c>
    </row>
    <row r="2832" spans="1:14" x14ac:dyDescent="0.25">
      <c r="A2832" t="s">
        <v>25</v>
      </c>
      <c r="B2832" t="s">
        <v>142</v>
      </c>
      <c r="C2832" t="s">
        <v>131</v>
      </c>
      <c r="D2832" t="s">
        <v>17</v>
      </c>
      <c r="E2832" t="s">
        <v>23</v>
      </c>
      <c r="F2832" s="1">
        <v>41981</v>
      </c>
      <c r="G2832">
        <v>871147000</v>
      </c>
      <c r="H2832" t="s">
        <v>1515</v>
      </c>
      <c r="I2832">
        <v>611</v>
      </c>
      <c r="J2832">
        <v>668.27</v>
      </c>
      <c r="K2832">
        <v>502.54</v>
      </c>
      <c r="L2832">
        <v>408312.97</v>
      </c>
      <c r="M2832">
        <v>307051.94</v>
      </c>
      <c r="N2832">
        <v>101261.03</v>
      </c>
    </row>
    <row r="2833" spans="1:14" x14ac:dyDescent="0.25">
      <c r="A2833" t="s">
        <v>25</v>
      </c>
      <c r="B2833" t="s">
        <v>252</v>
      </c>
      <c r="C2833" t="s">
        <v>16</v>
      </c>
      <c r="D2833" t="s">
        <v>17</v>
      </c>
      <c r="E2833" t="s">
        <v>18</v>
      </c>
      <c r="F2833" t="s">
        <v>84</v>
      </c>
      <c r="G2833">
        <v>806197631</v>
      </c>
      <c r="H2833" t="s">
        <v>1223</v>
      </c>
      <c r="I2833">
        <v>649</v>
      </c>
      <c r="J2833">
        <v>255.28</v>
      </c>
      <c r="K2833">
        <v>159.41999999999999</v>
      </c>
      <c r="L2833">
        <v>165676.72</v>
      </c>
      <c r="M2833">
        <v>103463.58</v>
      </c>
      <c r="N2833">
        <v>62213.14</v>
      </c>
    </row>
    <row r="2834" spans="1:14" x14ac:dyDescent="0.25">
      <c r="A2834" t="s">
        <v>14</v>
      </c>
      <c r="B2834" t="s">
        <v>94</v>
      </c>
      <c r="C2834" t="s">
        <v>31</v>
      </c>
      <c r="D2834" t="s">
        <v>17</v>
      </c>
      <c r="E2834" t="s">
        <v>32</v>
      </c>
      <c r="F2834" t="s">
        <v>82</v>
      </c>
      <c r="G2834">
        <v>447212922</v>
      </c>
      <c r="H2834" t="s">
        <v>232</v>
      </c>
      <c r="I2834">
        <v>9097</v>
      </c>
      <c r="J2834">
        <v>205.7</v>
      </c>
      <c r="K2834">
        <v>117.11</v>
      </c>
      <c r="L2834">
        <v>1871252.9</v>
      </c>
      <c r="M2834">
        <v>1065349.67</v>
      </c>
      <c r="N2834">
        <v>805903.23</v>
      </c>
    </row>
    <row r="2835" spans="1:14" x14ac:dyDescent="0.25">
      <c r="A2835" t="s">
        <v>14</v>
      </c>
      <c r="B2835" t="s">
        <v>64</v>
      </c>
      <c r="C2835" t="s">
        <v>40</v>
      </c>
      <c r="D2835" t="s">
        <v>22</v>
      </c>
      <c r="E2835" t="s">
        <v>18</v>
      </c>
      <c r="F2835" t="s">
        <v>557</v>
      </c>
      <c r="G2835">
        <v>634866702</v>
      </c>
      <c r="H2835" t="s">
        <v>644</v>
      </c>
      <c r="I2835">
        <v>20</v>
      </c>
      <c r="J2835">
        <v>81.73</v>
      </c>
      <c r="K2835">
        <v>56.67</v>
      </c>
      <c r="L2835">
        <v>1634.6</v>
      </c>
      <c r="M2835">
        <v>1133.4000000000001</v>
      </c>
      <c r="N2835">
        <v>501.2</v>
      </c>
    </row>
    <row r="2836" spans="1:14" x14ac:dyDescent="0.25">
      <c r="A2836" t="s">
        <v>51</v>
      </c>
      <c r="B2836" t="s">
        <v>367</v>
      </c>
      <c r="C2836" t="s">
        <v>44</v>
      </c>
      <c r="D2836" t="s">
        <v>17</v>
      </c>
      <c r="E2836" t="s">
        <v>23</v>
      </c>
      <c r="F2836" t="s">
        <v>512</v>
      </c>
      <c r="G2836">
        <v>930145299</v>
      </c>
      <c r="H2836" t="s">
        <v>1103</v>
      </c>
      <c r="I2836">
        <v>9519</v>
      </c>
      <c r="J2836">
        <v>109.28</v>
      </c>
      <c r="K2836">
        <v>35.840000000000003</v>
      </c>
      <c r="L2836">
        <v>1040236.32</v>
      </c>
      <c r="M2836">
        <v>341160.96000000002</v>
      </c>
      <c r="N2836">
        <v>699075.36</v>
      </c>
    </row>
    <row r="2837" spans="1:14" x14ac:dyDescent="0.25">
      <c r="A2837" t="s">
        <v>51</v>
      </c>
      <c r="B2837" t="s">
        <v>151</v>
      </c>
      <c r="C2837" t="s">
        <v>88</v>
      </c>
      <c r="D2837" t="s">
        <v>22</v>
      </c>
      <c r="E2837" t="s">
        <v>18</v>
      </c>
      <c r="F2837" t="s">
        <v>1351</v>
      </c>
      <c r="G2837">
        <v>964347541</v>
      </c>
      <c r="H2837" t="s">
        <v>200</v>
      </c>
      <c r="I2837">
        <v>722</v>
      </c>
      <c r="J2837">
        <v>9.33</v>
      </c>
      <c r="K2837">
        <v>6.92</v>
      </c>
      <c r="L2837">
        <v>6736.26</v>
      </c>
      <c r="M2837">
        <v>4996.24</v>
      </c>
      <c r="N2837">
        <v>1740.02</v>
      </c>
    </row>
    <row r="2838" spans="1:14" x14ac:dyDescent="0.25">
      <c r="A2838" t="s">
        <v>42</v>
      </c>
      <c r="B2838" t="s">
        <v>107</v>
      </c>
      <c r="C2838" t="s">
        <v>59</v>
      </c>
      <c r="D2838" t="s">
        <v>22</v>
      </c>
      <c r="E2838" t="s">
        <v>45</v>
      </c>
      <c r="F2838" s="1">
        <v>40422</v>
      </c>
      <c r="G2838">
        <v>889084756</v>
      </c>
      <c r="H2838" s="1">
        <v>40392</v>
      </c>
      <c r="I2838">
        <v>8792</v>
      </c>
      <c r="J2838">
        <v>437.2</v>
      </c>
      <c r="K2838">
        <v>263.33</v>
      </c>
      <c r="L2838">
        <v>3843862.4</v>
      </c>
      <c r="M2838">
        <v>2315197.36</v>
      </c>
      <c r="N2838">
        <v>1528665.04</v>
      </c>
    </row>
    <row r="2839" spans="1:14" x14ac:dyDescent="0.25">
      <c r="A2839" t="s">
        <v>25</v>
      </c>
      <c r="B2839" t="s">
        <v>363</v>
      </c>
      <c r="C2839" t="s">
        <v>27</v>
      </c>
      <c r="D2839" t="s">
        <v>22</v>
      </c>
      <c r="E2839" t="s">
        <v>45</v>
      </c>
      <c r="F2839" s="1">
        <v>42131</v>
      </c>
      <c r="G2839">
        <v>926280772</v>
      </c>
      <c r="H2839" t="s">
        <v>713</v>
      </c>
      <c r="I2839">
        <v>5919</v>
      </c>
      <c r="J2839">
        <v>47.45</v>
      </c>
      <c r="K2839">
        <v>31.79</v>
      </c>
      <c r="L2839">
        <v>280856.55</v>
      </c>
      <c r="M2839">
        <v>188165.01</v>
      </c>
      <c r="N2839">
        <v>92691.54</v>
      </c>
    </row>
    <row r="2840" spans="1:14" x14ac:dyDescent="0.25">
      <c r="A2840" t="s">
        <v>29</v>
      </c>
      <c r="B2840" t="s">
        <v>243</v>
      </c>
      <c r="C2840" t="s">
        <v>55</v>
      </c>
      <c r="D2840" t="s">
        <v>17</v>
      </c>
      <c r="E2840" t="s">
        <v>45</v>
      </c>
      <c r="F2840" t="s">
        <v>816</v>
      </c>
      <c r="G2840">
        <v>918171918</v>
      </c>
      <c r="H2840" s="1">
        <v>42255</v>
      </c>
      <c r="I2840">
        <v>6329</v>
      </c>
      <c r="J2840">
        <v>651.21</v>
      </c>
      <c r="K2840">
        <v>524.96</v>
      </c>
      <c r="L2840">
        <v>4121508.09</v>
      </c>
      <c r="M2840">
        <v>3322471.84</v>
      </c>
      <c r="N2840">
        <v>799036.25</v>
      </c>
    </row>
    <row r="2841" spans="1:14" x14ac:dyDescent="0.25">
      <c r="A2841" t="s">
        <v>42</v>
      </c>
      <c r="B2841" t="s">
        <v>552</v>
      </c>
      <c r="C2841" t="s">
        <v>27</v>
      </c>
      <c r="D2841" t="s">
        <v>17</v>
      </c>
      <c r="E2841" t="s">
        <v>45</v>
      </c>
      <c r="F2841" t="s">
        <v>1396</v>
      </c>
      <c r="G2841">
        <v>777307021</v>
      </c>
      <c r="H2841" s="1">
        <v>42497</v>
      </c>
      <c r="I2841">
        <v>1276</v>
      </c>
      <c r="J2841">
        <v>47.45</v>
      </c>
      <c r="K2841">
        <v>31.79</v>
      </c>
      <c r="L2841">
        <v>60546.2</v>
      </c>
      <c r="M2841">
        <v>40564.04</v>
      </c>
      <c r="N2841">
        <v>19982.16</v>
      </c>
    </row>
    <row r="2842" spans="1:14" x14ac:dyDescent="0.25">
      <c r="A2842" t="s">
        <v>25</v>
      </c>
      <c r="B2842" t="s">
        <v>462</v>
      </c>
      <c r="C2842" t="s">
        <v>113</v>
      </c>
      <c r="D2842" t="s">
        <v>22</v>
      </c>
      <c r="E2842" t="s">
        <v>32</v>
      </c>
      <c r="F2842" s="1">
        <v>40756</v>
      </c>
      <c r="G2842">
        <v>936547410</v>
      </c>
      <c r="H2842" s="1">
        <v>40878</v>
      </c>
      <c r="I2842">
        <v>4046</v>
      </c>
      <c r="J2842">
        <v>154.06</v>
      </c>
      <c r="K2842">
        <v>90.93</v>
      </c>
      <c r="L2842">
        <v>623326.76</v>
      </c>
      <c r="M2842">
        <v>367902.78</v>
      </c>
      <c r="N2842">
        <v>255423.98</v>
      </c>
    </row>
    <row r="2843" spans="1:14" x14ac:dyDescent="0.25">
      <c r="A2843" t="s">
        <v>51</v>
      </c>
      <c r="B2843" t="s">
        <v>258</v>
      </c>
      <c r="C2843" t="s">
        <v>131</v>
      </c>
      <c r="D2843" t="s">
        <v>22</v>
      </c>
      <c r="E2843" t="s">
        <v>23</v>
      </c>
      <c r="F2843" t="s">
        <v>826</v>
      </c>
      <c r="G2843">
        <v>999066913</v>
      </c>
      <c r="H2843" t="s">
        <v>1666</v>
      </c>
      <c r="I2843">
        <v>4956</v>
      </c>
      <c r="J2843">
        <v>668.27</v>
      </c>
      <c r="K2843">
        <v>502.54</v>
      </c>
      <c r="L2843">
        <v>3311946.12</v>
      </c>
      <c r="M2843">
        <v>2490588.2400000002</v>
      </c>
      <c r="N2843">
        <v>821357.88</v>
      </c>
    </row>
    <row r="2844" spans="1:14" x14ac:dyDescent="0.25">
      <c r="A2844" t="s">
        <v>77</v>
      </c>
      <c r="B2844" t="s">
        <v>794</v>
      </c>
      <c r="C2844" t="s">
        <v>131</v>
      </c>
      <c r="D2844" t="s">
        <v>17</v>
      </c>
      <c r="E2844" t="s">
        <v>23</v>
      </c>
      <c r="F2844" s="1">
        <v>42680</v>
      </c>
      <c r="G2844">
        <v>188351857</v>
      </c>
      <c r="H2844" t="s">
        <v>1667</v>
      </c>
      <c r="I2844">
        <v>6355</v>
      </c>
      <c r="J2844">
        <v>668.27</v>
      </c>
      <c r="K2844">
        <v>502.54</v>
      </c>
      <c r="L2844">
        <v>4246855.8499999996</v>
      </c>
      <c r="M2844">
        <v>3193641.7</v>
      </c>
      <c r="N2844">
        <v>1053214.1499999999</v>
      </c>
    </row>
    <row r="2845" spans="1:14" x14ac:dyDescent="0.25">
      <c r="A2845" t="s">
        <v>25</v>
      </c>
      <c r="B2845" t="s">
        <v>239</v>
      </c>
      <c r="C2845" t="s">
        <v>59</v>
      </c>
      <c r="D2845" t="s">
        <v>17</v>
      </c>
      <c r="E2845" t="s">
        <v>45</v>
      </c>
      <c r="F2845" t="s">
        <v>861</v>
      </c>
      <c r="G2845">
        <v>498201072</v>
      </c>
      <c r="H2845" s="1">
        <v>41466</v>
      </c>
      <c r="I2845">
        <v>7623</v>
      </c>
      <c r="J2845">
        <v>437.2</v>
      </c>
      <c r="K2845">
        <v>263.33</v>
      </c>
      <c r="L2845">
        <v>3332775.6</v>
      </c>
      <c r="M2845">
        <v>2007364.59</v>
      </c>
      <c r="N2845">
        <v>1325411.01</v>
      </c>
    </row>
    <row r="2846" spans="1:14" x14ac:dyDescent="0.25">
      <c r="A2846" t="s">
        <v>25</v>
      </c>
      <c r="B2846" t="s">
        <v>252</v>
      </c>
      <c r="C2846" t="s">
        <v>21</v>
      </c>
      <c r="D2846" t="s">
        <v>22</v>
      </c>
      <c r="E2846" t="s">
        <v>45</v>
      </c>
      <c r="F2846" t="s">
        <v>37</v>
      </c>
      <c r="G2846">
        <v>842725884</v>
      </c>
      <c r="H2846" s="1">
        <v>42316</v>
      </c>
      <c r="I2846">
        <v>171</v>
      </c>
      <c r="J2846">
        <v>152.58000000000001</v>
      </c>
      <c r="K2846">
        <v>97.44</v>
      </c>
      <c r="L2846">
        <v>26091.18</v>
      </c>
      <c r="M2846">
        <v>16662.240000000002</v>
      </c>
      <c r="N2846">
        <v>9428.94</v>
      </c>
    </row>
    <row r="2847" spans="1:14" x14ac:dyDescent="0.25">
      <c r="A2847" t="s">
        <v>29</v>
      </c>
      <c r="B2847" t="s">
        <v>585</v>
      </c>
      <c r="C2847" t="s">
        <v>88</v>
      </c>
      <c r="D2847" t="s">
        <v>22</v>
      </c>
      <c r="E2847" t="s">
        <v>23</v>
      </c>
      <c r="F2847" s="1">
        <v>42194</v>
      </c>
      <c r="G2847">
        <v>206350123</v>
      </c>
      <c r="H2847" t="s">
        <v>1561</v>
      </c>
      <c r="I2847">
        <v>2442</v>
      </c>
      <c r="J2847">
        <v>9.33</v>
      </c>
      <c r="K2847">
        <v>6.92</v>
      </c>
      <c r="L2847">
        <v>22783.86</v>
      </c>
      <c r="M2847">
        <v>16898.64</v>
      </c>
      <c r="N2847">
        <v>5885.22</v>
      </c>
    </row>
    <row r="2848" spans="1:14" x14ac:dyDescent="0.25">
      <c r="A2848" t="s">
        <v>51</v>
      </c>
      <c r="B2848" t="s">
        <v>593</v>
      </c>
      <c r="C2848" t="s">
        <v>21</v>
      </c>
      <c r="D2848" t="s">
        <v>17</v>
      </c>
      <c r="E2848" t="s">
        <v>23</v>
      </c>
      <c r="F2848" t="s">
        <v>298</v>
      </c>
      <c r="G2848">
        <v>793810117</v>
      </c>
      <c r="H2848" s="1">
        <v>42440</v>
      </c>
      <c r="I2848">
        <v>4909</v>
      </c>
      <c r="J2848">
        <v>152.58000000000001</v>
      </c>
      <c r="K2848">
        <v>97.44</v>
      </c>
      <c r="L2848">
        <v>749015.22</v>
      </c>
      <c r="M2848">
        <v>478332.96</v>
      </c>
      <c r="N2848">
        <v>270682.26</v>
      </c>
    </row>
    <row r="2849" spans="1:14" x14ac:dyDescent="0.25">
      <c r="A2849" t="s">
        <v>51</v>
      </c>
      <c r="B2849" t="s">
        <v>424</v>
      </c>
      <c r="C2849" t="s">
        <v>113</v>
      </c>
      <c r="D2849" t="s">
        <v>22</v>
      </c>
      <c r="E2849" t="s">
        <v>45</v>
      </c>
      <c r="F2849" s="1">
        <v>40668</v>
      </c>
      <c r="G2849">
        <v>380154693</v>
      </c>
      <c r="H2849" t="s">
        <v>369</v>
      </c>
      <c r="I2849">
        <v>5076</v>
      </c>
      <c r="J2849">
        <v>154.06</v>
      </c>
      <c r="K2849">
        <v>90.93</v>
      </c>
      <c r="L2849">
        <v>782008.56</v>
      </c>
      <c r="M2849">
        <v>461560.68</v>
      </c>
      <c r="N2849">
        <v>320447.88</v>
      </c>
    </row>
    <row r="2850" spans="1:14" x14ac:dyDescent="0.25">
      <c r="A2850" t="s">
        <v>38</v>
      </c>
      <c r="B2850" t="s">
        <v>329</v>
      </c>
      <c r="C2850" t="s">
        <v>44</v>
      </c>
      <c r="D2850" t="s">
        <v>22</v>
      </c>
      <c r="E2850" t="s">
        <v>18</v>
      </c>
      <c r="F2850" t="s">
        <v>347</v>
      </c>
      <c r="G2850">
        <v>860745179</v>
      </c>
      <c r="H2850" s="1">
        <v>42283</v>
      </c>
      <c r="I2850">
        <v>2481</v>
      </c>
      <c r="J2850">
        <v>109.28</v>
      </c>
      <c r="K2850">
        <v>35.840000000000003</v>
      </c>
      <c r="L2850">
        <v>271123.68</v>
      </c>
      <c r="M2850">
        <v>88919.039999999994</v>
      </c>
      <c r="N2850">
        <v>182204.64</v>
      </c>
    </row>
    <row r="2851" spans="1:14" x14ac:dyDescent="0.25">
      <c r="A2851" t="s">
        <v>51</v>
      </c>
      <c r="B2851" t="s">
        <v>350</v>
      </c>
      <c r="C2851" t="s">
        <v>131</v>
      </c>
      <c r="D2851" t="s">
        <v>17</v>
      </c>
      <c r="E2851" t="s">
        <v>32</v>
      </c>
      <c r="F2851" t="s">
        <v>1668</v>
      </c>
      <c r="G2851">
        <v>601255404</v>
      </c>
      <c r="H2851" t="s">
        <v>1092</v>
      </c>
      <c r="I2851">
        <v>3690</v>
      </c>
      <c r="J2851">
        <v>668.27</v>
      </c>
      <c r="K2851">
        <v>502.54</v>
      </c>
      <c r="L2851">
        <v>2465916.2999999998</v>
      </c>
      <c r="M2851">
        <v>1854372.6</v>
      </c>
      <c r="N2851">
        <v>611543.69999999995</v>
      </c>
    </row>
    <row r="2852" spans="1:14" x14ac:dyDescent="0.25">
      <c r="A2852" t="s">
        <v>29</v>
      </c>
      <c r="B2852" t="s">
        <v>153</v>
      </c>
      <c r="C2852" t="s">
        <v>59</v>
      </c>
      <c r="D2852" t="s">
        <v>22</v>
      </c>
      <c r="E2852" t="s">
        <v>32</v>
      </c>
      <c r="F2852" t="s">
        <v>396</v>
      </c>
      <c r="G2852">
        <v>287671697</v>
      </c>
      <c r="H2852" t="s">
        <v>1375</v>
      </c>
      <c r="I2852">
        <v>7303</v>
      </c>
      <c r="J2852">
        <v>437.2</v>
      </c>
      <c r="K2852">
        <v>263.33</v>
      </c>
      <c r="L2852">
        <v>3192871.6</v>
      </c>
      <c r="M2852">
        <v>1923098.99</v>
      </c>
      <c r="N2852">
        <v>1269772.6100000001</v>
      </c>
    </row>
    <row r="2853" spans="1:14" x14ac:dyDescent="0.25">
      <c r="A2853" t="s">
        <v>29</v>
      </c>
      <c r="B2853" t="s">
        <v>159</v>
      </c>
      <c r="C2853" t="s">
        <v>55</v>
      </c>
      <c r="D2853" t="s">
        <v>17</v>
      </c>
      <c r="E2853" t="s">
        <v>18</v>
      </c>
      <c r="F2853" t="s">
        <v>396</v>
      </c>
      <c r="G2853">
        <v>676292884</v>
      </c>
      <c r="H2853" t="s">
        <v>195</v>
      </c>
      <c r="I2853">
        <v>8948</v>
      </c>
      <c r="J2853">
        <v>651.21</v>
      </c>
      <c r="K2853">
        <v>524.96</v>
      </c>
      <c r="L2853">
        <v>5827027.0800000001</v>
      </c>
      <c r="M2853">
        <v>4697342.08</v>
      </c>
      <c r="N2853">
        <v>1129685</v>
      </c>
    </row>
    <row r="2854" spans="1:14" x14ac:dyDescent="0.25">
      <c r="A2854" t="s">
        <v>25</v>
      </c>
      <c r="B2854" t="s">
        <v>201</v>
      </c>
      <c r="C2854" t="s">
        <v>55</v>
      </c>
      <c r="D2854" t="s">
        <v>17</v>
      </c>
      <c r="E2854" t="s">
        <v>32</v>
      </c>
      <c r="F2854" s="1">
        <v>42740</v>
      </c>
      <c r="G2854">
        <v>343730294</v>
      </c>
      <c r="H2854" t="s">
        <v>577</v>
      </c>
      <c r="I2854">
        <v>6287</v>
      </c>
      <c r="J2854">
        <v>651.21</v>
      </c>
      <c r="K2854">
        <v>524.96</v>
      </c>
      <c r="L2854">
        <v>4094157.27</v>
      </c>
      <c r="M2854">
        <v>3300423.52</v>
      </c>
      <c r="N2854">
        <v>793733.75</v>
      </c>
    </row>
    <row r="2855" spans="1:14" x14ac:dyDescent="0.25">
      <c r="A2855" t="s">
        <v>25</v>
      </c>
      <c r="B2855" t="s">
        <v>785</v>
      </c>
      <c r="C2855" t="s">
        <v>113</v>
      </c>
      <c r="D2855" t="s">
        <v>17</v>
      </c>
      <c r="E2855" t="s">
        <v>23</v>
      </c>
      <c r="F2855" t="s">
        <v>1669</v>
      </c>
      <c r="G2855">
        <v>636907756</v>
      </c>
      <c r="H2855" s="1">
        <v>42008</v>
      </c>
      <c r="I2855">
        <v>4013</v>
      </c>
      <c r="J2855">
        <v>154.06</v>
      </c>
      <c r="K2855">
        <v>90.93</v>
      </c>
      <c r="L2855">
        <v>618242.78</v>
      </c>
      <c r="M2855">
        <v>364902.09</v>
      </c>
      <c r="N2855">
        <v>253340.69</v>
      </c>
    </row>
    <row r="2856" spans="1:14" x14ac:dyDescent="0.25">
      <c r="A2856" t="s">
        <v>29</v>
      </c>
      <c r="B2856" t="s">
        <v>315</v>
      </c>
      <c r="C2856" t="s">
        <v>44</v>
      </c>
      <c r="D2856" t="s">
        <v>17</v>
      </c>
      <c r="E2856" t="s">
        <v>32</v>
      </c>
      <c r="F2856" t="s">
        <v>1670</v>
      </c>
      <c r="G2856">
        <v>723061597</v>
      </c>
      <c r="H2856" t="s">
        <v>648</v>
      </c>
      <c r="I2856">
        <v>8849</v>
      </c>
      <c r="J2856">
        <v>109.28</v>
      </c>
      <c r="K2856">
        <v>35.840000000000003</v>
      </c>
      <c r="L2856">
        <v>967018.72</v>
      </c>
      <c r="M2856">
        <v>317148.15999999997</v>
      </c>
      <c r="N2856">
        <v>649870.56000000006</v>
      </c>
    </row>
    <row r="2857" spans="1:14" x14ac:dyDescent="0.25">
      <c r="A2857" t="s">
        <v>51</v>
      </c>
      <c r="B2857" t="s">
        <v>299</v>
      </c>
      <c r="C2857" t="s">
        <v>21</v>
      </c>
      <c r="D2857" t="s">
        <v>17</v>
      </c>
      <c r="E2857" t="s">
        <v>32</v>
      </c>
      <c r="F2857" t="s">
        <v>823</v>
      </c>
      <c r="G2857">
        <v>739740645</v>
      </c>
      <c r="H2857" s="1">
        <v>40552</v>
      </c>
      <c r="I2857">
        <v>4551</v>
      </c>
      <c r="J2857">
        <v>152.58000000000001</v>
      </c>
      <c r="K2857">
        <v>97.44</v>
      </c>
      <c r="L2857">
        <v>694391.58</v>
      </c>
      <c r="M2857">
        <v>443449.44</v>
      </c>
      <c r="N2857">
        <v>250942.14</v>
      </c>
    </row>
    <row r="2858" spans="1:14" x14ac:dyDescent="0.25">
      <c r="A2858" t="s">
        <v>25</v>
      </c>
      <c r="B2858" t="s">
        <v>26</v>
      </c>
      <c r="C2858" t="s">
        <v>31</v>
      </c>
      <c r="D2858" t="s">
        <v>17</v>
      </c>
      <c r="E2858" t="s">
        <v>45</v>
      </c>
      <c r="F2858" t="s">
        <v>1625</v>
      </c>
      <c r="G2858">
        <v>444806230</v>
      </c>
      <c r="H2858" s="1">
        <v>41278</v>
      </c>
      <c r="I2858">
        <v>6903</v>
      </c>
      <c r="J2858">
        <v>205.7</v>
      </c>
      <c r="K2858">
        <v>117.11</v>
      </c>
      <c r="L2858">
        <v>1419947.1</v>
      </c>
      <c r="M2858">
        <v>808410.33</v>
      </c>
      <c r="N2858">
        <v>611536.77</v>
      </c>
    </row>
    <row r="2859" spans="1:14" x14ac:dyDescent="0.25">
      <c r="A2859" t="s">
        <v>29</v>
      </c>
      <c r="B2859" t="s">
        <v>585</v>
      </c>
      <c r="C2859" t="s">
        <v>113</v>
      </c>
      <c r="D2859" t="s">
        <v>17</v>
      </c>
      <c r="E2859" t="s">
        <v>45</v>
      </c>
      <c r="F2859" t="s">
        <v>956</v>
      </c>
      <c r="G2859">
        <v>566432178</v>
      </c>
      <c r="H2859" s="1">
        <v>42622</v>
      </c>
      <c r="I2859">
        <v>8724</v>
      </c>
      <c r="J2859">
        <v>154.06</v>
      </c>
      <c r="K2859">
        <v>90.93</v>
      </c>
      <c r="L2859">
        <v>1344019.44</v>
      </c>
      <c r="M2859">
        <v>793273.32</v>
      </c>
      <c r="N2859">
        <v>550746.12</v>
      </c>
    </row>
    <row r="2860" spans="1:14" x14ac:dyDescent="0.25">
      <c r="A2860" t="s">
        <v>51</v>
      </c>
      <c r="B2860" t="s">
        <v>542</v>
      </c>
      <c r="C2860" t="s">
        <v>16</v>
      </c>
      <c r="D2860" t="s">
        <v>17</v>
      </c>
      <c r="E2860" t="s">
        <v>45</v>
      </c>
      <c r="F2860" t="s">
        <v>663</v>
      </c>
      <c r="G2860">
        <v>553104817</v>
      </c>
      <c r="H2860" t="s">
        <v>1350</v>
      </c>
      <c r="I2860">
        <v>4862</v>
      </c>
      <c r="J2860">
        <v>255.28</v>
      </c>
      <c r="K2860">
        <v>159.41999999999999</v>
      </c>
      <c r="L2860">
        <v>1241171.3600000001</v>
      </c>
      <c r="M2860">
        <v>775100.04</v>
      </c>
      <c r="N2860">
        <v>466071.32</v>
      </c>
    </row>
    <row r="2861" spans="1:14" x14ac:dyDescent="0.25">
      <c r="A2861" t="s">
        <v>14</v>
      </c>
      <c r="B2861" t="s">
        <v>370</v>
      </c>
      <c r="C2861" t="s">
        <v>44</v>
      </c>
      <c r="D2861" t="s">
        <v>22</v>
      </c>
      <c r="E2861" t="s">
        <v>23</v>
      </c>
      <c r="F2861" s="1">
        <v>41365</v>
      </c>
      <c r="G2861">
        <v>823622977</v>
      </c>
      <c r="H2861" t="s">
        <v>557</v>
      </c>
      <c r="I2861">
        <v>7197</v>
      </c>
      <c r="J2861">
        <v>109.28</v>
      </c>
      <c r="K2861">
        <v>35.840000000000003</v>
      </c>
      <c r="L2861">
        <v>786488.16</v>
      </c>
      <c r="M2861">
        <v>257940.48000000001</v>
      </c>
      <c r="N2861">
        <v>528547.68000000005</v>
      </c>
    </row>
    <row r="2862" spans="1:14" x14ac:dyDescent="0.25">
      <c r="A2862" t="s">
        <v>25</v>
      </c>
      <c r="B2862" t="s">
        <v>201</v>
      </c>
      <c r="C2862" t="s">
        <v>21</v>
      </c>
      <c r="D2862" t="s">
        <v>17</v>
      </c>
      <c r="E2862" t="s">
        <v>18</v>
      </c>
      <c r="F2862" t="s">
        <v>1403</v>
      </c>
      <c r="G2862">
        <v>517097985</v>
      </c>
      <c r="H2862" t="s">
        <v>1166</v>
      </c>
      <c r="I2862">
        <v>9640</v>
      </c>
      <c r="J2862">
        <v>152.58000000000001</v>
      </c>
      <c r="K2862">
        <v>97.44</v>
      </c>
      <c r="L2862">
        <v>1470871.2</v>
      </c>
      <c r="M2862">
        <v>939321.6</v>
      </c>
      <c r="N2862">
        <v>531549.6</v>
      </c>
    </row>
    <row r="2863" spans="1:14" x14ac:dyDescent="0.25">
      <c r="A2863" t="s">
        <v>25</v>
      </c>
      <c r="B2863" t="s">
        <v>172</v>
      </c>
      <c r="C2863" t="s">
        <v>27</v>
      </c>
      <c r="D2863" t="s">
        <v>22</v>
      </c>
      <c r="E2863" t="s">
        <v>18</v>
      </c>
      <c r="F2863" t="s">
        <v>536</v>
      </c>
      <c r="G2863">
        <v>642953670</v>
      </c>
      <c r="H2863" s="1">
        <v>42259</v>
      </c>
      <c r="I2863">
        <v>3134</v>
      </c>
      <c r="J2863">
        <v>47.45</v>
      </c>
      <c r="K2863">
        <v>31.79</v>
      </c>
      <c r="L2863">
        <v>148708.29999999999</v>
      </c>
      <c r="M2863">
        <v>99629.86</v>
      </c>
      <c r="N2863">
        <v>49078.44</v>
      </c>
    </row>
    <row r="2864" spans="1:14" x14ac:dyDescent="0.25">
      <c r="A2864" t="s">
        <v>29</v>
      </c>
      <c r="B2864" t="s">
        <v>545</v>
      </c>
      <c r="C2864" t="s">
        <v>27</v>
      </c>
      <c r="D2864" t="s">
        <v>17</v>
      </c>
      <c r="E2864" t="s">
        <v>18</v>
      </c>
      <c r="F2864" t="s">
        <v>232</v>
      </c>
      <c r="G2864">
        <v>930926358</v>
      </c>
      <c r="H2864" s="1">
        <v>41370</v>
      </c>
      <c r="I2864">
        <v>651</v>
      </c>
      <c r="J2864">
        <v>47.45</v>
      </c>
      <c r="K2864">
        <v>31.79</v>
      </c>
      <c r="L2864">
        <v>30889.95</v>
      </c>
      <c r="M2864">
        <v>20695.29</v>
      </c>
      <c r="N2864">
        <v>10194.66</v>
      </c>
    </row>
    <row r="2865" spans="1:14" x14ac:dyDescent="0.25">
      <c r="A2865" t="s">
        <v>51</v>
      </c>
      <c r="B2865" t="s">
        <v>151</v>
      </c>
      <c r="C2865" t="s">
        <v>113</v>
      </c>
      <c r="D2865" t="s">
        <v>22</v>
      </c>
      <c r="E2865" t="s">
        <v>32</v>
      </c>
      <c r="F2865" t="s">
        <v>748</v>
      </c>
      <c r="G2865">
        <v>281064879</v>
      </c>
      <c r="H2865" t="s">
        <v>1671</v>
      </c>
      <c r="I2865">
        <v>2199</v>
      </c>
      <c r="J2865">
        <v>154.06</v>
      </c>
      <c r="K2865">
        <v>90.93</v>
      </c>
      <c r="L2865">
        <v>338777.94</v>
      </c>
      <c r="M2865">
        <v>199955.07</v>
      </c>
      <c r="N2865">
        <v>138822.87</v>
      </c>
    </row>
    <row r="2866" spans="1:14" x14ac:dyDescent="0.25">
      <c r="A2866" t="s">
        <v>29</v>
      </c>
      <c r="B2866" t="s">
        <v>243</v>
      </c>
      <c r="C2866" t="s">
        <v>16</v>
      </c>
      <c r="D2866" t="s">
        <v>22</v>
      </c>
      <c r="E2866" t="s">
        <v>23</v>
      </c>
      <c r="F2866" t="s">
        <v>1025</v>
      </c>
      <c r="G2866">
        <v>813730561</v>
      </c>
      <c r="H2866" t="s">
        <v>1035</v>
      </c>
      <c r="I2866">
        <v>9811</v>
      </c>
      <c r="J2866">
        <v>255.28</v>
      </c>
      <c r="K2866">
        <v>159.41999999999999</v>
      </c>
      <c r="L2866">
        <v>2504552.08</v>
      </c>
      <c r="M2866">
        <v>1564069.62</v>
      </c>
      <c r="N2866">
        <v>940482.46</v>
      </c>
    </row>
    <row r="2867" spans="1:14" x14ac:dyDescent="0.25">
      <c r="A2867" t="s">
        <v>51</v>
      </c>
      <c r="B2867" t="s">
        <v>192</v>
      </c>
      <c r="C2867" t="s">
        <v>88</v>
      </c>
      <c r="D2867" t="s">
        <v>22</v>
      </c>
      <c r="E2867" t="s">
        <v>45</v>
      </c>
      <c r="F2867" t="s">
        <v>579</v>
      </c>
      <c r="G2867">
        <v>219597232</v>
      </c>
      <c r="H2867" s="1">
        <v>41030</v>
      </c>
      <c r="I2867">
        <v>2556</v>
      </c>
      <c r="J2867">
        <v>9.33</v>
      </c>
      <c r="K2867">
        <v>6.92</v>
      </c>
      <c r="L2867">
        <v>23847.48</v>
      </c>
      <c r="M2867">
        <v>17687.52</v>
      </c>
      <c r="N2867">
        <v>6159.96</v>
      </c>
    </row>
    <row r="2868" spans="1:14" x14ac:dyDescent="0.25">
      <c r="A2868" t="s">
        <v>42</v>
      </c>
      <c r="B2868" t="s">
        <v>107</v>
      </c>
      <c r="C2868" t="s">
        <v>21</v>
      </c>
      <c r="D2868" t="s">
        <v>22</v>
      </c>
      <c r="E2868" t="s">
        <v>45</v>
      </c>
      <c r="F2868" t="s">
        <v>1107</v>
      </c>
      <c r="G2868">
        <v>309651219</v>
      </c>
      <c r="H2868" s="1">
        <v>42009</v>
      </c>
      <c r="I2868">
        <v>1532</v>
      </c>
      <c r="J2868">
        <v>152.58000000000001</v>
      </c>
      <c r="K2868">
        <v>97.44</v>
      </c>
      <c r="L2868">
        <v>233752.56</v>
      </c>
      <c r="M2868">
        <v>149278.07999999999</v>
      </c>
      <c r="N2868">
        <v>84474.48</v>
      </c>
    </row>
    <row r="2869" spans="1:14" x14ac:dyDescent="0.25">
      <c r="A2869" t="s">
        <v>25</v>
      </c>
      <c r="B2869" t="s">
        <v>204</v>
      </c>
      <c r="C2869" t="s">
        <v>21</v>
      </c>
      <c r="D2869" t="s">
        <v>22</v>
      </c>
      <c r="E2869" t="s">
        <v>18</v>
      </c>
      <c r="F2869" t="s">
        <v>512</v>
      </c>
      <c r="G2869">
        <v>265191352</v>
      </c>
      <c r="H2869" t="s">
        <v>1641</v>
      </c>
      <c r="I2869">
        <v>4869</v>
      </c>
      <c r="J2869">
        <v>152.58000000000001</v>
      </c>
      <c r="K2869">
        <v>97.44</v>
      </c>
      <c r="L2869">
        <v>742912.02</v>
      </c>
      <c r="M2869">
        <v>474435.36</v>
      </c>
      <c r="N2869">
        <v>268476.65999999997</v>
      </c>
    </row>
    <row r="2870" spans="1:14" x14ac:dyDescent="0.25">
      <c r="A2870" t="s">
        <v>14</v>
      </c>
      <c r="B2870" t="s">
        <v>213</v>
      </c>
      <c r="C2870" t="s">
        <v>21</v>
      </c>
      <c r="D2870" t="s">
        <v>22</v>
      </c>
      <c r="E2870" t="s">
        <v>32</v>
      </c>
      <c r="F2870" s="1">
        <v>42827</v>
      </c>
      <c r="G2870">
        <v>687828958</v>
      </c>
      <c r="H2870" s="1">
        <v>42769</v>
      </c>
      <c r="I2870">
        <v>2728</v>
      </c>
      <c r="J2870">
        <v>152.58000000000001</v>
      </c>
      <c r="K2870">
        <v>97.44</v>
      </c>
      <c r="L2870">
        <v>416238.24</v>
      </c>
      <c r="M2870">
        <v>265816.32000000001</v>
      </c>
      <c r="N2870">
        <v>150421.92000000001</v>
      </c>
    </row>
    <row r="2871" spans="1:14" x14ac:dyDescent="0.25">
      <c r="A2871" t="s">
        <v>14</v>
      </c>
      <c r="B2871" t="s">
        <v>433</v>
      </c>
      <c r="C2871" t="s">
        <v>131</v>
      </c>
      <c r="D2871" t="s">
        <v>22</v>
      </c>
      <c r="E2871" t="s">
        <v>23</v>
      </c>
      <c r="F2871" t="s">
        <v>491</v>
      </c>
      <c r="G2871">
        <v>449487864</v>
      </c>
      <c r="H2871" s="1">
        <v>40910</v>
      </c>
      <c r="I2871">
        <v>2303</v>
      </c>
      <c r="J2871">
        <v>668.27</v>
      </c>
      <c r="K2871">
        <v>502.54</v>
      </c>
      <c r="L2871">
        <v>1539025.81</v>
      </c>
      <c r="M2871">
        <v>1157349.6200000001</v>
      </c>
      <c r="N2871">
        <v>381676.19</v>
      </c>
    </row>
    <row r="2872" spans="1:14" x14ac:dyDescent="0.25">
      <c r="A2872" t="s">
        <v>42</v>
      </c>
      <c r="B2872" t="s">
        <v>290</v>
      </c>
      <c r="C2872" t="s">
        <v>16</v>
      </c>
      <c r="D2872" t="s">
        <v>17</v>
      </c>
      <c r="E2872" t="s">
        <v>32</v>
      </c>
      <c r="F2872" t="s">
        <v>272</v>
      </c>
      <c r="G2872">
        <v>742404401</v>
      </c>
      <c r="H2872" t="s">
        <v>1131</v>
      </c>
      <c r="I2872">
        <v>2815</v>
      </c>
      <c r="J2872">
        <v>255.28</v>
      </c>
      <c r="K2872">
        <v>159.41999999999999</v>
      </c>
      <c r="L2872">
        <v>718613.2</v>
      </c>
      <c r="M2872">
        <v>448767.3</v>
      </c>
      <c r="N2872">
        <v>269845.90000000002</v>
      </c>
    </row>
    <row r="2873" spans="1:14" x14ac:dyDescent="0.25">
      <c r="A2873" t="s">
        <v>25</v>
      </c>
      <c r="B2873" t="s">
        <v>201</v>
      </c>
      <c r="C2873" t="s">
        <v>55</v>
      </c>
      <c r="D2873" t="s">
        <v>17</v>
      </c>
      <c r="E2873" t="s">
        <v>32</v>
      </c>
      <c r="F2873" t="s">
        <v>1231</v>
      </c>
      <c r="G2873">
        <v>129127395</v>
      </c>
      <c r="H2873" t="s">
        <v>633</v>
      </c>
      <c r="I2873">
        <v>520</v>
      </c>
      <c r="J2873">
        <v>651.21</v>
      </c>
      <c r="K2873">
        <v>524.96</v>
      </c>
      <c r="L2873">
        <v>338629.2</v>
      </c>
      <c r="M2873">
        <v>272979.20000000001</v>
      </c>
      <c r="N2873">
        <v>65650</v>
      </c>
    </row>
    <row r="2874" spans="1:14" x14ac:dyDescent="0.25">
      <c r="A2874" t="s">
        <v>25</v>
      </c>
      <c r="B2874" t="s">
        <v>204</v>
      </c>
      <c r="C2874" t="s">
        <v>113</v>
      </c>
      <c r="D2874" t="s">
        <v>22</v>
      </c>
      <c r="E2874" t="s">
        <v>18</v>
      </c>
      <c r="F2874" t="s">
        <v>505</v>
      </c>
      <c r="G2874">
        <v>392518174</v>
      </c>
      <c r="H2874" s="1">
        <v>40609</v>
      </c>
      <c r="I2874">
        <v>3705</v>
      </c>
      <c r="J2874">
        <v>154.06</v>
      </c>
      <c r="K2874">
        <v>90.93</v>
      </c>
      <c r="L2874">
        <v>570792.30000000005</v>
      </c>
      <c r="M2874">
        <v>336895.65</v>
      </c>
      <c r="N2874">
        <v>233896.65</v>
      </c>
    </row>
    <row r="2875" spans="1:14" x14ac:dyDescent="0.25">
      <c r="A2875" t="s">
        <v>38</v>
      </c>
      <c r="B2875" t="s">
        <v>527</v>
      </c>
      <c r="C2875" t="s">
        <v>113</v>
      </c>
      <c r="D2875" t="s">
        <v>17</v>
      </c>
      <c r="E2875" t="s">
        <v>45</v>
      </c>
      <c r="F2875" t="s">
        <v>651</v>
      </c>
      <c r="G2875">
        <v>685750567</v>
      </c>
      <c r="H2875" s="1">
        <v>42311</v>
      </c>
      <c r="I2875">
        <v>7687</v>
      </c>
      <c r="J2875">
        <v>154.06</v>
      </c>
      <c r="K2875">
        <v>90.93</v>
      </c>
      <c r="L2875">
        <v>1184259.22</v>
      </c>
      <c r="M2875">
        <v>698978.91</v>
      </c>
      <c r="N2875">
        <v>485280.31</v>
      </c>
    </row>
    <row r="2876" spans="1:14" x14ac:dyDescent="0.25">
      <c r="A2876" t="s">
        <v>14</v>
      </c>
      <c r="B2876" t="s">
        <v>98</v>
      </c>
      <c r="C2876" t="s">
        <v>40</v>
      </c>
      <c r="D2876" t="s">
        <v>22</v>
      </c>
      <c r="E2876" t="s">
        <v>32</v>
      </c>
      <c r="F2876" t="s">
        <v>1285</v>
      </c>
      <c r="G2876">
        <v>682310903</v>
      </c>
      <c r="H2876" s="1">
        <v>40609</v>
      </c>
      <c r="I2876">
        <v>9813</v>
      </c>
      <c r="J2876">
        <v>81.73</v>
      </c>
      <c r="K2876">
        <v>56.67</v>
      </c>
      <c r="L2876">
        <v>802016.49</v>
      </c>
      <c r="M2876">
        <v>556102.71</v>
      </c>
      <c r="N2876">
        <v>245913.78</v>
      </c>
    </row>
    <row r="2877" spans="1:14" x14ac:dyDescent="0.25">
      <c r="A2877" t="s">
        <v>51</v>
      </c>
      <c r="B2877" t="s">
        <v>420</v>
      </c>
      <c r="C2877" t="s">
        <v>55</v>
      </c>
      <c r="D2877" t="s">
        <v>17</v>
      </c>
      <c r="E2877" t="s">
        <v>23</v>
      </c>
      <c r="F2877" t="s">
        <v>805</v>
      </c>
      <c r="G2877">
        <v>125998008</v>
      </c>
      <c r="H2877" s="1">
        <v>42065</v>
      </c>
      <c r="I2877">
        <v>4465</v>
      </c>
      <c r="J2877">
        <v>651.21</v>
      </c>
      <c r="K2877">
        <v>524.96</v>
      </c>
      <c r="L2877">
        <v>2907652.65</v>
      </c>
      <c r="M2877">
        <v>2343946.4</v>
      </c>
      <c r="N2877">
        <v>563706.25</v>
      </c>
    </row>
    <row r="2878" spans="1:14" x14ac:dyDescent="0.25">
      <c r="A2878" t="s">
        <v>38</v>
      </c>
      <c r="B2878" t="s">
        <v>187</v>
      </c>
      <c r="C2878" t="s">
        <v>16</v>
      </c>
      <c r="D2878" t="s">
        <v>17</v>
      </c>
      <c r="E2878" t="s">
        <v>18</v>
      </c>
      <c r="F2878" t="s">
        <v>1061</v>
      </c>
      <c r="G2878">
        <v>180923211</v>
      </c>
      <c r="H2878" s="1">
        <v>40580</v>
      </c>
      <c r="I2878">
        <v>8054</v>
      </c>
      <c r="J2878">
        <v>255.28</v>
      </c>
      <c r="K2878">
        <v>159.41999999999999</v>
      </c>
      <c r="L2878">
        <v>2056025.12</v>
      </c>
      <c r="M2878">
        <v>1283968.68</v>
      </c>
      <c r="N2878">
        <v>772056.44</v>
      </c>
    </row>
    <row r="2879" spans="1:14" x14ac:dyDescent="0.25">
      <c r="A2879" t="s">
        <v>29</v>
      </c>
      <c r="B2879" t="s">
        <v>137</v>
      </c>
      <c r="C2879" t="s">
        <v>69</v>
      </c>
      <c r="D2879" t="s">
        <v>17</v>
      </c>
      <c r="E2879" t="s">
        <v>18</v>
      </c>
      <c r="F2879" t="s">
        <v>557</v>
      </c>
      <c r="G2879">
        <v>281510341</v>
      </c>
      <c r="H2879" t="s">
        <v>1593</v>
      </c>
      <c r="I2879">
        <v>4020</v>
      </c>
      <c r="J2879">
        <v>421.89</v>
      </c>
      <c r="K2879">
        <v>364.69</v>
      </c>
      <c r="L2879">
        <v>1695997.8</v>
      </c>
      <c r="M2879">
        <v>1466053.8</v>
      </c>
      <c r="N2879">
        <v>229944</v>
      </c>
    </row>
    <row r="2880" spans="1:14" x14ac:dyDescent="0.25">
      <c r="A2880" t="s">
        <v>38</v>
      </c>
      <c r="B2880" t="s">
        <v>288</v>
      </c>
      <c r="C2880" t="s">
        <v>44</v>
      </c>
      <c r="D2880" t="s">
        <v>22</v>
      </c>
      <c r="E2880" t="s">
        <v>32</v>
      </c>
      <c r="F2880" s="1">
        <v>40858</v>
      </c>
      <c r="G2880">
        <v>382495725</v>
      </c>
      <c r="H2880" t="s">
        <v>765</v>
      </c>
      <c r="I2880">
        <v>7840</v>
      </c>
      <c r="J2880">
        <v>109.28</v>
      </c>
      <c r="K2880">
        <v>35.840000000000003</v>
      </c>
      <c r="L2880">
        <v>856755.19999999995</v>
      </c>
      <c r="M2880">
        <v>280985.59999999998</v>
      </c>
      <c r="N2880">
        <v>575769.59999999998</v>
      </c>
    </row>
    <row r="2881" spans="1:14" x14ac:dyDescent="0.25">
      <c r="A2881" t="s">
        <v>38</v>
      </c>
      <c r="B2881" t="s">
        <v>117</v>
      </c>
      <c r="C2881" t="s">
        <v>16</v>
      </c>
      <c r="D2881" t="s">
        <v>17</v>
      </c>
      <c r="E2881" t="s">
        <v>32</v>
      </c>
      <c r="F2881" s="1">
        <v>40727</v>
      </c>
      <c r="G2881">
        <v>508928191</v>
      </c>
      <c r="H2881" t="s">
        <v>1390</v>
      </c>
      <c r="I2881">
        <v>2016</v>
      </c>
      <c r="J2881">
        <v>255.28</v>
      </c>
      <c r="K2881">
        <v>159.41999999999999</v>
      </c>
      <c r="L2881">
        <v>514644.47999999998</v>
      </c>
      <c r="M2881">
        <v>321390.71999999997</v>
      </c>
      <c r="N2881">
        <v>193253.76000000001</v>
      </c>
    </row>
    <row r="2882" spans="1:14" x14ac:dyDescent="0.25">
      <c r="A2882" t="s">
        <v>29</v>
      </c>
      <c r="B2882" t="s">
        <v>243</v>
      </c>
      <c r="C2882" t="s">
        <v>21</v>
      </c>
      <c r="D2882" t="s">
        <v>17</v>
      </c>
      <c r="E2882" t="s">
        <v>18</v>
      </c>
      <c r="F2882" t="s">
        <v>1672</v>
      </c>
      <c r="G2882">
        <v>306169068</v>
      </c>
      <c r="H2882" s="1">
        <v>42350</v>
      </c>
      <c r="I2882">
        <v>1086</v>
      </c>
      <c r="J2882">
        <v>152.58000000000001</v>
      </c>
      <c r="K2882">
        <v>97.44</v>
      </c>
      <c r="L2882">
        <v>165701.88</v>
      </c>
      <c r="M2882">
        <v>105819.84</v>
      </c>
      <c r="N2882">
        <v>59882.04</v>
      </c>
    </row>
    <row r="2883" spans="1:14" x14ac:dyDescent="0.25">
      <c r="A2883" t="s">
        <v>14</v>
      </c>
      <c r="B2883" t="s">
        <v>20</v>
      </c>
      <c r="C2883" t="s">
        <v>88</v>
      </c>
      <c r="D2883" t="s">
        <v>17</v>
      </c>
      <c r="E2883" t="s">
        <v>18</v>
      </c>
      <c r="F2883" s="1">
        <v>41254</v>
      </c>
      <c r="G2883">
        <v>389892184</v>
      </c>
      <c r="H2883" t="s">
        <v>520</v>
      </c>
      <c r="I2883">
        <v>6616</v>
      </c>
      <c r="J2883">
        <v>9.33</v>
      </c>
      <c r="K2883">
        <v>6.92</v>
      </c>
      <c r="L2883">
        <v>61727.28</v>
      </c>
      <c r="M2883">
        <v>45782.720000000001</v>
      </c>
      <c r="N2883">
        <v>15944.56</v>
      </c>
    </row>
    <row r="2884" spans="1:14" x14ac:dyDescent="0.25">
      <c r="A2884" t="s">
        <v>38</v>
      </c>
      <c r="B2884" t="s">
        <v>49</v>
      </c>
      <c r="C2884" t="s">
        <v>21</v>
      </c>
      <c r="D2884" t="s">
        <v>22</v>
      </c>
      <c r="E2884" t="s">
        <v>45</v>
      </c>
      <c r="F2884" s="1">
        <v>41040</v>
      </c>
      <c r="G2884">
        <v>996083867</v>
      </c>
      <c r="H2884" s="1">
        <v>40920</v>
      </c>
      <c r="I2884">
        <v>2206</v>
      </c>
      <c r="J2884">
        <v>152.58000000000001</v>
      </c>
      <c r="K2884">
        <v>97.44</v>
      </c>
      <c r="L2884">
        <v>336591.48</v>
      </c>
      <c r="M2884">
        <v>214952.64</v>
      </c>
      <c r="N2884">
        <v>121638.84</v>
      </c>
    </row>
    <row r="2885" spans="1:14" x14ac:dyDescent="0.25">
      <c r="A2885" t="s">
        <v>42</v>
      </c>
      <c r="B2885" t="s">
        <v>150</v>
      </c>
      <c r="C2885" t="s">
        <v>113</v>
      </c>
      <c r="D2885" t="s">
        <v>22</v>
      </c>
      <c r="E2885" t="s">
        <v>23</v>
      </c>
      <c r="F2885" t="s">
        <v>671</v>
      </c>
      <c r="G2885">
        <v>631042945</v>
      </c>
      <c r="H2885" t="s">
        <v>1673</v>
      </c>
      <c r="I2885">
        <v>8485</v>
      </c>
      <c r="J2885">
        <v>154.06</v>
      </c>
      <c r="K2885">
        <v>90.93</v>
      </c>
      <c r="L2885">
        <v>1307199.1000000001</v>
      </c>
      <c r="M2885">
        <v>771541.05</v>
      </c>
      <c r="N2885">
        <v>535658.05000000005</v>
      </c>
    </row>
    <row r="2886" spans="1:14" x14ac:dyDescent="0.25">
      <c r="A2886" t="s">
        <v>25</v>
      </c>
      <c r="B2886" t="s">
        <v>242</v>
      </c>
      <c r="C2886" t="s">
        <v>88</v>
      </c>
      <c r="D2886" t="s">
        <v>17</v>
      </c>
      <c r="E2886" t="s">
        <v>23</v>
      </c>
      <c r="F2886" t="s">
        <v>1451</v>
      </c>
      <c r="G2886">
        <v>121380746</v>
      </c>
      <c r="H2886" t="s">
        <v>1104</v>
      </c>
      <c r="I2886">
        <v>8115</v>
      </c>
      <c r="J2886">
        <v>9.33</v>
      </c>
      <c r="K2886">
        <v>6.92</v>
      </c>
      <c r="L2886">
        <v>75712.95</v>
      </c>
      <c r="M2886">
        <v>56155.8</v>
      </c>
      <c r="N2886">
        <v>19557.150000000001</v>
      </c>
    </row>
    <row r="2887" spans="1:14" x14ac:dyDescent="0.25">
      <c r="A2887" t="s">
        <v>38</v>
      </c>
      <c r="B2887" t="s">
        <v>329</v>
      </c>
      <c r="C2887" t="s">
        <v>16</v>
      </c>
      <c r="D2887" t="s">
        <v>22</v>
      </c>
      <c r="E2887" t="s">
        <v>18</v>
      </c>
      <c r="F2887" s="1">
        <v>41402</v>
      </c>
      <c r="G2887">
        <v>364021098</v>
      </c>
      <c r="H2887" t="s">
        <v>1617</v>
      </c>
      <c r="I2887">
        <v>787</v>
      </c>
      <c r="J2887">
        <v>255.28</v>
      </c>
      <c r="K2887">
        <v>159.41999999999999</v>
      </c>
      <c r="L2887">
        <v>200905.36</v>
      </c>
      <c r="M2887">
        <v>125463.54</v>
      </c>
      <c r="N2887">
        <v>75441.820000000007</v>
      </c>
    </row>
    <row r="2888" spans="1:14" x14ac:dyDescent="0.25">
      <c r="A2888" t="s">
        <v>51</v>
      </c>
      <c r="B2888" t="s">
        <v>169</v>
      </c>
      <c r="C2888" t="s">
        <v>16</v>
      </c>
      <c r="D2888" t="s">
        <v>17</v>
      </c>
      <c r="E2888" t="s">
        <v>18</v>
      </c>
      <c r="F2888" t="s">
        <v>636</v>
      </c>
      <c r="G2888">
        <v>976200330</v>
      </c>
      <c r="H2888" t="s">
        <v>1021</v>
      </c>
      <c r="I2888">
        <v>8226</v>
      </c>
      <c r="J2888">
        <v>255.28</v>
      </c>
      <c r="K2888">
        <v>159.41999999999999</v>
      </c>
      <c r="L2888">
        <v>2099933.2799999998</v>
      </c>
      <c r="M2888">
        <v>1311388.92</v>
      </c>
      <c r="N2888">
        <v>788544.36</v>
      </c>
    </row>
    <row r="2889" spans="1:14" x14ac:dyDescent="0.25">
      <c r="A2889" t="s">
        <v>25</v>
      </c>
      <c r="B2889" t="s">
        <v>185</v>
      </c>
      <c r="C2889" t="s">
        <v>44</v>
      </c>
      <c r="D2889" t="s">
        <v>22</v>
      </c>
      <c r="E2889" t="s">
        <v>18</v>
      </c>
      <c r="F2889" s="1">
        <v>41856</v>
      </c>
      <c r="G2889">
        <v>745467269</v>
      </c>
      <c r="H2889" t="s">
        <v>1078</v>
      </c>
      <c r="I2889">
        <v>9186</v>
      </c>
      <c r="J2889">
        <v>109.28</v>
      </c>
      <c r="K2889">
        <v>35.840000000000003</v>
      </c>
      <c r="L2889">
        <v>1003846.08</v>
      </c>
      <c r="M2889">
        <v>329226.23999999999</v>
      </c>
      <c r="N2889">
        <v>674619.84</v>
      </c>
    </row>
    <row r="2890" spans="1:14" x14ac:dyDescent="0.25">
      <c r="A2890" t="s">
        <v>51</v>
      </c>
      <c r="B2890" t="s">
        <v>210</v>
      </c>
      <c r="C2890" t="s">
        <v>88</v>
      </c>
      <c r="D2890" t="s">
        <v>22</v>
      </c>
      <c r="E2890" t="s">
        <v>18</v>
      </c>
      <c r="F2890" t="s">
        <v>1674</v>
      </c>
      <c r="G2890">
        <v>779683244</v>
      </c>
      <c r="H2890" t="s">
        <v>1674</v>
      </c>
      <c r="I2890">
        <v>4453</v>
      </c>
      <c r="J2890">
        <v>9.33</v>
      </c>
      <c r="K2890">
        <v>6.92</v>
      </c>
      <c r="L2890">
        <v>41546.49</v>
      </c>
      <c r="M2890">
        <v>30814.76</v>
      </c>
      <c r="N2890">
        <v>10731.73</v>
      </c>
    </row>
    <row r="2891" spans="1:14" x14ac:dyDescent="0.25">
      <c r="A2891" t="s">
        <v>38</v>
      </c>
      <c r="B2891" t="s">
        <v>58</v>
      </c>
      <c r="C2891" t="s">
        <v>21</v>
      </c>
      <c r="D2891" t="s">
        <v>17</v>
      </c>
      <c r="E2891" t="s">
        <v>23</v>
      </c>
      <c r="F2891" t="s">
        <v>171</v>
      </c>
      <c r="G2891">
        <v>457022082</v>
      </c>
      <c r="H2891" s="1">
        <v>41921</v>
      </c>
      <c r="I2891">
        <v>1845</v>
      </c>
      <c r="J2891">
        <v>152.58000000000001</v>
      </c>
      <c r="K2891">
        <v>97.44</v>
      </c>
      <c r="L2891">
        <v>281510.09999999998</v>
      </c>
      <c r="M2891">
        <v>179776.8</v>
      </c>
      <c r="N2891">
        <v>101733.3</v>
      </c>
    </row>
    <row r="2892" spans="1:14" x14ac:dyDescent="0.25">
      <c r="A2892" t="s">
        <v>51</v>
      </c>
      <c r="B2892" t="s">
        <v>108</v>
      </c>
      <c r="C2892" t="s">
        <v>69</v>
      </c>
      <c r="D2892" t="s">
        <v>22</v>
      </c>
      <c r="E2892" t="s">
        <v>18</v>
      </c>
      <c r="F2892" s="1">
        <v>41374</v>
      </c>
      <c r="G2892">
        <v>575970113</v>
      </c>
      <c r="H2892" t="s">
        <v>1675</v>
      </c>
      <c r="I2892">
        <v>1211</v>
      </c>
      <c r="J2892">
        <v>421.89</v>
      </c>
      <c r="K2892">
        <v>364.69</v>
      </c>
      <c r="L2892">
        <v>510908.79</v>
      </c>
      <c r="M2892">
        <v>441639.59</v>
      </c>
      <c r="N2892">
        <v>69269.2</v>
      </c>
    </row>
    <row r="2893" spans="1:14" x14ac:dyDescent="0.25">
      <c r="A2893" t="s">
        <v>29</v>
      </c>
      <c r="B2893" t="s">
        <v>485</v>
      </c>
      <c r="C2893" t="s">
        <v>113</v>
      </c>
      <c r="D2893" t="s">
        <v>17</v>
      </c>
      <c r="E2893" t="s">
        <v>45</v>
      </c>
      <c r="F2893" s="1">
        <v>40945</v>
      </c>
      <c r="G2893">
        <v>205326163</v>
      </c>
      <c r="H2893" s="1">
        <v>41250</v>
      </c>
      <c r="I2893">
        <v>9429</v>
      </c>
      <c r="J2893">
        <v>154.06</v>
      </c>
      <c r="K2893">
        <v>90.93</v>
      </c>
      <c r="L2893">
        <v>1452631.74</v>
      </c>
      <c r="M2893">
        <v>857378.97</v>
      </c>
      <c r="N2893">
        <v>595252.77</v>
      </c>
    </row>
    <row r="2894" spans="1:14" x14ac:dyDescent="0.25">
      <c r="A2894" t="s">
        <v>14</v>
      </c>
      <c r="B2894" t="s">
        <v>226</v>
      </c>
      <c r="C2894" t="s">
        <v>59</v>
      </c>
      <c r="D2894" t="s">
        <v>22</v>
      </c>
      <c r="E2894" t="s">
        <v>18</v>
      </c>
      <c r="F2894" s="1">
        <v>41395</v>
      </c>
      <c r="G2894">
        <v>734201562</v>
      </c>
      <c r="H2894" s="1">
        <v>41487</v>
      </c>
      <c r="I2894">
        <v>5413</v>
      </c>
      <c r="J2894">
        <v>437.2</v>
      </c>
      <c r="K2894">
        <v>263.33</v>
      </c>
      <c r="L2894">
        <v>2366563.6</v>
      </c>
      <c r="M2894">
        <v>1425405.29</v>
      </c>
      <c r="N2894">
        <v>941158.31</v>
      </c>
    </row>
    <row r="2895" spans="1:14" x14ac:dyDescent="0.25">
      <c r="A2895" t="s">
        <v>29</v>
      </c>
      <c r="B2895" t="s">
        <v>248</v>
      </c>
      <c r="C2895" t="s">
        <v>16</v>
      </c>
      <c r="D2895" t="s">
        <v>22</v>
      </c>
      <c r="E2895" t="s">
        <v>23</v>
      </c>
      <c r="F2895" t="s">
        <v>683</v>
      </c>
      <c r="G2895">
        <v>922020137</v>
      </c>
      <c r="H2895" t="s">
        <v>1676</v>
      </c>
      <c r="I2895">
        <v>5103</v>
      </c>
      <c r="J2895">
        <v>255.28</v>
      </c>
      <c r="K2895">
        <v>159.41999999999999</v>
      </c>
      <c r="L2895">
        <v>1302693.8400000001</v>
      </c>
      <c r="M2895">
        <v>813520.26</v>
      </c>
      <c r="N2895">
        <v>489173.58</v>
      </c>
    </row>
    <row r="2896" spans="1:14" x14ac:dyDescent="0.25">
      <c r="A2896" t="s">
        <v>25</v>
      </c>
      <c r="B2896" t="s">
        <v>74</v>
      </c>
      <c r="C2896" t="s">
        <v>69</v>
      </c>
      <c r="D2896" t="s">
        <v>22</v>
      </c>
      <c r="E2896" t="s">
        <v>45</v>
      </c>
      <c r="F2896" s="1">
        <v>41094</v>
      </c>
      <c r="G2896">
        <v>948518216</v>
      </c>
      <c r="H2896" s="1">
        <v>41004</v>
      </c>
      <c r="I2896">
        <v>6473</v>
      </c>
      <c r="J2896">
        <v>421.89</v>
      </c>
      <c r="K2896">
        <v>364.69</v>
      </c>
      <c r="L2896">
        <v>2730893.97</v>
      </c>
      <c r="M2896">
        <v>2360638.37</v>
      </c>
      <c r="N2896">
        <v>370255.6</v>
      </c>
    </row>
    <row r="2897" spans="1:14" x14ac:dyDescent="0.25">
      <c r="A2897" t="s">
        <v>25</v>
      </c>
      <c r="B2897" t="s">
        <v>134</v>
      </c>
      <c r="C2897" t="s">
        <v>55</v>
      </c>
      <c r="D2897" t="s">
        <v>22</v>
      </c>
      <c r="E2897" t="s">
        <v>32</v>
      </c>
      <c r="F2897" t="s">
        <v>501</v>
      </c>
      <c r="G2897">
        <v>163744628</v>
      </c>
      <c r="H2897" s="1">
        <v>42740</v>
      </c>
      <c r="I2897">
        <v>4529</v>
      </c>
      <c r="J2897">
        <v>651.21</v>
      </c>
      <c r="K2897">
        <v>524.96</v>
      </c>
      <c r="L2897">
        <v>2949330.09</v>
      </c>
      <c r="M2897">
        <v>2377543.84</v>
      </c>
      <c r="N2897">
        <v>571786.25</v>
      </c>
    </row>
    <row r="2898" spans="1:14" x14ac:dyDescent="0.25">
      <c r="A2898" t="s">
        <v>38</v>
      </c>
      <c r="B2898" t="s">
        <v>329</v>
      </c>
      <c r="C2898" t="s">
        <v>88</v>
      </c>
      <c r="D2898" t="s">
        <v>22</v>
      </c>
      <c r="E2898" t="s">
        <v>32</v>
      </c>
      <c r="F2898" s="1">
        <v>41886</v>
      </c>
      <c r="G2898">
        <v>238060700</v>
      </c>
      <c r="H2898" t="s">
        <v>842</v>
      </c>
      <c r="I2898">
        <v>6306</v>
      </c>
      <c r="J2898">
        <v>9.33</v>
      </c>
      <c r="K2898">
        <v>6.92</v>
      </c>
      <c r="L2898">
        <v>58834.98</v>
      </c>
      <c r="M2898">
        <v>43637.52</v>
      </c>
      <c r="N2898">
        <v>15197.46</v>
      </c>
    </row>
    <row r="2899" spans="1:14" x14ac:dyDescent="0.25">
      <c r="A2899" t="s">
        <v>38</v>
      </c>
      <c r="B2899" t="s">
        <v>105</v>
      </c>
      <c r="C2899" t="s">
        <v>44</v>
      </c>
      <c r="D2899" t="s">
        <v>22</v>
      </c>
      <c r="E2899" t="s">
        <v>18</v>
      </c>
      <c r="F2899" t="s">
        <v>1102</v>
      </c>
      <c r="G2899">
        <v>212140262</v>
      </c>
      <c r="H2899" t="s">
        <v>1102</v>
      </c>
      <c r="I2899">
        <v>5872</v>
      </c>
      <c r="J2899">
        <v>109.28</v>
      </c>
      <c r="K2899">
        <v>35.840000000000003</v>
      </c>
      <c r="L2899">
        <v>641692.16000000003</v>
      </c>
      <c r="M2899">
        <v>210452.48000000001</v>
      </c>
      <c r="N2899">
        <v>431239.67999999999</v>
      </c>
    </row>
    <row r="2900" spans="1:14" x14ac:dyDescent="0.25">
      <c r="A2900" t="s">
        <v>51</v>
      </c>
      <c r="B2900" t="s">
        <v>192</v>
      </c>
      <c r="C2900" t="s">
        <v>88</v>
      </c>
      <c r="D2900" t="s">
        <v>22</v>
      </c>
      <c r="E2900" t="s">
        <v>23</v>
      </c>
      <c r="F2900" s="1">
        <v>42523</v>
      </c>
      <c r="G2900">
        <v>546969640</v>
      </c>
      <c r="H2900" s="1">
        <v>42646</v>
      </c>
      <c r="I2900">
        <v>9326</v>
      </c>
      <c r="J2900">
        <v>9.33</v>
      </c>
      <c r="K2900">
        <v>6.92</v>
      </c>
      <c r="L2900">
        <v>87011.58</v>
      </c>
      <c r="M2900">
        <v>64535.92</v>
      </c>
      <c r="N2900">
        <v>22475.66</v>
      </c>
    </row>
    <row r="2901" spans="1:14" x14ac:dyDescent="0.25">
      <c r="A2901" t="s">
        <v>77</v>
      </c>
      <c r="B2901" t="s">
        <v>622</v>
      </c>
      <c r="C2901" t="s">
        <v>59</v>
      </c>
      <c r="D2901" t="s">
        <v>17</v>
      </c>
      <c r="E2901" t="s">
        <v>18</v>
      </c>
      <c r="F2901" s="1">
        <v>41610</v>
      </c>
      <c r="G2901">
        <v>873847663</v>
      </c>
      <c r="H2901" s="1">
        <v>41550</v>
      </c>
      <c r="I2901">
        <v>9797</v>
      </c>
      <c r="J2901">
        <v>437.2</v>
      </c>
      <c r="K2901">
        <v>263.33</v>
      </c>
      <c r="L2901">
        <v>4283248.4000000004</v>
      </c>
      <c r="M2901">
        <v>2579844.0099999998</v>
      </c>
      <c r="N2901">
        <v>1703404.39</v>
      </c>
    </row>
    <row r="2902" spans="1:14" x14ac:dyDescent="0.25">
      <c r="A2902" t="s">
        <v>42</v>
      </c>
      <c r="B2902" t="s">
        <v>150</v>
      </c>
      <c r="C2902" t="s">
        <v>131</v>
      </c>
      <c r="D2902" t="s">
        <v>17</v>
      </c>
      <c r="E2902" t="s">
        <v>18</v>
      </c>
      <c r="F2902" t="s">
        <v>1384</v>
      </c>
      <c r="G2902">
        <v>444385659</v>
      </c>
      <c r="H2902" t="s">
        <v>1527</v>
      </c>
      <c r="I2902">
        <v>2447</v>
      </c>
      <c r="J2902">
        <v>668.27</v>
      </c>
      <c r="K2902">
        <v>502.54</v>
      </c>
      <c r="L2902">
        <v>1635256.69</v>
      </c>
      <c r="M2902">
        <v>1229715.3799999999</v>
      </c>
      <c r="N2902">
        <v>405541.31</v>
      </c>
    </row>
    <row r="2903" spans="1:14" x14ac:dyDescent="0.25">
      <c r="A2903" t="s">
        <v>29</v>
      </c>
      <c r="B2903" t="s">
        <v>585</v>
      </c>
      <c r="C2903" t="s">
        <v>88</v>
      </c>
      <c r="D2903" t="s">
        <v>17</v>
      </c>
      <c r="E2903" t="s">
        <v>18</v>
      </c>
      <c r="F2903" t="s">
        <v>1658</v>
      </c>
      <c r="G2903">
        <v>380507457</v>
      </c>
      <c r="H2903" t="s">
        <v>273</v>
      </c>
      <c r="I2903">
        <v>9467</v>
      </c>
      <c r="J2903">
        <v>9.33</v>
      </c>
      <c r="K2903">
        <v>6.92</v>
      </c>
      <c r="L2903">
        <v>88327.11</v>
      </c>
      <c r="M2903">
        <v>65511.64</v>
      </c>
      <c r="N2903">
        <v>22815.47</v>
      </c>
    </row>
    <row r="2904" spans="1:14" x14ac:dyDescent="0.25">
      <c r="A2904" t="s">
        <v>51</v>
      </c>
      <c r="B2904" t="s">
        <v>424</v>
      </c>
      <c r="C2904" t="s">
        <v>27</v>
      </c>
      <c r="D2904" t="s">
        <v>22</v>
      </c>
      <c r="E2904" t="s">
        <v>18</v>
      </c>
      <c r="F2904" t="s">
        <v>809</v>
      </c>
      <c r="G2904">
        <v>524449384</v>
      </c>
      <c r="H2904" t="s">
        <v>1540</v>
      </c>
      <c r="I2904">
        <v>5082</v>
      </c>
      <c r="J2904">
        <v>47.45</v>
      </c>
      <c r="K2904">
        <v>31.79</v>
      </c>
      <c r="L2904">
        <v>241140.9</v>
      </c>
      <c r="M2904">
        <v>161556.78</v>
      </c>
      <c r="N2904">
        <v>79584.12</v>
      </c>
    </row>
    <row r="2905" spans="1:14" x14ac:dyDescent="0.25">
      <c r="A2905" t="s">
        <v>29</v>
      </c>
      <c r="B2905" t="s">
        <v>35</v>
      </c>
      <c r="C2905" t="s">
        <v>44</v>
      </c>
      <c r="D2905" t="s">
        <v>22</v>
      </c>
      <c r="E2905" t="s">
        <v>32</v>
      </c>
      <c r="F2905" t="s">
        <v>401</v>
      </c>
      <c r="G2905">
        <v>788760268</v>
      </c>
      <c r="H2905" s="1">
        <v>41645</v>
      </c>
      <c r="I2905">
        <v>546</v>
      </c>
      <c r="J2905">
        <v>109.28</v>
      </c>
      <c r="K2905">
        <v>35.840000000000003</v>
      </c>
      <c r="L2905">
        <v>59666.879999999997</v>
      </c>
      <c r="M2905">
        <v>19568.64</v>
      </c>
      <c r="N2905">
        <v>40098.239999999998</v>
      </c>
    </row>
    <row r="2906" spans="1:14" x14ac:dyDescent="0.25">
      <c r="A2906" t="s">
        <v>25</v>
      </c>
      <c r="B2906" t="s">
        <v>462</v>
      </c>
      <c r="C2906" t="s">
        <v>131</v>
      </c>
      <c r="D2906" t="s">
        <v>22</v>
      </c>
      <c r="E2906" t="s">
        <v>18</v>
      </c>
      <c r="F2906" t="s">
        <v>1004</v>
      </c>
      <c r="G2906">
        <v>706301438</v>
      </c>
      <c r="H2906" s="1">
        <v>41215</v>
      </c>
      <c r="I2906">
        <v>9146</v>
      </c>
      <c r="J2906">
        <v>668.27</v>
      </c>
      <c r="K2906">
        <v>502.54</v>
      </c>
      <c r="L2906">
        <v>6111997.4199999999</v>
      </c>
      <c r="M2906">
        <v>4596230.84</v>
      </c>
      <c r="N2906">
        <v>1515766.58</v>
      </c>
    </row>
    <row r="2907" spans="1:14" x14ac:dyDescent="0.25">
      <c r="A2907" t="s">
        <v>29</v>
      </c>
      <c r="B2907" t="s">
        <v>243</v>
      </c>
      <c r="C2907" t="s">
        <v>21</v>
      </c>
      <c r="D2907" t="s">
        <v>17</v>
      </c>
      <c r="E2907" t="s">
        <v>23</v>
      </c>
      <c r="F2907" t="s">
        <v>1597</v>
      </c>
      <c r="G2907">
        <v>780246722</v>
      </c>
      <c r="H2907" s="1">
        <v>42250</v>
      </c>
      <c r="I2907">
        <v>1199</v>
      </c>
      <c r="J2907">
        <v>152.58000000000001</v>
      </c>
      <c r="K2907">
        <v>97.44</v>
      </c>
      <c r="L2907">
        <v>182943.42</v>
      </c>
      <c r="M2907">
        <v>116830.56</v>
      </c>
      <c r="N2907">
        <v>66112.86</v>
      </c>
    </row>
    <row r="2908" spans="1:14" x14ac:dyDescent="0.25">
      <c r="A2908" t="s">
        <v>25</v>
      </c>
      <c r="B2908" t="s">
        <v>96</v>
      </c>
      <c r="C2908" t="s">
        <v>44</v>
      </c>
      <c r="D2908" t="s">
        <v>17</v>
      </c>
      <c r="E2908" t="s">
        <v>23</v>
      </c>
      <c r="F2908" s="1">
        <v>41885</v>
      </c>
      <c r="G2908">
        <v>234082448</v>
      </c>
      <c r="H2908" s="1">
        <v>41885</v>
      </c>
      <c r="I2908">
        <v>9053</v>
      </c>
      <c r="J2908">
        <v>109.28</v>
      </c>
      <c r="K2908">
        <v>35.840000000000003</v>
      </c>
      <c r="L2908">
        <v>989311.84</v>
      </c>
      <c r="M2908">
        <v>324459.52000000002</v>
      </c>
      <c r="N2908">
        <v>664852.31999999995</v>
      </c>
    </row>
    <row r="2909" spans="1:14" x14ac:dyDescent="0.25">
      <c r="A2909" t="s">
        <v>25</v>
      </c>
      <c r="B2909" t="s">
        <v>752</v>
      </c>
      <c r="C2909" t="s">
        <v>69</v>
      </c>
      <c r="D2909" t="s">
        <v>22</v>
      </c>
      <c r="E2909" t="s">
        <v>32</v>
      </c>
      <c r="F2909" t="s">
        <v>629</v>
      </c>
      <c r="G2909">
        <v>161607444</v>
      </c>
      <c r="H2909" s="1">
        <v>40978</v>
      </c>
      <c r="I2909">
        <v>2089</v>
      </c>
      <c r="J2909">
        <v>421.89</v>
      </c>
      <c r="K2909">
        <v>364.69</v>
      </c>
      <c r="L2909">
        <v>881328.21</v>
      </c>
      <c r="M2909">
        <v>761837.41</v>
      </c>
      <c r="N2909">
        <v>119490.8</v>
      </c>
    </row>
    <row r="2910" spans="1:14" x14ac:dyDescent="0.25">
      <c r="A2910" t="s">
        <v>51</v>
      </c>
      <c r="B2910" t="s">
        <v>575</v>
      </c>
      <c r="C2910" t="s">
        <v>69</v>
      </c>
      <c r="D2910" t="s">
        <v>22</v>
      </c>
      <c r="E2910" t="s">
        <v>23</v>
      </c>
      <c r="F2910" t="s">
        <v>1471</v>
      </c>
      <c r="G2910">
        <v>376933038</v>
      </c>
      <c r="H2910" t="s">
        <v>1677</v>
      </c>
      <c r="I2910">
        <v>1717</v>
      </c>
      <c r="J2910">
        <v>421.89</v>
      </c>
      <c r="K2910">
        <v>364.69</v>
      </c>
      <c r="L2910">
        <v>724385.13</v>
      </c>
      <c r="M2910">
        <v>626172.73</v>
      </c>
      <c r="N2910">
        <v>98212.4</v>
      </c>
    </row>
    <row r="2911" spans="1:14" x14ac:dyDescent="0.25">
      <c r="A2911" t="s">
        <v>25</v>
      </c>
      <c r="B2911" t="s">
        <v>363</v>
      </c>
      <c r="C2911" t="s">
        <v>69</v>
      </c>
      <c r="D2911" t="s">
        <v>22</v>
      </c>
      <c r="E2911" t="s">
        <v>23</v>
      </c>
      <c r="F2911" s="1">
        <v>41797</v>
      </c>
      <c r="G2911">
        <v>764483058</v>
      </c>
      <c r="H2911" s="1">
        <v>41767</v>
      </c>
      <c r="I2911">
        <v>6380</v>
      </c>
      <c r="J2911">
        <v>421.89</v>
      </c>
      <c r="K2911">
        <v>364.69</v>
      </c>
      <c r="L2911">
        <v>2691658.2</v>
      </c>
      <c r="M2911">
        <v>2326722.2000000002</v>
      </c>
      <c r="N2911">
        <v>364936</v>
      </c>
    </row>
    <row r="2912" spans="1:14" x14ac:dyDescent="0.25">
      <c r="A2912" t="s">
        <v>25</v>
      </c>
      <c r="B2912" t="s">
        <v>533</v>
      </c>
      <c r="C2912" t="s">
        <v>16</v>
      </c>
      <c r="D2912" t="s">
        <v>22</v>
      </c>
      <c r="E2912" t="s">
        <v>18</v>
      </c>
      <c r="F2912" s="1">
        <v>41767</v>
      </c>
      <c r="G2912">
        <v>828993833</v>
      </c>
      <c r="H2912" s="1">
        <v>41679</v>
      </c>
      <c r="I2912">
        <v>6552</v>
      </c>
      <c r="J2912">
        <v>255.28</v>
      </c>
      <c r="K2912">
        <v>159.41999999999999</v>
      </c>
      <c r="L2912">
        <v>1672594.56</v>
      </c>
      <c r="M2912">
        <v>1044519.84</v>
      </c>
      <c r="N2912">
        <v>628074.72</v>
      </c>
    </row>
    <row r="2913" spans="1:14" x14ac:dyDescent="0.25">
      <c r="A2913" t="s">
        <v>29</v>
      </c>
      <c r="B2913" t="s">
        <v>545</v>
      </c>
      <c r="C2913" t="s">
        <v>69</v>
      </c>
      <c r="D2913" t="s">
        <v>17</v>
      </c>
      <c r="E2913" t="s">
        <v>45</v>
      </c>
      <c r="F2913" s="1">
        <v>41682</v>
      </c>
      <c r="G2913">
        <v>145514190</v>
      </c>
      <c r="H2913" t="s">
        <v>1570</v>
      </c>
      <c r="I2913">
        <v>9737</v>
      </c>
      <c r="J2913">
        <v>421.89</v>
      </c>
      <c r="K2913">
        <v>364.69</v>
      </c>
      <c r="L2913">
        <v>4107942.93</v>
      </c>
      <c r="M2913">
        <v>3550986.53</v>
      </c>
      <c r="N2913">
        <v>556956.4</v>
      </c>
    </row>
    <row r="2914" spans="1:14" x14ac:dyDescent="0.25">
      <c r="A2914" t="s">
        <v>14</v>
      </c>
      <c r="B2914" t="s">
        <v>94</v>
      </c>
      <c r="C2914" t="s">
        <v>88</v>
      </c>
      <c r="D2914" t="s">
        <v>17</v>
      </c>
      <c r="E2914" t="s">
        <v>32</v>
      </c>
      <c r="F2914" t="s">
        <v>1421</v>
      </c>
      <c r="G2914">
        <v>609405457</v>
      </c>
      <c r="H2914" s="1">
        <v>42437</v>
      </c>
      <c r="I2914">
        <v>5472</v>
      </c>
      <c r="J2914">
        <v>9.33</v>
      </c>
      <c r="K2914">
        <v>6.92</v>
      </c>
      <c r="L2914">
        <v>51053.760000000002</v>
      </c>
      <c r="M2914">
        <v>37866.239999999998</v>
      </c>
      <c r="N2914">
        <v>13187.52</v>
      </c>
    </row>
    <row r="2915" spans="1:14" x14ac:dyDescent="0.25">
      <c r="A2915" t="s">
        <v>51</v>
      </c>
      <c r="B2915" t="s">
        <v>360</v>
      </c>
      <c r="C2915" t="s">
        <v>131</v>
      </c>
      <c r="D2915" t="s">
        <v>17</v>
      </c>
      <c r="E2915" t="s">
        <v>32</v>
      </c>
      <c r="F2915" t="s">
        <v>669</v>
      </c>
      <c r="G2915">
        <v>586341464</v>
      </c>
      <c r="H2915" t="s">
        <v>516</v>
      </c>
      <c r="I2915">
        <v>324</v>
      </c>
      <c r="J2915">
        <v>668.27</v>
      </c>
      <c r="K2915">
        <v>502.54</v>
      </c>
      <c r="L2915">
        <v>216519.48</v>
      </c>
      <c r="M2915">
        <v>162822.96</v>
      </c>
      <c r="N2915">
        <v>53696.52</v>
      </c>
    </row>
    <row r="2916" spans="1:14" x14ac:dyDescent="0.25">
      <c r="A2916" t="s">
        <v>42</v>
      </c>
      <c r="B2916" t="s">
        <v>361</v>
      </c>
      <c r="C2916" t="s">
        <v>27</v>
      </c>
      <c r="D2916" t="s">
        <v>22</v>
      </c>
      <c r="E2916" t="s">
        <v>23</v>
      </c>
      <c r="F2916" t="s">
        <v>463</v>
      </c>
      <c r="G2916">
        <v>762308537</v>
      </c>
      <c r="H2916" t="s">
        <v>1678</v>
      </c>
      <c r="I2916">
        <v>2891</v>
      </c>
      <c r="J2916">
        <v>47.45</v>
      </c>
      <c r="K2916">
        <v>31.79</v>
      </c>
      <c r="L2916">
        <v>137177.95000000001</v>
      </c>
      <c r="M2916">
        <v>91904.89</v>
      </c>
      <c r="N2916">
        <v>45273.06</v>
      </c>
    </row>
    <row r="2917" spans="1:14" x14ac:dyDescent="0.25">
      <c r="A2917" t="s">
        <v>38</v>
      </c>
      <c r="B2917" t="s">
        <v>584</v>
      </c>
      <c r="C2917" t="s">
        <v>31</v>
      </c>
      <c r="D2917" t="s">
        <v>17</v>
      </c>
      <c r="E2917" t="s">
        <v>45</v>
      </c>
      <c r="F2917" t="s">
        <v>1679</v>
      </c>
      <c r="G2917">
        <v>993605506</v>
      </c>
      <c r="H2917" t="s">
        <v>1679</v>
      </c>
      <c r="I2917">
        <v>8804</v>
      </c>
      <c r="J2917">
        <v>205.7</v>
      </c>
      <c r="K2917">
        <v>117.11</v>
      </c>
      <c r="L2917">
        <v>1810982.8</v>
      </c>
      <c r="M2917">
        <v>1031036.44</v>
      </c>
      <c r="N2917">
        <v>779946.36</v>
      </c>
    </row>
    <row r="2918" spans="1:14" x14ac:dyDescent="0.25">
      <c r="A2918" t="s">
        <v>38</v>
      </c>
      <c r="B2918" t="s">
        <v>58</v>
      </c>
      <c r="C2918" t="s">
        <v>88</v>
      </c>
      <c r="D2918" t="s">
        <v>17</v>
      </c>
      <c r="E2918" t="s">
        <v>45</v>
      </c>
      <c r="F2918" t="s">
        <v>1369</v>
      </c>
      <c r="G2918">
        <v>756843698</v>
      </c>
      <c r="H2918" t="s">
        <v>566</v>
      </c>
      <c r="I2918">
        <v>5724</v>
      </c>
      <c r="J2918">
        <v>9.33</v>
      </c>
      <c r="K2918">
        <v>6.92</v>
      </c>
      <c r="L2918">
        <v>53404.92</v>
      </c>
      <c r="M2918">
        <v>39610.080000000002</v>
      </c>
      <c r="N2918">
        <v>13794.84</v>
      </c>
    </row>
    <row r="2919" spans="1:14" x14ac:dyDescent="0.25">
      <c r="A2919" t="s">
        <v>25</v>
      </c>
      <c r="B2919" t="s">
        <v>47</v>
      </c>
      <c r="C2919" t="s">
        <v>69</v>
      </c>
      <c r="D2919" t="s">
        <v>22</v>
      </c>
      <c r="E2919" t="s">
        <v>23</v>
      </c>
      <c r="F2919" s="1">
        <v>42259</v>
      </c>
      <c r="G2919">
        <v>498946940</v>
      </c>
      <c r="H2919" s="1">
        <v>42675</v>
      </c>
      <c r="I2919">
        <v>8342</v>
      </c>
      <c r="J2919">
        <v>421.89</v>
      </c>
      <c r="K2919">
        <v>364.69</v>
      </c>
      <c r="L2919">
        <v>3519406.38</v>
      </c>
      <c r="M2919">
        <v>3042243.98</v>
      </c>
      <c r="N2919">
        <v>477162.4</v>
      </c>
    </row>
    <row r="2920" spans="1:14" x14ac:dyDescent="0.25">
      <c r="A2920" t="s">
        <v>25</v>
      </c>
      <c r="B2920" t="s">
        <v>119</v>
      </c>
      <c r="C2920" t="s">
        <v>40</v>
      </c>
      <c r="D2920" t="s">
        <v>22</v>
      </c>
      <c r="E2920" t="s">
        <v>18</v>
      </c>
      <c r="F2920" s="1">
        <v>41678</v>
      </c>
      <c r="G2920">
        <v>287151563</v>
      </c>
      <c r="H2920" s="1">
        <v>41951</v>
      </c>
      <c r="I2920">
        <v>3383</v>
      </c>
      <c r="J2920">
        <v>81.73</v>
      </c>
      <c r="K2920">
        <v>56.67</v>
      </c>
      <c r="L2920">
        <v>276492.59000000003</v>
      </c>
      <c r="M2920">
        <v>191714.61</v>
      </c>
      <c r="N2920">
        <v>84777.98</v>
      </c>
    </row>
    <row r="2921" spans="1:14" x14ac:dyDescent="0.25">
      <c r="A2921" t="s">
        <v>25</v>
      </c>
      <c r="B2921" t="s">
        <v>556</v>
      </c>
      <c r="C2921" t="s">
        <v>55</v>
      </c>
      <c r="D2921" t="s">
        <v>17</v>
      </c>
      <c r="E2921" t="s">
        <v>23</v>
      </c>
      <c r="F2921" t="s">
        <v>376</v>
      </c>
      <c r="G2921">
        <v>259006392</v>
      </c>
      <c r="H2921" s="1">
        <v>41431</v>
      </c>
      <c r="I2921">
        <v>4602</v>
      </c>
      <c r="J2921">
        <v>651.21</v>
      </c>
      <c r="K2921">
        <v>524.96</v>
      </c>
      <c r="L2921">
        <v>2996868.42</v>
      </c>
      <c r="M2921">
        <v>2415865.92</v>
      </c>
      <c r="N2921">
        <v>581002.5</v>
      </c>
    </row>
    <row r="2922" spans="1:14" x14ac:dyDescent="0.25">
      <c r="A2922" t="s">
        <v>29</v>
      </c>
      <c r="B2922" t="s">
        <v>585</v>
      </c>
      <c r="C2922" t="s">
        <v>44</v>
      </c>
      <c r="D2922" t="s">
        <v>17</v>
      </c>
      <c r="E2922" t="s">
        <v>45</v>
      </c>
      <c r="F2922" t="s">
        <v>1680</v>
      </c>
      <c r="G2922">
        <v>172372758</v>
      </c>
      <c r="H2922" t="s">
        <v>401</v>
      </c>
      <c r="I2922">
        <v>7784</v>
      </c>
      <c r="J2922">
        <v>109.28</v>
      </c>
      <c r="K2922">
        <v>35.840000000000003</v>
      </c>
      <c r="L2922">
        <v>850635.52</v>
      </c>
      <c r="M2922">
        <v>278978.56</v>
      </c>
      <c r="N2922">
        <v>571656.95999999996</v>
      </c>
    </row>
    <row r="2923" spans="1:14" x14ac:dyDescent="0.25">
      <c r="A2923" t="s">
        <v>14</v>
      </c>
      <c r="B2923" t="s">
        <v>226</v>
      </c>
      <c r="C2923" t="s">
        <v>59</v>
      </c>
      <c r="D2923" t="s">
        <v>17</v>
      </c>
      <c r="E2923" t="s">
        <v>23</v>
      </c>
      <c r="F2923" s="1">
        <v>42436</v>
      </c>
      <c r="G2923">
        <v>755424487</v>
      </c>
      <c r="H2923" t="s">
        <v>1490</v>
      </c>
      <c r="I2923">
        <v>5748</v>
      </c>
      <c r="J2923">
        <v>437.2</v>
      </c>
      <c r="K2923">
        <v>263.33</v>
      </c>
      <c r="L2923">
        <v>2513025.6</v>
      </c>
      <c r="M2923">
        <v>1513620.84</v>
      </c>
      <c r="N2923">
        <v>999404.76</v>
      </c>
    </row>
    <row r="2924" spans="1:14" x14ac:dyDescent="0.25">
      <c r="A2924" t="s">
        <v>25</v>
      </c>
      <c r="B2924" t="s">
        <v>234</v>
      </c>
      <c r="C2924" t="s">
        <v>113</v>
      </c>
      <c r="D2924" t="s">
        <v>17</v>
      </c>
      <c r="E2924" t="s">
        <v>23</v>
      </c>
      <c r="F2924" t="s">
        <v>690</v>
      </c>
      <c r="G2924">
        <v>556647908</v>
      </c>
      <c r="H2924" t="s">
        <v>783</v>
      </c>
      <c r="I2924">
        <v>3341</v>
      </c>
      <c r="J2924">
        <v>154.06</v>
      </c>
      <c r="K2924">
        <v>90.93</v>
      </c>
      <c r="L2924">
        <v>514714.46</v>
      </c>
      <c r="M2924">
        <v>303797.13</v>
      </c>
      <c r="N2924">
        <v>210917.33</v>
      </c>
    </row>
    <row r="2925" spans="1:14" x14ac:dyDescent="0.25">
      <c r="A2925" t="s">
        <v>51</v>
      </c>
      <c r="B2925" t="s">
        <v>166</v>
      </c>
      <c r="C2925" t="s">
        <v>44</v>
      </c>
      <c r="D2925" t="s">
        <v>17</v>
      </c>
      <c r="E2925" t="s">
        <v>18</v>
      </c>
      <c r="F2925" t="s">
        <v>1572</v>
      </c>
      <c r="G2925">
        <v>894841849</v>
      </c>
      <c r="H2925" s="1">
        <v>42226</v>
      </c>
      <c r="I2925">
        <v>2443</v>
      </c>
      <c r="J2925">
        <v>109.28</v>
      </c>
      <c r="K2925">
        <v>35.840000000000003</v>
      </c>
      <c r="L2925">
        <v>266971.03999999998</v>
      </c>
      <c r="M2925">
        <v>87557.119999999995</v>
      </c>
      <c r="N2925">
        <v>179413.92</v>
      </c>
    </row>
    <row r="2926" spans="1:14" x14ac:dyDescent="0.25">
      <c r="A2926" t="s">
        <v>14</v>
      </c>
      <c r="B2926" t="s">
        <v>208</v>
      </c>
      <c r="C2926" t="s">
        <v>21</v>
      </c>
      <c r="D2926" t="s">
        <v>17</v>
      </c>
      <c r="E2926" t="s">
        <v>32</v>
      </c>
      <c r="F2926" s="1">
        <v>42436</v>
      </c>
      <c r="G2926">
        <v>909117639</v>
      </c>
      <c r="H2926" s="1">
        <v>42651</v>
      </c>
      <c r="I2926">
        <v>6967</v>
      </c>
      <c r="J2926">
        <v>152.58000000000001</v>
      </c>
      <c r="K2926">
        <v>97.44</v>
      </c>
      <c r="L2926">
        <v>1063024.8600000001</v>
      </c>
      <c r="M2926">
        <v>678864.48</v>
      </c>
      <c r="N2926">
        <v>384160.38</v>
      </c>
    </row>
    <row r="2927" spans="1:14" x14ac:dyDescent="0.25">
      <c r="A2927" t="s">
        <v>29</v>
      </c>
      <c r="B2927" t="s">
        <v>393</v>
      </c>
      <c r="C2927" t="s">
        <v>16</v>
      </c>
      <c r="D2927" t="s">
        <v>22</v>
      </c>
      <c r="E2927" t="s">
        <v>18</v>
      </c>
      <c r="F2927" t="s">
        <v>1529</v>
      </c>
      <c r="G2927">
        <v>708899104</v>
      </c>
      <c r="H2927" s="1">
        <v>40544</v>
      </c>
      <c r="I2927">
        <v>7853</v>
      </c>
      <c r="J2927">
        <v>255.28</v>
      </c>
      <c r="K2927">
        <v>159.41999999999999</v>
      </c>
      <c r="L2927">
        <v>2004713.84</v>
      </c>
      <c r="M2927">
        <v>1251925.26</v>
      </c>
      <c r="N2927">
        <v>752788.58</v>
      </c>
    </row>
    <row r="2928" spans="1:14" x14ac:dyDescent="0.25">
      <c r="A2928" t="s">
        <v>25</v>
      </c>
      <c r="B2928" t="s">
        <v>615</v>
      </c>
      <c r="C2928" t="s">
        <v>113</v>
      </c>
      <c r="D2928" t="s">
        <v>22</v>
      </c>
      <c r="E2928" t="s">
        <v>18</v>
      </c>
      <c r="F2928" s="1">
        <v>40790</v>
      </c>
      <c r="G2928">
        <v>923922574</v>
      </c>
      <c r="H2928" t="s">
        <v>264</v>
      </c>
      <c r="I2928">
        <v>8076</v>
      </c>
      <c r="J2928">
        <v>154.06</v>
      </c>
      <c r="K2928">
        <v>90.93</v>
      </c>
      <c r="L2928">
        <v>1244188.56</v>
      </c>
      <c r="M2928">
        <v>734350.68</v>
      </c>
      <c r="N2928">
        <v>509837.88</v>
      </c>
    </row>
    <row r="2929" spans="1:14" x14ac:dyDescent="0.25">
      <c r="A2929" t="s">
        <v>38</v>
      </c>
      <c r="B2929" t="s">
        <v>527</v>
      </c>
      <c r="C2929" t="s">
        <v>113</v>
      </c>
      <c r="D2929" t="s">
        <v>22</v>
      </c>
      <c r="E2929" t="s">
        <v>18</v>
      </c>
      <c r="F2929" t="s">
        <v>699</v>
      </c>
      <c r="G2929">
        <v>454236876</v>
      </c>
      <c r="H2929" t="s">
        <v>747</v>
      </c>
      <c r="I2929">
        <v>7641</v>
      </c>
      <c r="J2929">
        <v>154.06</v>
      </c>
      <c r="K2929">
        <v>90.93</v>
      </c>
      <c r="L2929">
        <v>1177172.46</v>
      </c>
      <c r="M2929">
        <v>694796.13</v>
      </c>
      <c r="N2929">
        <v>482376.33</v>
      </c>
    </row>
    <row r="2930" spans="1:14" x14ac:dyDescent="0.25">
      <c r="A2930" t="s">
        <v>38</v>
      </c>
      <c r="B2930" t="s">
        <v>85</v>
      </c>
      <c r="C2930" t="s">
        <v>21</v>
      </c>
      <c r="D2930" t="s">
        <v>17</v>
      </c>
      <c r="E2930" t="s">
        <v>32</v>
      </c>
      <c r="F2930" s="1">
        <v>41894</v>
      </c>
      <c r="G2930">
        <v>520203340</v>
      </c>
      <c r="H2930" t="s">
        <v>562</v>
      </c>
      <c r="I2930">
        <v>8583</v>
      </c>
      <c r="J2930">
        <v>152.58000000000001</v>
      </c>
      <c r="K2930">
        <v>97.44</v>
      </c>
      <c r="L2930">
        <v>1309594.1399999999</v>
      </c>
      <c r="M2930">
        <v>836327.52</v>
      </c>
      <c r="N2930">
        <v>473266.62</v>
      </c>
    </row>
    <row r="2931" spans="1:14" x14ac:dyDescent="0.25">
      <c r="A2931" t="s">
        <v>42</v>
      </c>
      <c r="B2931" t="s">
        <v>573</v>
      </c>
      <c r="C2931" t="s">
        <v>31</v>
      </c>
      <c r="D2931" t="s">
        <v>17</v>
      </c>
      <c r="E2931" t="s">
        <v>32</v>
      </c>
      <c r="F2931" t="s">
        <v>652</v>
      </c>
      <c r="G2931">
        <v>612495791</v>
      </c>
      <c r="H2931" s="1">
        <v>41558</v>
      </c>
      <c r="I2931">
        <v>9971</v>
      </c>
      <c r="J2931">
        <v>205.7</v>
      </c>
      <c r="K2931">
        <v>117.11</v>
      </c>
      <c r="L2931">
        <v>2051034.7</v>
      </c>
      <c r="M2931">
        <v>1167703.81</v>
      </c>
      <c r="N2931">
        <v>883330.89</v>
      </c>
    </row>
    <row r="2932" spans="1:14" x14ac:dyDescent="0.25">
      <c r="A2932" t="s">
        <v>25</v>
      </c>
      <c r="B2932" t="s">
        <v>142</v>
      </c>
      <c r="C2932" t="s">
        <v>21</v>
      </c>
      <c r="D2932" t="s">
        <v>22</v>
      </c>
      <c r="E2932" t="s">
        <v>23</v>
      </c>
      <c r="F2932" s="1">
        <v>42826</v>
      </c>
      <c r="G2932">
        <v>742100560</v>
      </c>
      <c r="H2932" t="s">
        <v>1681</v>
      </c>
      <c r="I2932">
        <v>2902</v>
      </c>
      <c r="J2932">
        <v>152.58000000000001</v>
      </c>
      <c r="K2932">
        <v>97.44</v>
      </c>
      <c r="L2932">
        <v>442787.16</v>
      </c>
      <c r="M2932">
        <v>282770.88</v>
      </c>
      <c r="N2932">
        <v>160016.28</v>
      </c>
    </row>
    <row r="2933" spans="1:14" x14ac:dyDescent="0.25">
      <c r="A2933" t="s">
        <v>51</v>
      </c>
      <c r="B2933" t="s">
        <v>219</v>
      </c>
      <c r="C2933" t="s">
        <v>88</v>
      </c>
      <c r="D2933" t="s">
        <v>17</v>
      </c>
      <c r="E2933" t="s">
        <v>45</v>
      </c>
      <c r="F2933" s="1">
        <v>42192</v>
      </c>
      <c r="G2933">
        <v>990316474</v>
      </c>
      <c r="H2933" t="s">
        <v>643</v>
      </c>
      <c r="I2933">
        <v>5507</v>
      </c>
      <c r="J2933">
        <v>9.33</v>
      </c>
      <c r="K2933">
        <v>6.92</v>
      </c>
      <c r="L2933">
        <v>51380.31</v>
      </c>
      <c r="M2933">
        <v>38108.44</v>
      </c>
      <c r="N2933">
        <v>13271.87</v>
      </c>
    </row>
    <row r="2934" spans="1:14" x14ac:dyDescent="0.25">
      <c r="A2934" t="s">
        <v>38</v>
      </c>
      <c r="B2934" t="s">
        <v>85</v>
      </c>
      <c r="C2934" t="s">
        <v>27</v>
      </c>
      <c r="D2934" t="s">
        <v>22</v>
      </c>
      <c r="E2934" t="s">
        <v>18</v>
      </c>
      <c r="F2934" t="s">
        <v>1355</v>
      </c>
      <c r="G2934">
        <v>158754861</v>
      </c>
      <c r="H2934" t="s">
        <v>1248</v>
      </c>
      <c r="I2934">
        <v>7946</v>
      </c>
      <c r="J2934">
        <v>47.45</v>
      </c>
      <c r="K2934">
        <v>31.79</v>
      </c>
      <c r="L2934">
        <v>377037.7</v>
      </c>
      <c r="M2934">
        <v>252603.34</v>
      </c>
      <c r="N2934">
        <v>124434.36</v>
      </c>
    </row>
    <row r="2935" spans="1:14" x14ac:dyDescent="0.25">
      <c r="A2935" t="s">
        <v>51</v>
      </c>
      <c r="B2935" t="s">
        <v>578</v>
      </c>
      <c r="C2935" t="s">
        <v>131</v>
      </c>
      <c r="D2935" t="s">
        <v>22</v>
      </c>
      <c r="E2935" t="s">
        <v>23</v>
      </c>
      <c r="F2935" s="1">
        <v>42499</v>
      </c>
      <c r="G2935">
        <v>719339549</v>
      </c>
      <c r="H2935" t="s">
        <v>1682</v>
      </c>
      <c r="I2935">
        <v>7413</v>
      </c>
      <c r="J2935">
        <v>668.27</v>
      </c>
      <c r="K2935">
        <v>502.54</v>
      </c>
      <c r="L2935">
        <v>4953885.51</v>
      </c>
      <c r="M2935">
        <v>3725329.02</v>
      </c>
      <c r="N2935">
        <v>1228556.49</v>
      </c>
    </row>
    <row r="2936" spans="1:14" x14ac:dyDescent="0.25">
      <c r="A2936" t="s">
        <v>38</v>
      </c>
      <c r="B2936" t="s">
        <v>92</v>
      </c>
      <c r="C2936" t="s">
        <v>31</v>
      </c>
      <c r="D2936" t="s">
        <v>17</v>
      </c>
      <c r="E2936" t="s">
        <v>32</v>
      </c>
      <c r="F2936" s="1">
        <v>41975</v>
      </c>
      <c r="G2936">
        <v>264306867</v>
      </c>
      <c r="H2936" t="s">
        <v>902</v>
      </c>
      <c r="I2936">
        <v>3130</v>
      </c>
      <c r="J2936">
        <v>205.7</v>
      </c>
      <c r="K2936">
        <v>117.11</v>
      </c>
      <c r="L2936">
        <v>643841</v>
      </c>
      <c r="M2936">
        <v>366554.3</v>
      </c>
      <c r="N2936">
        <v>277286.7</v>
      </c>
    </row>
    <row r="2937" spans="1:14" x14ac:dyDescent="0.25">
      <c r="A2937" t="s">
        <v>29</v>
      </c>
      <c r="B2937" t="s">
        <v>206</v>
      </c>
      <c r="C2937" t="s">
        <v>21</v>
      </c>
      <c r="D2937" t="s">
        <v>22</v>
      </c>
      <c r="E2937" t="s">
        <v>23</v>
      </c>
      <c r="F2937" t="s">
        <v>704</v>
      </c>
      <c r="G2937">
        <v>956205642</v>
      </c>
      <c r="H2937" t="s">
        <v>1683</v>
      </c>
      <c r="I2937">
        <v>1353</v>
      </c>
      <c r="J2937">
        <v>152.58000000000001</v>
      </c>
      <c r="K2937">
        <v>97.44</v>
      </c>
      <c r="L2937">
        <v>206440.74</v>
      </c>
      <c r="M2937">
        <v>131836.32</v>
      </c>
      <c r="N2937">
        <v>74604.42</v>
      </c>
    </row>
    <row r="2938" spans="1:14" x14ac:dyDescent="0.25">
      <c r="A2938" t="s">
        <v>29</v>
      </c>
      <c r="B2938" t="s">
        <v>545</v>
      </c>
      <c r="C2938" t="s">
        <v>113</v>
      </c>
      <c r="D2938" t="s">
        <v>22</v>
      </c>
      <c r="E2938" t="s">
        <v>32</v>
      </c>
      <c r="F2938" s="1">
        <v>41009</v>
      </c>
      <c r="G2938">
        <v>977897202</v>
      </c>
      <c r="H2938" s="1">
        <v>41224</v>
      </c>
      <c r="I2938">
        <v>368</v>
      </c>
      <c r="J2938">
        <v>154.06</v>
      </c>
      <c r="K2938">
        <v>90.93</v>
      </c>
      <c r="L2938">
        <v>56694.080000000002</v>
      </c>
      <c r="M2938">
        <v>33462.239999999998</v>
      </c>
      <c r="N2938">
        <v>23231.84</v>
      </c>
    </row>
    <row r="2939" spans="1:14" x14ac:dyDescent="0.25">
      <c r="A2939" t="s">
        <v>29</v>
      </c>
      <c r="B2939" t="s">
        <v>393</v>
      </c>
      <c r="C2939" t="s">
        <v>16</v>
      </c>
      <c r="D2939" t="s">
        <v>17</v>
      </c>
      <c r="E2939" t="s">
        <v>32</v>
      </c>
      <c r="F2939" s="1">
        <v>40638</v>
      </c>
      <c r="G2939">
        <v>382555377</v>
      </c>
      <c r="H2939" t="s">
        <v>1684</v>
      </c>
      <c r="I2939">
        <v>5492</v>
      </c>
      <c r="J2939">
        <v>255.28</v>
      </c>
      <c r="K2939">
        <v>159.41999999999999</v>
      </c>
      <c r="L2939">
        <v>1401997.76</v>
      </c>
      <c r="M2939">
        <v>875534.64</v>
      </c>
      <c r="N2939">
        <v>526463.12</v>
      </c>
    </row>
    <row r="2940" spans="1:14" x14ac:dyDescent="0.25">
      <c r="A2940" t="s">
        <v>29</v>
      </c>
      <c r="B2940" t="s">
        <v>356</v>
      </c>
      <c r="C2940" t="s">
        <v>88</v>
      </c>
      <c r="D2940" t="s">
        <v>22</v>
      </c>
      <c r="E2940" t="s">
        <v>32</v>
      </c>
      <c r="F2940" s="1">
        <v>42948</v>
      </c>
      <c r="G2940">
        <v>643666493</v>
      </c>
      <c r="H2940" t="s">
        <v>1685</v>
      </c>
      <c r="I2940">
        <v>4074</v>
      </c>
      <c r="J2940">
        <v>9.33</v>
      </c>
      <c r="K2940">
        <v>6.92</v>
      </c>
      <c r="L2940">
        <v>38010.42</v>
      </c>
      <c r="M2940">
        <v>28192.080000000002</v>
      </c>
      <c r="N2940">
        <v>9818.34</v>
      </c>
    </row>
    <row r="2941" spans="1:14" x14ac:dyDescent="0.25">
      <c r="A2941" t="s">
        <v>25</v>
      </c>
      <c r="B2941" t="s">
        <v>418</v>
      </c>
      <c r="C2941" t="s">
        <v>88</v>
      </c>
      <c r="D2941" t="s">
        <v>22</v>
      </c>
      <c r="E2941" t="s">
        <v>45</v>
      </c>
      <c r="F2941" s="1">
        <v>41975</v>
      </c>
      <c r="G2941">
        <v>605029380</v>
      </c>
      <c r="H2941" t="s">
        <v>482</v>
      </c>
      <c r="I2941">
        <v>493</v>
      </c>
      <c r="J2941">
        <v>9.33</v>
      </c>
      <c r="K2941">
        <v>6.92</v>
      </c>
      <c r="L2941">
        <v>4599.6899999999996</v>
      </c>
      <c r="M2941">
        <v>3411.56</v>
      </c>
      <c r="N2941">
        <v>1188.1300000000001</v>
      </c>
    </row>
    <row r="2942" spans="1:14" x14ac:dyDescent="0.25">
      <c r="A2942" t="s">
        <v>29</v>
      </c>
      <c r="B2942" t="s">
        <v>338</v>
      </c>
      <c r="C2942" t="s">
        <v>88</v>
      </c>
      <c r="D2942" t="s">
        <v>17</v>
      </c>
      <c r="E2942" t="s">
        <v>32</v>
      </c>
      <c r="F2942" t="s">
        <v>1224</v>
      </c>
      <c r="G2942">
        <v>530755364</v>
      </c>
      <c r="H2942" t="s">
        <v>659</v>
      </c>
      <c r="I2942">
        <v>1162</v>
      </c>
      <c r="J2942">
        <v>9.33</v>
      </c>
      <c r="K2942">
        <v>6.92</v>
      </c>
      <c r="L2942">
        <v>10841.46</v>
      </c>
      <c r="M2942">
        <v>8041.04</v>
      </c>
      <c r="N2942">
        <v>2800.42</v>
      </c>
    </row>
    <row r="2943" spans="1:14" x14ac:dyDescent="0.25">
      <c r="A2943" t="s">
        <v>42</v>
      </c>
      <c r="B2943" t="s">
        <v>630</v>
      </c>
      <c r="C2943" t="s">
        <v>113</v>
      </c>
      <c r="D2943" t="s">
        <v>22</v>
      </c>
      <c r="E2943" t="s">
        <v>18</v>
      </c>
      <c r="F2943" t="s">
        <v>307</v>
      </c>
      <c r="G2943">
        <v>755268275</v>
      </c>
      <c r="H2943" s="1">
        <v>41064</v>
      </c>
      <c r="I2943">
        <v>9521</v>
      </c>
      <c r="J2943">
        <v>154.06</v>
      </c>
      <c r="K2943">
        <v>90.93</v>
      </c>
      <c r="L2943">
        <v>1466805.26</v>
      </c>
      <c r="M2943">
        <v>865744.53</v>
      </c>
      <c r="N2943">
        <v>601060.73</v>
      </c>
    </row>
    <row r="2944" spans="1:14" x14ac:dyDescent="0.25">
      <c r="A2944" t="s">
        <v>25</v>
      </c>
      <c r="B2944" t="s">
        <v>252</v>
      </c>
      <c r="C2944" t="s">
        <v>69</v>
      </c>
      <c r="D2944" t="s">
        <v>17</v>
      </c>
      <c r="E2944" t="s">
        <v>32</v>
      </c>
      <c r="F2944" s="1">
        <v>43045</v>
      </c>
      <c r="G2944">
        <v>333304440</v>
      </c>
      <c r="H2944" s="1">
        <v>42862</v>
      </c>
      <c r="I2944">
        <v>1046</v>
      </c>
      <c r="J2944">
        <v>421.89</v>
      </c>
      <c r="K2944">
        <v>364.69</v>
      </c>
      <c r="L2944">
        <v>441296.94</v>
      </c>
      <c r="M2944">
        <v>381465.74</v>
      </c>
      <c r="N2944">
        <v>59831.199999999997</v>
      </c>
    </row>
    <row r="2945" spans="1:14" x14ac:dyDescent="0.25">
      <c r="A2945" t="s">
        <v>29</v>
      </c>
      <c r="B2945" t="s">
        <v>159</v>
      </c>
      <c r="C2945" t="s">
        <v>21</v>
      </c>
      <c r="D2945" t="s">
        <v>22</v>
      </c>
      <c r="E2945" t="s">
        <v>18</v>
      </c>
      <c r="F2945" t="s">
        <v>1175</v>
      </c>
      <c r="G2945">
        <v>189912688</v>
      </c>
      <c r="H2945" s="1">
        <v>42249</v>
      </c>
      <c r="I2945">
        <v>8240</v>
      </c>
      <c r="J2945">
        <v>152.58000000000001</v>
      </c>
      <c r="K2945">
        <v>97.44</v>
      </c>
      <c r="L2945">
        <v>1257259.2</v>
      </c>
      <c r="M2945">
        <v>802905.59999999998</v>
      </c>
      <c r="N2945">
        <v>454353.6</v>
      </c>
    </row>
    <row r="2946" spans="1:14" x14ac:dyDescent="0.25">
      <c r="A2946" t="s">
        <v>42</v>
      </c>
      <c r="B2946" t="s">
        <v>107</v>
      </c>
      <c r="C2946" t="s">
        <v>27</v>
      </c>
      <c r="D2946" t="s">
        <v>17</v>
      </c>
      <c r="E2946" t="s">
        <v>18</v>
      </c>
      <c r="F2946" t="s">
        <v>1403</v>
      </c>
      <c r="G2946">
        <v>870454347</v>
      </c>
      <c r="H2946" t="s">
        <v>1647</v>
      </c>
      <c r="I2946">
        <v>5639</v>
      </c>
      <c r="J2946">
        <v>47.45</v>
      </c>
      <c r="K2946">
        <v>31.79</v>
      </c>
      <c r="L2946">
        <v>267570.55</v>
      </c>
      <c r="M2946">
        <v>179263.81</v>
      </c>
      <c r="N2946">
        <v>88306.74</v>
      </c>
    </row>
    <row r="2947" spans="1:14" x14ac:dyDescent="0.25">
      <c r="A2947" t="s">
        <v>29</v>
      </c>
      <c r="B2947" t="s">
        <v>356</v>
      </c>
      <c r="C2947" t="s">
        <v>27</v>
      </c>
      <c r="D2947" t="s">
        <v>17</v>
      </c>
      <c r="E2947" t="s">
        <v>23</v>
      </c>
      <c r="F2947" s="1">
        <v>40695</v>
      </c>
      <c r="G2947">
        <v>290603244</v>
      </c>
      <c r="H2947" t="s">
        <v>941</v>
      </c>
      <c r="I2947">
        <v>4813</v>
      </c>
      <c r="J2947">
        <v>47.45</v>
      </c>
      <c r="K2947">
        <v>31.79</v>
      </c>
      <c r="L2947">
        <v>228376.85</v>
      </c>
      <c r="M2947">
        <v>153005.26999999999</v>
      </c>
      <c r="N2947">
        <v>75371.58</v>
      </c>
    </row>
    <row r="2948" spans="1:14" x14ac:dyDescent="0.25">
      <c r="A2948" t="s">
        <v>25</v>
      </c>
      <c r="B2948" t="s">
        <v>185</v>
      </c>
      <c r="C2948" t="s">
        <v>59</v>
      </c>
      <c r="D2948" t="s">
        <v>22</v>
      </c>
      <c r="E2948" t="s">
        <v>45</v>
      </c>
      <c r="F2948" s="1">
        <v>41707</v>
      </c>
      <c r="G2948">
        <v>486345708</v>
      </c>
      <c r="H2948" s="1">
        <v>41953</v>
      </c>
      <c r="I2948">
        <v>9357</v>
      </c>
      <c r="J2948">
        <v>437.2</v>
      </c>
      <c r="K2948">
        <v>263.33</v>
      </c>
      <c r="L2948">
        <v>4090880.4</v>
      </c>
      <c r="M2948">
        <v>2463978.81</v>
      </c>
      <c r="N2948">
        <v>1626901.59</v>
      </c>
    </row>
    <row r="2949" spans="1:14" x14ac:dyDescent="0.25">
      <c r="A2949" t="s">
        <v>14</v>
      </c>
      <c r="B2949" t="s">
        <v>226</v>
      </c>
      <c r="C2949" t="s">
        <v>40</v>
      </c>
      <c r="D2949" t="s">
        <v>22</v>
      </c>
      <c r="E2949" t="s">
        <v>18</v>
      </c>
      <c r="F2949" s="1">
        <v>41553</v>
      </c>
      <c r="G2949">
        <v>863980567</v>
      </c>
      <c r="H2949" t="s">
        <v>633</v>
      </c>
      <c r="I2949">
        <v>9904</v>
      </c>
      <c r="J2949">
        <v>81.73</v>
      </c>
      <c r="K2949">
        <v>56.67</v>
      </c>
      <c r="L2949">
        <v>809453.92</v>
      </c>
      <c r="M2949">
        <v>561259.68000000005</v>
      </c>
      <c r="N2949">
        <v>248194.24</v>
      </c>
    </row>
    <row r="2950" spans="1:14" x14ac:dyDescent="0.25">
      <c r="A2950" t="s">
        <v>51</v>
      </c>
      <c r="B2950" t="s">
        <v>525</v>
      </c>
      <c r="C2950" t="s">
        <v>40</v>
      </c>
      <c r="D2950" t="s">
        <v>22</v>
      </c>
      <c r="E2950" t="s">
        <v>23</v>
      </c>
      <c r="F2950" s="1">
        <v>42709</v>
      </c>
      <c r="G2950">
        <v>450119149</v>
      </c>
      <c r="H2950" s="1">
        <v>42376</v>
      </c>
      <c r="I2950">
        <v>9114</v>
      </c>
      <c r="J2950">
        <v>81.73</v>
      </c>
      <c r="K2950">
        <v>56.67</v>
      </c>
      <c r="L2950">
        <v>744887.22</v>
      </c>
      <c r="M2950">
        <v>516490.38</v>
      </c>
      <c r="N2950">
        <v>228396.84</v>
      </c>
    </row>
    <row r="2951" spans="1:14" x14ac:dyDescent="0.25">
      <c r="A2951" t="s">
        <v>51</v>
      </c>
      <c r="B2951" t="s">
        <v>877</v>
      </c>
      <c r="C2951" t="s">
        <v>21</v>
      </c>
      <c r="D2951" t="s">
        <v>17</v>
      </c>
      <c r="E2951" t="s">
        <v>45</v>
      </c>
      <c r="F2951" s="1">
        <v>41981</v>
      </c>
      <c r="G2951">
        <v>141685283</v>
      </c>
      <c r="H2951" s="1">
        <v>41982</v>
      </c>
      <c r="I2951">
        <v>6679</v>
      </c>
      <c r="J2951">
        <v>152.58000000000001</v>
      </c>
      <c r="K2951">
        <v>97.44</v>
      </c>
      <c r="L2951">
        <v>1019081.82</v>
      </c>
      <c r="M2951">
        <v>650801.76</v>
      </c>
      <c r="N2951">
        <v>368280.06</v>
      </c>
    </row>
    <row r="2952" spans="1:14" x14ac:dyDescent="0.25">
      <c r="A2952" t="s">
        <v>51</v>
      </c>
      <c r="B2952" t="s">
        <v>502</v>
      </c>
      <c r="C2952" t="s">
        <v>55</v>
      </c>
      <c r="D2952" t="s">
        <v>17</v>
      </c>
      <c r="E2952" t="s">
        <v>32</v>
      </c>
      <c r="F2952" t="s">
        <v>817</v>
      </c>
      <c r="G2952">
        <v>455915296</v>
      </c>
      <c r="H2952" s="1">
        <v>42317</v>
      </c>
      <c r="I2952">
        <v>4322</v>
      </c>
      <c r="J2952">
        <v>651.21</v>
      </c>
      <c r="K2952">
        <v>524.96</v>
      </c>
      <c r="L2952">
        <v>2814529.62</v>
      </c>
      <c r="M2952">
        <v>2268877.12</v>
      </c>
      <c r="N2952">
        <v>545652.5</v>
      </c>
    </row>
    <row r="2953" spans="1:14" x14ac:dyDescent="0.25">
      <c r="A2953" t="s">
        <v>25</v>
      </c>
      <c r="B2953" t="s">
        <v>242</v>
      </c>
      <c r="C2953" t="s">
        <v>27</v>
      </c>
      <c r="D2953" t="s">
        <v>17</v>
      </c>
      <c r="E2953" t="s">
        <v>18</v>
      </c>
      <c r="F2953" t="s">
        <v>1503</v>
      </c>
      <c r="G2953">
        <v>180358016</v>
      </c>
      <c r="H2953" t="s">
        <v>1595</v>
      </c>
      <c r="I2953">
        <v>800</v>
      </c>
      <c r="J2953">
        <v>47.45</v>
      </c>
      <c r="K2953">
        <v>31.79</v>
      </c>
      <c r="L2953">
        <v>37960</v>
      </c>
      <c r="M2953">
        <v>25432</v>
      </c>
      <c r="N2953">
        <v>12528</v>
      </c>
    </row>
    <row r="2954" spans="1:14" x14ac:dyDescent="0.25">
      <c r="A2954" t="s">
        <v>29</v>
      </c>
      <c r="B2954" t="s">
        <v>271</v>
      </c>
      <c r="C2954" t="s">
        <v>69</v>
      </c>
      <c r="D2954" t="s">
        <v>22</v>
      </c>
      <c r="E2954" t="s">
        <v>45</v>
      </c>
      <c r="F2954" t="s">
        <v>141</v>
      </c>
      <c r="G2954">
        <v>422874772</v>
      </c>
      <c r="H2954" t="s">
        <v>1359</v>
      </c>
      <c r="I2954">
        <v>6897</v>
      </c>
      <c r="J2954">
        <v>421.89</v>
      </c>
      <c r="K2954">
        <v>364.69</v>
      </c>
      <c r="L2954">
        <v>2909775.33</v>
      </c>
      <c r="M2954">
        <v>2515266.9300000002</v>
      </c>
      <c r="N2954">
        <v>394508.4</v>
      </c>
    </row>
    <row r="2955" spans="1:14" x14ac:dyDescent="0.25">
      <c r="A2955" t="s">
        <v>38</v>
      </c>
      <c r="B2955" t="s">
        <v>451</v>
      </c>
      <c r="C2955" t="s">
        <v>113</v>
      </c>
      <c r="D2955" t="s">
        <v>22</v>
      </c>
      <c r="E2955" t="s">
        <v>18</v>
      </c>
      <c r="F2955" t="s">
        <v>1591</v>
      </c>
      <c r="G2955">
        <v>561639392</v>
      </c>
      <c r="H2955" t="s">
        <v>1193</v>
      </c>
      <c r="I2955">
        <v>432</v>
      </c>
      <c r="J2955">
        <v>154.06</v>
      </c>
      <c r="K2955">
        <v>90.93</v>
      </c>
      <c r="L2955">
        <v>66553.919999999998</v>
      </c>
      <c r="M2955">
        <v>39281.760000000002</v>
      </c>
      <c r="N2955">
        <v>27272.16</v>
      </c>
    </row>
    <row r="2956" spans="1:14" x14ac:dyDescent="0.25">
      <c r="A2956" t="s">
        <v>29</v>
      </c>
      <c r="B2956" t="s">
        <v>243</v>
      </c>
      <c r="C2956" t="s">
        <v>69</v>
      </c>
      <c r="D2956" t="s">
        <v>22</v>
      </c>
      <c r="E2956" t="s">
        <v>32</v>
      </c>
      <c r="F2956" s="1">
        <v>40797</v>
      </c>
      <c r="G2956">
        <v>495138204</v>
      </c>
      <c r="H2956" s="1">
        <v>40858</v>
      </c>
      <c r="I2956">
        <v>1252</v>
      </c>
      <c r="J2956">
        <v>421.89</v>
      </c>
      <c r="K2956">
        <v>364.69</v>
      </c>
      <c r="L2956">
        <v>528206.28</v>
      </c>
      <c r="M2956">
        <v>456591.88</v>
      </c>
      <c r="N2956">
        <v>71614.399999999994</v>
      </c>
    </row>
    <row r="2957" spans="1:14" x14ac:dyDescent="0.25">
      <c r="A2957" t="s">
        <v>51</v>
      </c>
      <c r="B2957" t="s">
        <v>299</v>
      </c>
      <c r="C2957" t="s">
        <v>16</v>
      </c>
      <c r="D2957" t="s">
        <v>17</v>
      </c>
      <c r="E2957" t="s">
        <v>45</v>
      </c>
      <c r="F2957" t="s">
        <v>1686</v>
      </c>
      <c r="G2957">
        <v>192170035</v>
      </c>
      <c r="H2957" s="1">
        <v>42130</v>
      </c>
      <c r="I2957">
        <v>6239</v>
      </c>
      <c r="J2957">
        <v>255.28</v>
      </c>
      <c r="K2957">
        <v>159.41999999999999</v>
      </c>
      <c r="L2957">
        <v>1592691.92</v>
      </c>
      <c r="M2957">
        <v>994621.38</v>
      </c>
      <c r="N2957">
        <v>598070.54</v>
      </c>
    </row>
    <row r="2958" spans="1:14" x14ac:dyDescent="0.25">
      <c r="A2958" t="s">
        <v>25</v>
      </c>
      <c r="B2958" t="s">
        <v>785</v>
      </c>
      <c r="C2958" t="s">
        <v>44</v>
      </c>
      <c r="D2958" t="s">
        <v>17</v>
      </c>
      <c r="E2958" t="s">
        <v>45</v>
      </c>
      <c r="F2958" t="s">
        <v>1687</v>
      </c>
      <c r="G2958">
        <v>141846215</v>
      </c>
      <c r="H2958" t="s">
        <v>688</v>
      </c>
      <c r="I2958">
        <v>4302</v>
      </c>
      <c r="J2958">
        <v>109.28</v>
      </c>
      <c r="K2958">
        <v>35.840000000000003</v>
      </c>
      <c r="L2958">
        <v>470122.56</v>
      </c>
      <c r="M2958">
        <v>154183.67999999999</v>
      </c>
      <c r="N2958">
        <v>315938.88</v>
      </c>
    </row>
    <row r="2959" spans="1:14" x14ac:dyDescent="0.25">
      <c r="A2959" t="s">
        <v>38</v>
      </c>
      <c r="B2959" t="s">
        <v>58</v>
      </c>
      <c r="C2959" t="s">
        <v>44</v>
      </c>
      <c r="D2959" t="s">
        <v>22</v>
      </c>
      <c r="E2959" t="s">
        <v>32</v>
      </c>
      <c r="F2959" t="s">
        <v>1122</v>
      </c>
      <c r="G2959">
        <v>903590571</v>
      </c>
      <c r="H2959" s="1">
        <v>40187</v>
      </c>
      <c r="I2959">
        <v>1385</v>
      </c>
      <c r="J2959">
        <v>109.28</v>
      </c>
      <c r="K2959">
        <v>35.840000000000003</v>
      </c>
      <c r="L2959">
        <v>151352.79999999999</v>
      </c>
      <c r="M2959">
        <v>49638.400000000001</v>
      </c>
      <c r="N2959">
        <v>101714.4</v>
      </c>
    </row>
    <row r="2960" spans="1:14" x14ac:dyDescent="0.25">
      <c r="A2960" t="s">
        <v>38</v>
      </c>
      <c r="B2960" t="s">
        <v>83</v>
      </c>
      <c r="C2960" t="s">
        <v>69</v>
      </c>
      <c r="D2960" t="s">
        <v>17</v>
      </c>
      <c r="E2960" t="s">
        <v>32</v>
      </c>
      <c r="F2960" t="s">
        <v>1688</v>
      </c>
      <c r="G2960">
        <v>857139432</v>
      </c>
      <c r="H2960" s="1">
        <v>40488</v>
      </c>
      <c r="I2960">
        <v>5460</v>
      </c>
      <c r="J2960">
        <v>421.89</v>
      </c>
      <c r="K2960">
        <v>364.69</v>
      </c>
      <c r="L2960">
        <v>2303519.4</v>
      </c>
      <c r="M2960">
        <v>1991207.4</v>
      </c>
      <c r="N2960">
        <v>312312</v>
      </c>
    </row>
    <row r="2961" spans="1:14" x14ac:dyDescent="0.25">
      <c r="A2961" t="s">
        <v>25</v>
      </c>
      <c r="B2961" t="s">
        <v>386</v>
      </c>
      <c r="C2961" t="s">
        <v>16</v>
      </c>
      <c r="D2961" t="s">
        <v>22</v>
      </c>
      <c r="E2961" t="s">
        <v>23</v>
      </c>
      <c r="F2961" s="1">
        <v>42984</v>
      </c>
      <c r="G2961">
        <v>252541625</v>
      </c>
      <c r="H2961" s="1">
        <v>42862</v>
      </c>
      <c r="I2961">
        <v>1534</v>
      </c>
      <c r="J2961">
        <v>255.28</v>
      </c>
      <c r="K2961">
        <v>159.41999999999999</v>
      </c>
      <c r="L2961">
        <v>391599.52</v>
      </c>
      <c r="M2961">
        <v>244550.28</v>
      </c>
      <c r="N2961">
        <v>147049.24</v>
      </c>
    </row>
    <row r="2962" spans="1:14" x14ac:dyDescent="0.25">
      <c r="A2962" t="s">
        <v>51</v>
      </c>
      <c r="B2962" t="s">
        <v>327</v>
      </c>
      <c r="C2962" t="s">
        <v>131</v>
      </c>
      <c r="D2962" t="s">
        <v>22</v>
      </c>
      <c r="E2962" t="s">
        <v>45</v>
      </c>
      <c r="F2962" t="s">
        <v>1689</v>
      </c>
      <c r="G2962">
        <v>760158479</v>
      </c>
      <c r="H2962" t="s">
        <v>606</v>
      </c>
      <c r="I2962">
        <v>6641</v>
      </c>
      <c r="J2962">
        <v>668.27</v>
      </c>
      <c r="K2962">
        <v>502.54</v>
      </c>
      <c r="L2962">
        <v>4437981.07</v>
      </c>
      <c r="M2962">
        <v>3337368.14</v>
      </c>
      <c r="N2962">
        <v>1100612.93</v>
      </c>
    </row>
    <row r="2963" spans="1:14" x14ac:dyDescent="0.25">
      <c r="A2963" t="s">
        <v>42</v>
      </c>
      <c r="B2963" t="s">
        <v>565</v>
      </c>
      <c r="C2963" t="s">
        <v>59</v>
      </c>
      <c r="D2963" t="s">
        <v>22</v>
      </c>
      <c r="E2963" t="s">
        <v>23</v>
      </c>
      <c r="F2963" s="1">
        <v>42684</v>
      </c>
      <c r="G2963">
        <v>520663821</v>
      </c>
      <c r="H2963" s="1">
        <v>42532</v>
      </c>
      <c r="I2963">
        <v>4850</v>
      </c>
      <c r="J2963">
        <v>437.2</v>
      </c>
      <c r="K2963">
        <v>263.33</v>
      </c>
      <c r="L2963">
        <v>2120420</v>
      </c>
      <c r="M2963">
        <v>1277150.5</v>
      </c>
      <c r="N2963">
        <v>843269.5</v>
      </c>
    </row>
    <row r="2964" spans="1:14" x14ac:dyDescent="0.25">
      <c r="A2964" t="s">
        <v>51</v>
      </c>
      <c r="B2964" t="s">
        <v>274</v>
      </c>
      <c r="C2964" t="s">
        <v>21</v>
      </c>
      <c r="D2964" t="s">
        <v>22</v>
      </c>
      <c r="E2964" t="s">
        <v>45</v>
      </c>
      <c r="F2964" t="s">
        <v>1579</v>
      </c>
      <c r="G2964">
        <v>895043981</v>
      </c>
      <c r="H2964" t="s">
        <v>1690</v>
      </c>
      <c r="I2964">
        <v>2259</v>
      </c>
      <c r="J2964">
        <v>152.58000000000001</v>
      </c>
      <c r="K2964">
        <v>97.44</v>
      </c>
      <c r="L2964">
        <v>344678.22</v>
      </c>
      <c r="M2964">
        <v>220116.96</v>
      </c>
      <c r="N2964">
        <v>124561.26</v>
      </c>
    </row>
    <row r="2965" spans="1:14" x14ac:dyDescent="0.25">
      <c r="A2965" t="s">
        <v>25</v>
      </c>
      <c r="B2965" t="s">
        <v>96</v>
      </c>
      <c r="C2965" t="s">
        <v>59</v>
      </c>
      <c r="D2965" t="s">
        <v>22</v>
      </c>
      <c r="E2965" t="s">
        <v>23</v>
      </c>
      <c r="F2965" t="s">
        <v>902</v>
      </c>
      <c r="G2965">
        <v>614597785</v>
      </c>
      <c r="H2965" t="s">
        <v>1439</v>
      </c>
      <c r="I2965">
        <v>1997</v>
      </c>
      <c r="J2965">
        <v>437.2</v>
      </c>
      <c r="K2965">
        <v>263.33</v>
      </c>
      <c r="L2965">
        <v>873088.4</v>
      </c>
      <c r="M2965">
        <v>525870.01</v>
      </c>
      <c r="N2965">
        <v>347218.39</v>
      </c>
    </row>
    <row r="2966" spans="1:14" x14ac:dyDescent="0.25">
      <c r="A2966" t="s">
        <v>29</v>
      </c>
      <c r="B2966" t="s">
        <v>323</v>
      </c>
      <c r="C2966" t="s">
        <v>55</v>
      </c>
      <c r="D2966" t="s">
        <v>17</v>
      </c>
      <c r="E2966" t="s">
        <v>32</v>
      </c>
      <c r="F2966" t="s">
        <v>726</v>
      </c>
      <c r="G2966">
        <v>730936563</v>
      </c>
      <c r="H2966" t="s">
        <v>1503</v>
      </c>
      <c r="I2966">
        <v>9227</v>
      </c>
      <c r="J2966">
        <v>651.21</v>
      </c>
      <c r="K2966">
        <v>524.96</v>
      </c>
      <c r="L2966">
        <v>6008714.6699999999</v>
      </c>
      <c r="M2966">
        <v>4843805.92</v>
      </c>
      <c r="N2966">
        <v>1164908.75</v>
      </c>
    </row>
    <row r="2967" spans="1:14" x14ac:dyDescent="0.25">
      <c r="A2967" t="s">
        <v>51</v>
      </c>
      <c r="B2967" t="s">
        <v>164</v>
      </c>
      <c r="C2967" t="s">
        <v>21</v>
      </c>
      <c r="D2967" t="s">
        <v>17</v>
      </c>
      <c r="E2967" t="s">
        <v>23</v>
      </c>
      <c r="F2967" t="s">
        <v>857</v>
      </c>
      <c r="G2967">
        <v>565984141</v>
      </c>
      <c r="H2967" t="s">
        <v>325</v>
      </c>
      <c r="I2967">
        <v>6140</v>
      </c>
      <c r="J2967">
        <v>152.58000000000001</v>
      </c>
      <c r="K2967">
        <v>97.44</v>
      </c>
      <c r="L2967">
        <v>936841.2</v>
      </c>
      <c r="M2967">
        <v>598281.6</v>
      </c>
      <c r="N2967">
        <v>338559.6</v>
      </c>
    </row>
    <row r="2968" spans="1:14" x14ac:dyDescent="0.25">
      <c r="A2968" t="s">
        <v>25</v>
      </c>
      <c r="B2968" t="s">
        <v>434</v>
      </c>
      <c r="C2968" t="s">
        <v>40</v>
      </c>
      <c r="D2968" t="s">
        <v>22</v>
      </c>
      <c r="E2968" t="s">
        <v>45</v>
      </c>
      <c r="F2968" t="s">
        <v>368</v>
      </c>
      <c r="G2968">
        <v>861976850</v>
      </c>
      <c r="H2968" t="s">
        <v>943</v>
      </c>
      <c r="I2968">
        <v>6960</v>
      </c>
      <c r="J2968">
        <v>81.73</v>
      </c>
      <c r="K2968">
        <v>56.67</v>
      </c>
      <c r="L2968">
        <v>568840.80000000005</v>
      </c>
      <c r="M2968">
        <v>394423.2</v>
      </c>
      <c r="N2968">
        <v>174417.6</v>
      </c>
    </row>
    <row r="2969" spans="1:14" x14ac:dyDescent="0.25">
      <c r="A2969" t="s">
        <v>25</v>
      </c>
      <c r="B2969" t="s">
        <v>26</v>
      </c>
      <c r="C2969" t="s">
        <v>44</v>
      </c>
      <c r="D2969" t="s">
        <v>22</v>
      </c>
      <c r="E2969" t="s">
        <v>32</v>
      </c>
      <c r="F2969" t="s">
        <v>1691</v>
      </c>
      <c r="G2969">
        <v>631463515</v>
      </c>
      <c r="H2969" t="s">
        <v>881</v>
      </c>
      <c r="I2969">
        <v>2942</v>
      </c>
      <c r="J2969">
        <v>109.28</v>
      </c>
      <c r="K2969">
        <v>35.840000000000003</v>
      </c>
      <c r="L2969">
        <v>321501.76</v>
      </c>
      <c r="M2969">
        <v>105441.28</v>
      </c>
      <c r="N2969">
        <v>216060.48</v>
      </c>
    </row>
    <row r="2970" spans="1:14" x14ac:dyDescent="0.25">
      <c r="A2970" t="s">
        <v>25</v>
      </c>
      <c r="B2970" t="s">
        <v>386</v>
      </c>
      <c r="C2970" t="s">
        <v>88</v>
      </c>
      <c r="D2970" t="s">
        <v>17</v>
      </c>
      <c r="E2970" t="s">
        <v>18</v>
      </c>
      <c r="F2970" t="s">
        <v>1428</v>
      </c>
      <c r="G2970">
        <v>307305467</v>
      </c>
      <c r="H2970" s="1">
        <v>41555</v>
      </c>
      <c r="I2970">
        <v>7371</v>
      </c>
      <c r="J2970">
        <v>9.33</v>
      </c>
      <c r="K2970">
        <v>6.92</v>
      </c>
      <c r="L2970">
        <v>68771.429999999993</v>
      </c>
      <c r="M2970">
        <v>51007.32</v>
      </c>
      <c r="N2970">
        <v>17764.11</v>
      </c>
    </row>
    <row r="2971" spans="1:14" x14ac:dyDescent="0.25">
      <c r="A2971" t="s">
        <v>25</v>
      </c>
      <c r="B2971" t="s">
        <v>252</v>
      </c>
      <c r="C2971" t="s">
        <v>31</v>
      </c>
      <c r="D2971" t="s">
        <v>22</v>
      </c>
      <c r="E2971" t="s">
        <v>45</v>
      </c>
      <c r="F2971" s="1">
        <v>40670</v>
      </c>
      <c r="G2971">
        <v>392676532</v>
      </c>
      <c r="H2971" s="1">
        <v>40702</v>
      </c>
      <c r="I2971">
        <v>567</v>
      </c>
      <c r="J2971">
        <v>205.7</v>
      </c>
      <c r="K2971">
        <v>117.11</v>
      </c>
      <c r="L2971">
        <v>116631.9</v>
      </c>
      <c r="M2971">
        <v>66401.37</v>
      </c>
      <c r="N2971">
        <v>50230.53</v>
      </c>
    </row>
    <row r="2972" spans="1:14" x14ac:dyDescent="0.25">
      <c r="A2972" t="s">
        <v>25</v>
      </c>
      <c r="B2972" t="s">
        <v>112</v>
      </c>
      <c r="C2972" t="s">
        <v>16</v>
      </c>
      <c r="D2972" t="s">
        <v>17</v>
      </c>
      <c r="E2972" t="s">
        <v>32</v>
      </c>
      <c r="F2972" t="s">
        <v>897</v>
      </c>
      <c r="G2972">
        <v>111063039</v>
      </c>
      <c r="H2972" t="s">
        <v>1692</v>
      </c>
      <c r="I2972">
        <v>4876</v>
      </c>
      <c r="J2972">
        <v>255.28</v>
      </c>
      <c r="K2972">
        <v>159.41999999999999</v>
      </c>
      <c r="L2972">
        <v>1244745.28</v>
      </c>
      <c r="M2972">
        <v>777331.92</v>
      </c>
      <c r="N2972">
        <v>467413.36</v>
      </c>
    </row>
    <row r="2973" spans="1:14" x14ac:dyDescent="0.25">
      <c r="A2973" t="s">
        <v>25</v>
      </c>
      <c r="B2973" t="s">
        <v>426</v>
      </c>
      <c r="C2973" t="s">
        <v>27</v>
      </c>
      <c r="D2973" t="s">
        <v>17</v>
      </c>
      <c r="E2973" t="s">
        <v>18</v>
      </c>
      <c r="F2973" s="1">
        <v>40675</v>
      </c>
      <c r="G2973">
        <v>556263816</v>
      </c>
      <c r="H2973" s="1">
        <v>40736</v>
      </c>
      <c r="I2973">
        <v>9679</v>
      </c>
      <c r="J2973">
        <v>47.45</v>
      </c>
      <c r="K2973">
        <v>31.79</v>
      </c>
      <c r="L2973">
        <v>459268.55</v>
      </c>
      <c r="M2973">
        <v>307695.40999999997</v>
      </c>
      <c r="N2973">
        <v>151573.14000000001</v>
      </c>
    </row>
    <row r="2974" spans="1:14" x14ac:dyDescent="0.25">
      <c r="A2974" t="s">
        <v>38</v>
      </c>
      <c r="B2974" t="s">
        <v>451</v>
      </c>
      <c r="C2974" t="s">
        <v>113</v>
      </c>
      <c r="D2974" t="s">
        <v>17</v>
      </c>
      <c r="E2974" t="s">
        <v>23</v>
      </c>
      <c r="F2974" t="s">
        <v>842</v>
      </c>
      <c r="G2974">
        <v>642390191</v>
      </c>
      <c r="H2974" t="s">
        <v>970</v>
      </c>
      <c r="I2974">
        <v>6388</v>
      </c>
      <c r="J2974">
        <v>154.06</v>
      </c>
      <c r="K2974">
        <v>90.93</v>
      </c>
      <c r="L2974">
        <v>984135.28</v>
      </c>
      <c r="M2974">
        <v>580860.84</v>
      </c>
      <c r="N2974">
        <v>403274.44</v>
      </c>
    </row>
    <row r="2975" spans="1:14" x14ac:dyDescent="0.25">
      <c r="A2975" t="s">
        <v>51</v>
      </c>
      <c r="B2975" t="s">
        <v>367</v>
      </c>
      <c r="C2975" t="s">
        <v>16</v>
      </c>
      <c r="D2975" t="s">
        <v>17</v>
      </c>
      <c r="E2975" t="s">
        <v>18</v>
      </c>
      <c r="F2975" t="s">
        <v>1080</v>
      </c>
      <c r="G2975">
        <v>253865993</v>
      </c>
      <c r="H2975" s="1">
        <v>41376</v>
      </c>
      <c r="I2975">
        <v>3444</v>
      </c>
      <c r="J2975">
        <v>255.28</v>
      </c>
      <c r="K2975">
        <v>159.41999999999999</v>
      </c>
      <c r="L2975">
        <v>879184.32</v>
      </c>
      <c r="M2975">
        <v>549042.48</v>
      </c>
      <c r="N2975">
        <v>330141.84000000003</v>
      </c>
    </row>
    <row r="2976" spans="1:14" x14ac:dyDescent="0.25">
      <c r="A2976" t="s">
        <v>29</v>
      </c>
      <c r="B2976" t="s">
        <v>440</v>
      </c>
      <c r="C2976" t="s">
        <v>113</v>
      </c>
      <c r="D2976" t="s">
        <v>22</v>
      </c>
      <c r="E2976" t="s">
        <v>18</v>
      </c>
      <c r="F2976" s="1">
        <v>40950</v>
      </c>
      <c r="G2976">
        <v>695427548</v>
      </c>
      <c r="H2976" t="s">
        <v>1498</v>
      </c>
      <c r="I2976">
        <v>1320</v>
      </c>
      <c r="J2976">
        <v>154.06</v>
      </c>
      <c r="K2976">
        <v>90.93</v>
      </c>
      <c r="L2976">
        <v>203359.2</v>
      </c>
      <c r="M2976">
        <v>120027.6</v>
      </c>
      <c r="N2976">
        <v>83331.600000000006</v>
      </c>
    </row>
    <row r="2977" spans="1:14" x14ac:dyDescent="0.25">
      <c r="A2977" t="s">
        <v>25</v>
      </c>
      <c r="B2977" t="s">
        <v>462</v>
      </c>
      <c r="C2977" t="s">
        <v>27</v>
      </c>
      <c r="D2977" t="s">
        <v>17</v>
      </c>
      <c r="E2977" t="s">
        <v>18</v>
      </c>
      <c r="F2977" t="s">
        <v>943</v>
      </c>
      <c r="G2977">
        <v>642123687</v>
      </c>
      <c r="H2977" t="s">
        <v>1623</v>
      </c>
      <c r="I2977">
        <v>7523</v>
      </c>
      <c r="J2977">
        <v>47.45</v>
      </c>
      <c r="K2977">
        <v>31.79</v>
      </c>
      <c r="L2977">
        <v>356966.35</v>
      </c>
      <c r="M2977">
        <v>239156.17</v>
      </c>
      <c r="N2977">
        <v>117810.18</v>
      </c>
    </row>
    <row r="2978" spans="1:14" x14ac:dyDescent="0.25">
      <c r="A2978" t="s">
        <v>29</v>
      </c>
      <c r="B2978" t="s">
        <v>315</v>
      </c>
      <c r="C2978" t="s">
        <v>27</v>
      </c>
      <c r="D2978" t="s">
        <v>17</v>
      </c>
      <c r="E2978" t="s">
        <v>18</v>
      </c>
      <c r="F2978" t="s">
        <v>560</v>
      </c>
      <c r="G2978">
        <v>189315736</v>
      </c>
      <c r="H2978" s="1">
        <v>40186</v>
      </c>
      <c r="I2978">
        <v>1588</v>
      </c>
      <c r="J2978">
        <v>47.45</v>
      </c>
      <c r="K2978">
        <v>31.79</v>
      </c>
      <c r="L2978">
        <v>75350.600000000006</v>
      </c>
      <c r="M2978">
        <v>50482.52</v>
      </c>
      <c r="N2978">
        <v>24868.080000000002</v>
      </c>
    </row>
    <row r="2979" spans="1:14" x14ac:dyDescent="0.25">
      <c r="A2979" t="s">
        <v>14</v>
      </c>
      <c r="B2979" t="s">
        <v>81</v>
      </c>
      <c r="C2979" t="s">
        <v>21</v>
      </c>
      <c r="D2979" t="s">
        <v>22</v>
      </c>
      <c r="E2979" t="s">
        <v>23</v>
      </c>
      <c r="F2979" s="1">
        <v>42350</v>
      </c>
      <c r="G2979">
        <v>402677524</v>
      </c>
      <c r="H2979" t="s">
        <v>604</v>
      </c>
      <c r="I2979">
        <v>82</v>
      </c>
      <c r="J2979">
        <v>152.58000000000001</v>
      </c>
      <c r="K2979">
        <v>97.44</v>
      </c>
      <c r="L2979">
        <v>12511.56</v>
      </c>
      <c r="M2979">
        <v>7990.08</v>
      </c>
      <c r="N2979">
        <v>4521.4799999999996</v>
      </c>
    </row>
    <row r="2980" spans="1:14" x14ac:dyDescent="0.25">
      <c r="A2980" t="s">
        <v>51</v>
      </c>
      <c r="B2980" t="s">
        <v>525</v>
      </c>
      <c r="C2980" t="s">
        <v>44</v>
      </c>
      <c r="D2980" t="s">
        <v>22</v>
      </c>
      <c r="E2980" t="s">
        <v>32</v>
      </c>
      <c r="F2980" t="s">
        <v>1693</v>
      </c>
      <c r="G2980">
        <v>168195378</v>
      </c>
      <c r="H2980" t="s">
        <v>666</v>
      </c>
      <c r="I2980">
        <v>1605</v>
      </c>
      <c r="J2980">
        <v>109.28</v>
      </c>
      <c r="K2980">
        <v>35.840000000000003</v>
      </c>
      <c r="L2980">
        <v>175394.4</v>
      </c>
      <c r="M2980">
        <v>57523.199999999997</v>
      </c>
      <c r="N2980">
        <v>117871.2</v>
      </c>
    </row>
    <row r="2981" spans="1:14" x14ac:dyDescent="0.25">
      <c r="A2981" t="s">
        <v>25</v>
      </c>
      <c r="B2981" t="s">
        <v>26</v>
      </c>
      <c r="C2981" t="s">
        <v>27</v>
      </c>
      <c r="D2981" t="s">
        <v>17</v>
      </c>
      <c r="E2981" t="s">
        <v>18</v>
      </c>
      <c r="F2981" s="1">
        <v>40214</v>
      </c>
      <c r="G2981">
        <v>242168128</v>
      </c>
      <c r="H2981" s="1">
        <v>40242</v>
      </c>
      <c r="I2981">
        <v>1785</v>
      </c>
      <c r="J2981">
        <v>47.45</v>
      </c>
      <c r="K2981">
        <v>31.79</v>
      </c>
      <c r="L2981">
        <v>84698.25</v>
      </c>
      <c r="M2981">
        <v>56745.15</v>
      </c>
      <c r="N2981">
        <v>27953.1</v>
      </c>
    </row>
    <row r="2982" spans="1:14" x14ac:dyDescent="0.25">
      <c r="A2982" t="s">
        <v>29</v>
      </c>
      <c r="B2982" t="s">
        <v>248</v>
      </c>
      <c r="C2982" t="s">
        <v>88</v>
      </c>
      <c r="D2982" t="s">
        <v>22</v>
      </c>
      <c r="E2982" t="s">
        <v>23</v>
      </c>
      <c r="F2982" s="1">
        <v>42678</v>
      </c>
      <c r="G2982">
        <v>101207101</v>
      </c>
      <c r="H2982" s="1">
        <v>42405</v>
      </c>
      <c r="I2982">
        <v>8285</v>
      </c>
      <c r="J2982">
        <v>9.33</v>
      </c>
      <c r="K2982">
        <v>6.92</v>
      </c>
      <c r="L2982">
        <v>77299.05</v>
      </c>
      <c r="M2982">
        <v>57332.2</v>
      </c>
      <c r="N2982">
        <v>19966.849999999999</v>
      </c>
    </row>
    <row r="2983" spans="1:14" x14ac:dyDescent="0.25">
      <c r="A2983" t="s">
        <v>25</v>
      </c>
      <c r="B2983" t="s">
        <v>556</v>
      </c>
      <c r="C2983" t="s">
        <v>27</v>
      </c>
      <c r="D2983" t="s">
        <v>22</v>
      </c>
      <c r="E2983" t="s">
        <v>45</v>
      </c>
      <c r="F2983" s="1">
        <v>43042</v>
      </c>
      <c r="G2983">
        <v>192236125</v>
      </c>
      <c r="H2983" t="s">
        <v>335</v>
      </c>
      <c r="I2983">
        <v>5796</v>
      </c>
      <c r="J2983">
        <v>47.45</v>
      </c>
      <c r="K2983">
        <v>31.79</v>
      </c>
      <c r="L2983">
        <v>275020.2</v>
      </c>
      <c r="M2983">
        <v>184254.84</v>
      </c>
      <c r="N2983">
        <v>90765.36</v>
      </c>
    </row>
    <row r="2984" spans="1:14" x14ac:dyDescent="0.25">
      <c r="A2984" t="s">
        <v>29</v>
      </c>
      <c r="B2984" t="s">
        <v>159</v>
      </c>
      <c r="C2984" t="s">
        <v>40</v>
      </c>
      <c r="D2984" t="s">
        <v>22</v>
      </c>
      <c r="E2984" t="s">
        <v>18</v>
      </c>
      <c r="F2984" s="1">
        <v>42438</v>
      </c>
      <c r="G2984">
        <v>582491528</v>
      </c>
      <c r="H2984" s="1">
        <v>42653</v>
      </c>
      <c r="I2984">
        <v>1042</v>
      </c>
      <c r="J2984">
        <v>81.73</v>
      </c>
      <c r="K2984">
        <v>56.67</v>
      </c>
      <c r="L2984">
        <v>85162.66</v>
      </c>
      <c r="M2984">
        <v>59050.14</v>
      </c>
      <c r="N2984">
        <v>26112.52</v>
      </c>
    </row>
    <row r="2985" spans="1:14" x14ac:dyDescent="0.25">
      <c r="A2985" t="s">
        <v>51</v>
      </c>
      <c r="B2985" t="s">
        <v>308</v>
      </c>
      <c r="C2985" t="s">
        <v>88</v>
      </c>
      <c r="D2985" t="s">
        <v>22</v>
      </c>
      <c r="E2985" t="s">
        <v>32</v>
      </c>
      <c r="F2985" s="1">
        <v>42255</v>
      </c>
      <c r="G2985">
        <v>509522140</v>
      </c>
      <c r="H2985" t="s">
        <v>1694</v>
      </c>
      <c r="I2985">
        <v>7779</v>
      </c>
      <c r="J2985">
        <v>9.33</v>
      </c>
      <c r="K2985">
        <v>6.92</v>
      </c>
      <c r="L2985">
        <v>72578.070000000007</v>
      </c>
      <c r="M2985">
        <v>53830.68</v>
      </c>
      <c r="N2985">
        <v>18747.39</v>
      </c>
    </row>
    <row r="2986" spans="1:14" x14ac:dyDescent="0.25">
      <c r="A2986" t="s">
        <v>42</v>
      </c>
      <c r="B2986" t="s">
        <v>107</v>
      </c>
      <c r="C2986" t="s">
        <v>40</v>
      </c>
      <c r="D2986" t="s">
        <v>22</v>
      </c>
      <c r="E2986" t="s">
        <v>18</v>
      </c>
      <c r="F2986" s="1">
        <v>42047</v>
      </c>
      <c r="G2986">
        <v>631189286</v>
      </c>
      <c r="H2986" t="s">
        <v>70</v>
      </c>
      <c r="I2986">
        <v>1791</v>
      </c>
      <c r="J2986">
        <v>81.73</v>
      </c>
      <c r="K2986">
        <v>56.67</v>
      </c>
      <c r="L2986">
        <v>146378.43</v>
      </c>
      <c r="M2986">
        <v>101495.97</v>
      </c>
      <c r="N2986">
        <v>44882.46</v>
      </c>
    </row>
    <row r="2987" spans="1:14" x14ac:dyDescent="0.25">
      <c r="A2987" t="s">
        <v>38</v>
      </c>
      <c r="B2987" t="s">
        <v>288</v>
      </c>
      <c r="C2987" t="s">
        <v>88</v>
      </c>
      <c r="D2987" t="s">
        <v>17</v>
      </c>
      <c r="E2987" t="s">
        <v>23</v>
      </c>
      <c r="F2987" s="1">
        <v>42440</v>
      </c>
      <c r="G2987">
        <v>775666797</v>
      </c>
      <c r="H2987" s="1">
        <v>42686</v>
      </c>
      <c r="I2987">
        <v>5897</v>
      </c>
      <c r="J2987">
        <v>9.33</v>
      </c>
      <c r="K2987">
        <v>6.92</v>
      </c>
      <c r="L2987">
        <v>55019.01</v>
      </c>
      <c r="M2987">
        <v>40807.24</v>
      </c>
      <c r="N2987">
        <v>14211.77</v>
      </c>
    </row>
    <row r="2988" spans="1:14" x14ac:dyDescent="0.25">
      <c r="A2988" t="s">
        <v>38</v>
      </c>
      <c r="B2988" t="s">
        <v>105</v>
      </c>
      <c r="C2988" t="s">
        <v>27</v>
      </c>
      <c r="D2988" t="s">
        <v>22</v>
      </c>
      <c r="E2988" t="s">
        <v>32</v>
      </c>
      <c r="F2988" t="s">
        <v>1514</v>
      </c>
      <c r="G2988">
        <v>391440999</v>
      </c>
      <c r="H2988" s="1">
        <v>40666</v>
      </c>
      <c r="I2988">
        <v>4945</v>
      </c>
      <c r="J2988">
        <v>47.45</v>
      </c>
      <c r="K2988">
        <v>31.79</v>
      </c>
      <c r="L2988">
        <v>234640.25</v>
      </c>
      <c r="M2988">
        <v>157201.54999999999</v>
      </c>
      <c r="N2988">
        <v>77438.7</v>
      </c>
    </row>
    <row r="2989" spans="1:14" x14ac:dyDescent="0.25">
      <c r="A2989" t="s">
        <v>38</v>
      </c>
      <c r="B2989" t="s">
        <v>177</v>
      </c>
      <c r="C2989" t="s">
        <v>16</v>
      </c>
      <c r="D2989" t="s">
        <v>22</v>
      </c>
      <c r="E2989" t="s">
        <v>23</v>
      </c>
      <c r="F2989" s="1">
        <v>40760</v>
      </c>
      <c r="G2989">
        <v>797310721</v>
      </c>
      <c r="H2989" t="s">
        <v>1134</v>
      </c>
      <c r="I2989">
        <v>815</v>
      </c>
      <c r="J2989">
        <v>255.28</v>
      </c>
      <c r="K2989">
        <v>159.41999999999999</v>
      </c>
      <c r="L2989">
        <v>208053.2</v>
      </c>
      <c r="M2989">
        <v>129927.3</v>
      </c>
      <c r="N2989">
        <v>78125.899999999994</v>
      </c>
    </row>
    <row r="2990" spans="1:14" x14ac:dyDescent="0.25">
      <c r="A2990" t="s">
        <v>51</v>
      </c>
      <c r="B2990" t="s">
        <v>166</v>
      </c>
      <c r="C2990" t="s">
        <v>16</v>
      </c>
      <c r="D2990" t="s">
        <v>22</v>
      </c>
      <c r="E2990" t="s">
        <v>45</v>
      </c>
      <c r="F2990" s="1">
        <v>42647</v>
      </c>
      <c r="G2990">
        <v>232387292</v>
      </c>
      <c r="H2990" s="1">
        <v>42556</v>
      </c>
      <c r="I2990">
        <v>7419</v>
      </c>
      <c r="J2990">
        <v>255.28</v>
      </c>
      <c r="K2990">
        <v>159.41999999999999</v>
      </c>
      <c r="L2990">
        <v>1893922.32</v>
      </c>
      <c r="M2990">
        <v>1182736.98</v>
      </c>
      <c r="N2990">
        <v>711185.34</v>
      </c>
    </row>
    <row r="2991" spans="1:14" x14ac:dyDescent="0.25">
      <c r="A2991" t="s">
        <v>51</v>
      </c>
      <c r="B2991" t="s">
        <v>877</v>
      </c>
      <c r="C2991" t="s">
        <v>88</v>
      </c>
      <c r="D2991" t="s">
        <v>22</v>
      </c>
      <c r="E2991" t="s">
        <v>32</v>
      </c>
      <c r="F2991" s="1">
        <v>41885</v>
      </c>
      <c r="G2991">
        <v>606094539</v>
      </c>
      <c r="H2991" s="1">
        <v>41915</v>
      </c>
      <c r="I2991">
        <v>5698</v>
      </c>
      <c r="J2991">
        <v>9.33</v>
      </c>
      <c r="K2991">
        <v>6.92</v>
      </c>
      <c r="L2991">
        <v>53162.34</v>
      </c>
      <c r="M2991">
        <v>39430.160000000003</v>
      </c>
      <c r="N2991">
        <v>13732.18</v>
      </c>
    </row>
    <row r="2992" spans="1:14" x14ac:dyDescent="0.25">
      <c r="A2992" t="s">
        <v>51</v>
      </c>
      <c r="B2992" t="s">
        <v>295</v>
      </c>
      <c r="C2992" t="s">
        <v>16</v>
      </c>
      <c r="D2992" t="s">
        <v>22</v>
      </c>
      <c r="E2992" t="s">
        <v>18</v>
      </c>
      <c r="F2992" t="s">
        <v>821</v>
      </c>
      <c r="G2992">
        <v>748168790</v>
      </c>
      <c r="H2992" s="1">
        <v>42860</v>
      </c>
      <c r="I2992">
        <v>8626</v>
      </c>
      <c r="J2992">
        <v>255.28</v>
      </c>
      <c r="K2992">
        <v>159.41999999999999</v>
      </c>
      <c r="L2992">
        <v>2202045.2799999998</v>
      </c>
      <c r="M2992">
        <v>1375156.92</v>
      </c>
      <c r="N2992">
        <v>826888.36</v>
      </c>
    </row>
    <row r="2993" spans="1:14" x14ac:dyDescent="0.25">
      <c r="A2993" t="s">
        <v>51</v>
      </c>
      <c r="B2993" t="s">
        <v>638</v>
      </c>
      <c r="C2993" t="s">
        <v>69</v>
      </c>
      <c r="D2993" t="s">
        <v>22</v>
      </c>
      <c r="E2993" t="s">
        <v>18</v>
      </c>
      <c r="F2993" s="1">
        <v>41000</v>
      </c>
      <c r="G2993">
        <v>458658874</v>
      </c>
      <c r="H2993" s="1">
        <v>40970</v>
      </c>
      <c r="I2993">
        <v>6208</v>
      </c>
      <c r="J2993">
        <v>421.89</v>
      </c>
      <c r="K2993">
        <v>364.69</v>
      </c>
      <c r="L2993">
        <v>2619093.12</v>
      </c>
      <c r="M2993">
        <v>2263995.52</v>
      </c>
      <c r="N2993">
        <v>355097.59999999998</v>
      </c>
    </row>
    <row r="2994" spans="1:14" x14ac:dyDescent="0.25">
      <c r="A2994" t="s">
        <v>25</v>
      </c>
      <c r="B2994" t="s">
        <v>462</v>
      </c>
      <c r="C2994" t="s">
        <v>21</v>
      </c>
      <c r="D2994" t="s">
        <v>17</v>
      </c>
      <c r="E2994" t="s">
        <v>32</v>
      </c>
      <c r="F2994" t="s">
        <v>330</v>
      </c>
      <c r="G2994">
        <v>957926118</v>
      </c>
      <c r="H2994" s="1">
        <v>42378</v>
      </c>
      <c r="I2994">
        <v>480</v>
      </c>
      <c r="J2994">
        <v>152.58000000000001</v>
      </c>
      <c r="K2994">
        <v>97.44</v>
      </c>
      <c r="L2994">
        <v>73238.399999999994</v>
      </c>
      <c r="M2994">
        <v>46771.199999999997</v>
      </c>
      <c r="N2994">
        <v>26467.200000000001</v>
      </c>
    </row>
    <row r="2995" spans="1:14" x14ac:dyDescent="0.25">
      <c r="A2995" t="s">
        <v>38</v>
      </c>
      <c r="B2995" t="s">
        <v>190</v>
      </c>
      <c r="C2995" t="s">
        <v>16</v>
      </c>
      <c r="D2995" t="s">
        <v>22</v>
      </c>
      <c r="E2995" t="s">
        <v>32</v>
      </c>
      <c r="F2995" s="1">
        <v>42402</v>
      </c>
      <c r="G2995">
        <v>836644351</v>
      </c>
      <c r="H2995" t="s">
        <v>1017</v>
      </c>
      <c r="I2995">
        <v>510</v>
      </c>
      <c r="J2995">
        <v>255.28</v>
      </c>
      <c r="K2995">
        <v>159.41999999999999</v>
      </c>
      <c r="L2995">
        <v>130192.8</v>
      </c>
      <c r="M2995">
        <v>81304.2</v>
      </c>
      <c r="N2995">
        <v>48888.6</v>
      </c>
    </row>
    <row r="2996" spans="1:14" x14ac:dyDescent="0.25">
      <c r="A2996" t="s">
        <v>29</v>
      </c>
      <c r="B2996" t="s">
        <v>323</v>
      </c>
      <c r="C2996" t="s">
        <v>31</v>
      </c>
      <c r="D2996" t="s">
        <v>17</v>
      </c>
      <c r="E2996" t="s">
        <v>23</v>
      </c>
      <c r="F2996" t="s">
        <v>1666</v>
      </c>
      <c r="G2996">
        <v>105799901</v>
      </c>
      <c r="H2996" t="s">
        <v>28</v>
      </c>
      <c r="I2996">
        <v>7397</v>
      </c>
      <c r="J2996">
        <v>205.7</v>
      </c>
      <c r="K2996">
        <v>117.11</v>
      </c>
      <c r="L2996">
        <v>1521562.9</v>
      </c>
      <c r="M2996">
        <v>866262.67</v>
      </c>
      <c r="N2996">
        <v>655300.23</v>
      </c>
    </row>
    <row r="2997" spans="1:14" x14ac:dyDescent="0.25">
      <c r="A2997" t="s">
        <v>25</v>
      </c>
      <c r="B2997" t="s">
        <v>72</v>
      </c>
      <c r="C2997" t="s">
        <v>27</v>
      </c>
      <c r="D2997" t="s">
        <v>17</v>
      </c>
      <c r="E2997" t="s">
        <v>45</v>
      </c>
      <c r="F2997" t="s">
        <v>1695</v>
      </c>
      <c r="G2997">
        <v>646691596</v>
      </c>
      <c r="H2997" t="s">
        <v>701</v>
      </c>
      <c r="I2997">
        <v>9269</v>
      </c>
      <c r="J2997">
        <v>47.45</v>
      </c>
      <c r="K2997">
        <v>31.79</v>
      </c>
      <c r="L2997">
        <v>439814.05</v>
      </c>
      <c r="M2997">
        <v>294661.51</v>
      </c>
      <c r="N2997">
        <v>145152.54</v>
      </c>
    </row>
    <row r="2998" spans="1:14" x14ac:dyDescent="0.25">
      <c r="A2998" t="s">
        <v>51</v>
      </c>
      <c r="B2998" t="s">
        <v>295</v>
      </c>
      <c r="C2998" t="s">
        <v>59</v>
      </c>
      <c r="D2998" t="s">
        <v>22</v>
      </c>
      <c r="E2998" t="s">
        <v>18</v>
      </c>
      <c r="F2998" s="1">
        <v>42678</v>
      </c>
      <c r="G2998">
        <v>360930764</v>
      </c>
      <c r="H2998" t="s">
        <v>1696</v>
      </c>
      <c r="I2998">
        <v>6289</v>
      </c>
      <c r="J2998">
        <v>437.2</v>
      </c>
      <c r="K2998">
        <v>263.33</v>
      </c>
      <c r="L2998">
        <v>2749550.8</v>
      </c>
      <c r="M2998">
        <v>1656082.37</v>
      </c>
      <c r="N2998">
        <v>1093468.43</v>
      </c>
    </row>
    <row r="2999" spans="1:14" x14ac:dyDescent="0.25">
      <c r="A2999" t="s">
        <v>29</v>
      </c>
      <c r="B2999" t="s">
        <v>35</v>
      </c>
      <c r="C2999" t="s">
        <v>21</v>
      </c>
      <c r="D2999" t="s">
        <v>17</v>
      </c>
      <c r="E2999" t="s">
        <v>23</v>
      </c>
      <c r="F2999" s="1">
        <v>41824</v>
      </c>
      <c r="G2999">
        <v>820441234</v>
      </c>
      <c r="H2999" s="1">
        <v>41675</v>
      </c>
      <c r="I2999">
        <v>5648</v>
      </c>
      <c r="J2999">
        <v>152.58000000000001</v>
      </c>
      <c r="K2999">
        <v>97.44</v>
      </c>
      <c r="L2999">
        <v>861771.84</v>
      </c>
      <c r="M2999">
        <v>550341.12</v>
      </c>
      <c r="N2999">
        <v>311430.71999999997</v>
      </c>
    </row>
    <row r="3000" spans="1:14" x14ac:dyDescent="0.25">
      <c r="A3000" t="s">
        <v>77</v>
      </c>
      <c r="B3000" t="s">
        <v>78</v>
      </c>
      <c r="C3000" t="s">
        <v>113</v>
      </c>
      <c r="D3000" t="s">
        <v>17</v>
      </c>
      <c r="E3000" t="s">
        <v>23</v>
      </c>
      <c r="F3000" t="s">
        <v>1697</v>
      </c>
      <c r="G3000">
        <v>517459332</v>
      </c>
      <c r="H3000" t="s">
        <v>268</v>
      </c>
      <c r="I3000">
        <v>6570</v>
      </c>
      <c r="J3000">
        <v>154.06</v>
      </c>
      <c r="K3000">
        <v>90.93</v>
      </c>
      <c r="L3000">
        <v>1012174.2</v>
      </c>
      <c r="M3000">
        <v>597410.1</v>
      </c>
      <c r="N3000">
        <v>414764.1</v>
      </c>
    </row>
    <row r="3001" spans="1:14" x14ac:dyDescent="0.25">
      <c r="A3001" t="s">
        <v>51</v>
      </c>
      <c r="B3001" t="s">
        <v>578</v>
      </c>
      <c r="C3001" t="s">
        <v>55</v>
      </c>
      <c r="D3001" t="s">
        <v>17</v>
      </c>
      <c r="E3001" t="s">
        <v>45</v>
      </c>
      <c r="F3001" t="s">
        <v>162</v>
      </c>
      <c r="G3001">
        <v>714533889</v>
      </c>
      <c r="H3001" s="1">
        <v>40361</v>
      </c>
      <c r="I3001">
        <v>5311</v>
      </c>
      <c r="J3001">
        <v>651.21</v>
      </c>
      <c r="K3001">
        <v>524.96</v>
      </c>
      <c r="L3001">
        <v>3458576.31</v>
      </c>
      <c r="M3001">
        <v>2788062.56</v>
      </c>
      <c r="N3001">
        <v>670513.75</v>
      </c>
    </row>
    <row r="3002" spans="1:14" x14ac:dyDescent="0.25">
      <c r="A3002" t="s">
        <v>14</v>
      </c>
      <c r="B3002" t="s">
        <v>98</v>
      </c>
      <c r="C3002" t="s">
        <v>55</v>
      </c>
      <c r="D3002" t="s">
        <v>17</v>
      </c>
      <c r="E3002" t="s">
        <v>18</v>
      </c>
      <c r="F3002" s="1">
        <v>41766</v>
      </c>
      <c r="G3002">
        <v>494526231</v>
      </c>
      <c r="H3002" t="s">
        <v>951</v>
      </c>
      <c r="I3002">
        <v>156</v>
      </c>
      <c r="J3002">
        <v>651.21</v>
      </c>
      <c r="K3002">
        <v>524.96</v>
      </c>
      <c r="L3002">
        <v>101588.76</v>
      </c>
      <c r="M3002">
        <v>81893.759999999995</v>
      </c>
      <c r="N3002">
        <v>19695</v>
      </c>
    </row>
    <row r="3003" spans="1:14" x14ac:dyDescent="0.25">
      <c r="A3003" t="s">
        <v>51</v>
      </c>
      <c r="B3003" t="s">
        <v>327</v>
      </c>
      <c r="C3003" t="s">
        <v>27</v>
      </c>
      <c r="D3003" t="s">
        <v>22</v>
      </c>
      <c r="E3003" t="s">
        <v>32</v>
      </c>
      <c r="F3003" t="s">
        <v>1431</v>
      </c>
      <c r="G3003">
        <v>810610187</v>
      </c>
      <c r="H3003" t="s">
        <v>1431</v>
      </c>
      <c r="I3003">
        <v>6423</v>
      </c>
      <c r="J3003">
        <v>47.45</v>
      </c>
      <c r="K3003">
        <v>31.79</v>
      </c>
      <c r="L3003">
        <v>304771.34999999998</v>
      </c>
      <c r="M3003">
        <v>204187.17</v>
      </c>
      <c r="N3003">
        <v>100584.18</v>
      </c>
    </row>
    <row r="3004" spans="1:14" x14ac:dyDescent="0.25">
      <c r="A3004" t="s">
        <v>77</v>
      </c>
      <c r="B3004" t="s">
        <v>320</v>
      </c>
      <c r="C3004" t="s">
        <v>31</v>
      </c>
      <c r="D3004" t="s">
        <v>17</v>
      </c>
      <c r="E3004" t="s">
        <v>32</v>
      </c>
      <c r="F3004" t="s">
        <v>1304</v>
      </c>
      <c r="G3004">
        <v>436272084</v>
      </c>
      <c r="H3004" t="s">
        <v>1253</v>
      </c>
      <c r="I3004">
        <v>1460</v>
      </c>
      <c r="J3004">
        <v>205.7</v>
      </c>
      <c r="K3004">
        <v>117.11</v>
      </c>
      <c r="L3004">
        <v>300322</v>
      </c>
      <c r="M3004">
        <v>170980.6</v>
      </c>
      <c r="N3004">
        <v>129341.4</v>
      </c>
    </row>
    <row r="3005" spans="1:14" x14ac:dyDescent="0.25">
      <c r="A3005" t="s">
        <v>51</v>
      </c>
      <c r="B3005" t="s">
        <v>734</v>
      </c>
      <c r="C3005" t="s">
        <v>113</v>
      </c>
      <c r="D3005" t="s">
        <v>17</v>
      </c>
      <c r="E3005" t="s">
        <v>32</v>
      </c>
      <c r="F3005" t="s">
        <v>1144</v>
      </c>
      <c r="G3005">
        <v>915310752</v>
      </c>
      <c r="H3005" t="s">
        <v>1063</v>
      </c>
      <c r="I3005">
        <v>9647</v>
      </c>
      <c r="J3005">
        <v>154.06</v>
      </c>
      <c r="K3005">
        <v>90.93</v>
      </c>
      <c r="L3005">
        <v>1486216.82</v>
      </c>
      <c r="M3005">
        <v>877201.71</v>
      </c>
      <c r="N3005">
        <v>609015.11</v>
      </c>
    </row>
    <row r="3006" spans="1:14" x14ac:dyDescent="0.25">
      <c r="A3006" t="s">
        <v>38</v>
      </c>
      <c r="B3006" t="s">
        <v>388</v>
      </c>
      <c r="C3006" t="s">
        <v>131</v>
      </c>
      <c r="D3006" t="s">
        <v>22</v>
      </c>
      <c r="E3006" t="s">
        <v>18</v>
      </c>
      <c r="F3006" s="1">
        <v>40490</v>
      </c>
      <c r="G3006">
        <v>711837518</v>
      </c>
      <c r="H3006" t="s">
        <v>978</v>
      </c>
      <c r="I3006">
        <v>7395</v>
      </c>
      <c r="J3006">
        <v>668.27</v>
      </c>
      <c r="K3006">
        <v>502.54</v>
      </c>
      <c r="L3006">
        <v>4941856.6500000004</v>
      </c>
      <c r="M3006">
        <v>3716283.3</v>
      </c>
      <c r="N3006">
        <v>1225573.3500000001</v>
      </c>
    </row>
    <row r="3007" spans="1:14" x14ac:dyDescent="0.25">
      <c r="A3007" t="s">
        <v>51</v>
      </c>
      <c r="B3007" t="s">
        <v>327</v>
      </c>
      <c r="C3007" t="s">
        <v>55</v>
      </c>
      <c r="D3007" t="s">
        <v>17</v>
      </c>
      <c r="E3007" t="s">
        <v>18</v>
      </c>
      <c r="F3007" s="1">
        <v>40553</v>
      </c>
      <c r="G3007">
        <v>160276210</v>
      </c>
      <c r="H3007" t="s">
        <v>1424</v>
      </c>
      <c r="I3007">
        <v>8147</v>
      </c>
      <c r="J3007">
        <v>651.21</v>
      </c>
      <c r="K3007">
        <v>524.96</v>
      </c>
      <c r="L3007">
        <v>5305407.87</v>
      </c>
      <c r="M3007">
        <v>4276849.12</v>
      </c>
      <c r="N3007">
        <v>1028558.75</v>
      </c>
    </row>
    <row r="3008" spans="1:14" x14ac:dyDescent="0.25">
      <c r="A3008" t="s">
        <v>25</v>
      </c>
      <c r="B3008" t="s">
        <v>196</v>
      </c>
      <c r="C3008" t="s">
        <v>55</v>
      </c>
      <c r="D3008" t="s">
        <v>22</v>
      </c>
      <c r="E3008" t="s">
        <v>45</v>
      </c>
      <c r="F3008" s="1">
        <v>42106</v>
      </c>
      <c r="G3008">
        <v>115363156</v>
      </c>
      <c r="H3008" s="1">
        <v>42644</v>
      </c>
      <c r="I3008">
        <v>7376</v>
      </c>
      <c r="J3008">
        <v>651.21</v>
      </c>
      <c r="K3008">
        <v>524.96</v>
      </c>
      <c r="L3008">
        <v>4803324.96</v>
      </c>
      <c r="M3008">
        <v>3872104.96</v>
      </c>
      <c r="N3008">
        <v>931220</v>
      </c>
    </row>
    <row r="3009" spans="1:14" x14ac:dyDescent="0.25">
      <c r="A3009" t="s">
        <v>42</v>
      </c>
      <c r="B3009" t="s">
        <v>146</v>
      </c>
      <c r="C3009" t="s">
        <v>21</v>
      </c>
      <c r="D3009" t="s">
        <v>22</v>
      </c>
      <c r="E3009" t="s">
        <v>45</v>
      </c>
      <c r="F3009" t="s">
        <v>695</v>
      </c>
      <c r="G3009">
        <v>602147185</v>
      </c>
      <c r="H3009" t="s">
        <v>695</v>
      </c>
      <c r="I3009">
        <v>7588</v>
      </c>
      <c r="J3009">
        <v>152.58000000000001</v>
      </c>
      <c r="K3009">
        <v>97.44</v>
      </c>
      <c r="L3009">
        <v>1157777.04</v>
      </c>
      <c r="M3009">
        <v>739374.72</v>
      </c>
      <c r="N3009">
        <v>418402.32</v>
      </c>
    </row>
    <row r="3010" spans="1:14" x14ac:dyDescent="0.25">
      <c r="A3010" t="s">
        <v>51</v>
      </c>
      <c r="B3010" t="s">
        <v>299</v>
      </c>
      <c r="C3010" t="s">
        <v>88</v>
      </c>
      <c r="D3010" t="s">
        <v>17</v>
      </c>
      <c r="E3010" t="s">
        <v>23</v>
      </c>
      <c r="F3010" t="s">
        <v>1547</v>
      </c>
      <c r="G3010">
        <v>365989625</v>
      </c>
      <c r="H3010" s="1">
        <v>40581</v>
      </c>
      <c r="I3010">
        <v>3318</v>
      </c>
      <c r="J3010">
        <v>9.33</v>
      </c>
      <c r="K3010">
        <v>6.92</v>
      </c>
      <c r="L3010">
        <v>30956.94</v>
      </c>
      <c r="M3010">
        <v>22960.560000000001</v>
      </c>
      <c r="N3010">
        <v>7996.38</v>
      </c>
    </row>
    <row r="3011" spans="1:14" x14ac:dyDescent="0.25">
      <c r="A3011" t="s">
        <v>25</v>
      </c>
      <c r="B3011" t="s">
        <v>603</v>
      </c>
      <c r="C3011" t="s">
        <v>131</v>
      </c>
      <c r="D3011" t="s">
        <v>22</v>
      </c>
      <c r="E3011" t="s">
        <v>32</v>
      </c>
      <c r="F3011" t="s">
        <v>1698</v>
      </c>
      <c r="G3011">
        <v>922564303</v>
      </c>
      <c r="H3011" s="1">
        <v>42770</v>
      </c>
      <c r="I3011">
        <v>6134</v>
      </c>
      <c r="J3011">
        <v>668.27</v>
      </c>
      <c r="K3011">
        <v>502.54</v>
      </c>
      <c r="L3011">
        <v>4099168.18</v>
      </c>
      <c r="M3011">
        <v>3082580.36</v>
      </c>
      <c r="N3011">
        <v>1016587.82</v>
      </c>
    </row>
    <row r="3012" spans="1:14" x14ac:dyDescent="0.25">
      <c r="A3012" t="s">
        <v>51</v>
      </c>
      <c r="B3012" t="s">
        <v>219</v>
      </c>
      <c r="C3012" t="s">
        <v>131</v>
      </c>
      <c r="D3012" t="s">
        <v>17</v>
      </c>
      <c r="E3012" t="s">
        <v>18</v>
      </c>
      <c r="F3012" t="s">
        <v>471</v>
      </c>
      <c r="G3012">
        <v>707857549</v>
      </c>
      <c r="H3012" t="s">
        <v>624</v>
      </c>
      <c r="I3012">
        <v>9634</v>
      </c>
      <c r="J3012">
        <v>668.27</v>
      </c>
      <c r="K3012">
        <v>502.54</v>
      </c>
      <c r="L3012">
        <v>6438113.1799999997</v>
      </c>
      <c r="M3012">
        <v>4841470.3600000003</v>
      </c>
      <c r="N3012">
        <v>1596642.82</v>
      </c>
    </row>
    <row r="3013" spans="1:14" x14ac:dyDescent="0.25">
      <c r="A3013" t="s">
        <v>25</v>
      </c>
      <c r="B3013" t="s">
        <v>74</v>
      </c>
      <c r="C3013" t="s">
        <v>31</v>
      </c>
      <c r="D3013" t="s">
        <v>22</v>
      </c>
      <c r="E3013" t="s">
        <v>45</v>
      </c>
      <c r="F3013" t="s">
        <v>591</v>
      </c>
      <c r="G3013">
        <v>928168189</v>
      </c>
      <c r="H3013" t="s">
        <v>1568</v>
      </c>
      <c r="I3013">
        <v>4448</v>
      </c>
      <c r="J3013">
        <v>205.7</v>
      </c>
      <c r="K3013">
        <v>117.11</v>
      </c>
      <c r="L3013">
        <v>914953.6</v>
      </c>
      <c r="M3013">
        <v>520905.28</v>
      </c>
      <c r="N3013">
        <v>394048.32</v>
      </c>
    </row>
    <row r="3014" spans="1:14" x14ac:dyDescent="0.25">
      <c r="A3014" t="s">
        <v>38</v>
      </c>
      <c r="B3014" t="s">
        <v>329</v>
      </c>
      <c r="C3014" t="s">
        <v>88</v>
      </c>
      <c r="D3014" t="s">
        <v>17</v>
      </c>
      <c r="E3014" t="s">
        <v>18</v>
      </c>
      <c r="F3014" t="s">
        <v>1240</v>
      </c>
      <c r="G3014">
        <v>610107553</v>
      </c>
      <c r="H3014" s="1">
        <v>42710</v>
      </c>
      <c r="I3014">
        <v>3238</v>
      </c>
      <c r="J3014">
        <v>9.33</v>
      </c>
      <c r="K3014">
        <v>6.92</v>
      </c>
      <c r="L3014">
        <v>30210.54</v>
      </c>
      <c r="M3014">
        <v>22406.959999999999</v>
      </c>
      <c r="N3014">
        <v>7803.58</v>
      </c>
    </row>
    <row r="3015" spans="1:14" x14ac:dyDescent="0.25">
      <c r="A3015" t="s">
        <v>38</v>
      </c>
      <c r="B3015" t="s">
        <v>346</v>
      </c>
      <c r="C3015" t="s">
        <v>44</v>
      </c>
      <c r="D3015" t="s">
        <v>22</v>
      </c>
      <c r="E3015" t="s">
        <v>45</v>
      </c>
      <c r="F3015" s="1">
        <v>42553</v>
      </c>
      <c r="G3015">
        <v>650599467</v>
      </c>
      <c r="H3015" s="1">
        <v>42372</v>
      </c>
      <c r="I3015">
        <v>5695</v>
      </c>
      <c r="J3015">
        <v>109.28</v>
      </c>
      <c r="K3015">
        <v>35.840000000000003</v>
      </c>
      <c r="L3015">
        <v>622349.6</v>
      </c>
      <c r="M3015">
        <v>204108.79999999999</v>
      </c>
      <c r="N3015">
        <v>418240.8</v>
      </c>
    </row>
    <row r="3016" spans="1:14" x14ac:dyDescent="0.25">
      <c r="A3016" t="s">
        <v>42</v>
      </c>
      <c r="B3016" t="s">
        <v>150</v>
      </c>
      <c r="C3016" t="s">
        <v>16</v>
      </c>
      <c r="D3016" t="s">
        <v>17</v>
      </c>
      <c r="E3016" t="s">
        <v>18</v>
      </c>
      <c r="F3016" t="s">
        <v>1266</v>
      </c>
      <c r="G3016">
        <v>666880261</v>
      </c>
      <c r="H3016" s="1">
        <v>40274</v>
      </c>
      <c r="I3016">
        <v>3544</v>
      </c>
      <c r="J3016">
        <v>255.28</v>
      </c>
      <c r="K3016">
        <v>159.41999999999999</v>
      </c>
      <c r="L3016">
        <v>904712.32</v>
      </c>
      <c r="M3016">
        <v>564984.48</v>
      </c>
      <c r="N3016">
        <v>339727.84</v>
      </c>
    </row>
    <row r="3017" spans="1:14" x14ac:dyDescent="0.25">
      <c r="A3017" t="s">
        <v>25</v>
      </c>
      <c r="B3017" t="s">
        <v>256</v>
      </c>
      <c r="C3017" t="s">
        <v>113</v>
      </c>
      <c r="D3017" t="s">
        <v>17</v>
      </c>
      <c r="E3017" t="s">
        <v>32</v>
      </c>
      <c r="F3017" t="s">
        <v>1497</v>
      </c>
      <c r="G3017">
        <v>346498763</v>
      </c>
      <c r="H3017" s="1">
        <v>40578</v>
      </c>
      <c r="I3017">
        <v>5539</v>
      </c>
      <c r="J3017">
        <v>154.06</v>
      </c>
      <c r="K3017">
        <v>90.93</v>
      </c>
      <c r="L3017">
        <v>853338.34</v>
      </c>
      <c r="M3017">
        <v>503661.27</v>
      </c>
      <c r="N3017">
        <v>349677.07</v>
      </c>
    </row>
    <row r="3018" spans="1:14" x14ac:dyDescent="0.25">
      <c r="A3018" t="s">
        <v>25</v>
      </c>
      <c r="B3018" t="s">
        <v>204</v>
      </c>
      <c r="C3018" t="s">
        <v>27</v>
      </c>
      <c r="D3018" t="s">
        <v>22</v>
      </c>
      <c r="E3018" t="s">
        <v>45</v>
      </c>
      <c r="F3018" t="s">
        <v>1435</v>
      </c>
      <c r="G3018">
        <v>797316300</v>
      </c>
      <c r="H3018" t="s">
        <v>1435</v>
      </c>
      <c r="I3018">
        <v>2466</v>
      </c>
      <c r="J3018">
        <v>47.45</v>
      </c>
      <c r="K3018">
        <v>31.79</v>
      </c>
      <c r="L3018">
        <v>117011.7</v>
      </c>
      <c r="M3018">
        <v>78394.14</v>
      </c>
      <c r="N3018">
        <v>38617.56</v>
      </c>
    </row>
    <row r="3019" spans="1:14" x14ac:dyDescent="0.25">
      <c r="A3019" t="s">
        <v>25</v>
      </c>
      <c r="B3019" t="s">
        <v>615</v>
      </c>
      <c r="C3019" t="s">
        <v>16</v>
      </c>
      <c r="D3019" t="s">
        <v>17</v>
      </c>
      <c r="E3019" t="s">
        <v>45</v>
      </c>
      <c r="F3019" t="s">
        <v>1571</v>
      </c>
      <c r="G3019">
        <v>497506701</v>
      </c>
      <c r="H3019" s="1">
        <v>42282</v>
      </c>
      <c r="I3019">
        <v>2144</v>
      </c>
      <c r="J3019">
        <v>255.28</v>
      </c>
      <c r="K3019">
        <v>159.41999999999999</v>
      </c>
      <c r="L3019">
        <v>547320.31999999995</v>
      </c>
      <c r="M3019">
        <v>341796.48</v>
      </c>
      <c r="N3019">
        <v>205523.84</v>
      </c>
    </row>
    <row r="3020" spans="1:14" x14ac:dyDescent="0.25">
      <c r="A3020" t="s">
        <v>25</v>
      </c>
      <c r="B3020" t="s">
        <v>529</v>
      </c>
      <c r="C3020" t="s">
        <v>40</v>
      </c>
      <c r="D3020" t="s">
        <v>17</v>
      </c>
      <c r="E3020" t="s">
        <v>23</v>
      </c>
      <c r="F3020" s="1">
        <v>40304</v>
      </c>
      <c r="G3020">
        <v>245556294</v>
      </c>
      <c r="H3020" t="s">
        <v>1505</v>
      </c>
      <c r="I3020">
        <v>4419</v>
      </c>
      <c r="J3020">
        <v>81.73</v>
      </c>
      <c r="K3020">
        <v>56.67</v>
      </c>
      <c r="L3020">
        <v>361164.87</v>
      </c>
      <c r="M3020">
        <v>250424.73</v>
      </c>
      <c r="N3020">
        <v>110740.14</v>
      </c>
    </row>
    <row r="3021" spans="1:14" x14ac:dyDescent="0.25">
      <c r="A3021" t="s">
        <v>51</v>
      </c>
      <c r="B3021" t="s">
        <v>398</v>
      </c>
      <c r="C3021" t="s">
        <v>21</v>
      </c>
      <c r="D3021" t="s">
        <v>22</v>
      </c>
      <c r="E3021" t="s">
        <v>18</v>
      </c>
      <c r="F3021" t="s">
        <v>1374</v>
      </c>
      <c r="G3021">
        <v>910263907</v>
      </c>
      <c r="H3021" t="s">
        <v>1094</v>
      </c>
      <c r="I3021">
        <v>6173</v>
      </c>
      <c r="J3021">
        <v>152.58000000000001</v>
      </c>
      <c r="K3021">
        <v>97.44</v>
      </c>
      <c r="L3021">
        <v>941876.34</v>
      </c>
      <c r="M3021">
        <v>601497.12</v>
      </c>
      <c r="N3021">
        <v>340379.22</v>
      </c>
    </row>
    <row r="3022" spans="1:14" x14ac:dyDescent="0.25">
      <c r="A3022" t="s">
        <v>38</v>
      </c>
      <c r="B3022" t="s">
        <v>85</v>
      </c>
      <c r="C3022" t="s">
        <v>69</v>
      </c>
      <c r="D3022" t="s">
        <v>17</v>
      </c>
      <c r="E3022" t="s">
        <v>45</v>
      </c>
      <c r="F3022" t="s">
        <v>739</v>
      </c>
      <c r="G3022">
        <v>280740869</v>
      </c>
      <c r="H3022" t="s">
        <v>882</v>
      </c>
      <c r="I3022">
        <v>6317</v>
      </c>
      <c r="J3022">
        <v>421.89</v>
      </c>
      <c r="K3022">
        <v>364.69</v>
      </c>
      <c r="L3022">
        <v>2665079.13</v>
      </c>
      <c r="M3022">
        <v>2303746.73</v>
      </c>
      <c r="N3022">
        <v>361332.4</v>
      </c>
    </row>
    <row r="3023" spans="1:14" x14ac:dyDescent="0.25">
      <c r="A3023" t="s">
        <v>25</v>
      </c>
      <c r="B3023" t="s">
        <v>201</v>
      </c>
      <c r="C3023" t="s">
        <v>40</v>
      </c>
      <c r="D3023" t="s">
        <v>17</v>
      </c>
      <c r="E3023" t="s">
        <v>32</v>
      </c>
      <c r="F3023" t="s">
        <v>777</v>
      </c>
      <c r="G3023">
        <v>716411006</v>
      </c>
      <c r="H3023" t="s">
        <v>1030</v>
      </c>
      <c r="I3023">
        <v>792</v>
      </c>
      <c r="J3023">
        <v>81.73</v>
      </c>
      <c r="K3023">
        <v>56.67</v>
      </c>
      <c r="L3023">
        <v>64730.16</v>
      </c>
      <c r="M3023">
        <v>44882.64</v>
      </c>
      <c r="N3023">
        <v>19847.52</v>
      </c>
    </row>
    <row r="3024" spans="1:14" x14ac:dyDescent="0.25">
      <c r="A3024" t="s">
        <v>38</v>
      </c>
      <c r="B3024" t="s">
        <v>388</v>
      </c>
      <c r="C3024" t="s">
        <v>44</v>
      </c>
      <c r="D3024" t="s">
        <v>22</v>
      </c>
      <c r="E3024" t="s">
        <v>32</v>
      </c>
      <c r="F3024" t="s">
        <v>1368</v>
      </c>
      <c r="G3024">
        <v>597010648</v>
      </c>
      <c r="H3024" s="1">
        <v>42409</v>
      </c>
      <c r="I3024">
        <v>7572</v>
      </c>
      <c r="J3024">
        <v>109.28</v>
      </c>
      <c r="K3024">
        <v>35.840000000000003</v>
      </c>
      <c r="L3024">
        <v>827468.16</v>
      </c>
      <c r="M3024">
        <v>271380.47999999998</v>
      </c>
      <c r="N3024">
        <v>556087.68000000005</v>
      </c>
    </row>
    <row r="3025" spans="1:14" x14ac:dyDescent="0.25">
      <c r="A3025" t="s">
        <v>14</v>
      </c>
      <c r="B3025" t="s">
        <v>432</v>
      </c>
      <c r="C3025" t="s">
        <v>44</v>
      </c>
      <c r="D3025" t="s">
        <v>22</v>
      </c>
      <c r="E3025" t="s">
        <v>32</v>
      </c>
      <c r="F3025" t="s">
        <v>560</v>
      </c>
      <c r="G3025">
        <v>172588622</v>
      </c>
      <c r="H3025" s="1">
        <v>40519</v>
      </c>
      <c r="I3025">
        <v>1663</v>
      </c>
      <c r="J3025">
        <v>109.28</v>
      </c>
      <c r="K3025">
        <v>35.840000000000003</v>
      </c>
      <c r="L3025">
        <v>181732.64</v>
      </c>
      <c r="M3025">
        <v>59601.919999999998</v>
      </c>
      <c r="N3025">
        <v>122130.72</v>
      </c>
    </row>
    <row r="3026" spans="1:14" x14ac:dyDescent="0.25">
      <c r="A3026" t="s">
        <v>14</v>
      </c>
      <c r="B3026" t="s">
        <v>433</v>
      </c>
      <c r="C3026" t="s">
        <v>88</v>
      </c>
      <c r="D3026" t="s">
        <v>22</v>
      </c>
      <c r="E3026" t="s">
        <v>32</v>
      </c>
      <c r="F3026" t="s">
        <v>1699</v>
      </c>
      <c r="G3026">
        <v>213506257</v>
      </c>
      <c r="H3026" t="s">
        <v>1168</v>
      </c>
      <c r="I3026">
        <v>101</v>
      </c>
      <c r="J3026">
        <v>9.33</v>
      </c>
      <c r="K3026">
        <v>6.92</v>
      </c>
      <c r="L3026">
        <v>942.33</v>
      </c>
      <c r="M3026">
        <v>698.92</v>
      </c>
      <c r="N3026">
        <v>243.41</v>
      </c>
    </row>
    <row r="3027" spans="1:14" x14ac:dyDescent="0.25">
      <c r="A3027" t="s">
        <v>51</v>
      </c>
      <c r="B3027" t="s">
        <v>223</v>
      </c>
      <c r="C3027" t="s">
        <v>44</v>
      </c>
      <c r="D3027" t="s">
        <v>22</v>
      </c>
      <c r="E3027" t="s">
        <v>18</v>
      </c>
      <c r="F3027" t="s">
        <v>780</v>
      </c>
      <c r="G3027">
        <v>660437381</v>
      </c>
      <c r="H3027" t="s">
        <v>1518</v>
      </c>
      <c r="I3027">
        <v>6952</v>
      </c>
      <c r="J3027">
        <v>109.28</v>
      </c>
      <c r="K3027">
        <v>35.840000000000003</v>
      </c>
      <c r="L3027">
        <v>759714.56</v>
      </c>
      <c r="M3027">
        <v>249159.67999999999</v>
      </c>
      <c r="N3027">
        <v>510554.88</v>
      </c>
    </row>
    <row r="3028" spans="1:14" x14ac:dyDescent="0.25">
      <c r="A3028" t="s">
        <v>29</v>
      </c>
      <c r="B3028" t="s">
        <v>159</v>
      </c>
      <c r="C3028" t="s">
        <v>40</v>
      </c>
      <c r="D3028" t="s">
        <v>17</v>
      </c>
      <c r="E3028" t="s">
        <v>23</v>
      </c>
      <c r="F3028" t="s">
        <v>1365</v>
      </c>
      <c r="G3028">
        <v>174368321</v>
      </c>
      <c r="H3028" s="1">
        <v>41426</v>
      </c>
      <c r="I3028">
        <v>8316</v>
      </c>
      <c r="J3028">
        <v>81.73</v>
      </c>
      <c r="K3028">
        <v>56.67</v>
      </c>
      <c r="L3028">
        <v>679666.68</v>
      </c>
      <c r="M3028">
        <v>471267.72</v>
      </c>
      <c r="N3028">
        <v>208398.96</v>
      </c>
    </row>
    <row r="3029" spans="1:14" x14ac:dyDescent="0.25">
      <c r="A3029" t="s">
        <v>25</v>
      </c>
      <c r="B3029" t="s">
        <v>229</v>
      </c>
      <c r="C3029" t="s">
        <v>55</v>
      </c>
      <c r="D3029" t="s">
        <v>17</v>
      </c>
      <c r="E3029" t="s">
        <v>18</v>
      </c>
      <c r="F3029" s="1">
        <v>42015</v>
      </c>
      <c r="G3029">
        <v>186597907</v>
      </c>
      <c r="H3029" t="s">
        <v>1477</v>
      </c>
      <c r="I3029">
        <v>7322</v>
      </c>
      <c r="J3029">
        <v>651.21</v>
      </c>
      <c r="K3029">
        <v>524.96</v>
      </c>
      <c r="L3029">
        <v>4768159.62</v>
      </c>
      <c r="M3029">
        <v>3843757.12</v>
      </c>
      <c r="N3029">
        <v>924402.5</v>
      </c>
    </row>
    <row r="3030" spans="1:14" x14ac:dyDescent="0.25">
      <c r="A3030" t="s">
        <v>25</v>
      </c>
      <c r="B3030" t="s">
        <v>284</v>
      </c>
      <c r="C3030" t="s">
        <v>113</v>
      </c>
      <c r="D3030" t="s">
        <v>17</v>
      </c>
      <c r="E3030" t="s">
        <v>32</v>
      </c>
      <c r="F3030" t="s">
        <v>1696</v>
      </c>
      <c r="G3030">
        <v>848737466</v>
      </c>
      <c r="H3030" t="s">
        <v>1073</v>
      </c>
      <c r="I3030">
        <v>9132</v>
      </c>
      <c r="J3030">
        <v>154.06</v>
      </c>
      <c r="K3030">
        <v>90.93</v>
      </c>
      <c r="L3030">
        <v>1406875.92</v>
      </c>
      <c r="M3030">
        <v>830372.76</v>
      </c>
      <c r="N3030">
        <v>576503.16</v>
      </c>
    </row>
    <row r="3031" spans="1:14" x14ac:dyDescent="0.25">
      <c r="A3031" t="s">
        <v>14</v>
      </c>
      <c r="B3031" t="s">
        <v>66</v>
      </c>
      <c r="C3031" t="s">
        <v>131</v>
      </c>
      <c r="D3031" t="s">
        <v>17</v>
      </c>
      <c r="E3031" t="s">
        <v>23</v>
      </c>
      <c r="F3031" t="s">
        <v>342</v>
      </c>
      <c r="G3031">
        <v>582710826</v>
      </c>
      <c r="H3031" t="s">
        <v>1700</v>
      </c>
      <c r="I3031">
        <v>5937</v>
      </c>
      <c r="J3031">
        <v>668.27</v>
      </c>
      <c r="K3031">
        <v>502.54</v>
      </c>
      <c r="L3031">
        <v>3967518.99</v>
      </c>
      <c r="M3031">
        <v>2983579.98</v>
      </c>
      <c r="N3031">
        <v>983939.01</v>
      </c>
    </row>
    <row r="3032" spans="1:14" x14ac:dyDescent="0.25">
      <c r="A3032" t="s">
        <v>25</v>
      </c>
      <c r="B3032" t="s">
        <v>418</v>
      </c>
      <c r="C3032" t="s">
        <v>55</v>
      </c>
      <c r="D3032" t="s">
        <v>17</v>
      </c>
      <c r="E3032" t="s">
        <v>45</v>
      </c>
      <c r="F3032" t="s">
        <v>1026</v>
      </c>
      <c r="G3032">
        <v>130754315</v>
      </c>
      <c r="H3032" s="1">
        <v>41316</v>
      </c>
      <c r="I3032">
        <v>1962</v>
      </c>
      <c r="J3032">
        <v>651.21</v>
      </c>
      <c r="K3032">
        <v>524.96</v>
      </c>
      <c r="L3032">
        <v>1277674.02</v>
      </c>
      <c r="M3032">
        <v>1029971.52</v>
      </c>
      <c r="N3032">
        <v>247702.5</v>
      </c>
    </row>
    <row r="3033" spans="1:14" x14ac:dyDescent="0.25">
      <c r="A3033" t="s">
        <v>14</v>
      </c>
      <c r="B3033" t="s">
        <v>98</v>
      </c>
      <c r="C3033" t="s">
        <v>27</v>
      </c>
      <c r="D3033" t="s">
        <v>17</v>
      </c>
      <c r="E3033" t="s">
        <v>32</v>
      </c>
      <c r="F3033" s="1">
        <v>40639</v>
      </c>
      <c r="G3033">
        <v>305416762</v>
      </c>
      <c r="H3033" t="s">
        <v>369</v>
      </c>
      <c r="I3033">
        <v>8462</v>
      </c>
      <c r="J3033">
        <v>47.45</v>
      </c>
      <c r="K3033">
        <v>31.79</v>
      </c>
      <c r="L3033">
        <v>401521.9</v>
      </c>
      <c r="M3033">
        <v>269006.98</v>
      </c>
      <c r="N3033">
        <v>132514.92000000001</v>
      </c>
    </row>
    <row r="3034" spans="1:14" x14ac:dyDescent="0.25">
      <c r="A3034" t="s">
        <v>14</v>
      </c>
      <c r="B3034" t="s">
        <v>15</v>
      </c>
      <c r="C3034" t="s">
        <v>27</v>
      </c>
      <c r="D3034" t="s">
        <v>22</v>
      </c>
      <c r="E3034" t="s">
        <v>32</v>
      </c>
      <c r="F3034" t="s">
        <v>1201</v>
      </c>
      <c r="G3034">
        <v>639559495</v>
      </c>
      <c r="H3034" t="s">
        <v>460</v>
      </c>
      <c r="I3034">
        <v>8722</v>
      </c>
      <c r="J3034">
        <v>47.45</v>
      </c>
      <c r="K3034">
        <v>31.79</v>
      </c>
      <c r="L3034">
        <v>413858.9</v>
      </c>
      <c r="M3034">
        <v>277272.38</v>
      </c>
      <c r="N3034">
        <v>136586.51999999999</v>
      </c>
    </row>
    <row r="3035" spans="1:14" x14ac:dyDescent="0.25">
      <c r="A3035" t="s">
        <v>51</v>
      </c>
      <c r="B3035" t="s">
        <v>151</v>
      </c>
      <c r="C3035" t="s">
        <v>40</v>
      </c>
      <c r="D3035" t="s">
        <v>17</v>
      </c>
      <c r="E3035" t="s">
        <v>32</v>
      </c>
      <c r="F3035" t="s">
        <v>604</v>
      </c>
      <c r="G3035">
        <v>736356341</v>
      </c>
      <c r="H3035" t="s">
        <v>1701</v>
      </c>
      <c r="I3035">
        <v>3060</v>
      </c>
      <c r="J3035">
        <v>81.73</v>
      </c>
      <c r="K3035">
        <v>56.67</v>
      </c>
      <c r="L3035">
        <v>250093.8</v>
      </c>
      <c r="M3035">
        <v>173410.2</v>
      </c>
      <c r="N3035">
        <v>76683.600000000006</v>
      </c>
    </row>
    <row r="3036" spans="1:14" x14ac:dyDescent="0.25">
      <c r="A3036" t="s">
        <v>25</v>
      </c>
      <c r="B3036" t="s">
        <v>172</v>
      </c>
      <c r="C3036" t="s">
        <v>55</v>
      </c>
      <c r="D3036" t="s">
        <v>22</v>
      </c>
      <c r="E3036" t="s">
        <v>18</v>
      </c>
      <c r="F3036" s="1">
        <v>40576</v>
      </c>
      <c r="G3036">
        <v>719293630</v>
      </c>
      <c r="H3036" t="s">
        <v>470</v>
      </c>
      <c r="I3036">
        <v>3824</v>
      </c>
      <c r="J3036">
        <v>651.21</v>
      </c>
      <c r="K3036">
        <v>524.96</v>
      </c>
      <c r="L3036">
        <v>2490227.04</v>
      </c>
      <c r="M3036">
        <v>2007447.04</v>
      </c>
      <c r="N3036">
        <v>482780</v>
      </c>
    </row>
    <row r="3037" spans="1:14" x14ac:dyDescent="0.25">
      <c r="A3037" t="s">
        <v>14</v>
      </c>
      <c r="B3037" t="s">
        <v>627</v>
      </c>
      <c r="C3037" t="s">
        <v>40</v>
      </c>
      <c r="D3037" t="s">
        <v>17</v>
      </c>
      <c r="E3037" t="s">
        <v>32</v>
      </c>
      <c r="F3037" s="1">
        <v>40795</v>
      </c>
      <c r="G3037">
        <v>782170188</v>
      </c>
      <c r="H3037" t="s">
        <v>995</v>
      </c>
      <c r="I3037">
        <v>395</v>
      </c>
      <c r="J3037">
        <v>81.73</v>
      </c>
      <c r="K3037">
        <v>56.67</v>
      </c>
      <c r="L3037">
        <v>32283.35</v>
      </c>
      <c r="M3037">
        <v>22384.65</v>
      </c>
      <c r="N3037">
        <v>9898.7000000000007</v>
      </c>
    </row>
    <row r="3038" spans="1:14" x14ac:dyDescent="0.25">
      <c r="A3038" t="s">
        <v>51</v>
      </c>
      <c r="B3038" t="s">
        <v>578</v>
      </c>
      <c r="C3038" t="s">
        <v>113</v>
      </c>
      <c r="D3038" t="s">
        <v>22</v>
      </c>
      <c r="E3038" t="s">
        <v>18</v>
      </c>
      <c r="F3038" s="1">
        <v>41858</v>
      </c>
      <c r="G3038">
        <v>739097344</v>
      </c>
      <c r="H3038" t="s">
        <v>973</v>
      </c>
      <c r="I3038">
        <v>4183</v>
      </c>
      <c r="J3038">
        <v>154.06</v>
      </c>
      <c r="K3038">
        <v>90.93</v>
      </c>
      <c r="L3038">
        <v>644432.98</v>
      </c>
      <c r="M3038">
        <v>380360.19</v>
      </c>
      <c r="N3038">
        <v>264072.78999999998</v>
      </c>
    </row>
    <row r="3039" spans="1:14" x14ac:dyDescent="0.25">
      <c r="A3039" t="s">
        <v>38</v>
      </c>
      <c r="B3039" t="s">
        <v>92</v>
      </c>
      <c r="C3039" t="s">
        <v>131</v>
      </c>
      <c r="D3039" t="s">
        <v>17</v>
      </c>
      <c r="E3039" t="s">
        <v>45</v>
      </c>
      <c r="F3039" s="1">
        <v>41341</v>
      </c>
      <c r="G3039">
        <v>474498927</v>
      </c>
      <c r="H3039" s="1">
        <v>41342</v>
      </c>
      <c r="I3039">
        <v>3632</v>
      </c>
      <c r="J3039">
        <v>668.27</v>
      </c>
      <c r="K3039">
        <v>502.54</v>
      </c>
      <c r="L3039">
        <v>2427156.64</v>
      </c>
      <c r="M3039">
        <v>1825225.28</v>
      </c>
      <c r="N3039">
        <v>601931.36</v>
      </c>
    </row>
    <row r="3040" spans="1:14" x14ac:dyDescent="0.25">
      <c r="A3040" t="s">
        <v>51</v>
      </c>
      <c r="B3040" t="s">
        <v>276</v>
      </c>
      <c r="C3040" t="s">
        <v>21</v>
      </c>
      <c r="D3040" t="s">
        <v>17</v>
      </c>
      <c r="E3040" t="s">
        <v>18</v>
      </c>
      <c r="F3040" t="s">
        <v>554</v>
      </c>
      <c r="G3040">
        <v>393111264</v>
      </c>
      <c r="H3040" t="s">
        <v>1702</v>
      </c>
      <c r="I3040">
        <v>9214</v>
      </c>
      <c r="J3040">
        <v>152.58000000000001</v>
      </c>
      <c r="K3040">
        <v>97.44</v>
      </c>
      <c r="L3040">
        <v>1405872.12</v>
      </c>
      <c r="M3040">
        <v>897812.16</v>
      </c>
      <c r="N3040">
        <v>508059.96</v>
      </c>
    </row>
    <row r="3041" spans="1:14" x14ac:dyDescent="0.25">
      <c r="A3041" t="s">
        <v>51</v>
      </c>
      <c r="B3041" t="s">
        <v>525</v>
      </c>
      <c r="C3041" t="s">
        <v>69</v>
      </c>
      <c r="D3041" t="s">
        <v>17</v>
      </c>
      <c r="E3041" t="s">
        <v>23</v>
      </c>
      <c r="F3041" s="1">
        <v>42047</v>
      </c>
      <c r="G3041">
        <v>969983184</v>
      </c>
      <c r="H3041" t="s">
        <v>255</v>
      </c>
      <c r="I3041">
        <v>8434</v>
      </c>
      <c r="J3041">
        <v>421.89</v>
      </c>
      <c r="K3041">
        <v>364.69</v>
      </c>
      <c r="L3041">
        <v>3558220.26</v>
      </c>
      <c r="M3041">
        <v>3075795.46</v>
      </c>
      <c r="N3041">
        <v>482424.8</v>
      </c>
    </row>
    <row r="3042" spans="1:14" x14ac:dyDescent="0.25">
      <c r="A3042" t="s">
        <v>77</v>
      </c>
      <c r="B3042" t="s">
        <v>794</v>
      </c>
      <c r="C3042" t="s">
        <v>21</v>
      </c>
      <c r="D3042" t="s">
        <v>22</v>
      </c>
      <c r="E3042" t="s">
        <v>18</v>
      </c>
      <c r="F3042" s="1">
        <v>41250</v>
      </c>
      <c r="G3042">
        <v>500476014</v>
      </c>
      <c r="H3042" t="s">
        <v>822</v>
      </c>
      <c r="I3042">
        <v>829</v>
      </c>
      <c r="J3042">
        <v>152.58000000000001</v>
      </c>
      <c r="K3042">
        <v>97.44</v>
      </c>
      <c r="L3042">
        <v>126488.82</v>
      </c>
      <c r="M3042">
        <v>80777.759999999995</v>
      </c>
      <c r="N3042">
        <v>45711.06</v>
      </c>
    </row>
    <row r="3043" spans="1:14" x14ac:dyDescent="0.25">
      <c r="A3043" t="s">
        <v>51</v>
      </c>
      <c r="B3043" t="s">
        <v>128</v>
      </c>
      <c r="C3043" t="s">
        <v>88</v>
      </c>
      <c r="D3043" t="s">
        <v>22</v>
      </c>
      <c r="E3043" t="s">
        <v>45</v>
      </c>
      <c r="F3043" t="s">
        <v>1372</v>
      </c>
      <c r="G3043">
        <v>950263583</v>
      </c>
      <c r="H3043" t="s">
        <v>1372</v>
      </c>
      <c r="I3043">
        <v>2966</v>
      </c>
      <c r="J3043">
        <v>9.33</v>
      </c>
      <c r="K3043">
        <v>6.92</v>
      </c>
      <c r="L3043">
        <v>27672.78</v>
      </c>
      <c r="M3043">
        <v>20524.72</v>
      </c>
      <c r="N3043">
        <v>7148.06</v>
      </c>
    </row>
    <row r="3044" spans="1:14" x14ac:dyDescent="0.25">
      <c r="A3044" t="s">
        <v>51</v>
      </c>
      <c r="B3044" t="s">
        <v>151</v>
      </c>
      <c r="C3044" t="s">
        <v>21</v>
      </c>
      <c r="D3044" t="s">
        <v>22</v>
      </c>
      <c r="E3044" t="s">
        <v>32</v>
      </c>
      <c r="F3044" s="1">
        <v>41766</v>
      </c>
      <c r="G3044">
        <v>305332219</v>
      </c>
      <c r="H3044" s="1">
        <v>41980</v>
      </c>
      <c r="I3044">
        <v>3444</v>
      </c>
      <c r="J3044">
        <v>152.58000000000001</v>
      </c>
      <c r="K3044">
        <v>97.44</v>
      </c>
      <c r="L3044">
        <v>525485.52</v>
      </c>
      <c r="M3044">
        <v>335583.36</v>
      </c>
      <c r="N3044">
        <v>189902.16</v>
      </c>
    </row>
    <row r="3045" spans="1:14" x14ac:dyDescent="0.25">
      <c r="A3045" t="s">
        <v>14</v>
      </c>
      <c r="B3045" t="s">
        <v>383</v>
      </c>
      <c r="C3045" t="s">
        <v>16</v>
      </c>
      <c r="D3045" t="s">
        <v>17</v>
      </c>
      <c r="E3045" t="s">
        <v>23</v>
      </c>
      <c r="F3045" s="1">
        <v>42015</v>
      </c>
      <c r="G3045">
        <v>221980750</v>
      </c>
      <c r="H3045" s="1">
        <v>42075</v>
      </c>
      <c r="I3045">
        <v>7892</v>
      </c>
      <c r="J3045">
        <v>255.28</v>
      </c>
      <c r="K3045">
        <v>159.41999999999999</v>
      </c>
      <c r="L3045">
        <v>2014669.76</v>
      </c>
      <c r="M3045">
        <v>1258142.6399999999</v>
      </c>
      <c r="N3045">
        <v>756527.12</v>
      </c>
    </row>
    <row r="3046" spans="1:14" x14ac:dyDescent="0.25">
      <c r="A3046" t="s">
        <v>29</v>
      </c>
      <c r="B3046" t="s">
        <v>159</v>
      </c>
      <c r="C3046" t="s">
        <v>69</v>
      </c>
      <c r="D3046" t="s">
        <v>17</v>
      </c>
      <c r="E3046" t="s">
        <v>45</v>
      </c>
      <c r="F3046" t="s">
        <v>924</v>
      </c>
      <c r="G3046">
        <v>176820504</v>
      </c>
      <c r="H3046" t="s">
        <v>1136</v>
      </c>
      <c r="I3046">
        <v>3971</v>
      </c>
      <c r="J3046">
        <v>421.89</v>
      </c>
      <c r="K3046">
        <v>364.69</v>
      </c>
      <c r="L3046">
        <v>1675325.19</v>
      </c>
      <c r="M3046">
        <v>1448183.99</v>
      </c>
      <c r="N3046">
        <v>227141.2</v>
      </c>
    </row>
    <row r="3047" spans="1:14" x14ac:dyDescent="0.25">
      <c r="A3047" t="s">
        <v>25</v>
      </c>
      <c r="B3047" t="s">
        <v>339</v>
      </c>
      <c r="C3047" t="s">
        <v>55</v>
      </c>
      <c r="D3047" t="s">
        <v>22</v>
      </c>
      <c r="E3047" t="s">
        <v>23</v>
      </c>
      <c r="F3047" s="1">
        <v>40729</v>
      </c>
      <c r="G3047">
        <v>616775310</v>
      </c>
      <c r="H3047" t="s">
        <v>1496</v>
      </c>
      <c r="I3047">
        <v>6375</v>
      </c>
      <c r="J3047">
        <v>651.21</v>
      </c>
      <c r="K3047">
        <v>524.96</v>
      </c>
      <c r="L3047">
        <v>4151463.75</v>
      </c>
      <c r="M3047">
        <v>3346620</v>
      </c>
      <c r="N3047">
        <v>804843.75</v>
      </c>
    </row>
    <row r="3048" spans="1:14" x14ac:dyDescent="0.25">
      <c r="A3048" t="s">
        <v>51</v>
      </c>
      <c r="B3048" t="s">
        <v>128</v>
      </c>
      <c r="C3048" t="s">
        <v>44</v>
      </c>
      <c r="D3048" t="s">
        <v>17</v>
      </c>
      <c r="E3048" t="s">
        <v>32</v>
      </c>
      <c r="F3048" s="1">
        <v>40552</v>
      </c>
      <c r="G3048">
        <v>709081494</v>
      </c>
      <c r="H3048" t="s">
        <v>1703</v>
      </c>
      <c r="I3048">
        <v>1826</v>
      </c>
      <c r="J3048">
        <v>109.28</v>
      </c>
      <c r="K3048">
        <v>35.840000000000003</v>
      </c>
      <c r="L3048">
        <v>199545.28</v>
      </c>
      <c r="M3048">
        <v>65443.839999999997</v>
      </c>
      <c r="N3048">
        <v>134101.44</v>
      </c>
    </row>
    <row r="3049" spans="1:14" x14ac:dyDescent="0.25">
      <c r="A3049" t="s">
        <v>25</v>
      </c>
      <c r="B3049" t="s">
        <v>134</v>
      </c>
      <c r="C3049" t="s">
        <v>88</v>
      </c>
      <c r="D3049" t="s">
        <v>22</v>
      </c>
      <c r="E3049" t="s">
        <v>32</v>
      </c>
      <c r="F3049" t="s">
        <v>435</v>
      </c>
      <c r="G3049">
        <v>591287887</v>
      </c>
      <c r="H3049" s="1">
        <v>40219</v>
      </c>
      <c r="I3049">
        <v>4080</v>
      </c>
      <c r="J3049">
        <v>9.33</v>
      </c>
      <c r="K3049">
        <v>6.92</v>
      </c>
      <c r="L3049">
        <v>38066.400000000001</v>
      </c>
      <c r="M3049">
        <v>28233.599999999999</v>
      </c>
      <c r="N3049">
        <v>9832.7999999999993</v>
      </c>
    </row>
    <row r="3050" spans="1:14" x14ac:dyDescent="0.25">
      <c r="A3050" t="s">
        <v>51</v>
      </c>
      <c r="B3050" t="s">
        <v>129</v>
      </c>
      <c r="C3050" t="s">
        <v>40</v>
      </c>
      <c r="D3050" t="s">
        <v>22</v>
      </c>
      <c r="E3050" t="s">
        <v>45</v>
      </c>
      <c r="F3050" t="s">
        <v>311</v>
      </c>
      <c r="G3050">
        <v>921255815</v>
      </c>
      <c r="H3050" t="s">
        <v>920</v>
      </c>
      <c r="I3050">
        <v>8923</v>
      </c>
      <c r="J3050">
        <v>81.73</v>
      </c>
      <c r="K3050">
        <v>56.67</v>
      </c>
      <c r="L3050">
        <v>729276.79</v>
      </c>
      <c r="M3050">
        <v>505666.41</v>
      </c>
      <c r="N3050">
        <v>223610.38</v>
      </c>
    </row>
    <row r="3051" spans="1:14" x14ac:dyDescent="0.25">
      <c r="A3051" t="s">
        <v>51</v>
      </c>
      <c r="B3051" t="s">
        <v>578</v>
      </c>
      <c r="C3051" t="s">
        <v>69</v>
      </c>
      <c r="D3051" t="s">
        <v>17</v>
      </c>
      <c r="E3051" t="s">
        <v>18</v>
      </c>
      <c r="F3051" t="s">
        <v>162</v>
      </c>
      <c r="G3051">
        <v>627159106</v>
      </c>
      <c r="H3051" s="1">
        <v>40424</v>
      </c>
      <c r="I3051">
        <v>9171</v>
      </c>
      <c r="J3051">
        <v>421.89</v>
      </c>
      <c r="K3051">
        <v>364.69</v>
      </c>
      <c r="L3051">
        <v>3869153.19</v>
      </c>
      <c r="M3051">
        <v>3344571.99</v>
      </c>
      <c r="N3051">
        <v>524581.19999999995</v>
      </c>
    </row>
    <row r="3052" spans="1:14" x14ac:dyDescent="0.25">
      <c r="A3052" t="s">
        <v>29</v>
      </c>
      <c r="B3052" t="s">
        <v>159</v>
      </c>
      <c r="C3052" t="s">
        <v>131</v>
      </c>
      <c r="D3052" t="s">
        <v>17</v>
      </c>
      <c r="E3052" t="s">
        <v>32</v>
      </c>
      <c r="F3052" t="s">
        <v>1129</v>
      </c>
      <c r="G3052">
        <v>957484090</v>
      </c>
      <c r="H3052" s="1">
        <v>42801</v>
      </c>
      <c r="I3052">
        <v>9674</v>
      </c>
      <c r="J3052">
        <v>668.27</v>
      </c>
      <c r="K3052">
        <v>502.54</v>
      </c>
      <c r="L3052">
        <v>6464843.9800000004</v>
      </c>
      <c r="M3052">
        <v>4861571.96</v>
      </c>
      <c r="N3052">
        <v>1603272.02</v>
      </c>
    </row>
    <row r="3053" spans="1:14" x14ac:dyDescent="0.25">
      <c r="A3053" t="s">
        <v>77</v>
      </c>
      <c r="B3053" t="s">
        <v>622</v>
      </c>
      <c r="C3053" t="s">
        <v>55</v>
      </c>
      <c r="D3053" t="s">
        <v>17</v>
      </c>
      <c r="E3053" t="s">
        <v>23</v>
      </c>
      <c r="F3053" s="1">
        <v>42156</v>
      </c>
      <c r="G3053">
        <v>531029593</v>
      </c>
      <c r="H3053" s="1">
        <v>42037</v>
      </c>
      <c r="I3053">
        <v>2312</v>
      </c>
      <c r="J3053">
        <v>651.21</v>
      </c>
      <c r="K3053">
        <v>524.96</v>
      </c>
      <c r="L3053">
        <v>1505597.52</v>
      </c>
      <c r="M3053">
        <v>1213707.52</v>
      </c>
      <c r="N3053">
        <v>291890</v>
      </c>
    </row>
    <row r="3054" spans="1:14" x14ac:dyDescent="0.25">
      <c r="A3054" t="s">
        <v>38</v>
      </c>
      <c r="B3054" t="s">
        <v>68</v>
      </c>
      <c r="C3054" t="s">
        <v>113</v>
      </c>
      <c r="D3054" t="s">
        <v>22</v>
      </c>
      <c r="E3054" t="s">
        <v>23</v>
      </c>
      <c r="F3054" s="1">
        <v>42558</v>
      </c>
      <c r="G3054">
        <v>286906945</v>
      </c>
      <c r="H3054" t="s">
        <v>956</v>
      </c>
      <c r="I3054">
        <v>996</v>
      </c>
      <c r="J3054">
        <v>154.06</v>
      </c>
      <c r="K3054">
        <v>90.93</v>
      </c>
      <c r="L3054">
        <v>153443.76</v>
      </c>
      <c r="M3054">
        <v>90566.28</v>
      </c>
      <c r="N3054">
        <v>62877.48</v>
      </c>
    </row>
    <row r="3055" spans="1:14" x14ac:dyDescent="0.25">
      <c r="A3055" t="s">
        <v>25</v>
      </c>
      <c r="B3055" t="s">
        <v>469</v>
      </c>
      <c r="C3055" t="s">
        <v>44</v>
      </c>
      <c r="D3055" t="s">
        <v>17</v>
      </c>
      <c r="E3055" t="s">
        <v>18</v>
      </c>
      <c r="F3055" t="s">
        <v>1626</v>
      </c>
      <c r="G3055">
        <v>334539973</v>
      </c>
      <c r="H3055" s="1">
        <v>40487</v>
      </c>
      <c r="I3055">
        <v>6667</v>
      </c>
      <c r="J3055">
        <v>109.28</v>
      </c>
      <c r="K3055">
        <v>35.840000000000003</v>
      </c>
      <c r="L3055">
        <v>728569.76</v>
      </c>
      <c r="M3055">
        <v>238945.28</v>
      </c>
      <c r="N3055">
        <v>489624.48</v>
      </c>
    </row>
    <row r="3056" spans="1:14" x14ac:dyDescent="0.25">
      <c r="A3056" t="s">
        <v>25</v>
      </c>
      <c r="B3056" t="s">
        <v>609</v>
      </c>
      <c r="C3056" t="s">
        <v>21</v>
      </c>
      <c r="D3056" t="s">
        <v>22</v>
      </c>
      <c r="E3056" t="s">
        <v>23</v>
      </c>
      <c r="F3056" t="s">
        <v>855</v>
      </c>
      <c r="G3056">
        <v>403665006</v>
      </c>
      <c r="H3056" t="s">
        <v>1023</v>
      </c>
      <c r="I3056">
        <v>2300</v>
      </c>
      <c r="J3056">
        <v>152.58000000000001</v>
      </c>
      <c r="K3056">
        <v>97.44</v>
      </c>
      <c r="L3056">
        <v>350934</v>
      </c>
      <c r="M3056">
        <v>224112</v>
      </c>
      <c r="N3056">
        <v>126822</v>
      </c>
    </row>
    <row r="3057" spans="1:14" x14ac:dyDescent="0.25">
      <c r="A3057" t="s">
        <v>77</v>
      </c>
      <c r="B3057" t="s">
        <v>320</v>
      </c>
      <c r="C3057" t="s">
        <v>27</v>
      </c>
      <c r="D3057" t="s">
        <v>22</v>
      </c>
      <c r="E3057" t="s">
        <v>23</v>
      </c>
      <c r="F3057" s="1">
        <v>41254</v>
      </c>
      <c r="G3057">
        <v>294330871</v>
      </c>
      <c r="H3057" t="s">
        <v>717</v>
      </c>
      <c r="I3057">
        <v>7900</v>
      </c>
      <c r="J3057">
        <v>47.45</v>
      </c>
      <c r="K3057">
        <v>31.79</v>
      </c>
      <c r="L3057">
        <v>374855</v>
      </c>
      <c r="M3057">
        <v>251141</v>
      </c>
      <c r="N3057">
        <v>123714</v>
      </c>
    </row>
    <row r="3058" spans="1:14" x14ac:dyDescent="0.25">
      <c r="A3058" t="s">
        <v>14</v>
      </c>
      <c r="B3058" t="s">
        <v>370</v>
      </c>
      <c r="C3058" t="s">
        <v>16</v>
      </c>
      <c r="D3058" t="s">
        <v>22</v>
      </c>
      <c r="E3058" t="s">
        <v>45</v>
      </c>
      <c r="F3058" t="s">
        <v>1418</v>
      </c>
      <c r="G3058">
        <v>326898896</v>
      </c>
      <c r="H3058" s="1">
        <v>40729</v>
      </c>
      <c r="I3058">
        <v>5503</v>
      </c>
      <c r="J3058">
        <v>255.28</v>
      </c>
      <c r="K3058">
        <v>159.41999999999999</v>
      </c>
      <c r="L3058">
        <v>1404805.84</v>
      </c>
      <c r="M3058">
        <v>877288.26</v>
      </c>
      <c r="N3058">
        <v>527517.57999999996</v>
      </c>
    </row>
    <row r="3059" spans="1:14" x14ac:dyDescent="0.25">
      <c r="A3059" t="s">
        <v>25</v>
      </c>
      <c r="B3059" t="s">
        <v>218</v>
      </c>
      <c r="C3059" t="s">
        <v>59</v>
      </c>
      <c r="D3059" t="s">
        <v>22</v>
      </c>
      <c r="E3059" t="s">
        <v>45</v>
      </c>
      <c r="F3059" t="s">
        <v>1093</v>
      </c>
      <c r="G3059">
        <v>892042911</v>
      </c>
      <c r="H3059" s="1">
        <v>40882</v>
      </c>
      <c r="I3059">
        <v>4175</v>
      </c>
      <c r="J3059">
        <v>437.2</v>
      </c>
      <c r="K3059">
        <v>263.33</v>
      </c>
      <c r="L3059">
        <v>1825310</v>
      </c>
      <c r="M3059">
        <v>1099402.75</v>
      </c>
      <c r="N3059">
        <v>725907.25</v>
      </c>
    </row>
    <row r="3060" spans="1:14" x14ac:dyDescent="0.25">
      <c r="A3060" t="s">
        <v>51</v>
      </c>
      <c r="B3060" t="s">
        <v>525</v>
      </c>
      <c r="C3060" t="s">
        <v>55</v>
      </c>
      <c r="D3060" t="s">
        <v>22</v>
      </c>
      <c r="E3060" t="s">
        <v>45</v>
      </c>
      <c r="F3060" s="1">
        <v>41886</v>
      </c>
      <c r="G3060">
        <v>200749242</v>
      </c>
      <c r="H3060" t="s">
        <v>1680</v>
      </c>
      <c r="I3060">
        <v>5017</v>
      </c>
      <c r="J3060">
        <v>651.21</v>
      </c>
      <c r="K3060">
        <v>524.96</v>
      </c>
      <c r="L3060">
        <v>3267120.57</v>
      </c>
      <c r="M3060">
        <v>2633724.3199999998</v>
      </c>
      <c r="N3060">
        <v>633396.25</v>
      </c>
    </row>
    <row r="3061" spans="1:14" x14ac:dyDescent="0.25">
      <c r="A3061" t="s">
        <v>51</v>
      </c>
      <c r="B3061" t="s">
        <v>525</v>
      </c>
      <c r="C3061" t="s">
        <v>44</v>
      </c>
      <c r="D3061" t="s">
        <v>22</v>
      </c>
      <c r="E3061" t="s">
        <v>32</v>
      </c>
      <c r="F3061" t="s">
        <v>591</v>
      </c>
      <c r="G3061">
        <v>134316718</v>
      </c>
      <c r="H3061" t="s">
        <v>1059</v>
      </c>
      <c r="I3061">
        <v>6157</v>
      </c>
      <c r="J3061">
        <v>109.28</v>
      </c>
      <c r="K3061">
        <v>35.840000000000003</v>
      </c>
      <c r="L3061">
        <v>672836.96</v>
      </c>
      <c r="M3061">
        <v>220666.88</v>
      </c>
      <c r="N3061">
        <v>452170.08</v>
      </c>
    </row>
    <row r="3062" spans="1:14" x14ac:dyDescent="0.25">
      <c r="A3062" t="s">
        <v>25</v>
      </c>
      <c r="B3062" t="s">
        <v>234</v>
      </c>
      <c r="C3062" t="s">
        <v>131</v>
      </c>
      <c r="D3062" t="s">
        <v>17</v>
      </c>
      <c r="E3062" t="s">
        <v>23</v>
      </c>
      <c r="F3062" t="s">
        <v>1018</v>
      </c>
      <c r="G3062">
        <v>394356667</v>
      </c>
      <c r="H3062" s="1">
        <v>42468</v>
      </c>
      <c r="I3062">
        <v>7756</v>
      </c>
      <c r="J3062">
        <v>668.27</v>
      </c>
      <c r="K3062">
        <v>502.54</v>
      </c>
      <c r="L3062">
        <v>5183102.12</v>
      </c>
      <c r="M3062">
        <v>3897700.24</v>
      </c>
      <c r="N3062">
        <v>1285401.8799999999</v>
      </c>
    </row>
    <row r="3063" spans="1:14" x14ac:dyDescent="0.25">
      <c r="A3063" t="s">
        <v>25</v>
      </c>
      <c r="B3063" t="s">
        <v>266</v>
      </c>
      <c r="C3063" t="s">
        <v>88</v>
      </c>
      <c r="D3063" t="s">
        <v>22</v>
      </c>
      <c r="E3063" t="s">
        <v>18</v>
      </c>
      <c r="F3063" t="s">
        <v>180</v>
      </c>
      <c r="G3063">
        <v>752792918</v>
      </c>
      <c r="H3063" s="1">
        <v>41248</v>
      </c>
      <c r="I3063">
        <v>7008</v>
      </c>
      <c r="J3063">
        <v>9.33</v>
      </c>
      <c r="K3063">
        <v>6.92</v>
      </c>
      <c r="L3063">
        <v>65384.639999999999</v>
      </c>
      <c r="M3063">
        <v>48495.360000000001</v>
      </c>
      <c r="N3063">
        <v>16889.28</v>
      </c>
    </row>
    <row r="3064" spans="1:14" x14ac:dyDescent="0.25">
      <c r="A3064" t="s">
        <v>51</v>
      </c>
      <c r="B3064" t="s">
        <v>734</v>
      </c>
      <c r="C3064" t="s">
        <v>21</v>
      </c>
      <c r="D3064" t="s">
        <v>22</v>
      </c>
      <c r="E3064" t="s">
        <v>32</v>
      </c>
      <c r="F3064" s="1">
        <v>40761</v>
      </c>
      <c r="G3064">
        <v>601861798</v>
      </c>
      <c r="H3064" t="s">
        <v>1177</v>
      </c>
      <c r="I3064">
        <v>3136</v>
      </c>
      <c r="J3064">
        <v>152.58000000000001</v>
      </c>
      <c r="K3064">
        <v>97.44</v>
      </c>
      <c r="L3064">
        <v>478490.88</v>
      </c>
      <c r="M3064">
        <v>305571.84000000003</v>
      </c>
      <c r="N3064">
        <v>172919.04000000001</v>
      </c>
    </row>
    <row r="3065" spans="1:14" x14ac:dyDescent="0.25">
      <c r="A3065" t="s">
        <v>14</v>
      </c>
      <c r="B3065" t="s">
        <v>64</v>
      </c>
      <c r="C3065" t="s">
        <v>88</v>
      </c>
      <c r="D3065" t="s">
        <v>22</v>
      </c>
      <c r="E3065" t="s">
        <v>45</v>
      </c>
      <c r="F3065" s="1">
        <v>42438</v>
      </c>
      <c r="G3065">
        <v>304112136</v>
      </c>
      <c r="H3065" s="1">
        <v>42560</v>
      </c>
      <c r="I3065">
        <v>2394</v>
      </c>
      <c r="J3065">
        <v>9.33</v>
      </c>
      <c r="K3065">
        <v>6.92</v>
      </c>
      <c r="L3065">
        <v>22336.02</v>
      </c>
      <c r="M3065">
        <v>16566.48</v>
      </c>
      <c r="N3065">
        <v>5769.54</v>
      </c>
    </row>
    <row r="3066" spans="1:14" x14ac:dyDescent="0.25">
      <c r="A3066" t="s">
        <v>38</v>
      </c>
      <c r="B3066" t="s">
        <v>105</v>
      </c>
      <c r="C3066" t="s">
        <v>44</v>
      </c>
      <c r="D3066" t="s">
        <v>17</v>
      </c>
      <c r="E3066" t="s">
        <v>18</v>
      </c>
      <c r="F3066" t="s">
        <v>1649</v>
      </c>
      <c r="G3066">
        <v>742405259</v>
      </c>
      <c r="H3066" t="s">
        <v>1130</v>
      </c>
      <c r="I3066">
        <v>3069</v>
      </c>
      <c r="J3066">
        <v>109.28</v>
      </c>
      <c r="K3066">
        <v>35.840000000000003</v>
      </c>
      <c r="L3066">
        <v>335380.32</v>
      </c>
      <c r="M3066">
        <v>109992.96000000001</v>
      </c>
      <c r="N3066">
        <v>225387.36</v>
      </c>
    </row>
    <row r="3067" spans="1:14" x14ac:dyDescent="0.25">
      <c r="A3067" t="s">
        <v>51</v>
      </c>
      <c r="B3067" t="s">
        <v>664</v>
      </c>
      <c r="C3067" t="s">
        <v>16</v>
      </c>
      <c r="D3067" t="s">
        <v>17</v>
      </c>
      <c r="E3067" t="s">
        <v>32</v>
      </c>
      <c r="F3067" t="s">
        <v>205</v>
      </c>
      <c r="G3067">
        <v>169914996</v>
      </c>
      <c r="H3067" t="s">
        <v>706</v>
      </c>
      <c r="I3067">
        <v>478</v>
      </c>
      <c r="J3067">
        <v>255.28</v>
      </c>
      <c r="K3067">
        <v>159.41999999999999</v>
      </c>
      <c r="L3067">
        <v>122023.84</v>
      </c>
      <c r="M3067">
        <v>76202.759999999995</v>
      </c>
      <c r="N3067">
        <v>45821.08</v>
      </c>
    </row>
    <row r="3068" spans="1:14" x14ac:dyDescent="0.25">
      <c r="A3068" t="s">
        <v>29</v>
      </c>
      <c r="B3068" t="s">
        <v>35</v>
      </c>
      <c r="C3068" t="s">
        <v>31</v>
      </c>
      <c r="D3068" t="s">
        <v>22</v>
      </c>
      <c r="E3068" t="s">
        <v>45</v>
      </c>
      <c r="F3068" t="s">
        <v>970</v>
      </c>
      <c r="G3068">
        <v>960127675</v>
      </c>
      <c r="H3068" s="1">
        <v>41950</v>
      </c>
      <c r="I3068">
        <v>1970</v>
      </c>
      <c r="J3068">
        <v>205.7</v>
      </c>
      <c r="K3068">
        <v>117.11</v>
      </c>
      <c r="L3068">
        <v>405229</v>
      </c>
      <c r="M3068">
        <v>230706.7</v>
      </c>
      <c r="N3068">
        <v>174522.3</v>
      </c>
    </row>
    <row r="3069" spans="1:14" x14ac:dyDescent="0.25">
      <c r="A3069" t="s">
        <v>77</v>
      </c>
      <c r="B3069" t="s">
        <v>78</v>
      </c>
      <c r="C3069" t="s">
        <v>40</v>
      </c>
      <c r="D3069" t="s">
        <v>22</v>
      </c>
      <c r="E3069" t="s">
        <v>18</v>
      </c>
      <c r="F3069" t="s">
        <v>1617</v>
      </c>
      <c r="G3069">
        <v>156842124</v>
      </c>
      <c r="H3069" t="s">
        <v>56</v>
      </c>
      <c r="I3069">
        <v>1925</v>
      </c>
      <c r="J3069">
        <v>81.73</v>
      </c>
      <c r="K3069">
        <v>56.67</v>
      </c>
      <c r="L3069">
        <v>157330.25</v>
      </c>
      <c r="M3069">
        <v>109089.75</v>
      </c>
      <c r="N3069">
        <v>48240.5</v>
      </c>
    </row>
    <row r="3070" spans="1:14" x14ac:dyDescent="0.25">
      <c r="A3070" t="s">
        <v>38</v>
      </c>
      <c r="B3070" t="s">
        <v>451</v>
      </c>
      <c r="C3070" t="s">
        <v>113</v>
      </c>
      <c r="D3070" t="s">
        <v>22</v>
      </c>
      <c r="E3070" t="s">
        <v>32</v>
      </c>
      <c r="F3070" t="s">
        <v>1110</v>
      </c>
      <c r="G3070">
        <v>724169671</v>
      </c>
      <c r="H3070" t="s">
        <v>1172</v>
      </c>
      <c r="I3070">
        <v>6753</v>
      </c>
      <c r="J3070">
        <v>154.06</v>
      </c>
      <c r="K3070">
        <v>90.93</v>
      </c>
      <c r="L3070">
        <v>1040367.18</v>
      </c>
      <c r="M3070">
        <v>614050.29</v>
      </c>
      <c r="N3070">
        <v>426316.89</v>
      </c>
    </row>
    <row r="3071" spans="1:14" x14ac:dyDescent="0.25">
      <c r="A3071" t="s">
        <v>51</v>
      </c>
      <c r="B3071" t="s">
        <v>542</v>
      </c>
      <c r="C3071" t="s">
        <v>44</v>
      </c>
      <c r="D3071" t="s">
        <v>22</v>
      </c>
      <c r="E3071" t="s">
        <v>23</v>
      </c>
      <c r="F3071" s="1">
        <v>40704</v>
      </c>
      <c r="G3071">
        <v>296534144</v>
      </c>
      <c r="H3071" t="s">
        <v>173</v>
      </c>
      <c r="I3071">
        <v>9898</v>
      </c>
      <c r="J3071">
        <v>109.28</v>
      </c>
      <c r="K3071">
        <v>35.840000000000003</v>
      </c>
      <c r="L3071">
        <v>1081653.44</v>
      </c>
      <c r="M3071">
        <v>354744.32000000001</v>
      </c>
      <c r="N3071">
        <v>726909.12</v>
      </c>
    </row>
    <row r="3072" spans="1:14" x14ac:dyDescent="0.25">
      <c r="A3072" t="s">
        <v>51</v>
      </c>
      <c r="B3072" t="s">
        <v>100</v>
      </c>
      <c r="C3072" t="s">
        <v>40</v>
      </c>
      <c r="D3072" t="s">
        <v>17</v>
      </c>
      <c r="E3072" t="s">
        <v>23</v>
      </c>
      <c r="F3072" t="s">
        <v>484</v>
      </c>
      <c r="G3072">
        <v>628671872</v>
      </c>
      <c r="H3072" t="s">
        <v>377</v>
      </c>
      <c r="I3072">
        <v>6832</v>
      </c>
      <c r="J3072">
        <v>81.73</v>
      </c>
      <c r="K3072">
        <v>56.67</v>
      </c>
      <c r="L3072">
        <v>558379.36</v>
      </c>
      <c r="M3072">
        <v>387169.44</v>
      </c>
      <c r="N3072">
        <v>171209.92</v>
      </c>
    </row>
    <row r="3073" spans="1:14" x14ac:dyDescent="0.25">
      <c r="A3073" t="s">
        <v>51</v>
      </c>
      <c r="B3073" t="s">
        <v>169</v>
      </c>
      <c r="C3073" t="s">
        <v>16</v>
      </c>
      <c r="D3073" t="s">
        <v>17</v>
      </c>
      <c r="E3073" t="s">
        <v>18</v>
      </c>
      <c r="F3073" t="s">
        <v>493</v>
      </c>
      <c r="G3073">
        <v>845631682</v>
      </c>
      <c r="H3073" t="s">
        <v>1369</v>
      </c>
      <c r="I3073">
        <v>61</v>
      </c>
      <c r="J3073">
        <v>255.28</v>
      </c>
      <c r="K3073">
        <v>159.41999999999999</v>
      </c>
      <c r="L3073">
        <v>15572.08</v>
      </c>
      <c r="M3073">
        <v>9724.6200000000008</v>
      </c>
      <c r="N3073">
        <v>5847.46</v>
      </c>
    </row>
    <row r="3074" spans="1:14" x14ac:dyDescent="0.25">
      <c r="A3074" t="s">
        <v>42</v>
      </c>
      <c r="B3074" t="s">
        <v>146</v>
      </c>
      <c r="C3074" t="s">
        <v>131</v>
      </c>
      <c r="D3074" t="s">
        <v>22</v>
      </c>
      <c r="E3074" t="s">
        <v>18</v>
      </c>
      <c r="F3074" t="s">
        <v>930</v>
      </c>
      <c r="G3074">
        <v>592774903</v>
      </c>
      <c r="H3074" s="1">
        <v>41315</v>
      </c>
      <c r="I3074">
        <v>4122</v>
      </c>
      <c r="J3074">
        <v>668.27</v>
      </c>
      <c r="K3074">
        <v>502.54</v>
      </c>
      <c r="L3074">
        <v>2754608.94</v>
      </c>
      <c r="M3074">
        <v>2071469.88</v>
      </c>
      <c r="N3074">
        <v>683139.06</v>
      </c>
    </row>
    <row r="3075" spans="1:14" x14ac:dyDescent="0.25">
      <c r="A3075" t="s">
        <v>29</v>
      </c>
      <c r="B3075" t="s">
        <v>121</v>
      </c>
      <c r="C3075" t="s">
        <v>40</v>
      </c>
      <c r="D3075" t="s">
        <v>22</v>
      </c>
      <c r="E3075" t="s">
        <v>32</v>
      </c>
      <c r="F3075" t="s">
        <v>726</v>
      </c>
      <c r="G3075">
        <v>485775363</v>
      </c>
      <c r="H3075" s="1">
        <v>42556</v>
      </c>
      <c r="I3075">
        <v>580</v>
      </c>
      <c r="J3075">
        <v>81.73</v>
      </c>
      <c r="K3075">
        <v>56.67</v>
      </c>
      <c r="L3075">
        <v>47403.4</v>
      </c>
      <c r="M3075">
        <v>32868.6</v>
      </c>
      <c r="N3075">
        <v>14534.8</v>
      </c>
    </row>
    <row r="3076" spans="1:14" x14ac:dyDescent="0.25">
      <c r="A3076" t="s">
        <v>25</v>
      </c>
      <c r="B3076" t="s">
        <v>47</v>
      </c>
      <c r="C3076" t="s">
        <v>113</v>
      </c>
      <c r="D3076" t="s">
        <v>17</v>
      </c>
      <c r="E3076" t="s">
        <v>23</v>
      </c>
      <c r="F3076" s="1">
        <v>40942</v>
      </c>
      <c r="G3076">
        <v>760619390</v>
      </c>
      <c r="H3076" t="s">
        <v>1559</v>
      </c>
      <c r="I3076">
        <v>3035</v>
      </c>
      <c r="J3076">
        <v>154.06</v>
      </c>
      <c r="K3076">
        <v>90.93</v>
      </c>
      <c r="L3076">
        <v>467572.1</v>
      </c>
      <c r="M3076">
        <v>275972.55</v>
      </c>
      <c r="N3076">
        <v>191599.55</v>
      </c>
    </row>
    <row r="3077" spans="1:14" x14ac:dyDescent="0.25">
      <c r="A3077" t="s">
        <v>29</v>
      </c>
      <c r="B3077" t="s">
        <v>61</v>
      </c>
      <c r="C3077" t="s">
        <v>131</v>
      </c>
      <c r="D3077" t="s">
        <v>22</v>
      </c>
      <c r="E3077" t="s">
        <v>18</v>
      </c>
      <c r="F3077" t="s">
        <v>222</v>
      </c>
      <c r="G3077">
        <v>823605811</v>
      </c>
      <c r="H3077" s="1">
        <v>42441</v>
      </c>
      <c r="I3077">
        <v>2117</v>
      </c>
      <c r="J3077">
        <v>668.27</v>
      </c>
      <c r="K3077">
        <v>502.54</v>
      </c>
      <c r="L3077">
        <v>1414727.59</v>
      </c>
      <c r="M3077">
        <v>1063877.18</v>
      </c>
      <c r="N3077">
        <v>350850.41</v>
      </c>
    </row>
    <row r="3078" spans="1:14" x14ac:dyDescent="0.25">
      <c r="A3078" t="s">
        <v>51</v>
      </c>
      <c r="B3078" t="s">
        <v>877</v>
      </c>
      <c r="C3078" t="s">
        <v>16</v>
      </c>
      <c r="D3078" t="s">
        <v>22</v>
      </c>
      <c r="E3078" t="s">
        <v>45</v>
      </c>
      <c r="F3078" t="s">
        <v>1704</v>
      </c>
      <c r="G3078">
        <v>601345956</v>
      </c>
      <c r="H3078" t="s">
        <v>175</v>
      </c>
      <c r="I3078">
        <v>486</v>
      </c>
      <c r="J3078">
        <v>255.28</v>
      </c>
      <c r="K3078">
        <v>159.41999999999999</v>
      </c>
      <c r="L3078">
        <v>124066.08</v>
      </c>
      <c r="M3078">
        <v>77478.12</v>
      </c>
      <c r="N3078">
        <v>46587.96</v>
      </c>
    </row>
    <row r="3079" spans="1:14" x14ac:dyDescent="0.25">
      <c r="A3079" t="s">
        <v>51</v>
      </c>
      <c r="B3079" t="s">
        <v>210</v>
      </c>
      <c r="C3079" t="s">
        <v>27</v>
      </c>
      <c r="D3079" t="s">
        <v>22</v>
      </c>
      <c r="E3079" t="s">
        <v>32</v>
      </c>
      <c r="F3079" t="s">
        <v>899</v>
      </c>
      <c r="G3079">
        <v>990763652</v>
      </c>
      <c r="H3079" s="1">
        <v>40520</v>
      </c>
      <c r="I3079">
        <v>7836</v>
      </c>
      <c r="J3079">
        <v>47.45</v>
      </c>
      <c r="K3079">
        <v>31.79</v>
      </c>
      <c r="L3079">
        <v>371818.2</v>
      </c>
      <c r="M3079">
        <v>249106.44</v>
      </c>
      <c r="N3079">
        <v>122711.76</v>
      </c>
    </row>
    <row r="3080" spans="1:14" x14ac:dyDescent="0.25">
      <c r="A3080" t="s">
        <v>29</v>
      </c>
      <c r="B3080" t="s">
        <v>137</v>
      </c>
      <c r="C3080" t="s">
        <v>44</v>
      </c>
      <c r="D3080" t="s">
        <v>17</v>
      </c>
      <c r="E3080" t="s">
        <v>18</v>
      </c>
      <c r="F3080" t="s">
        <v>883</v>
      </c>
      <c r="G3080">
        <v>709095227</v>
      </c>
      <c r="H3080" t="s">
        <v>1488</v>
      </c>
      <c r="I3080">
        <v>5890</v>
      </c>
      <c r="J3080">
        <v>109.28</v>
      </c>
      <c r="K3080">
        <v>35.840000000000003</v>
      </c>
      <c r="L3080">
        <v>643659.19999999995</v>
      </c>
      <c r="M3080">
        <v>211097.60000000001</v>
      </c>
      <c r="N3080">
        <v>432561.6</v>
      </c>
    </row>
    <row r="3081" spans="1:14" x14ac:dyDescent="0.25">
      <c r="A3081" t="s">
        <v>25</v>
      </c>
      <c r="B3081" t="s">
        <v>196</v>
      </c>
      <c r="C3081" t="s">
        <v>27</v>
      </c>
      <c r="D3081" t="s">
        <v>17</v>
      </c>
      <c r="E3081" t="s">
        <v>18</v>
      </c>
      <c r="F3081" t="s">
        <v>661</v>
      </c>
      <c r="G3081">
        <v>343889510</v>
      </c>
      <c r="H3081" s="1">
        <v>41674</v>
      </c>
      <c r="I3081">
        <v>3403</v>
      </c>
      <c r="J3081">
        <v>47.45</v>
      </c>
      <c r="K3081">
        <v>31.79</v>
      </c>
      <c r="L3081">
        <v>161472.35</v>
      </c>
      <c r="M3081">
        <v>108181.37</v>
      </c>
      <c r="N3081">
        <v>53290.98</v>
      </c>
    </row>
    <row r="3082" spans="1:14" x14ac:dyDescent="0.25">
      <c r="A3082" t="s">
        <v>51</v>
      </c>
      <c r="B3082" t="s">
        <v>274</v>
      </c>
      <c r="C3082" t="s">
        <v>69</v>
      </c>
      <c r="D3082" t="s">
        <v>22</v>
      </c>
      <c r="E3082" t="s">
        <v>18</v>
      </c>
      <c r="F3082" s="1">
        <v>40733</v>
      </c>
      <c r="G3082">
        <v>103007829</v>
      </c>
      <c r="H3082" t="s">
        <v>602</v>
      </c>
      <c r="I3082">
        <v>1160</v>
      </c>
      <c r="J3082">
        <v>421.89</v>
      </c>
      <c r="K3082">
        <v>364.69</v>
      </c>
      <c r="L3082">
        <v>489392.4</v>
      </c>
      <c r="M3082">
        <v>423040.4</v>
      </c>
      <c r="N3082">
        <v>66352</v>
      </c>
    </row>
    <row r="3083" spans="1:14" x14ac:dyDescent="0.25">
      <c r="A3083" t="s">
        <v>14</v>
      </c>
      <c r="B3083" t="s">
        <v>15</v>
      </c>
      <c r="C3083" t="s">
        <v>21</v>
      </c>
      <c r="D3083" t="s">
        <v>22</v>
      </c>
      <c r="E3083" t="s">
        <v>45</v>
      </c>
      <c r="F3083" s="1">
        <v>42495</v>
      </c>
      <c r="G3083">
        <v>264624011</v>
      </c>
      <c r="H3083" s="1">
        <v>42710</v>
      </c>
      <c r="I3083">
        <v>6980</v>
      </c>
      <c r="J3083">
        <v>152.58000000000001</v>
      </c>
      <c r="K3083">
        <v>97.44</v>
      </c>
      <c r="L3083">
        <v>1065008.3999999999</v>
      </c>
      <c r="M3083">
        <v>680131.2</v>
      </c>
      <c r="N3083">
        <v>384877.2</v>
      </c>
    </row>
    <row r="3084" spans="1:14" x14ac:dyDescent="0.25">
      <c r="A3084" t="s">
        <v>14</v>
      </c>
      <c r="B3084" t="s">
        <v>98</v>
      </c>
      <c r="C3084" t="s">
        <v>27</v>
      </c>
      <c r="D3084" t="s">
        <v>17</v>
      </c>
      <c r="E3084" t="s">
        <v>23</v>
      </c>
      <c r="F3084" t="s">
        <v>624</v>
      </c>
      <c r="G3084">
        <v>727224385</v>
      </c>
      <c r="H3084" s="1">
        <v>42737</v>
      </c>
      <c r="I3084">
        <v>711</v>
      </c>
      <c r="J3084">
        <v>47.45</v>
      </c>
      <c r="K3084">
        <v>31.79</v>
      </c>
      <c r="L3084">
        <v>33736.949999999997</v>
      </c>
      <c r="M3084">
        <v>22602.69</v>
      </c>
      <c r="N3084">
        <v>11134.26</v>
      </c>
    </row>
    <row r="3085" spans="1:14" x14ac:dyDescent="0.25">
      <c r="A3085" t="s">
        <v>14</v>
      </c>
      <c r="B3085" t="s">
        <v>433</v>
      </c>
      <c r="C3085" t="s">
        <v>21</v>
      </c>
      <c r="D3085" t="s">
        <v>22</v>
      </c>
      <c r="E3085" t="s">
        <v>45</v>
      </c>
      <c r="F3085" t="s">
        <v>763</v>
      </c>
      <c r="G3085">
        <v>559607779</v>
      </c>
      <c r="H3085" s="1">
        <v>42007</v>
      </c>
      <c r="I3085">
        <v>9233</v>
      </c>
      <c r="J3085">
        <v>152.58000000000001</v>
      </c>
      <c r="K3085">
        <v>97.44</v>
      </c>
      <c r="L3085">
        <v>1408771.14</v>
      </c>
      <c r="M3085">
        <v>899663.52</v>
      </c>
      <c r="N3085">
        <v>509107.62</v>
      </c>
    </row>
    <row r="3086" spans="1:14" x14ac:dyDescent="0.25">
      <c r="A3086" t="s">
        <v>29</v>
      </c>
      <c r="B3086" t="s">
        <v>467</v>
      </c>
      <c r="C3086" t="s">
        <v>55</v>
      </c>
      <c r="D3086" t="s">
        <v>17</v>
      </c>
      <c r="E3086" t="s">
        <v>32</v>
      </c>
      <c r="F3086" s="1">
        <v>41548</v>
      </c>
      <c r="G3086">
        <v>250885522</v>
      </c>
      <c r="H3086" t="s">
        <v>968</v>
      </c>
      <c r="I3086">
        <v>1456</v>
      </c>
      <c r="J3086">
        <v>651.21</v>
      </c>
      <c r="K3086">
        <v>524.96</v>
      </c>
      <c r="L3086">
        <v>948161.76</v>
      </c>
      <c r="M3086">
        <v>764341.76000000001</v>
      </c>
      <c r="N3086">
        <v>183820</v>
      </c>
    </row>
    <row r="3087" spans="1:14" x14ac:dyDescent="0.25">
      <c r="A3087" t="s">
        <v>14</v>
      </c>
      <c r="B3087" t="s">
        <v>20</v>
      </c>
      <c r="C3087" t="s">
        <v>131</v>
      </c>
      <c r="D3087" t="s">
        <v>22</v>
      </c>
      <c r="E3087" t="s">
        <v>23</v>
      </c>
      <c r="F3087" s="1">
        <v>40215</v>
      </c>
      <c r="G3087">
        <v>360481441</v>
      </c>
      <c r="H3087" s="1">
        <v>40427</v>
      </c>
      <c r="I3087">
        <v>3324</v>
      </c>
      <c r="J3087">
        <v>668.27</v>
      </c>
      <c r="K3087">
        <v>502.54</v>
      </c>
      <c r="L3087">
        <v>2221329.48</v>
      </c>
      <c r="M3087">
        <v>1670442.96</v>
      </c>
      <c r="N3087">
        <v>550886.52</v>
      </c>
    </row>
    <row r="3088" spans="1:14" x14ac:dyDescent="0.25">
      <c r="A3088" t="s">
        <v>38</v>
      </c>
      <c r="B3088" t="s">
        <v>288</v>
      </c>
      <c r="C3088" t="s">
        <v>59</v>
      </c>
      <c r="D3088" t="s">
        <v>17</v>
      </c>
      <c r="E3088" t="s">
        <v>32</v>
      </c>
      <c r="F3088" t="s">
        <v>598</v>
      </c>
      <c r="G3088">
        <v>168131864</v>
      </c>
      <c r="H3088" t="s">
        <v>1694</v>
      </c>
      <c r="I3088">
        <v>2810</v>
      </c>
      <c r="J3088">
        <v>437.2</v>
      </c>
      <c r="K3088">
        <v>263.33</v>
      </c>
      <c r="L3088">
        <v>1228532</v>
      </c>
      <c r="M3088">
        <v>739957.3</v>
      </c>
      <c r="N3088">
        <v>488574.7</v>
      </c>
    </row>
    <row r="3089" spans="1:14" x14ac:dyDescent="0.25">
      <c r="A3089" t="s">
        <v>51</v>
      </c>
      <c r="B3089" t="s">
        <v>664</v>
      </c>
      <c r="C3089" t="s">
        <v>44</v>
      </c>
      <c r="D3089" t="s">
        <v>22</v>
      </c>
      <c r="E3089" t="s">
        <v>23</v>
      </c>
      <c r="F3089" t="s">
        <v>1028</v>
      </c>
      <c r="G3089">
        <v>823885619</v>
      </c>
      <c r="H3089" s="1">
        <v>40583</v>
      </c>
      <c r="I3089">
        <v>4918</v>
      </c>
      <c r="J3089">
        <v>109.28</v>
      </c>
      <c r="K3089">
        <v>35.840000000000003</v>
      </c>
      <c r="L3089">
        <v>537439.04</v>
      </c>
      <c r="M3089">
        <v>176261.12</v>
      </c>
      <c r="N3089">
        <v>361177.92</v>
      </c>
    </row>
    <row r="3090" spans="1:14" x14ac:dyDescent="0.25">
      <c r="A3090" t="s">
        <v>25</v>
      </c>
      <c r="B3090" t="s">
        <v>242</v>
      </c>
      <c r="C3090" t="s">
        <v>16</v>
      </c>
      <c r="D3090" t="s">
        <v>22</v>
      </c>
      <c r="E3090" t="s">
        <v>32</v>
      </c>
      <c r="F3090" t="s">
        <v>745</v>
      </c>
      <c r="G3090">
        <v>398104035</v>
      </c>
      <c r="H3090" s="1">
        <v>41251</v>
      </c>
      <c r="I3090">
        <v>6686</v>
      </c>
      <c r="J3090">
        <v>255.28</v>
      </c>
      <c r="K3090">
        <v>159.41999999999999</v>
      </c>
      <c r="L3090">
        <v>1706802.08</v>
      </c>
      <c r="M3090">
        <v>1065882.1200000001</v>
      </c>
      <c r="N3090">
        <v>640919.96</v>
      </c>
    </row>
    <row r="3091" spans="1:14" x14ac:dyDescent="0.25">
      <c r="A3091" t="s">
        <v>25</v>
      </c>
      <c r="B3091" t="s">
        <v>239</v>
      </c>
      <c r="C3091" t="s">
        <v>69</v>
      </c>
      <c r="D3091" t="s">
        <v>22</v>
      </c>
      <c r="E3091" t="s">
        <v>18</v>
      </c>
      <c r="F3091" t="s">
        <v>1258</v>
      </c>
      <c r="G3091">
        <v>631460940</v>
      </c>
      <c r="H3091" s="1">
        <v>41769</v>
      </c>
      <c r="I3091">
        <v>2180</v>
      </c>
      <c r="J3091">
        <v>421.89</v>
      </c>
      <c r="K3091">
        <v>364.69</v>
      </c>
      <c r="L3091">
        <v>919720.2</v>
      </c>
      <c r="M3091">
        <v>795024.2</v>
      </c>
      <c r="N3091">
        <v>124696</v>
      </c>
    </row>
    <row r="3092" spans="1:14" x14ac:dyDescent="0.25">
      <c r="A3092" t="s">
        <v>38</v>
      </c>
      <c r="B3092" t="s">
        <v>451</v>
      </c>
      <c r="C3092" t="s">
        <v>40</v>
      </c>
      <c r="D3092" t="s">
        <v>17</v>
      </c>
      <c r="E3092" t="s">
        <v>23</v>
      </c>
      <c r="F3092" s="1">
        <v>42287</v>
      </c>
      <c r="G3092">
        <v>184942662</v>
      </c>
      <c r="H3092" s="1">
        <v>42046</v>
      </c>
      <c r="I3092">
        <v>7498</v>
      </c>
      <c r="J3092">
        <v>81.73</v>
      </c>
      <c r="K3092">
        <v>56.67</v>
      </c>
      <c r="L3092">
        <v>612811.54</v>
      </c>
      <c r="M3092">
        <v>424911.66</v>
      </c>
      <c r="N3092">
        <v>187899.88</v>
      </c>
    </row>
    <row r="3093" spans="1:14" x14ac:dyDescent="0.25">
      <c r="A3093" t="s">
        <v>25</v>
      </c>
      <c r="B3093" t="s">
        <v>386</v>
      </c>
      <c r="C3093" t="s">
        <v>21</v>
      </c>
      <c r="D3093" t="s">
        <v>22</v>
      </c>
      <c r="E3093" t="s">
        <v>18</v>
      </c>
      <c r="F3093" s="1">
        <v>40183</v>
      </c>
      <c r="G3093">
        <v>489848029</v>
      </c>
      <c r="H3093" t="s">
        <v>727</v>
      </c>
      <c r="I3093">
        <v>5772</v>
      </c>
      <c r="J3093">
        <v>152.58000000000001</v>
      </c>
      <c r="K3093">
        <v>97.44</v>
      </c>
      <c r="L3093">
        <v>880691.76</v>
      </c>
      <c r="M3093">
        <v>562423.68000000005</v>
      </c>
      <c r="N3093">
        <v>318268.08</v>
      </c>
    </row>
    <row r="3094" spans="1:14" x14ac:dyDescent="0.25">
      <c r="A3094" t="s">
        <v>25</v>
      </c>
      <c r="B3094" t="s">
        <v>603</v>
      </c>
      <c r="C3094" t="s">
        <v>55</v>
      </c>
      <c r="D3094" t="s">
        <v>17</v>
      </c>
      <c r="E3094" t="s">
        <v>32</v>
      </c>
      <c r="F3094" t="s">
        <v>1705</v>
      </c>
      <c r="G3094">
        <v>797788369</v>
      </c>
      <c r="H3094" t="s">
        <v>623</v>
      </c>
      <c r="I3094">
        <v>2162</v>
      </c>
      <c r="J3094">
        <v>651.21</v>
      </c>
      <c r="K3094">
        <v>524.96</v>
      </c>
      <c r="L3094">
        <v>1407916.02</v>
      </c>
      <c r="M3094">
        <v>1134963.52</v>
      </c>
      <c r="N3094">
        <v>272952.5</v>
      </c>
    </row>
    <row r="3095" spans="1:14" x14ac:dyDescent="0.25">
      <c r="A3095" t="s">
        <v>25</v>
      </c>
      <c r="B3095" t="s">
        <v>234</v>
      </c>
      <c r="C3095" t="s">
        <v>40</v>
      </c>
      <c r="D3095" t="s">
        <v>17</v>
      </c>
      <c r="E3095" t="s">
        <v>23</v>
      </c>
      <c r="F3095" s="1">
        <v>41400</v>
      </c>
      <c r="G3095">
        <v>430687510</v>
      </c>
      <c r="H3095" s="1">
        <v>41553</v>
      </c>
      <c r="I3095">
        <v>8860</v>
      </c>
      <c r="J3095">
        <v>81.73</v>
      </c>
      <c r="K3095">
        <v>56.67</v>
      </c>
      <c r="L3095">
        <v>724127.8</v>
      </c>
      <c r="M3095">
        <v>502096.2</v>
      </c>
      <c r="N3095">
        <v>222031.6</v>
      </c>
    </row>
    <row r="3096" spans="1:14" x14ac:dyDescent="0.25">
      <c r="A3096" t="s">
        <v>38</v>
      </c>
      <c r="B3096" t="s">
        <v>527</v>
      </c>
      <c r="C3096" t="s">
        <v>69</v>
      </c>
      <c r="D3096" t="s">
        <v>22</v>
      </c>
      <c r="E3096" t="s">
        <v>18</v>
      </c>
      <c r="F3096" t="s">
        <v>221</v>
      </c>
      <c r="G3096">
        <v>130781781</v>
      </c>
      <c r="H3096" t="s">
        <v>1706</v>
      </c>
      <c r="I3096">
        <v>90</v>
      </c>
      <c r="J3096">
        <v>421.89</v>
      </c>
      <c r="K3096">
        <v>364.69</v>
      </c>
      <c r="L3096">
        <v>37970.1</v>
      </c>
      <c r="M3096">
        <v>32822.1</v>
      </c>
      <c r="N3096">
        <v>5148</v>
      </c>
    </row>
    <row r="3097" spans="1:14" x14ac:dyDescent="0.25">
      <c r="A3097" t="s">
        <v>42</v>
      </c>
      <c r="B3097" t="s">
        <v>43</v>
      </c>
      <c r="C3097" t="s">
        <v>113</v>
      </c>
      <c r="D3097" t="s">
        <v>22</v>
      </c>
      <c r="E3097" t="s">
        <v>45</v>
      </c>
      <c r="F3097" s="1">
        <v>40338</v>
      </c>
      <c r="G3097">
        <v>710620009</v>
      </c>
      <c r="H3097" s="1">
        <v>40188</v>
      </c>
      <c r="I3097">
        <v>7107</v>
      </c>
      <c r="J3097">
        <v>154.06</v>
      </c>
      <c r="K3097">
        <v>90.93</v>
      </c>
      <c r="L3097">
        <v>1094904.42</v>
      </c>
      <c r="M3097">
        <v>646239.51</v>
      </c>
      <c r="N3097">
        <v>448664.91</v>
      </c>
    </row>
    <row r="3098" spans="1:14" x14ac:dyDescent="0.25">
      <c r="A3098" t="s">
        <v>51</v>
      </c>
      <c r="B3098" t="s">
        <v>182</v>
      </c>
      <c r="C3098" t="s">
        <v>21</v>
      </c>
      <c r="D3098" t="s">
        <v>17</v>
      </c>
      <c r="E3098" t="s">
        <v>18</v>
      </c>
      <c r="F3098" t="s">
        <v>1707</v>
      </c>
      <c r="G3098">
        <v>803063523</v>
      </c>
      <c r="H3098" t="s">
        <v>246</v>
      </c>
      <c r="I3098">
        <v>3197</v>
      </c>
      <c r="J3098">
        <v>152.58000000000001</v>
      </c>
      <c r="K3098">
        <v>97.44</v>
      </c>
      <c r="L3098">
        <v>487798.26</v>
      </c>
      <c r="M3098">
        <v>311515.68</v>
      </c>
      <c r="N3098">
        <v>176282.58</v>
      </c>
    </row>
    <row r="3099" spans="1:14" x14ac:dyDescent="0.25">
      <c r="A3099" t="s">
        <v>29</v>
      </c>
      <c r="B3099" t="s">
        <v>153</v>
      </c>
      <c r="C3099" t="s">
        <v>88</v>
      </c>
      <c r="D3099" t="s">
        <v>17</v>
      </c>
      <c r="E3099" t="s">
        <v>32</v>
      </c>
      <c r="F3099" t="s">
        <v>886</v>
      </c>
      <c r="G3099">
        <v>911286151</v>
      </c>
      <c r="H3099" s="1">
        <v>41281</v>
      </c>
      <c r="I3099">
        <v>8678</v>
      </c>
      <c r="J3099">
        <v>9.33</v>
      </c>
      <c r="K3099">
        <v>6.92</v>
      </c>
      <c r="L3099">
        <v>80965.740000000005</v>
      </c>
      <c r="M3099">
        <v>60051.76</v>
      </c>
      <c r="N3099">
        <v>20913.98</v>
      </c>
    </row>
    <row r="3100" spans="1:14" x14ac:dyDescent="0.25">
      <c r="A3100" t="s">
        <v>77</v>
      </c>
      <c r="B3100" t="s">
        <v>78</v>
      </c>
      <c r="C3100" t="s">
        <v>31</v>
      </c>
      <c r="D3100" t="s">
        <v>22</v>
      </c>
      <c r="E3100" t="s">
        <v>18</v>
      </c>
      <c r="F3100" s="1">
        <v>40213</v>
      </c>
      <c r="G3100">
        <v>258774220</v>
      </c>
      <c r="H3100" t="s">
        <v>685</v>
      </c>
      <c r="I3100">
        <v>5897</v>
      </c>
      <c r="J3100">
        <v>205.7</v>
      </c>
      <c r="K3100">
        <v>117.11</v>
      </c>
      <c r="L3100">
        <v>1213012.8999999999</v>
      </c>
      <c r="M3100">
        <v>690597.67</v>
      </c>
      <c r="N3100">
        <v>522415.23</v>
      </c>
    </row>
    <row r="3101" spans="1:14" x14ac:dyDescent="0.25">
      <c r="A3101" t="s">
        <v>51</v>
      </c>
      <c r="B3101" t="s">
        <v>276</v>
      </c>
      <c r="C3101" t="s">
        <v>113</v>
      </c>
      <c r="D3101" t="s">
        <v>22</v>
      </c>
      <c r="E3101" t="s">
        <v>23</v>
      </c>
      <c r="F3101" s="1">
        <v>40645</v>
      </c>
      <c r="G3101">
        <v>839326560</v>
      </c>
      <c r="H3101" s="1">
        <v>40889</v>
      </c>
      <c r="I3101">
        <v>4236</v>
      </c>
      <c r="J3101">
        <v>154.06</v>
      </c>
      <c r="K3101">
        <v>90.93</v>
      </c>
      <c r="L3101">
        <v>652598.16</v>
      </c>
      <c r="M3101">
        <v>385179.48</v>
      </c>
      <c r="N3101">
        <v>267418.68</v>
      </c>
    </row>
    <row r="3102" spans="1:14" x14ac:dyDescent="0.25">
      <c r="A3102" t="s">
        <v>25</v>
      </c>
      <c r="B3102" t="s">
        <v>211</v>
      </c>
      <c r="C3102" t="s">
        <v>40</v>
      </c>
      <c r="D3102" t="s">
        <v>17</v>
      </c>
      <c r="E3102" t="s">
        <v>45</v>
      </c>
      <c r="F3102" s="1">
        <v>42310</v>
      </c>
      <c r="G3102">
        <v>667054498</v>
      </c>
      <c r="H3102" s="1">
        <v>42340</v>
      </c>
      <c r="I3102">
        <v>5104</v>
      </c>
      <c r="J3102">
        <v>81.73</v>
      </c>
      <c r="K3102">
        <v>56.67</v>
      </c>
      <c r="L3102">
        <v>417149.92</v>
      </c>
      <c r="M3102">
        <v>289243.68</v>
      </c>
      <c r="N3102">
        <v>127906.24000000001</v>
      </c>
    </row>
    <row r="3103" spans="1:14" x14ac:dyDescent="0.25">
      <c r="A3103" t="s">
        <v>51</v>
      </c>
      <c r="B3103" t="s">
        <v>182</v>
      </c>
      <c r="C3103" t="s">
        <v>69</v>
      </c>
      <c r="D3103" t="s">
        <v>22</v>
      </c>
      <c r="E3103" t="s">
        <v>18</v>
      </c>
      <c r="F3103" s="1">
        <v>41316</v>
      </c>
      <c r="G3103">
        <v>526381862</v>
      </c>
      <c r="H3103" t="s">
        <v>214</v>
      </c>
      <c r="I3103">
        <v>6945</v>
      </c>
      <c r="J3103">
        <v>421.89</v>
      </c>
      <c r="K3103">
        <v>364.69</v>
      </c>
      <c r="L3103">
        <v>2930026.05</v>
      </c>
      <c r="M3103">
        <v>2532772.0499999998</v>
      </c>
      <c r="N3103">
        <v>397254</v>
      </c>
    </row>
    <row r="3104" spans="1:14" x14ac:dyDescent="0.25">
      <c r="A3104" t="s">
        <v>77</v>
      </c>
      <c r="B3104" t="s">
        <v>320</v>
      </c>
      <c r="C3104" t="s">
        <v>40</v>
      </c>
      <c r="D3104" t="s">
        <v>17</v>
      </c>
      <c r="E3104" t="s">
        <v>23</v>
      </c>
      <c r="F3104" t="s">
        <v>1708</v>
      </c>
      <c r="G3104">
        <v>822044980</v>
      </c>
      <c r="H3104" s="1">
        <v>40431</v>
      </c>
      <c r="I3104">
        <v>232</v>
      </c>
      <c r="J3104">
        <v>81.73</v>
      </c>
      <c r="K3104">
        <v>56.67</v>
      </c>
      <c r="L3104">
        <v>18961.36</v>
      </c>
      <c r="M3104">
        <v>13147.44</v>
      </c>
      <c r="N3104">
        <v>5813.92</v>
      </c>
    </row>
    <row r="3105" spans="1:14" x14ac:dyDescent="0.25">
      <c r="A3105" t="s">
        <v>38</v>
      </c>
      <c r="B3105" t="s">
        <v>54</v>
      </c>
      <c r="C3105" t="s">
        <v>88</v>
      </c>
      <c r="D3105" t="s">
        <v>22</v>
      </c>
      <c r="E3105" t="s">
        <v>23</v>
      </c>
      <c r="F3105" s="1">
        <v>41399</v>
      </c>
      <c r="G3105">
        <v>229092681</v>
      </c>
      <c r="H3105" s="1">
        <v>41280</v>
      </c>
      <c r="I3105">
        <v>2470</v>
      </c>
      <c r="J3105">
        <v>9.33</v>
      </c>
      <c r="K3105">
        <v>6.92</v>
      </c>
      <c r="L3105">
        <v>23045.1</v>
      </c>
      <c r="M3105">
        <v>17092.400000000001</v>
      </c>
      <c r="N3105">
        <v>5952.7</v>
      </c>
    </row>
    <row r="3106" spans="1:14" x14ac:dyDescent="0.25">
      <c r="A3106" t="s">
        <v>29</v>
      </c>
      <c r="B3106" t="s">
        <v>248</v>
      </c>
      <c r="C3106" t="s">
        <v>21</v>
      </c>
      <c r="D3106" t="s">
        <v>17</v>
      </c>
      <c r="E3106" t="s">
        <v>23</v>
      </c>
      <c r="F3106" t="s">
        <v>931</v>
      </c>
      <c r="G3106">
        <v>642886292</v>
      </c>
      <c r="H3106" t="s">
        <v>1358</v>
      </c>
      <c r="I3106">
        <v>3195</v>
      </c>
      <c r="J3106">
        <v>152.58000000000001</v>
      </c>
      <c r="K3106">
        <v>97.44</v>
      </c>
      <c r="L3106">
        <v>487493.1</v>
      </c>
      <c r="M3106">
        <v>311320.8</v>
      </c>
      <c r="N3106">
        <v>176172.3</v>
      </c>
    </row>
    <row r="3107" spans="1:14" x14ac:dyDescent="0.25">
      <c r="A3107" t="s">
        <v>51</v>
      </c>
      <c r="B3107" t="s">
        <v>260</v>
      </c>
      <c r="C3107" t="s">
        <v>21</v>
      </c>
      <c r="D3107" t="s">
        <v>22</v>
      </c>
      <c r="E3107" t="s">
        <v>45</v>
      </c>
      <c r="F3107" t="s">
        <v>661</v>
      </c>
      <c r="G3107">
        <v>429099643</v>
      </c>
      <c r="H3107" s="1">
        <v>41732</v>
      </c>
      <c r="I3107">
        <v>8975</v>
      </c>
      <c r="J3107">
        <v>152.58000000000001</v>
      </c>
      <c r="K3107">
        <v>97.44</v>
      </c>
      <c r="L3107">
        <v>1369405.5</v>
      </c>
      <c r="M3107">
        <v>874524</v>
      </c>
      <c r="N3107">
        <v>494881.5</v>
      </c>
    </row>
    <row r="3108" spans="1:14" x14ac:dyDescent="0.25">
      <c r="A3108" t="s">
        <v>51</v>
      </c>
      <c r="B3108" t="s">
        <v>877</v>
      </c>
      <c r="C3108" t="s">
        <v>59</v>
      </c>
      <c r="D3108" t="s">
        <v>22</v>
      </c>
      <c r="E3108" t="s">
        <v>23</v>
      </c>
      <c r="F3108" s="1">
        <v>42954</v>
      </c>
      <c r="G3108">
        <v>273719060</v>
      </c>
      <c r="H3108" t="s">
        <v>179</v>
      </c>
      <c r="I3108">
        <v>8407</v>
      </c>
      <c r="J3108">
        <v>437.2</v>
      </c>
      <c r="K3108">
        <v>263.33</v>
      </c>
      <c r="L3108">
        <v>3675540.4</v>
      </c>
      <c r="M3108">
        <v>2213815.31</v>
      </c>
      <c r="N3108">
        <v>1461725.09</v>
      </c>
    </row>
    <row r="3109" spans="1:14" x14ac:dyDescent="0.25">
      <c r="A3109" t="s">
        <v>51</v>
      </c>
      <c r="B3109" t="s">
        <v>542</v>
      </c>
      <c r="C3109" t="s">
        <v>59</v>
      </c>
      <c r="D3109" t="s">
        <v>22</v>
      </c>
      <c r="E3109" t="s">
        <v>32</v>
      </c>
      <c r="F3109" t="s">
        <v>1709</v>
      </c>
      <c r="G3109">
        <v>933043372</v>
      </c>
      <c r="H3109" s="1">
        <v>41795</v>
      </c>
      <c r="I3109">
        <v>7123</v>
      </c>
      <c r="J3109">
        <v>437.2</v>
      </c>
      <c r="K3109">
        <v>263.33</v>
      </c>
      <c r="L3109">
        <v>3114175.6</v>
      </c>
      <c r="M3109">
        <v>1875699.59</v>
      </c>
      <c r="N3109">
        <v>1238476.01</v>
      </c>
    </row>
    <row r="3110" spans="1:14" x14ac:dyDescent="0.25">
      <c r="A3110" t="s">
        <v>29</v>
      </c>
      <c r="B3110" t="s">
        <v>121</v>
      </c>
      <c r="C3110" t="s">
        <v>21</v>
      </c>
      <c r="D3110" t="s">
        <v>17</v>
      </c>
      <c r="E3110" t="s">
        <v>18</v>
      </c>
      <c r="F3110" s="1">
        <v>43041</v>
      </c>
      <c r="G3110">
        <v>983683907</v>
      </c>
      <c r="H3110" s="1">
        <v>43011</v>
      </c>
      <c r="I3110">
        <v>2783</v>
      </c>
      <c r="J3110">
        <v>152.58000000000001</v>
      </c>
      <c r="K3110">
        <v>97.44</v>
      </c>
      <c r="L3110">
        <v>424630.14</v>
      </c>
      <c r="M3110">
        <v>271175.52</v>
      </c>
      <c r="N3110">
        <v>153454.62</v>
      </c>
    </row>
    <row r="3111" spans="1:14" x14ac:dyDescent="0.25">
      <c r="A3111" t="s">
        <v>77</v>
      </c>
      <c r="B3111" t="s">
        <v>794</v>
      </c>
      <c r="C3111" t="s">
        <v>88</v>
      </c>
      <c r="D3111" t="s">
        <v>22</v>
      </c>
      <c r="E3111" t="s">
        <v>23</v>
      </c>
      <c r="F3111" t="s">
        <v>1348</v>
      </c>
      <c r="G3111">
        <v>872564494</v>
      </c>
      <c r="H3111" t="s">
        <v>1348</v>
      </c>
      <c r="I3111">
        <v>79</v>
      </c>
      <c r="J3111">
        <v>9.33</v>
      </c>
      <c r="K3111">
        <v>6.92</v>
      </c>
      <c r="L3111">
        <v>737.07</v>
      </c>
      <c r="M3111">
        <v>546.67999999999995</v>
      </c>
      <c r="N3111">
        <v>190.39</v>
      </c>
    </row>
    <row r="3112" spans="1:14" x14ac:dyDescent="0.25">
      <c r="A3112" t="s">
        <v>25</v>
      </c>
      <c r="B3112" t="s">
        <v>303</v>
      </c>
      <c r="C3112" t="s">
        <v>31</v>
      </c>
      <c r="D3112" t="s">
        <v>17</v>
      </c>
      <c r="E3112" t="s">
        <v>45</v>
      </c>
      <c r="F3112" t="s">
        <v>1510</v>
      </c>
      <c r="G3112">
        <v>666921460</v>
      </c>
      <c r="H3112" s="1">
        <v>41922</v>
      </c>
      <c r="I3112">
        <v>5735</v>
      </c>
      <c r="J3112">
        <v>205.7</v>
      </c>
      <c r="K3112">
        <v>117.11</v>
      </c>
      <c r="L3112">
        <v>1179689.5</v>
      </c>
      <c r="M3112">
        <v>671625.85</v>
      </c>
      <c r="N3112">
        <v>508063.65</v>
      </c>
    </row>
    <row r="3113" spans="1:14" x14ac:dyDescent="0.25">
      <c r="A3113" t="s">
        <v>42</v>
      </c>
      <c r="B3113" t="s">
        <v>552</v>
      </c>
      <c r="C3113" t="s">
        <v>55</v>
      </c>
      <c r="D3113" t="s">
        <v>17</v>
      </c>
      <c r="E3113" t="s">
        <v>23</v>
      </c>
      <c r="F3113" t="s">
        <v>952</v>
      </c>
      <c r="G3113">
        <v>504303634</v>
      </c>
      <c r="H3113" t="s">
        <v>1150</v>
      </c>
      <c r="I3113">
        <v>3507</v>
      </c>
      <c r="J3113">
        <v>651.21</v>
      </c>
      <c r="K3113">
        <v>524.96</v>
      </c>
      <c r="L3113">
        <v>2283793.4700000002</v>
      </c>
      <c r="M3113">
        <v>1841034.72</v>
      </c>
      <c r="N3113">
        <v>442758.75</v>
      </c>
    </row>
    <row r="3114" spans="1:14" x14ac:dyDescent="0.25">
      <c r="A3114" t="s">
        <v>51</v>
      </c>
      <c r="B3114" t="s">
        <v>575</v>
      </c>
      <c r="C3114" t="s">
        <v>44</v>
      </c>
      <c r="D3114" t="s">
        <v>22</v>
      </c>
      <c r="E3114" t="s">
        <v>45</v>
      </c>
      <c r="F3114" s="1">
        <v>41579</v>
      </c>
      <c r="G3114">
        <v>142572343</v>
      </c>
      <c r="H3114" s="1">
        <v>41308</v>
      </c>
      <c r="I3114">
        <v>9179</v>
      </c>
      <c r="J3114">
        <v>109.28</v>
      </c>
      <c r="K3114">
        <v>35.840000000000003</v>
      </c>
      <c r="L3114">
        <v>1003081.12</v>
      </c>
      <c r="M3114">
        <v>328975.35999999999</v>
      </c>
      <c r="N3114">
        <v>674105.76</v>
      </c>
    </row>
    <row r="3115" spans="1:14" x14ac:dyDescent="0.25">
      <c r="A3115" t="s">
        <v>77</v>
      </c>
      <c r="B3115" t="s">
        <v>622</v>
      </c>
      <c r="C3115" t="s">
        <v>16</v>
      </c>
      <c r="D3115" t="s">
        <v>22</v>
      </c>
      <c r="E3115" t="s">
        <v>23</v>
      </c>
      <c r="F3115" t="s">
        <v>1134</v>
      </c>
      <c r="G3115">
        <v>309901416</v>
      </c>
      <c r="H3115" s="1">
        <v>40549</v>
      </c>
      <c r="I3115">
        <v>5570</v>
      </c>
      <c r="J3115">
        <v>255.28</v>
      </c>
      <c r="K3115">
        <v>159.41999999999999</v>
      </c>
      <c r="L3115">
        <v>1421909.6</v>
      </c>
      <c r="M3115">
        <v>887969.4</v>
      </c>
      <c r="N3115">
        <v>533940.19999999995</v>
      </c>
    </row>
    <row r="3116" spans="1:14" x14ac:dyDescent="0.25">
      <c r="A3116" t="s">
        <v>42</v>
      </c>
      <c r="B3116" t="s">
        <v>107</v>
      </c>
      <c r="C3116" t="s">
        <v>40</v>
      </c>
      <c r="D3116" t="s">
        <v>22</v>
      </c>
      <c r="E3116" t="s">
        <v>45</v>
      </c>
      <c r="F3116" t="s">
        <v>89</v>
      </c>
      <c r="G3116">
        <v>454777181</v>
      </c>
      <c r="H3116" t="s">
        <v>1710</v>
      </c>
      <c r="I3116">
        <v>7529</v>
      </c>
      <c r="J3116">
        <v>81.73</v>
      </c>
      <c r="K3116">
        <v>56.67</v>
      </c>
      <c r="L3116">
        <v>615345.17000000004</v>
      </c>
      <c r="M3116">
        <v>426668.43</v>
      </c>
      <c r="N3116">
        <v>188676.74</v>
      </c>
    </row>
    <row r="3117" spans="1:14" x14ac:dyDescent="0.25">
      <c r="A3117" t="s">
        <v>42</v>
      </c>
      <c r="B3117" t="s">
        <v>630</v>
      </c>
      <c r="C3117" t="s">
        <v>31</v>
      </c>
      <c r="D3117" t="s">
        <v>17</v>
      </c>
      <c r="E3117" t="s">
        <v>45</v>
      </c>
      <c r="F3117" s="1">
        <v>40551</v>
      </c>
      <c r="G3117">
        <v>995998466</v>
      </c>
      <c r="H3117" t="s">
        <v>998</v>
      </c>
      <c r="I3117">
        <v>6934</v>
      </c>
      <c r="J3117">
        <v>205.7</v>
      </c>
      <c r="K3117">
        <v>117.11</v>
      </c>
      <c r="L3117">
        <v>1426323.8</v>
      </c>
      <c r="M3117">
        <v>812040.74</v>
      </c>
      <c r="N3117">
        <v>614283.06000000006</v>
      </c>
    </row>
    <row r="3118" spans="1:14" x14ac:dyDescent="0.25">
      <c r="A3118" t="s">
        <v>14</v>
      </c>
      <c r="B3118" t="s">
        <v>627</v>
      </c>
      <c r="C3118" t="s">
        <v>21</v>
      </c>
      <c r="D3118" t="s">
        <v>22</v>
      </c>
      <c r="E3118" t="s">
        <v>23</v>
      </c>
      <c r="F3118" t="s">
        <v>1545</v>
      </c>
      <c r="G3118">
        <v>172676599</v>
      </c>
      <c r="H3118" s="1">
        <v>42830</v>
      </c>
      <c r="I3118">
        <v>7698</v>
      </c>
      <c r="J3118">
        <v>152.58000000000001</v>
      </c>
      <c r="K3118">
        <v>97.44</v>
      </c>
      <c r="L3118">
        <v>1174560.8400000001</v>
      </c>
      <c r="M3118">
        <v>750093.12</v>
      </c>
      <c r="N3118">
        <v>424467.72</v>
      </c>
    </row>
    <row r="3119" spans="1:14" x14ac:dyDescent="0.25">
      <c r="A3119" t="s">
        <v>38</v>
      </c>
      <c r="B3119" t="s">
        <v>85</v>
      </c>
      <c r="C3119" t="s">
        <v>113</v>
      </c>
      <c r="D3119" t="s">
        <v>17</v>
      </c>
      <c r="E3119" t="s">
        <v>45</v>
      </c>
      <c r="F3119" t="s">
        <v>139</v>
      </c>
      <c r="G3119">
        <v>794235408</v>
      </c>
      <c r="H3119" s="1">
        <v>41797</v>
      </c>
      <c r="I3119">
        <v>762</v>
      </c>
      <c r="J3119">
        <v>154.06</v>
      </c>
      <c r="K3119">
        <v>90.93</v>
      </c>
      <c r="L3119">
        <v>117393.72</v>
      </c>
      <c r="M3119">
        <v>69288.66</v>
      </c>
      <c r="N3119">
        <v>48105.06</v>
      </c>
    </row>
    <row r="3120" spans="1:14" x14ac:dyDescent="0.25">
      <c r="A3120" t="s">
        <v>51</v>
      </c>
      <c r="B3120" t="s">
        <v>542</v>
      </c>
      <c r="C3120" t="s">
        <v>21</v>
      </c>
      <c r="D3120" t="s">
        <v>17</v>
      </c>
      <c r="E3120" t="s">
        <v>32</v>
      </c>
      <c r="F3120" s="1">
        <v>42252</v>
      </c>
      <c r="G3120">
        <v>790411221</v>
      </c>
      <c r="H3120" t="s">
        <v>816</v>
      </c>
      <c r="I3120">
        <v>9100</v>
      </c>
      <c r="J3120">
        <v>152.58000000000001</v>
      </c>
      <c r="K3120">
        <v>97.44</v>
      </c>
      <c r="L3120">
        <v>1388478</v>
      </c>
      <c r="M3120">
        <v>886704</v>
      </c>
      <c r="N3120">
        <v>501774</v>
      </c>
    </row>
    <row r="3121" spans="1:14" x14ac:dyDescent="0.25">
      <c r="A3121" t="s">
        <v>25</v>
      </c>
      <c r="B3121" t="s">
        <v>72</v>
      </c>
      <c r="C3121" t="s">
        <v>55</v>
      </c>
      <c r="D3121" t="s">
        <v>17</v>
      </c>
      <c r="E3121" t="s">
        <v>32</v>
      </c>
      <c r="F3121" s="1">
        <v>41976</v>
      </c>
      <c r="G3121">
        <v>861252868</v>
      </c>
      <c r="H3121" t="s">
        <v>986</v>
      </c>
      <c r="I3121">
        <v>2717</v>
      </c>
      <c r="J3121">
        <v>651.21</v>
      </c>
      <c r="K3121">
        <v>524.96</v>
      </c>
      <c r="L3121">
        <v>1769337.57</v>
      </c>
      <c r="M3121">
        <v>1426316.32</v>
      </c>
      <c r="N3121">
        <v>343021.25</v>
      </c>
    </row>
    <row r="3122" spans="1:14" x14ac:dyDescent="0.25">
      <c r="A3122" t="s">
        <v>42</v>
      </c>
      <c r="B3122" t="s">
        <v>150</v>
      </c>
      <c r="C3122" t="s">
        <v>113</v>
      </c>
      <c r="D3122" t="s">
        <v>22</v>
      </c>
      <c r="E3122" t="s">
        <v>32</v>
      </c>
      <c r="F3122" s="1">
        <v>41558</v>
      </c>
      <c r="G3122">
        <v>427121675</v>
      </c>
      <c r="H3122" t="s">
        <v>1185</v>
      </c>
      <c r="I3122">
        <v>3650</v>
      </c>
      <c r="J3122">
        <v>154.06</v>
      </c>
      <c r="K3122">
        <v>90.93</v>
      </c>
      <c r="L3122">
        <v>562319</v>
      </c>
      <c r="M3122">
        <v>331894.5</v>
      </c>
      <c r="N3122">
        <v>230424.5</v>
      </c>
    </row>
    <row r="3123" spans="1:14" x14ac:dyDescent="0.25">
      <c r="A3123" t="s">
        <v>51</v>
      </c>
      <c r="B3123" t="s">
        <v>367</v>
      </c>
      <c r="C3123" t="s">
        <v>40</v>
      </c>
      <c r="D3123" t="s">
        <v>22</v>
      </c>
      <c r="E3123" t="s">
        <v>32</v>
      </c>
      <c r="F3123" s="1">
        <v>41858</v>
      </c>
      <c r="G3123">
        <v>778691470</v>
      </c>
      <c r="H3123" s="1">
        <v>41647</v>
      </c>
      <c r="I3123">
        <v>965</v>
      </c>
      <c r="J3123">
        <v>81.73</v>
      </c>
      <c r="K3123">
        <v>56.67</v>
      </c>
      <c r="L3123">
        <v>78869.45</v>
      </c>
      <c r="M3123">
        <v>54686.55</v>
      </c>
      <c r="N3123">
        <v>24182.9</v>
      </c>
    </row>
    <row r="3124" spans="1:14" x14ac:dyDescent="0.25">
      <c r="A3124" t="s">
        <v>25</v>
      </c>
      <c r="B3124" t="s">
        <v>603</v>
      </c>
      <c r="C3124" t="s">
        <v>16</v>
      </c>
      <c r="D3124" t="s">
        <v>17</v>
      </c>
      <c r="E3124" t="s">
        <v>23</v>
      </c>
      <c r="F3124" t="s">
        <v>1290</v>
      </c>
      <c r="G3124">
        <v>126948583</v>
      </c>
      <c r="H3124" s="1">
        <v>42985</v>
      </c>
      <c r="I3124">
        <v>5762</v>
      </c>
      <c r="J3124">
        <v>255.28</v>
      </c>
      <c r="K3124">
        <v>159.41999999999999</v>
      </c>
      <c r="L3124">
        <v>1470923.36</v>
      </c>
      <c r="M3124">
        <v>918578.04</v>
      </c>
      <c r="N3124">
        <v>552345.31999999995</v>
      </c>
    </row>
    <row r="3125" spans="1:14" x14ac:dyDescent="0.25">
      <c r="A3125" t="s">
        <v>25</v>
      </c>
      <c r="B3125" t="s">
        <v>87</v>
      </c>
      <c r="C3125" t="s">
        <v>44</v>
      </c>
      <c r="D3125" t="s">
        <v>22</v>
      </c>
      <c r="E3125" t="s">
        <v>45</v>
      </c>
      <c r="F3125" s="1">
        <v>41492</v>
      </c>
      <c r="G3125">
        <v>353191840</v>
      </c>
      <c r="H3125" s="1">
        <v>41524</v>
      </c>
      <c r="I3125">
        <v>6169</v>
      </c>
      <c r="J3125">
        <v>109.28</v>
      </c>
      <c r="K3125">
        <v>35.840000000000003</v>
      </c>
      <c r="L3125">
        <v>674148.32</v>
      </c>
      <c r="M3125">
        <v>221096.95999999999</v>
      </c>
      <c r="N3125">
        <v>453051.36</v>
      </c>
    </row>
    <row r="3126" spans="1:14" x14ac:dyDescent="0.25">
      <c r="A3126" t="s">
        <v>25</v>
      </c>
      <c r="B3126" t="s">
        <v>140</v>
      </c>
      <c r="C3126" t="s">
        <v>113</v>
      </c>
      <c r="D3126" t="s">
        <v>17</v>
      </c>
      <c r="E3126" t="s">
        <v>32</v>
      </c>
      <c r="F3126" s="1">
        <v>42983</v>
      </c>
      <c r="G3126">
        <v>259032571</v>
      </c>
      <c r="H3126" t="s">
        <v>1711</v>
      </c>
      <c r="I3126">
        <v>2349</v>
      </c>
      <c r="J3126">
        <v>154.06</v>
      </c>
      <c r="K3126">
        <v>90.93</v>
      </c>
      <c r="L3126">
        <v>361886.94</v>
      </c>
      <c r="M3126">
        <v>213594.57</v>
      </c>
      <c r="N3126">
        <v>148292.37</v>
      </c>
    </row>
    <row r="3127" spans="1:14" x14ac:dyDescent="0.25">
      <c r="A3127" t="s">
        <v>51</v>
      </c>
      <c r="B3127" t="s">
        <v>219</v>
      </c>
      <c r="C3127" t="s">
        <v>44</v>
      </c>
      <c r="D3127" t="s">
        <v>17</v>
      </c>
      <c r="E3127" t="s">
        <v>18</v>
      </c>
      <c r="F3127" s="1">
        <v>40462</v>
      </c>
      <c r="G3127">
        <v>516394603</v>
      </c>
      <c r="H3127" s="1">
        <v>40433</v>
      </c>
      <c r="I3127">
        <v>1493</v>
      </c>
      <c r="J3127">
        <v>109.28</v>
      </c>
      <c r="K3127">
        <v>35.840000000000003</v>
      </c>
      <c r="L3127">
        <v>163155.04</v>
      </c>
      <c r="M3127">
        <v>53509.120000000003</v>
      </c>
      <c r="N3127">
        <v>109645.92</v>
      </c>
    </row>
    <row r="3128" spans="1:14" x14ac:dyDescent="0.25">
      <c r="A3128" t="s">
        <v>25</v>
      </c>
      <c r="B3128" t="s">
        <v>785</v>
      </c>
      <c r="C3128" t="s">
        <v>69</v>
      </c>
      <c r="D3128" t="s">
        <v>22</v>
      </c>
      <c r="E3128" t="s">
        <v>32</v>
      </c>
      <c r="F3128" s="1">
        <v>41706</v>
      </c>
      <c r="G3128">
        <v>517514264</v>
      </c>
      <c r="H3128" s="1">
        <v>41738</v>
      </c>
      <c r="I3128">
        <v>2826</v>
      </c>
      <c r="J3128">
        <v>421.89</v>
      </c>
      <c r="K3128">
        <v>364.69</v>
      </c>
      <c r="L3128">
        <v>1192261.1399999999</v>
      </c>
      <c r="M3128">
        <v>1030613.94</v>
      </c>
      <c r="N3128">
        <v>161647.20000000001</v>
      </c>
    </row>
    <row r="3129" spans="1:14" x14ac:dyDescent="0.25">
      <c r="A3129" t="s">
        <v>25</v>
      </c>
      <c r="B3129" t="s">
        <v>234</v>
      </c>
      <c r="C3129" t="s">
        <v>59</v>
      </c>
      <c r="D3129" t="s">
        <v>22</v>
      </c>
      <c r="E3129" t="s">
        <v>45</v>
      </c>
      <c r="F3129" s="1">
        <v>42403</v>
      </c>
      <c r="G3129">
        <v>624940383</v>
      </c>
      <c r="H3129" t="s">
        <v>1712</v>
      </c>
      <c r="I3129">
        <v>2602</v>
      </c>
      <c r="J3129">
        <v>437.2</v>
      </c>
      <c r="K3129">
        <v>263.33</v>
      </c>
      <c r="L3129">
        <v>1137594.3999999999</v>
      </c>
      <c r="M3129">
        <v>685184.66</v>
      </c>
      <c r="N3129">
        <v>452409.74</v>
      </c>
    </row>
    <row r="3130" spans="1:14" x14ac:dyDescent="0.25">
      <c r="A3130" t="s">
        <v>42</v>
      </c>
      <c r="B3130" t="s">
        <v>174</v>
      </c>
      <c r="C3130" t="s">
        <v>88</v>
      </c>
      <c r="D3130" t="s">
        <v>22</v>
      </c>
      <c r="E3130" t="s">
        <v>32</v>
      </c>
      <c r="F3130" s="1">
        <v>40797</v>
      </c>
      <c r="G3130">
        <v>821534287</v>
      </c>
      <c r="H3130" t="s">
        <v>1693</v>
      </c>
      <c r="I3130">
        <v>9107</v>
      </c>
      <c r="J3130">
        <v>9.33</v>
      </c>
      <c r="K3130">
        <v>6.92</v>
      </c>
      <c r="L3130">
        <v>84968.31</v>
      </c>
      <c r="M3130">
        <v>63020.44</v>
      </c>
      <c r="N3130">
        <v>21947.87</v>
      </c>
    </row>
    <row r="3131" spans="1:14" x14ac:dyDescent="0.25">
      <c r="A3131" t="s">
        <v>51</v>
      </c>
      <c r="B3131" t="s">
        <v>258</v>
      </c>
      <c r="C3131" t="s">
        <v>88</v>
      </c>
      <c r="D3131" t="s">
        <v>17</v>
      </c>
      <c r="E3131" t="s">
        <v>18</v>
      </c>
      <c r="F3131" s="1">
        <v>40273</v>
      </c>
      <c r="G3131">
        <v>260469806</v>
      </c>
      <c r="H3131" t="s">
        <v>589</v>
      </c>
      <c r="I3131">
        <v>7659</v>
      </c>
      <c r="J3131">
        <v>9.33</v>
      </c>
      <c r="K3131">
        <v>6.92</v>
      </c>
      <c r="L3131">
        <v>71458.47</v>
      </c>
      <c r="M3131">
        <v>53000.28</v>
      </c>
      <c r="N3131">
        <v>18458.189999999999</v>
      </c>
    </row>
    <row r="3132" spans="1:14" x14ac:dyDescent="0.25">
      <c r="A3132" t="s">
        <v>51</v>
      </c>
      <c r="B3132" t="s">
        <v>182</v>
      </c>
      <c r="C3132" t="s">
        <v>113</v>
      </c>
      <c r="D3132" t="s">
        <v>17</v>
      </c>
      <c r="E3132" t="s">
        <v>45</v>
      </c>
      <c r="F3132" t="s">
        <v>371</v>
      </c>
      <c r="G3132">
        <v>415233266</v>
      </c>
      <c r="H3132" t="s">
        <v>1067</v>
      </c>
      <c r="I3132">
        <v>5606</v>
      </c>
      <c r="J3132">
        <v>154.06</v>
      </c>
      <c r="K3132">
        <v>90.93</v>
      </c>
      <c r="L3132">
        <v>863660.36</v>
      </c>
      <c r="M3132">
        <v>509753.58</v>
      </c>
      <c r="N3132">
        <v>353906.78</v>
      </c>
    </row>
    <row r="3133" spans="1:14" x14ac:dyDescent="0.25">
      <c r="A3133" t="s">
        <v>38</v>
      </c>
      <c r="B3133" t="s">
        <v>92</v>
      </c>
      <c r="C3133" t="s">
        <v>16</v>
      </c>
      <c r="D3133" t="s">
        <v>17</v>
      </c>
      <c r="E3133" t="s">
        <v>18</v>
      </c>
      <c r="F3133" s="1">
        <v>41914</v>
      </c>
      <c r="G3133">
        <v>129623496</v>
      </c>
      <c r="H3133" t="s">
        <v>1713</v>
      </c>
      <c r="I3133">
        <v>7328</v>
      </c>
      <c r="J3133">
        <v>255.28</v>
      </c>
      <c r="K3133">
        <v>159.41999999999999</v>
      </c>
      <c r="L3133">
        <v>1870691.84</v>
      </c>
      <c r="M3133">
        <v>1168229.76</v>
      </c>
      <c r="N3133">
        <v>702462.08</v>
      </c>
    </row>
    <row r="3134" spans="1:14" x14ac:dyDescent="0.25">
      <c r="A3134" t="s">
        <v>25</v>
      </c>
      <c r="B3134" t="s">
        <v>242</v>
      </c>
      <c r="C3134" t="s">
        <v>59</v>
      </c>
      <c r="D3134" t="s">
        <v>17</v>
      </c>
      <c r="E3134" t="s">
        <v>23</v>
      </c>
      <c r="F3134" t="s">
        <v>995</v>
      </c>
      <c r="G3134">
        <v>567751824</v>
      </c>
      <c r="H3134" t="s">
        <v>755</v>
      </c>
      <c r="I3134">
        <v>9236</v>
      </c>
      <c r="J3134">
        <v>437.2</v>
      </c>
      <c r="K3134">
        <v>263.33</v>
      </c>
      <c r="L3134">
        <v>4037979.2</v>
      </c>
      <c r="M3134">
        <v>2432115.88</v>
      </c>
      <c r="N3134">
        <v>1605863.32</v>
      </c>
    </row>
    <row r="3135" spans="1:14" x14ac:dyDescent="0.25">
      <c r="A3135" t="s">
        <v>51</v>
      </c>
      <c r="B3135" t="s">
        <v>301</v>
      </c>
      <c r="C3135" t="s">
        <v>59</v>
      </c>
      <c r="D3135" t="s">
        <v>17</v>
      </c>
      <c r="E3135" t="s">
        <v>32</v>
      </c>
      <c r="F3135" t="s">
        <v>1486</v>
      </c>
      <c r="G3135">
        <v>264042079</v>
      </c>
      <c r="H3135" s="1">
        <v>40913</v>
      </c>
      <c r="I3135">
        <v>4774</v>
      </c>
      <c r="J3135">
        <v>437.2</v>
      </c>
      <c r="K3135">
        <v>263.33</v>
      </c>
      <c r="L3135">
        <v>2087192.8</v>
      </c>
      <c r="M3135">
        <v>1257137.42</v>
      </c>
      <c r="N3135">
        <v>830055.38</v>
      </c>
    </row>
    <row r="3136" spans="1:14" x14ac:dyDescent="0.25">
      <c r="A3136" t="s">
        <v>29</v>
      </c>
      <c r="B3136" t="s">
        <v>199</v>
      </c>
      <c r="C3136" t="s">
        <v>21</v>
      </c>
      <c r="D3136" t="s">
        <v>17</v>
      </c>
      <c r="E3136" t="s">
        <v>45</v>
      </c>
      <c r="F3136" t="s">
        <v>1714</v>
      </c>
      <c r="G3136">
        <v>973230588</v>
      </c>
      <c r="H3136" s="1">
        <v>41857</v>
      </c>
      <c r="I3136">
        <v>9413</v>
      </c>
      <c r="J3136">
        <v>152.58000000000001</v>
      </c>
      <c r="K3136">
        <v>97.44</v>
      </c>
      <c r="L3136">
        <v>1436235.54</v>
      </c>
      <c r="M3136">
        <v>917202.72</v>
      </c>
      <c r="N3136">
        <v>519032.82</v>
      </c>
    </row>
    <row r="3137" spans="1:14" x14ac:dyDescent="0.25">
      <c r="A3137" t="s">
        <v>51</v>
      </c>
      <c r="B3137" t="s">
        <v>301</v>
      </c>
      <c r="C3137" t="s">
        <v>113</v>
      </c>
      <c r="D3137" t="s">
        <v>17</v>
      </c>
      <c r="E3137" t="s">
        <v>23</v>
      </c>
      <c r="F3137" t="s">
        <v>985</v>
      </c>
      <c r="G3137">
        <v>920366179</v>
      </c>
      <c r="H3137" t="s">
        <v>985</v>
      </c>
      <c r="I3137">
        <v>5660</v>
      </c>
      <c r="J3137">
        <v>154.06</v>
      </c>
      <c r="K3137">
        <v>90.93</v>
      </c>
      <c r="L3137">
        <v>871979.6</v>
      </c>
      <c r="M3137">
        <v>514663.8</v>
      </c>
      <c r="N3137">
        <v>357315.8</v>
      </c>
    </row>
    <row r="3138" spans="1:14" x14ac:dyDescent="0.25">
      <c r="A3138" t="s">
        <v>29</v>
      </c>
      <c r="B3138" t="s">
        <v>440</v>
      </c>
      <c r="C3138" t="s">
        <v>113</v>
      </c>
      <c r="D3138" t="s">
        <v>22</v>
      </c>
      <c r="E3138" t="s">
        <v>18</v>
      </c>
      <c r="F3138" t="s">
        <v>304</v>
      </c>
      <c r="G3138">
        <v>650810182</v>
      </c>
      <c r="H3138" t="s">
        <v>1171</v>
      </c>
      <c r="I3138">
        <v>8050</v>
      </c>
      <c r="J3138">
        <v>154.06</v>
      </c>
      <c r="K3138">
        <v>90.93</v>
      </c>
      <c r="L3138">
        <v>1240183</v>
      </c>
      <c r="M3138">
        <v>731986.5</v>
      </c>
      <c r="N3138">
        <v>508196.5</v>
      </c>
    </row>
    <row r="3139" spans="1:14" x14ac:dyDescent="0.25">
      <c r="A3139" t="s">
        <v>51</v>
      </c>
      <c r="B3139" t="s">
        <v>115</v>
      </c>
      <c r="C3139" t="s">
        <v>44</v>
      </c>
      <c r="D3139" t="s">
        <v>22</v>
      </c>
      <c r="E3139" t="s">
        <v>45</v>
      </c>
      <c r="F3139" t="s">
        <v>452</v>
      </c>
      <c r="G3139">
        <v>780236423</v>
      </c>
      <c r="H3139" t="s">
        <v>255</v>
      </c>
      <c r="I3139">
        <v>8151</v>
      </c>
      <c r="J3139">
        <v>109.28</v>
      </c>
      <c r="K3139">
        <v>35.840000000000003</v>
      </c>
      <c r="L3139">
        <v>890741.28</v>
      </c>
      <c r="M3139">
        <v>292131.84000000003</v>
      </c>
      <c r="N3139">
        <v>598609.43999999994</v>
      </c>
    </row>
    <row r="3140" spans="1:14" x14ac:dyDescent="0.25">
      <c r="A3140" t="s">
        <v>51</v>
      </c>
      <c r="B3140" t="s">
        <v>129</v>
      </c>
      <c r="C3140" t="s">
        <v>88</v>
      </c>
      <c r="D3140" t="s">
        <v>22</v>
      </c>
      <c r="E3140" t="s">
        <v>23</v>
      </c>
      <c r="F3140" t="s">
        <v>1662</v>
      </c>
      <c r="G3140">
        <v>644631230</v>
      </c>
      <c r="H3140" s="1">
        <v>42315</v>
      </c>
      <c r="I3140">
        <v>9561</v>
      </c>
      <c r="J3140">
        <v>9.33</v>
      </c>
      <c r="K3140">
        <v>6.92</v>
      </c>
      <c r="L3140">
        <v>89204.13</v>
      </c>
      <c r="M3140">
        <v>66162.12</v>
      </c>
      <c r="N3140">
        <v>23042.01</v>
      </c>
    </row>
    <row r="3141" spans="1:14" x14ac:dyDescent="0.25">
      <c r="A3141" t="s">
        <v>51</v>
      </c>
      <c r="B3141" t="s">
        <v>299</v>
      </c>
      <c r="C3141" t="s">
        <v>69</v>
      </c>
      <c r="D3141" t="s">
        <v>17</v>
      </c>
      <c r="E3141" t="s">
        <v>23</v>
      </c>
      <c r="F3141" s="1">
        <v>42101</v>
      </c>
      <c r="G3141">
        <v>550293433</v>
      </c>
      <c r="H3141" t="s">
        <v>1202</v>
      </c>
      <c r="I3141">
        <v>2910</v>
      </c>
      <c r="J3141">
        <v>421.89</v>
      </c>
      <c r="K3141">
        <v>364.69</v>
      </c>
      <c r="L3141">
        <v>1227699.8999999999</v>
      </c>
      <c r="M3141">
        <v>1061247.8999999999</v>
      </c>
      <c r="N3141">
        <v>166452</v>
      </c>
    </row>
    <row r="3142" spans="1:14" x14ac:dyDescent="0.25">
      <c r="A3142" t="s">
        <v>38</v>
      </c>
      <c r="B3142" t="s">
        <v>346</v>
      </c>
      <c r="C3142" t="s">
        <v>16</v>
      </c>
      <c r="D3142" t="s">
        <v>22</v>
      </c>
      <c r="E3142" t="s">
        <v>45</v>
      </c>
      <c r="F3142" t="s">
        <v>84</v>
      </c>
      <c r="G3142">
        <v>423834359</v>
      </c>
      <c r="H3142" t="s">
        <v>570</v>
      </c>
      <c r="I3142">
        <v>860</v>
      </c>
      <c r="J3142">
        <v>255.28</v>
      </c>
      <c r="K3142">
        <v>159.41999999999999</v>
      </c>
      <c r="L3142">
        <v>219540.8</v>
      </c>
      <c r="M3142">
        <v>137101.20000000001</v>
      </c>
      <c r="N3142">
        <v>82439.600000000006</v>
      </c>
    </row>
    <row r="3143" spans="1:14" x14ac:dyDescent="0.25">
      <c r="A3143" t="s">
        <v>25</v>
      </c>
      <c r="B3143" t="s">
        <v>426</v>
      </c>
      <c r="C3143" t="s">
        <v>88</v>
      </c>
      <c r="D3143" t="s">
        <v>22</v>
      </c>
      <c r="E3143" t="s">
        <v>45</v>
      </c>
      <c r="F3143" s="1">
        <v>41072</v>
      </c>
      <c r="G3143">
        <v>262177836</v>
      </c>
      <c r="H3143" t="s">
        <v>1557</v>
      </c>
      <c r="I3143">
        <v>3103</v>
      </c>
      <c r="J3143">
        <v>9.33</v>
      </c>
      <c r="K3143">
        <v>6.92</v>
      </c>
      <c r="L3143">
        <v>28950.99</v>
      </c>
      <c r="M3143">
        <v>21472.76</v>
      </c>
      <c r="N3143">
        <v>7478.23</v>
      </c>
    </row>
    <row r="3144" spans="1:14" x14ac:dyDescent="0.25">
      <c r="A3144" t="s">
        <v>25</v>
      </c>
      <c r="B3144" t="s">
        <v>556</v>
      </c>
      <c r="C3144" t="s">
        <v>131</v>
      </c>
      <c r="D3144" t="s">
        <v>17</v>
      </c>
      <c r="E3144" t="s">
        <v>32</v>
      </c>
      <c r="F3144" t="s">
        <v>1715</v>
      </c>
      <c r="G3144">
        <v>582560193</v>
      </c>
      <c r="H3144" t="s">
        <v>1458</v>
      </c>
      <c r="I3144">
        <v>1362</v>
      </c>
      <c r="J3144">
        <v>668.27</v>
      </c>
      <c r="K3144">
        <v>502.54</v>
      </c>
      <c r="L3144">
        <v>910183.74</v>
      </c>
      <c r="M3144">
        <v>684459.48</v>
      </c>
      <c r="N3144">
        <v>225724.26</v>
      </c>
    </row>
    <row r="3145" spans="1:14" x14ac:dyDescent="0.25">
      <c r="A3145" t="s">
        <v>14</v>
      </c>
      <c r="B3145" t="s">
        <v>81</v>
      </c>
      <c r="C3145" t="s">
        <v>131</v>
      </c>
      <c r="D3145" t="s">
        <v>17</v>
      </c>
      <c r="E3145" t="s">
        <v>45</v>
      </c>
      <c r="F3145" t="s">
        <v>853</v>
      </c>
      <c r="G3145">
        <v>172530257</v>
      </c>
      <c r="H3145" t="s">
        <v>1413</v>
      </c>
      <c r="I3145">
        <v>4392</v>
      </c>
      <c r="J3145">
        <v>668.27</v>
      </c>
      <c r="K3145">
        <v>502.54</v>
      </c>
      <c r="L3145">
        <v>2935041.84</v>
      </c>
      <c r="M3145">
        <v>2207155.6800000002</v>
      </c>
      <c r="N3145">
        <v>727886.16</v>
      </c>
    </row>
    <row r="3146" spans="1:14" x14ac:dyDescent="0.25">
      <c r="A3146" t="s">
        <v>25</v>
      </c>
      <c r="B3146" t="s">
        <v>339</v>
      </c>
      <c r="C3146" t="s">
        <v>113</v>
      </c>
      <c r="D3146" t="s">
        <v>17</v>
      </c>
      <c r="E3146" t="s">
        <v>45</v>
      </c>
      <c r="F3146" s="1">
        <v>41646</v>
      </c>
      <c r="G3146">
        <v>139949357</v>
      </c>
      <c r="H3146" t="s">
        <v>1115</v>
      </c>
      <c r="I3146">
        <v>2980</v>
      </c>
      <c r="J3146">
        <v>154.06</v>
      </c>
      <c r="K3146">
        <v>90.93</v>
      </c>
      <c r="L3146">
        <v>459098.8</v>
      </c>
      <c r="M3146">
        <v>270971.40000000002</v>
      </c>
      <c r="N3146">
        <v>188127.4</v>
      </c>
    </row>
    <row r="3147" spans="1:14" x14ac:dyDescent="0.25">
      <c r="A3147" t="s">
        <v>51</v>
      </c>
      <c r="B3147" t="s">
        <v>664</v>
      </c>
      <c r="C3147" t="s">
        <v>27</v>
      </c>
      <c r="D3147" t="s">
        <v>22</v>
      </c>
      <c r="E3147" t="s">
        <v>32</v>
      </c>
      <c r="F3147" t="s">
        <v>1586</v>
      </c>
      <c r="G3147">
        <v>762991321</v>
      </c>
      <c r="H3147" t="s">
        <v>762</v>
      </c>
      <c r="I3147">
        <v>4942</v>
      </c>
      <c r="J3147">
        <v>47.45</v>
      </c>
      <c r="K3147">
        <v>31.79</v>
      </c>
      <c r="L3147">
        <v>234497.9</v>
      </c>
      <c r="M3147">
        <v>157106.18</v>
      </c>
      <c r="N3147">
        <v>77391.72</v>
      </c>
    </row>
    <row r="3148" spans="1:14" x14ac:dyDescent="0.25">
      <c r="A3148" t="s">
        <v>42</v>
      </c>
      <c r="B3148" t="s">
        <v>103</v>
      </c>
      <c r="C3148" t="s">
        <v>69</v>
      </c>
      <c r="D3148" t="s">
        <v>22</v>
      </c>
      <c r="E3148" t="s">
        <v>23</v>
      </c>
      <c r="F3148" t="s">
        <v>1446</v>
      </c>
      <c r="G3148">
        <v>140142476</v>
      </c>
      <c r="H3148" s="1">
        <v>42409</v>
      </c>
      <c r="I3148">
        <v>128</v>
      </c>
      <c r="J3148">
        <v>421.89</v>
      </c>
      <c r="K3148">
        <v>364.69</v>
      </c>
      <c r="L3148">
        <v>54001.919999999998</v>
      </c>
      <c r="M3148">
        <v>46680.32</v>
      </c>
      <c r="N3148">
        <v>7321.6</v>
      </c>
    </row>
    <row r="3149" spans="1:14" x14ac:dyDescent="0.25">
      <c r="A3149" t="s">
        <v>14</v>
      </c>
      <c r="B3149" t="s">
        <v>432</v>
      </c>
      <c r="C3149" t="s">
        <v>31</v>
      </c>
      <c r="D3149" t="s">
        <v>22</v>
      </c>
      <c r="E3149" t="s">
        <v>23</v>
      </c>
      <c r="F3149" s="1">
        <v>40767</v>
      </c>
      <c r="G3149">
        <v>940201652</v>
      </c>
      <c r="H3149" s="1">
        <v>40909</v>
      </c>
      <c r="I3149">
        <v>5417</v>
      </c>
      <c r="J3149">
        <v>205.7</v>
      </c>
      <c r="K3149">
        <v>117.11</v>
      </c>
      <c r="L3149">
        <v>1114276.8999999999</v>
      </c>
      <c r="M3149">
        <v>634384.87</v>
      </c>
      <c r="N3149">
        <v>479892.03</v>
      </c>
    </row>
    <row r="3150" spans="1:14" x14ac:dyDescent="0.25">
      <c r="A3150" t="s">
        <v>42</v>
      </c>
      <c r="B3150" t="s">
        <v>565</v>
      </c>
      <c r="C3150" t="s">
        <v>40</v>
      </c>
      <c r="D3150" t="s">
        <v>22</v>
      </c>
      <c r="E3150" t="s">
        <v>18</v>
      </c>
      <c r="F3150" t="s">
        <v>1314</v>
      </c>
      <c r="G3150">
        <v>952280175</v>
      </c>
      <c r="H3150" t="s">
        <v>422</v>
      </c>
      <c r="I3150">
        <v>9720</v>
      </c>
      <c r="J3150">
        <v>81.73</v>
      </c>
      <c r="K3150">
        <v>56.67</v>
      </c>
      <c r="L3150">
        <v>794415.6</v>
      </c>
      <c r="M3150">
        <v>550832.4</v>
      </c>
      <c r="N3150">
        <v>243583.2</v>
      </c>
    </row>
    <row r="3151" spans="1:14" x14ac:dyDescent="0.25">
      <c r="A3151" t="s">
        <v>42</v>
      </c>
      <c r="B3151" t="s">
        <v>146</v>
      </c>
      <c r="C3151" t="s">
        <v>27</v>
      </c>
      <c r="D3151" t="s">
        <v>17</v>
      </c>
      <c r="E3151" t="s">
        <v>18</v>
      </c>
      <c r="F3151" t="s">
        <v>1163</v>
      </c>
      <c r="G3151">
        <v>735801875</v>
      </c>
      <c r="H3151" t="s">
        <v>751</v>
      </c>
      <c r="I3151">
        <v>8981</v>
      </c>
      <c r="J3151">
        <v>47.45</v>
      </c>
      <c r="K3151">
        <v>31.79</v>
      </c>
      <c r="L3151">
        <v>426148.45</v>
      </c>
      <c r="M3151">
        <v>285505.99</v>
      </c>
      <c r="N3151">
        <v>140642.46</v>
      </c>
    </row>
    <row r="3152" spans="1:14" x14ac:dyDescent="0.25">
      <c r="A3152" t="s">
        <v>25</v>
      </c>
      <c r="B3152" t="s">
        <v>374</v>
      </c>
      <c r="C3152" t="s">
        <v>44</v>
      </c>
      <c r="D3152" t="s">
        <v>22</v>
      </c>
      <c r="E3152" t="s">
        <v>45</v>
      </c>
      <c r="F3152" s="1">
        <v>42250</v>
      </c>
      <c r="G3152">
        <v>470503079</v>
      </c>
      <c r="H3152" t="s">
        <v>1016</v>
      </c>
      <c r="I3152">
        <v>1172</v>
      </c>
      <c r="J3152">
        <v>109.28</v>
      </c>
      <c r="K3152">
        <v>35.840000000000003</v>
      </c>
      <c r="L3152">
        <v>128076.16</v>
      </c>
      <c r="M3152">
        <v>42004.480000000003</v>
      </c>
      <c r="N3152">
        <v>86071.679999999993</v>
      </c>
    </row>
    <row r="3153" spans="1:14" x14ac:dyDescent="0.25">
      <c r="A3153" t="s">
        <v>29</v>
      </c>
      <c r="B3153" t="s">
        <v>159</v>
      </c>
      <c r="C3153" t="s">
        <v>27</v>
      </c>
      <c r="D3153" t="s">
        <v>17</v>
      </c>
      <c r="E3153" t="s">
        <v>45</v>
      </c>
      <c r="F3153" t="s">
        <v>1479</v>
      </c>
      <c r="G3153">
        <v>406432616</v>
      </c>
      <c r="H3153" t="s">
        <v>1555</v>
      </c>
      <c r="I3153">
        <v>1298</v>
      </c>
      <c r="J3153">
        <v>47.45</v>
      </c>
      <c r="K3153">
        <v>31.79</v>
      </c>
      <c r="L3153">
        <v>61590.1</v>
      </c>
      <c r="M3153">
        <v>41263.42</v>
      </c>
      <c r="N3153">
        <v>20326.68</v>
      </c>
    </row>
    <row r="3154" spans="1:14" x14ac:dyDescent="0.25">
      <c r="A3154" t="s">
        <v>25</v>
      </c>
      <c r="B3154" t="s">
        <v>72</v>
      </c>
      <c r="C3154" t="s">
        <v>27</v>
      </c>
      <c r="D3154" t="s">
        <v>22</v>
      </c>
      <c r="E3154" t="s">
        <v>23</v>
      </c>
      <c r="F3154" s="1">
        <v>42282</v>
      </c>
      <c r="G3154">
        <v>413951814</v>
      </c>
      <c r="H3154" t="s">
        <v>1662</v>
      </c>
      <c r="I3154">
        <v>6395</v>
      </c>
      <c r="J3154">
        <v>47.45</v>
      </c>
      <c r="K3154">
        <v>31.79</v>
      </c>
      <c r="L3154">
        <v>303442.75</v>
      </c>
      <c r="M3154">
        <v>203297.05</v>
      </c>
      <c r="N3154">
        <v>100145.7</v>
      </c>
    </row>
    <row r="3155" spans="1:14" x14ac:dyDescent="0.25">
      <c r="A3155" t="s">
        <v>25</v>
      </c>
      <c r="B3155" t="s">
        <v>497</v>
      </c>
      <c r="C3155" t="s">
        <v>55</v>
      </c>
      <c r="D3155" t="s">
        <v>22</v>
      </c>
      <c r="E3155" t="s">
        <v>32</v>
      </c>
      <c r="F3155" t="s">
        <v>1122</v>
      </c>
      <c r="G3155">
        <v>433734500</v>
      </c>
      <c r="H3155" s="1">
        <v>40399</v>
      </c>
      <c r="I3155">
        <v>532</v>
      </c>
      <c r="J3155">
        <v>651.21</v>
      </c>
      <c r="K3155">
        <v>524.96</v>
      </c>
      <c r="L3155">
        <v>346443.72</v>
      </c>
      <c r="M3155">
        <v>279278.71999999997</v>
      </c>
      <c r="N3155">
        <v>67165</v>
      </c>
    </row>
    <row r="3156" spans="1:14" x14ac:dyDescent="0.25">
      <c r="A3156" t="s">
        <v>77</v>
      </c>
      <c r="B3156" t="s">
        <v>78</v>
      </c>
      <c r="C3156" t="s">
        <v>44</v>
      </c>
      <c r="D3156" t="s">
        <v>22</v>
      </c>
      <c r="E3156" t="s">
        <v>45</v>
      </c>
      <c r="F3156" t="s">
        <v>724</v>
      </c>
      <c r="G3156">
        <v>926767003</v>
      </c>
      <c r="H3156" t="s">
        <v>989</v>
      </c>
      <c r="I3156">
        <v>9806</v>
      </c>
      <c r="J3156">
        <v>109.28</v>
      </c>
      <c r="K3156">
        <v>35.840000000000003</v>
      </c>
      <c r="L3156">
        <v>1071599.68</v>
      </c>
      <c r="M3156">
        <v>351447.03999999998</v>
      </c>
      <c r="N3156">
        <v>720152.64</v>
      </c>
    </row>
    <row r="3157" spans="1:14" x14ac:dyDescent="0.25">
      <c r="A3157" t="s">
        <v>25</v>
      </c>
      <c r="B3157" t="s">
        <v>196</v>
      </c>
      <c r="C3157" t="s">
        <v>55</v>
      </c>
      <c r="D3157" t="s">
        <v>17</v>
      </c>
      <c r="E3157" t="s">
        <v>23</v>
      </c>
      <c r="F3157" t="s">
        <v>520</v>
      </c>
      <c r="G3157">
        <v>624348151</v>
      </c>
      <c r="H3157" s="1">
        <v>41133</v>
      </c>
      <c r="I3157">
        <v>7347</v>
      </c>
      <c r="J3157">
        <v>651.21</v>
      </c>
      <c r="K3157">
        <v>524.96</v>
      </c>
      <c r="L3157">
        <v>4784439.87</v>
      </c>
      <c r="M3157">
        <v>3856881.12</v>
      </c>
      <c r="N3157">
        <v>927558.75</v>
      </c>
    </row>
    <row r="3158" spans="1:14" x14ac:dyDescent="0.25">
      <c r="A3158" t="s">
        <v>51</v>
      </c>
      <c r="B3158" t="s">
        <v>164</v>
      </c>
      <c r="C3158" t="s">
        <v>131</v>
      </c>
      <c r="D3158" t="s">
        <v>17</v>
      </c>
      <c r="E3158" t="s">
        <v>23</v>
      </c>
      <c r="F3158" s="1">
        <v>40334</v>
      </c>
      <c r="G3158">
        <v>578089272</v>
      </c>
      <c r="H3158" t="s">
        <v>727</v>
      </c>
      <c r="I3158">
        <v>8317</v>
      </c>
      <c r="J3158">
        <v>668.27</v>
      </c>
      <c r="K3158">
        <v>502.54</v>
      </c>
      <c r="L3158">
        <v>5558001.5899999999</v>
      </c>
      <c r="M3158">
        <v>4179625.18</v>
      </c>
      <c r="N3158">
        <v>1378376.41</v>
      </c>
    </row>
    <row r="3159" spans="1:14" x14ac:dyDescent="0.25">
      <c r="A3159" t="s">
        <v>25</v>
      </c>
      <c r="B3159" t="s">
        <v>218</v>
      </c>
      <c r="C3159" t="s">
        <v>44</v>
      </c>
      <c r="D3159" t="s">
        <v>22</v>
      </c>
      <c r="E3159" t="s">
        <v>18</v>
      </c>
      <c r="F3159" s="1">
        <v>41246</v>
      </c>
      <c r="G3159">
        <v>109914195</v>
      </c>
      <c r="H3159" t="s">
        <v>1559</v>
      </c>
      <c r="I3159">
        <v>4908</v>
      </c>
      <c r="J3159">
        <v>109.28</v>
      </c>
      <c r="K3159">
        <v>35.840000000000003</v>
      </c>
      <c r="L3159">
        <v>536346.24</v>
      </c>
      <c r="M3159">
        <v>175902.72</v>
      </c>
      <c r="N3159">
        <v>360443.52</v>
      </c>
    </row>
    <row r="3160" spans="1:14" x14ac:dyDescent="0.25">
      <c r="A3160" t="s">
        <v>38</v>
      </c>
      <c r="B3160" t="s">
        <v>58</v>
      </c>
      <c r="C3160" t="s">
        <v>44</v>
      </c>
      <c r="D3160" t="s">
        <v>17</v>
      </c>
      <c r="E3160" t="s">
        <v>45</v>
      </c>
      <c r="F3160" t="s">
        <v>979</v>
      </c>
      <c r="G3160">
        <v>862059247</v>
      </c>
      <c r="H3160" t="s">
        <v>1485</v>
      </c>
      <c r="I3160">
        <v>1343</v>
      </c>
      <c r="J3160">
        <v>109.28</v>
      </c>
      <c r="K3160">
        <v>35.840000000000003</v>
      </c>
      <c r="L3160">
        <v>146763.04</v>
      </c>
      <c r="M3160">
        <v>48133.120000000003</v>
      </c>
      <c r="N3160">
        <v>98629.92</v>
      </c>
    </row>
    <row r="3161" spans="1:14" x14ac:dyDescent="0.25">
      <c r="A3161" t="s">
        <v>25</v>
      </c>
      <c r="B3161" t="s">
        <v>785</v>
      </c>
      <c r="C3161" t="s">
        <v>21</v>
      </c>
      <c r="D3161" t="s">
        <v>17</v>
      </c>
      <c r="E3161" t="s">
        <v>23</v>
      </c>
      <c r="F3161" t="s">
        <v>1664</v>
      </c>
      <c r="G3161">
        <v>947073256</v>
      </c>
      <c r="H3161" s="1">
        <v>40518</v>
      </c>
      <c r="I3161">
        <v>8878</v>
      </c>
      <c r="J3161">
        <v>152.58000000000001</v>
      </c>
      <c r="K3161">
        <v>97.44</v>
      </c>
      <c r="L3161">
        <v>1354605.24</v>
      </c>
      <c r="M3161">
        <v>865072.32</v>
      </c>
      <c r="N3161">
        <v>489532.92</v>
      </c>
    </row>
    <row r="3162" spans="1:14" x14ac:dyDescent="0.25">
      <c r="A3162" t="s">
        <v>42</v>
      </c>
      <c r="B3162" t="s">
        <v>90</v>
      </c>
      <c r="C3162" t="s">
        <v>27</v>
      </c>
      <c r="D3162" t="s">
        <v>22</v>
      </c>
      <c r="E3162" t="s">
        <v>18</v>
      </c>
      <c r="F3162" t="s">
        <v>232</v>
      </c>
      <c r="G3162">
        <v>797817552</v>
      </c>
      <c r="H3162" t="s">
        <v>385</v>
      </c>
      <c r="I3162">
        <v>798</v>
      </c>
      <c r="J3162">
        <v>47.45</v>
      </c>
      <c r="K3162">
        <v>31.79</v>
      </c>
      <c r="L3162">
        <v>37865.1</v>
      </c>
      <c r="M3162">
        <v>25368.42</v>
      </c>
      <c r="N3162">
        <v>12496.68</v>
      </c>
    </row>
    <row r="3163" spans="1:14" x14ac:dyDescent="0.25">
      <c r="A3163" t="s">
        <v>14</v>
      </c>
      <c r="B3163" t="s">
        <v>20</v>
      </c>
      <c r="C3163" t="s">
        <v>31</v>
      </c>
      <c r="D3163" t="s">
        <v>22</v>
      </c>
      <c r="E3163" t="s">
        <v>23</v>
      </c>
      <c r="F3163" t="s">
        <v>1088</v>
      </c>
      <c r="G3163">
        <v>917465960</v>
      </c>
      <c r="H3163" t="s">
        <v>768</v>
      </c>
      <c r="I3163">
        <v>7421</v>
      </c>
      <c r="J3163">
        <v>205.7</v>
      </c>
      <c r="K3163">
        <v>117.11</v>
      </c>
      <c r="L3163">
        <v>1526499.7</v>
      </c>
      <c r="M3163">
        <v>869073.31</v>
      </c>
      <c r="N3163">
        <v>657426.39</v>
      </c>
    </row>
    <row r="3164" spans="1:14" x14ac:dyDescent="0.25">
      <c r="A3164" t="s">
        <v>51</v>
      </c>
      <c r="B3164" t="s">
        <v>151</v>
      </c>
      <c r="C3164" t="s">
        <v>27</v>
      </c>
      <c r="D3164" t="s">
        <v>22</v>
      </c>
      <c r="E3164" t="s">
        <v>23</v>
      </c>
      <c r="F3164" t="s">
        <v>1079</v>
      </c>
      <c r="G3164">
        <v>529504811</v>
      </c>
      <c r="H3164" t="s">
        <v>1507</v>
      </c>
      <c r="I3164">
        <v>1095</v>
      </c>
      <c r="J3164">
        <v>47.45</v>
      </c>
      <c r="K3164">
        <v>31.79</v>
      </c>
      <c r="L3164">
        <v>51957.75</v>
      </c>
      <c r="M3164">
        <v>34810.050000000003</v>
      </c>
      <c r="N3164">
        <v>17147.7</v>
      </c>
    </row>
    <row r="3165" spans="1:14" x14ac:dyDescent="0.25">
      <c r="A3165" t="s">
        <v>42</v>
      </c>
      <c r="B3165" t="s">
        <v>174</v>
      </c>
      <c r="C3165" t="s">
        <v>113</v>
      </c>
      <c r="D3165" t="s">
        <v>22</v>
      </c>
      <c r="E3165" t="s">
        <v>32</v>
      </c>
      <c r="F3165" t="s">
        <v>517</v>
      </c>
      <c r="G3165">
        <v>727732932</v>
      </c>
      <c r="H3165" t="s">
        <v>1691</v>
      </c>
      <c r="I3165">
        <v>1201</v>
      </c>
      <c r="J3165">
        <v>154.06</v>
      </c>
      <c r="K3165">
        <v>90.93</v>
      </c>
      <c r="L3165">
        <v>185026.06</v>
      </c>
      <c r="M3165">
        <v>109206.93</v>
      </c>
      <c r="N3165">
        <v>75819.13</v>
      </c>
    </row>
    <row r="3166" spans="1:14" x14ac:dyDescent="0.25">
      <c r="A3166" t="s">
        <v>38</v>
      </c>
      <c r="B3166" t="s">
        <v>85</v>
      </c>
      <c r="C3166" t="s">
        <v>16</v>
      </c>
      <c r="D3166" t="s">
        <v>22</v>
      </c>
      <c r="E3166" t="s">
        <v>45</v>
      </c>
      <c r="F3166" s="1">
        <v>42585</v>
      </c>
      <c r="G3166">
        <v>426261651</v>
      </c>
      <c r="H3166" t="s">
        <v>1449</v>
      </c>
      <c r="I3166">
        <v>9150</v>
      </c>
      <c r="J3166">
        <v>255.28</v>
      </c>
      <c r="K3166">
        <v>159.41999999999999</v>
      </c>
      <c r="L3166">
        <v>2335812</v>
      </c>
      <c r="M3166">
        <v>1458693</v>
      </c>
      <c r="N3166">
        <v>877119</v>
      </c>
    </row>
    <row r="3167" spans="1:14" x14ac:dyDescent="0.25">
      <c r="A3167" t="s">
        <v>25</v>
      </c>
      <c r="B3167" t="s">
        <v>47</v>
      </c>
      <c r="C3167" t="s">
        <v>40</v>
      </c>
      <c r="D3167" t="s">
        <v>17</v>
      </c>
      <c r="E3167" t="s">
        <v>32</v>
      </c>
      <c r="F3167" t="s">
        <v>1516</v>
      </c>
      <c r="G3167">
        <v>409514796</v>
      </c>
      <c r="H3167" s="1">
        <v>41829</v>
      </c>
      <c r="I3167">
        <v>3383</v>
      </c>
      <c r="J3167">
        <v>81.73</v>
      </c>
      <c r="K3167">
        <v>56.67</v>
      </c>
      <c r="L3167">
        <v>276492.59000000003</v>
      </c>
      <c r="M3167">
        <v>191714.61</v>
      </c>
      <c r="N3167">
        <v>84777.98</v>
      </c>
    </row>
    <row r="3168" spans="1:14" x14ac:dyDescent="0.25">
      <c r="A3168" t="s">
        <v>25</v>
      </c>
      <c r="B3168" t="s">
        <v>201</v>
      </c>
      <c r="C3168" t="s">
        <v>55</v>
      </c>
      <c r="D3168" t="s">
        <v>17</v>
      </c>
      <c r="E3168" t="s">
        <v>32</v>
      </c>
      <c r="F3168" t="s">
        <v>1664</v>
      </c>
      <c r="G3168">
        <v>182228696</v>
      </c>
      <c r="H3168" s="1">
        <v>40519</v>
      </c>
      <c r="I3168">
        <v>4375</v>
      </c>
      <c r="J3168">
        <v>651.21</v>
      </c>
      <c r="K3168">
        <v>524.96</v>
      </c>
      <c r="L3168">
        <v>2849043.75</v>
      </c>
      <c r="M3168">
        <v>2296700</v>
      </c>
      <c r="N3168">
        <v>552343.75</v>
      </c>
    </row>
    <row r="3169" spans="1:14" x14ac:dyDescent="0.25">
      <c r="A3169" t="s">
        <v>51</v>
      </c>
      <c r="B3169" t="s">
        <v>367</v>
      </c>
      <c r="C3169" t="s">
        <v>88</v>
      </c>
      <c r="D3169" t="s">
        <v>22</v>
      </c>
      <c r="E3169" t="s">
        <v>23</v>
      </c>
      <c r="F3169" t="s">
        <v>1402</v>
      </c>
      <c r="G3169">
        <v>219452178</v>
      </c>
      <c r="H3169" s="1">
        <v>40606</v>
      </c>
      <c r="I3169">
        <v>9631</v>
      </c>
      <c r="J3169">
        <v>9.33</v>
      </c>
      <c r="K3169">
        <v>6.92</v>
      </c>
      <c r="L3169">
        <v>89857.23</v>
      </c>
      <c r="M3169">
        <v>66646.52</v>
      </c>
      <c r="N3169">
        <v>23210.71</v>
      </c>
    </row>
    <row r="3170" spans="1:14" x14ac:dyDescent="0.25">
      <c r="A3170" t="s">
        <v>51</v>
      </c>
      <c r="B3170" t="s">
        <v>182</v>
      </c>
      <c r="C3170" t="s">
        <v>31</v>
      </c>
      <c r="D3170" t="s">
        <v>22</v>
      </c>
      <c r="E3170" t="s">
        <v>18</v>
      </c>
      <c r="F3170" t="s">
        <v>1579</v>
      </c>
      <c r="G3170">
        <v>616546571</v>
      </c>
      <c r="H3170" s="1">
        <v>40245</v>
      </c>
      <c r="I3170">
        <v>8686</v>
      </c>
      <c r="J3170">
        <v>205.7</v>
      </c>
      <c r="K3170">
        <v>117.11</v>
      </c>
      <c r="L3170">
        <v>1786710.2</v>
      </c>
      <c r="M3170">
        <v>1017217.46</v>
      </c>
      <c r="N3170">
        <v>769492.74</v>
      </c>
    </row>
    <row r="3171" spans="1:14" x14ac:dyDescent="0.25">
      <c r="A3171" t="s">
        <v>51</v>
      </c>
      <c r="B3171" t="s">
        <v>638</v>
      </c>
      <c r="C3171" t="s">
        <v>40</v>
      </c>
      <c r="D3171" t="s">
        <v>22</v>
      </c>
      <c r="E3171" t="s">
        <v>45</v>
      </c>
      <c r="F3171" s="1">
        <v>41559</v>
      </c>
      <c r="G3171">
        <v>639185702</v>
      </c>
      <c r="H3171" t="s">
        <v>511</v>
      </c>
      <c r="I3171">
        <v>8108</v>
      </c>
      <c r="J3171">
        <v>81.73</v>
      </c>
      <c r="K3171">
        <v>56.67</v>
      </c>
      <c r="L3171">
        <v>662666.84</v>
      </c>
      <c r="M3171">
        <v>459480.36</v>
      </c>
      <c r="N3171">
        <v>203186.48</v>
      </c>
    </row>
    <row r="3172" spans="1:14" x14ac:dyDescent="0.25">
      <c r="A3172" t="s">
        <v>51</v>
      </c>
      <c r="B3172" t="s">
        <v>414</v>
      </c>
      <c r="C3172" t="s">
        <v>40</v>
      </c>
      <c r="D3172" t="s">
        <v>17</v>
      </c>
      <c r="E3172" t="s">
        <v>18</v>
      </c>
      <c r="F3172" s="1">
        <v>41370</v>
      </c>
      <c r="G3172">
        <v>973355901</v>
      </c>
      <c r="H3172" t="s">
        <v>1716</v>
      </c>
      <c r="I3172">
        <v>6496</v>
      </c>
      <c r="J3172">
        <v>81.73</v>
      </c>
      <c r="K3172">
        <v>56.67</v>
      </c>
      <c r="L3172">
        <v>530918.07999999996</v>
      </c>
      <c r="M3172">
        <v>368128.32</v>
      </c>
      <c r="N3172">
        <v>162789.76000000001</v>
      </c>
    </row>
    <row r="3173" spans="1:14" x14ac:dyDescent="0.25">
      <c r="A3173" t="s">
        <v>38</v>
      </c>
      <c r="B3173" t="s">
        <v>83</v>
      </c>
      <c r="C3173" t="s">
        <v>40</v>
      </c>
      <c r="D3173" t="s">
        <v>17</v>
      </c>
      <c r="E3173" t="s">
        <v>23</v>
      </c>
      <c r="F3173" s="1">
        <v>41488</v>
      </c>
      <c r="G3173">
        <v>575355994</v>
      </c>
      <c r="H3173" s="1">
        <v>41428</v>
      </c>
      <c r="I3173">
        <v>9479</v>
      </c>
      <c r="J3173">
        <v>81.73</v>
      </c>
      <c r="K3173">
        <v>56.67</v>
      </c>
      <c r="L3173">
        <v>774718.67</v>
      </c>
      <c r="M3173">
        <v>537174.93000000005</v>
      </c>
      <c r="N3173">
        <v>237543.74</v>
      </c>
    </row>
    <row r="3174" spans="1:14" x14ac:dyDescent="0.25">
      <c r="A3174" t="s">
        <v>29</v>
      </c>
      <c r="B3174" t="s">
        <v>494</v>
      </c>
      <c r="C3174" t="s">
        <v>55</v>
      </c>
      <c r="D3174" t="s">
        <v>17</v>
      </c>
      <c r="E3174" t="s">
        <v>45</v>
      </c>
      <c r="F3174" s="1">
        <v>40218</v>
      </c>
      <c r="G3174">
        <v>721797311</v>
      </c>
      <c r="H3174" t="s">
        <v>862</v>
      </c>
      <c r="I3174">
        <v>4719</v>
      </c>
      <c r="J3174">
        <v>651.21</v>
      </c>
      <c r="K3174">
        <v>524.96</v>
      </c>
      <c r="L3174">
        <v>3073059.99</v>
      </c>
      <c r="M3174">
        <v>2477286.2400000002</v>
      </c>
      <c r="N3174">
        <v>595773.75</v>
      </c>
    </row>
    <row r="3175" spans="1:14" x14ac:dyDescent="0.25">
      <c r="A3175" t="s">
        <v>51</v>
      </c>
      <c r="B3175" t="s">
        <v>260</v>
      </c>
      <c r="C3175" t="s">
        <v>59</v>
      </c>
      <c r="D3175" t="s">
        <v>22</v>
      </c>
      <c r="E3175" t="s">
        <v>45</v>
      </c>
      <c r="F3175" t="s">
        <v>910</v>
      </c>
      <c r="G3175">
        <v>959603679</v>
      </c>
      <c r="H3175" s="1">
        <v>42464</v>
      </c>
      <c r="I3175">
        <v>6908</v>
      </c>
      <c r="J3175">
        <v>437.2</v>
      </c>
      <c r="K3175">
        <v>263.33</v>
      </c>
      <c r="L3175">
        <v>3020177.6</v>
      </c>
      <c r="M3175">
        <v>1819083.64</v>
      </c>
      <c r="N3175">
        <v>1201093.96</v>
      </c>
    </row>
    <row r="3176" spans="1:14" x14ac:dyDescent="0.25">
      <c r="A3176" t="s">
        <v>29</v>
      </c>
      <c r="B3176" t="s">
        <v>124</v>
      </c>
      <c r="C3176" t="s">
        <v>40</v>
      </c>
      <c r="D3176" t="s">
        <v>17</v>
      </c>
      <c r="E3176" t="s">
        <v>45</v>
      </c>
      <c r="F3176" t="s">
        <v>1659</v>
      </c>
      <c r="G3176">
        <v>456011426</v>
      </c>
      <c r="H3176" t="s">
        <v>659</v>
      </c>
      <c r="I3176">
        <v>2769</v>
      </c>
      <c r="J3176">
        <v>81.73</v>
      </c>
      <c r="K3176">
        <v>56.67</v>
      </c>
      <c r="L3176">
        <v>226310.37</v>
      </c>
      <c r="M3176">
        <v>156919.23000000001</v>
      </c>
      <c r="N3176">
        <v>69391.14</v>
      </c>
    </row>
    <row r="3177" spans="1:14" x14ac:dyDescent="0.25">
      <c r="A3177" t="s">
        <v>14</v>
      </c>
      <c r="B3177" t="s">
        <v>372</v>
      </c>
      <c r="C3177" t="s">
        <v>44</v>
      </c>
      <c r="D3177" t="s">
        <v>17</v>
      </c>
      <c r="E3177" t="s">
        <v>18</v>
      </c>
      <c r="F3177" s="1">
        <v>42985</v>
      </c>
      <c r="G3177">
        <v>248569381</v>
      </c>
      <c r="H3177" s="1">
        <v>42743</v>
      </c>
      <c r="I3177">
        <v>6058</v>
      </c>
      <c r="J3177">
        <v>109.28</v>
      </c>
      <c r="K3177">
        <v>35.840000000000003</v>
      </c>
      <c r="L3177">
        <v>662018.24</v>
      </c>
      <c r="M3177">
        <v>217118.72</v>
      </c>
      <c r="N3177">
        <v>444899.52</v>
      </c>
    </row>
    <row r="3178" spans="1:14" x14ac:dyDescent="0.25">
      <c r="A3178" t="s">
        <v>51</v>
      </c>
      <c r="B3178" t="s">
        <v>525</v>
      </c>
      <c r="C3178" t="s">
        <v>59</v>
      </c>
      <c r="D3178" t="s">
        <v>22</v>
      </c>
      <c r="E3178" t="s">
        <v>18</v>
      </c>
      <c r="F3178" t="s">
        <v>71</v>
      </c>
      <c r="G3178">
        <v>995138871</v>
      </c>
      <c r="H3178" s="1">
        <v>42493</v>
      </c>
      <c r="I3178">
        <v>2561</v>
      </c>
      <c r="J3178">
        <v>437.2</v>
      </c>
      <c r="K3178">
        <v>263.33</v>
      </c>
      <c r="L3178">
        <v>1119669.2</v>
      </c>
      <c r="M3178">
        <v>674388.13</v>
      </c>
      <c r="N3178">
        <v>445281.07</v>
      </c>
    </row>
    <row r="3179" spans="1:14" x14ac:dyDescent="0.25">
      <c r="A3179" t="s">
        <v>25</v>
      </c>
      <c r="B3179" t="s">
        <v>47</v>
      </c>
      <c r="C3179" t="s">
        <v>131</v>
      </c>
      <c r="D3179" t="s">
        <v>17</v>
      </c>
      <c r="E3179" t="s">
        <v>23</v>
      </c>
      <c r="F3179" t="s">
        <v>1123</v>
      </c>
      <c r="G3179">
        <v>723893725</v>
      </c>
      <c r="H3179" s="1">
        <v>41581</v>
      </c>
      <c r="I3179">
        <v>5095</v>
      </c>
      <c r="J3179">
        <v>668.27</v>
      </c>
      <c r="K3179">
        <v>502.54</v>
      </c>
      <c r="L3179">
        <v>3404835.65</v>
      </c>
      <c r="M3179">
        <v>2560441.2999999998</v>
      </c>
      <c r="N3179">
        <v>844394.35</v>
      </c>
    </row>
    <row r="3180" spans="1:14" x14ac:dyDescent="0.25">
      <c r="A3180" t="s">
        <v>51</v>
      </c>
      <c r="B3180" t="s">
        <v>420</v>
      </c>
      <c r="C3180" t="s">
        <v>131</v>
      </c>
      <c r="D3180" t="s">
        <v>17</v>
      </c>
      <c r="E3180" t="s">
        <v>23</v>
      </c>
      <c r="F3180" t="s">
        <v>1522</v>
      </c>
      <c r="G3180">
        <v>683320271</v>
      </c>
      <c r="H3180" t="s">
        <v>1667</v>
      </c>
      <c r="I3180">
        <v>8508</v>
      </c>
      <c r="J3180">
        <v>668.27</v>
      </c>
      <c r="K3180">
        <v>502.54</v>
      </c>
      <c r="L3180">
        <v>5685641.1600000001</v>
      </c>
      <c r="M3180">
        <v>4275610.32</v>
      </c>
      <c r="N3180">
        <v>1410030.84</v>
      </c>
    </row>
    <row r="3181" spans="1:14" x14ac:dyDescent="0.25">
      <c r="A3181" t="s">
        <v>25</v>
      </c>
      <c r="B3181" t="s">
        <v>266</v>
      </c>
      <c r="C3181" t="s">
        <v>21</v>
      </c>
      <c r="D3181" t="s">
        <v>22</v>
      </c>
      <c r="E3181" t="s">
        <v>32</v>
      </c>
      <c r="F3181" s="1">
        <v>42707</v>
      </c>
      <c r="G3181">
        <v>392217338</v>
      </c>
      <c r="H3181" t="s">
        <v>279</v>
      </c>
      <c r="I3181">
        <v>4681</v>
      </c>
      <c r="J3181">
        <v>152.58000000000001</v>
      </c>
      <c r="K3181">
        <v>97.44</v>
      </c>
      <c r="L3181">
        <v>714226.98</v>
      </c>
      <c r="M3181">
        <v>456116.64</v>
      </c>
      <c r="N3181">
        <v>258110.34</v>
      </c>
    </row>
    <row r="3182" spans="1:14" x14ac:dyDescent="0.25">
      <c r="A3182" t="s">
        <v>29</v>
      </c>
      <c r="B3182" t="s">
        <v>159</v>
      </c>
      <c r="C3182" t="s">
        <v>40</v>
      </c>
      <c r="D3182" t="s">
        <v>22</v>
      </c>
      <c r="E3182" t="s">
        <v>45</v>
      </c>
      <c r="F3182" s="1">
        <v>40309</v>
      </c>
      <c r="G3182">
        <v>789696252</v>
      </c>
      <c r="H3182" t="s">
        <v>1615</v>
      </c>
      <c r="I3182">
        <v>7525</v>
      </c>
      <c r="J3182">
        <v>81.73</v>
      </c>
      <c r="K3182">
        <v>56.67</v>
      </c>
      <c r="L3182">
        <v>615018.25</v>
      </c>
      <c r="M3182">
        <v>426441.75</v>
      </c>
      <c r="N3182">
        <v>188576.5</v>
      </c>
    </row>
    <row r="3183" spans="1:14" x14ac:dyDescent="0.25">
      <c r="A3183" t="s">
        <v>42</v>
      </c>
      <c r="B3183" t="s">
        <v>290</v>
      </c>
      <c r="C3183" t="s">
        <v>88</v>
      </c>
      <c r="D3183" t="s">
        <v>22</v>
      </c>
      <c r="E3183" t="s">
        <v>18</v>
      </c>
      <c r="F3183" s="1">
        <v>40609</v>
      </c>
      <c r="G3183">
        <v>185180842</v>
      </c>
      <c r="H3183" s="1">
        <v>40640</v>
      </c>
      <c r="I3183">
        <v>7981</v>
      </c>
      <c r="J3183">
        <v>9.33</v>
      </c>
      <c r="K3183">
        <v>6.92</v>
      </c>
      <c r="L3183">
        <v>74462.73</v>
      </c>
      <c r="M3183">
        <v>55228.52</v>
      </c>
      <c r="N3183">
        <v>19234.21</v>
      </c>
    </row>
    <row r="3184" spans="1:14" x14ac:dyDescent="0.25">
      <c r="A3184" t="s">
        <v>25</v>
      </c>
      <c r="B3184" t="s">
        <v>752</v>
      </c>
      <c r="C3184" t="s">
        <v>16</v>
      </c>
      <c r="D3184" t="s">
        <v>22</v>
      </c>
      <c r="E3184" t="s">
        <v>23</v>
      </c>
      <c r="F3184" t="s">
        <v>820</v>
      </c>
      <c r="G3184">
        <v>108407437</v>
      </c>
      <c r="H3184" t="s">
        <v>683</v>
      </c>
      <c r="I3184">
        <v>9025</v>
      </c>
      <c r="J3184">
        <v>255.28</v>
      </c>
      <c r="K3184">
        <v>159.41999999999999</v>
      </c>
      <c r="L3184">
        <v>2303902</v>
      </c>
      <c r="M3184">
        <v>1438765.5</v>
      </c>
      <c r="N3184">
        <v>865136.5</v>
      </c>
    </row>
    <row r="3185" spans="1:14" x14ac:dyDescent="0.25">
      <c r="A3185" t="s">
        <v>29</v>
      </c>
      <c r="B3185" t="s">
        <v>585</v>
      </c>
      <c r="C3185" t="s">
        <v>59</v>
      </c>
      <c r="D3185" t="s">
        <v>22</v>
      </c>
      <c r="E3185" t="s">
        <v>32</v>
      </c>
      <c r="F3185" t="s">
        <v>1006</v>
      </c>
      <c r="G3185">
        <v>359424865</v>
      </c>
      <c r="H3185" t="s">
        <v>621</v>
      </c>
      <c r="I3185">
        <v>660</v>
      </c>
      <c r="J3185">
        <v>437.2</v>
      </c>
      <c r="K3185">
        <v>263.33</v>
      </c>
      <c r="L3185">
        <v>288552</v>
      </c>
      <c r="M3185">
        <v>173797.8</v>
      </c>
      <c r="N3185">
        <v>114754.2</v>
      </c>
    </row>
    <row r="3186" spans="1:14" x14ac:dyDescent="0.25">
      <c r="A3186" t="s">
        <v>25</v>
      </c>
      <c r="B3186" t="s">
        <v>533</v>
      </c>
      <c r="C3186" t="s">
        <v>21</v>
      </c>
      <c r="D3186" t="s">
        <v>22</v>
      </c>
      <c r="E3186" t="s">
        <v>32</v>
      </c>
      <c r="F3186" t="s">
        <v>471</v>
      </c>
      <c r="G3186">
        <v>358594453</v>
      </c>
      <c r="H3186" s="1">
        <v>42768</v>
      </c>
      <c r="I3186">
        <v>4922</v>
      </c>
      <c r="J3186">
        <v>152.58000000000001</v>
      </c>
      <c r="K3186">
        <v>97.44</v>
      </c>
      <c r="L3186">
        <v>750998.76</v>
      </c>
      <c r="M3186">
        <v>479599.68</v>
      </c>
      <c r="N3186">
        <v>271399.08</v>
      </c>
    </row>
    <row r="3187" spans="1:14" x14ac:dyDescent="0.25">
      <c r="A3187" t="s">
        <v>38</v>
      </c>
      <c r="B3187" t="s">
        <v>288</v>
      </c>
      <c r="C3187" t="s">
        <v>31</v>
      </c>
      <c r="D3187" t="s">
        <v>17</v>
      </c>
      <c r="E3187" t="s">
        <v>32</v>
      </c>
      <c r="F3187" t="s">
        <v>247</v>
      </c>
      <c r="G3187">
        <v>496590030</v>
      </c>
      <c r="H3187" t="s">
        <v>1717</v>
      </c>
      <c r="I3187">
        <v>880</v>
      </c>
      <c r="J3187">
        <v>205.7</v>
      </c>
      <c r="K3187">
        <v>117.11</v>
      </c>
      <c r="L3187">
        <v>181016</v>
      </c>
      <c r="M3187">
        <v>103056.8</v>
      </c>
      <c r="N3187">
        <v>77959.199999999997</v>
      </c>
    </row>
    <row r="3188" spans="1:14" x14ac:dyDescent="0.25">
      <c r="A3188" t="s">
        <v>25</v>
      </c>
      <c r="B3188" t="s">
        <v>303</v>
      </c>
      <c r="C3188" t="s">
        <v>21</v>
      </c>
      <c r="D3188" t="s">
        <v>22</v>
      </c>
      <c r="E3188" t="s">
        <v>23</v>
      </c>
      <c r="F3188" s="1">
        <v>41339</v>
      </c>
      <c r="G3188">
        <v>784397923</v>
      </c>
      <c r="H3188" t="s">
        <v>233</v>
      </c>
      <c r="I3188">
        <v>9631</v>
      </c>
      <c r="J3188">
        <v>152.58000000000001</v>
      </c>
      <c r="K3188">
        <v>97.44</v>
      </c>
      <c r="L3188">
        <v>1469497.98</v>
      </c>
      <c r="M3188">
        <v>938444.64</v>
      </c>
      <c r="N3188">
        <v>531053.34</v>
      </c>
    </row>
    <row r="3189" spans="1:14" x14ac:dyDescent="0.25">
      <c r="A3189" t="s">
        <v>42</v>
      </c>
      <c r="B3189" t="s">
        <v>476</v>
      </c>
      <c r="C3189" t="s">
        <v>27</v>
      </c>
      <c r="D3189" t="s">
        <v>17</v>
      </c>
      <c r="E3189" t="s">
        <v>45</v>
      </c>
      <c r="F3189" t="s">
        <v>1209</v>
      </c>
      <c r="G3189">
        <v>403316962</v>
      </c>
      <c r="H3189" s="1">
        <v>42526</v>
      </c>
      <c r="I3189">
        <v>9307</v>
      </c>
      <c r="J3189">
        <v>47.45</v>
      </c>
      <c r="K3189">
        <v>31.79</v>
      </c>
      <c r="L3189">
        <v>441617.15</v>
      </c>
      <c r="M3189">
        <v>295869.53000000003</v>
      </c>
      <c r="N3189">
        <v>145747.62</v>
      </c>
    </row>
    <row r="3190" spans="1:14" x14ac:dyDescent="0.25">
      <c r="A3190" t="s">
        <v>29</v>
      </c>
      <c r="B3190" t="s">
        <v>494</v>
      </c>
      <c r="C3190" t="s">
        <v>88</v>
      </c>
      <c r="D3190" t="s">
        <v>17</v>
      </c>
      <c r="E3190" t="s">
        <v>32</v>
      </c>
      <c r="F3190" s="1">
        <v>40817</v>
      </c>
      <c r="G3190">
        <v>854958474</v>
      </c>
      <c r="H3190" s="1">
        <v>40818</v>
      </c>
      <c r="I3190">
        <v>66</v>
      </c>
      <c r="J3190">
        <v>9.33</v>
      </c>
      <c r="K3190">
        <v>6.92</v>
      </c>
      <c r="L3190">
        <v>615.78</v>
      </c>
      <c r="M3190">
        <v>456.72</v>
      </c>
      <c r="N3190">
        <v>159.06</v>
      </c>
    </row>
    <row r="3191" spans="1:14" x14ac:dyDescent="0.25">
      <c r="A3191" t="s">
        <v>25</v>
      </c>
      <c r="B3191" t="s">
        <v>252</v>
      </c>
      <c r="C3191" t="s">
        <v>69</v>
      </c>
      <c r="D3191" t="s">
        <v>22</v>
      </c>
      <c r="E3191" t="s">
        <v>18</v>
      </c>
      <c r="F3191" s="1">
        <v>42984</v>
      </c>
      <c r="G3191">
        <v>111246287</v>
      </c>
      <c r="H3191" s="1">
        <v>42773</v>
      </c>
      <c r="I3191">
        <v>9103</v>
      </c>
      <c r="J3191">
        <v>421.89</v>
      </c>
      <c r="K3191">
        <v>364.69</v>
      </c>
      <c r="L3191">
        <v>3840464.67</v>
      </c>
      <c r="M3191">
        <v>3319773.07</v>
      </c>
      <c r="N3191">
        <v>520691.6</v>
      </c>
    </row>
    <row r="3192" spans="1:14" x14ac:dyDescent="0.25">
      <c r="A3192" t="s">
        <v>51</v>
      </c>
      <c r="B3192" t="s">
        <v>542</v>
      </c>
      <c r="C3192" t="s">
        <v>113</v>
      </c>
      <c r="D3192" t="s">
        <v>17</v>
      </c>
      <c r="E3192" t="s">
        <v>23</v>
      </c>
      <c r="F3192" t="s">
        <v>437</v>
      </c>
      <c r="G3192">
        <v>264416730</v>
      </c>
      <c r="H3192" t="s">
        <v>437</v>
      </c>
      <c r="I3192">
        <v>5641</v>
      </c>
      <c r="J3192">
        <v>154.06</v>
      </c>
      <c r="K3192">
        <v>90.93</v>
      </c>
      <c r="L3192">
        <v>869052.46</v>
      </c>
      <c r="M3192">
        <v>512936.13</v>
      </c>
      <c r="N3192">
        <v>356116.33</v>
      </c>
    </row>
    <row r="3193" spans="1:14" x14ac:dyDescent="0.25">
      <c r="A3193" t="s">
        <v>25</v>
      </c>
      <c r="B3193" t="s">
        <v>218</v>
      </c>
      <c r="C3193" t="s">
        <v>113</v>
      </c>
      <c r="D3193" t="s">
        <v>17</v>
      </c>
      <c r="E3193" t="s">
        <v>32</v>
      </c>
      <c r="F3193" t="s">
        <v>1023</v>
      </c>
      <c r="G3193">
        <v>777018630</v>
      </c>
      <c r="H3193" t="s">
        <v>1000</v>
      </c>
      <c r="I3193">
        <v>5935</v>
      </c>
      <c r="J3193">
        <v>154.06</v>
      </c>
      <c r="K3193">
        <v>90.93</v>
      </c>
      <c r="L3193">
        <v>914346.1</v>
      </c>
      <c r="M3193">
        <v>539669.55000000005</v>
      </c>
      <c r="N3193">
        <v>374676.55</v>
      </c>
    </row>
    <row r="3194" spans="1:14" x14ac:dyDescent="0.25">
      <c r="A3194" t="s">
        <v>51</v>
      </c>
      <c r="B3194" t="s">
        <v>575</v>
      </c>
      <c r="C3194" t="s">
        <v>27</v>
      </c>
      <c r="D3194" t="s">
        <v>22</v>
      </c>
      <c r="E3194" t="s">
        <v>18</v>
      </c>
      <c r="F3194" s="1">
        <v>42278</v>
      </c>
      <c r="G3194">
        <v>731913316</v>
      </c>
      <c r="H3194" t="s">
        <v>781</v>
      </c>
      <c r="I3194">
        <v>8270</v>
      </c>
      <c r="J3194">
        <v>47.45</v>
      </c>
      <c r="K3194">
        <v>31.79</v>
      </c>
      <c r="L3194">
        <v>392411.5</v>
      </c>
      <c r="M3194">
        <v>262903.3</v>
      </c>
      <c r="N3194">
        <v>129508.2</v>
      </c>
    </row>
    <row r="3195" spans="1:14" x14ac:dyDescent="0.25">
      <c r="A3195" t="s">
        <v>51</v>
      </c>
      <c r="B3195" t="s">
        <v>664</v>
      </c>
      <c r="C3195" t="s">
        <v>131</v>
      </c>
      <c r="D3195" t="s">
        <v>17</v>
      </c>
      <c r="E3195" t="s">
        <v>45</v>
      </c>
      <c r="F3195" s="1">
        <v>42370</v>
      </c>
      <c r="G3195">
        <v>182274615</v>
      </c>
      <c r="H3195" s="1">
        <v>42492</v>
      </c>
      <c r="I3195">
        <v>7964</v>
      </c>
      <c r="J3195">
        <v>668.27</v>
      </c>
      <c r="K3195">
        <v>502.54</v>
      </c>
      <c r="L3195">
        <v>5322102.28</v>
      </c>
      <c r="M3195">
        <v>4002228.56</v>
      </c>
      <c r="N3195">
        <v>1319873.72</v>
      </c>
    </row>
    <row r="3196" spans="1:14" x14ac:dyDescent="0.25">
      <c r="A3196" t="s">
        <v>25</v>
      </c>
      <c r="B3196" t="s">
        <v>386</v>
      </c>
      <c r="C3196" t="s">
        <v>44</v>
      </c>
      <c r="D3196" t="s">
        <v>22</v>
      </c>
      <c r="E3196" t="s">
        <v>45</v>
      </c>
      <c r="F3196" s="1">
        <v>41283</v>
      </c>
      <c r="G3196">
        <v>601588857</v>
      </c>
      <c r="H3196" s="1">
        <v>41556</v>
      </c>
      <c r="I3196">
        <v>2366</v>
      </c>
      <c r="J3196">
        <v>109.28</v>
      </c>
      <c r="K3196">
        <v>35.840000000000003</v>
      </c>
      <c r="L3196">
        <v>258556.48</v>
      </c>
      <c r="M3196">
        <v>84797.440000000002</v>
      </c>
      <c r="N3196">
        <v>173759.04</v>
      </c>
    </row>
    <row r="3197" spans="1:14" x14ac:dyDescent="0.25">
      <c r="A3197" t="s">
        <v>42</v>
      </c>
      <c r="B3197" t="s">
        <v>290</v>
      </c>
      <c r="C3197" t="s">
        <v>40</v>
      </c>
      <c r="D3197" t="s">
        <v>22</v>
      </c>
      <c r="E3197" t="s">
        <v>23</v>
      </c>
      <c r="F3197" t="s">
        <v>819</v>
      </c>
      <c r="G3197">
        <v>833654868</v>
      </c>
      <c r="H3197" t="s">
        <v>1170</v>
      </c>
      <c r="I3197">
        <v>5856</v>
      </c>
      <c r="J3197">
        <v>81.73</v>
      </c>
      <c r="K3197">
        <v>56.67</v>
      </c>
      <c r="L3197">
        <v>478610.88</v>
      </c>
      <c r="M3197">
        <v>331859.52</v>
      </c>
      <c r="N3197">
        <v>146751.35999999999</v>
      </c>
    </row>
    <row r="3198" spans="1:14" x14ac:dyDescent="0.25">
      <c r="A3198" t="s">
        <v>14</v>
      </c>
      <c r="B3198" t="s">
        <v>64</v>
      </c>
      <c r="C3198" t="s">
        <v>59</v>
      </c>
      <c r="D3198" t="s">
        <v>17</v>
      </c>
      <c r="E3198" t="s">
        <v>32</v>
      </c>
      <c r="F3198" s="1">
        <v>41519</v>
      </c>
      <c r="G3198">
        <v>242583978</v>
      </c>
      <c r="H3198" t="s">
        <v>1488</v>
      </c>
      <c r="I3198">
        <v>4845</v>
      </c>
      <c r="J3198">
        <v>437.2</v>
      </c>
      <c r="K3198">
        <v>263.33</v>
      </c>
      <c r="L3198">
        <v>2118234</v>
      </c>
      <c r="M3198">
        <v>1275833.8500000001</v>
      </c>
      <c r="N3198">
        <v>842400.15</v>
      </c>
    </row>
    <row r="3199" spans="1:14" x14ac:dyDescent="0.25">
      <c r="A3199" t="s">
        <v>42</v>
      </c>
      <c r="B3199" t="s">
        <v>290</v>
      </c>
      <c r="C3199" t="s">
        <v>21</v>
      </c>
      <c r="D3199" t="s">
        <v>17</v>
      </c>
      <c r="E3199" t="s">
        <v>32</v>
      </c>
      <c r="F3199" t="s">
        <v>1593</v>
      </c>
      <c r="G3199">
        <v>962800014</v>
      </c>
      <c r="H3199" t="s">
        <v>707</v>
      </c>
      <c r="I3199">
        <v>2774</v>
      </c>
      <c r="J3199">
        <v>152.58000000000001</v>
      </c>
      <c r="K3199">
        <v>97.44</v>
      </c>
      <c r="L3199">
        <v>423256.92</v>
      </c>
      <c r="M3199">
        <v>270298.56</v>
      </c>
      <c r="N3199">
        <v>152958.35999999999</v>
      </c>
    </row>
    <row r="3200" spans="1:14" x14ac:dyDescent="0.25">
      <c r="A3200" t="s">
        <v>25</v>
      </c>
      <c r="B3200" t="s">
        <v>185</v>
      </c>
      <c r="C3200" t="s">
        <v>113</v>
      </c>
      <c r="D3200" t="s">
        <v>22</v>
      </c>
      <c r="E3200" t="s">
        <v>32</v>
      </c>
      <c r="F3200" t="s">
        <v>1298</v>
      </c>
      <c r="G3200">
        <v>249039304</v>
      </c>
      <c r="H3200" s="1">
        <v>41644</v>
      </c>
      <c r="I3200">
        <v>5119</v>
      </c>
      <c r="J3200">
        <v>154.06</v>
      </c>
      <c r="K3200">
        <v>90.93</v>
      </c>
      <c r="L3200">
        <v>788633.14</v>
      </c>
      <c r="M3200">
        <v>465470.67</v>
      </c>
      <c r="N3200">
        <v>323162.46999999997</v>
      </c>
    </row>
    <row r="3201" spans="1:14" x14ac:dyDescent="0.25">
      <c r="A3201" t="s">
        <v>42</v>
      </c>
      <c r="B3201" t="s">
        <v>476</v>
      </c>
      <c r="C3201" t="s">
        <v>27</v>
      </c>
      <c r="D3201" t="s">
        <v>17</v>
      </c>
      <c r="E3201" t="s">
        <v>23</v>
      </c>
      <c r="F3201" s="1">
        <v>41033</v>
      </c>
      <c r="G3201">
        <v>826350677</v>
      </c>
      <c r="H3201" t="s">
        <v>1718</v>
      </c>
      <c r="I3201">
        <v>4383</v>
      </c>
      <c r="J3201">
        <v>47.45</v>
      </c>
      <c r="K3201">
        <v>31.79</v>
      </c>
      <c r="L3201">
        <v>207973.35</v>
      </c>
      <c r="M3201">
        <v>139335.57</v>
      </c>
      <c r="N3201">
        <v>68637.78</v>
      </c>
    </row>
    <row r="3202" spans="1:14" x14ac:dyDescent="0.25">
      <c r="A3202" t="s">
        <v>38</v>
      </c>
      <c r="B3202" t="s">
        <v>68</v>
      </c>
      <c r="C3202" t="s">
        <v>59</v>
      </c>
      <c r="D3202" t="s">
        <v>17</v>
      </c>
      <c r="E3202" t="s">
        <v>32</v>
      </c>
      <c r="F3202" t="s">
        <v>1506</v>
      </c>
      <c r="G3202">
        <v>540095460</v>
      </c>
      <c r="H3202" t="s">
        <v>1606</v>
      </c>
      <c r="I3202">
        <v>5104</v>
      </c>
      <c r="J3202">
        <v>437.2</v>
      </c>
      <c r="K3202">
        <v>263.33</v>
      </c>
      <c r="L3202">
        <v>2231468.7999999998</v>
      </c>
      <c r="M3202">
        <v>1344036.32</v>
      </c>
      <c r="N3202">
        <v>887432.48</v>
      </c>
    </row>
    <row r="3203" spans="1:14" x14ac:dyDescent="0.25">
      <c r="A3203" t="s">
        <v>25</v>
      </c>
      <c r="B3203" t="s">
        <v>303</v>
      </c>
      <c r="C3203" t="s">
        <v>31</v>
      </c>
      <c r="D3203" t="s">
        <v>17</v>
      </c>
      <c r="E3203" t="s">
        <v>23</v>
      </c>
      <c r="F3203" t="s">
        <v>1295</v>
      </c>
      <c r="G3203">
        <v>905947482</v>
      </c>
      <c r="H3203" t="s">
        <v>731</v>
      </c>
      <c r="I3203">
        <v>8847</v>
      </c>
      <c r="J3203">
        <v>205.7</v>
      </c>
      <c r="K3203">
        <v>117.11</v>
      </c>
      <c r="L3203">
        <v>1819827.9</v>
      </c>
      <c r="M3203">
        <v>1036072.17</v>
      </c>
      <c r="N3203">
        <v>783755.73</v>
      </c>
    </row>
    <row r="3204" spans="1:14" x14ac:dyDescent="0.25">
      <c r="A3204" t="s">
        <v>25</v>
      </c>
      <c r="B3204" t="s">
        <v>469</v>
      </c>
      <c r="C3204" t="s">
        <v>113</v>
      </c>
      <c r="D3204" t="s">
        <v>17</v>
      </c>
      <c r="E3204" t="s">
        <v>45</v>
      </c>
      <c r="F3204" t="s">
        <v>1274</v>
      </c>
      <c r="G3204">
        <v>359893071</v>
      </c>
      <c r="H3204" s="1">
        <v>40702</v>
      </c>
      <c r="I3204">
        <v>9212</v>
      </c>
      <c r="J3204">
        <v>154.06</v>
      </c>
      <c r="K3204">
        <v>90.93</v>
      </c>
      <c r="L3204">
        <v>1419200.72</v>
      </c>
      <c r="M3204">
        <v>837647.16</v>
      </c>
      <c r="N3204">
        <v>581553.56000000006</v>
      </c>
    </row>
    <row r="3205" spans="1:14" x14ac:dyDescent="0.25">
      <c r="A3205" t="s">
        <v>51</v>
      </c>
      <c r="B3205" t="s">
        <v>525</v>
      </c>
      <c r="C3205" t="s">
        <v>69</v>
      </c>
      <c r="D3205" t="s">
        <v>17</v>
      </c>
      <c r="E3205" t="s">
        <v>32</v>
      </c>
      <c r="F3205" t="s">
        <v>73</v>
      </c>
      <c r="G3205">
        <v>108231055</v>
      </c>
      <c r="H3205" t="s">
        <v>399</v>
      </c>
      <c r="I3205">
        <v>6829</v>
      </c>
      <c r="J3205">
        <v>421.89</v>
      </c>
      <c r="K3205">
        <v>364.69</v>
      </c>
      <c r="L3205">
        <v>2881086.81</v>
      </c>
      <c r="M3205">
        <v>2490468.0099999998</v>
      </c>
      <c r="N3205">
        <v>390618.8</v>
      </c>
    </row>
    <row r="3206" spans="1:14" x14ac:dyDescent="0.25">
      <c r="A3206" t="s">
        <v>51</v>
      </c>
      <c r="B3206" t="s">
        <v>210</v>
      </c>
      <c r="C3206" t="s">
        <v>59</v>
      </c>
      <c r="D3206" t="s">
        <v>17</v>
      </c>
      <c r="E3206" t="s">
        <v>18</v>
      </c>
      <c r="F3206" t="s">
        <v>1651</v>
      </c>
      <c r="G3206">
        <v>977572762</v>
      </c>
      <c r="H3206" t="s">
        <v>1462</v>
      </c>
      <c r="I3206">
        <v>4359</v>
      </c>
      <c r="J3206">
        <v>437.2</v>
      </c>
      <c r="K3206">
        <v>263.33</v>
      </c>
      <c r="L3206">
        <v>1905754.8</v>
      </c>
      <c r="M3206">
        <v>1147855.47</v>
      </c>
      <c r="N3206">
        <v>757899.33</v>
      </c>
    </row>
    <row r="3207" spans="1:14" x14ac:dyDescent="0.25">
      <c r="A3207" t="s">
        <v>38</v>
      </c>
      <c r="B3207" t="s">
        <v>156</v>
      </c>
      <c r="C3207" t="s">
        <v>21</v>
      </c>
      <c r="D3207" t="s">
        <v>17</v>
      </c>
      <c r="E3207" t="s">
        <v>45</v>
      </c>
      <c r="F3207" s="1">
        <v>42135</v>
      </c>
      <c r="G3207">
        <v>264842021</v>
      </c>
      <c r="H3207" t="s">
        <v>1407</v>
      </c>
      <c r="I3207">
        <v>1494</v>
      </c>
      <c r="J3207">
        <v>152.58000000000001</v>
      </c>
      <c r="K3207">
        <v>97.44</v>
      </c>
      <c r="L3207">
        <v>227954.52</v>
      </c>
      <c r="M3207">
        <v>145575.35999999999</v>
      </c>
      <c r="N3207">
        <v>82379.16</v>
      </c>
    </row>
    <row r="3208" spans="1:14" x14ac:dyDescent="0.25">
      <c r="A3208" t="s">
        <v>14</v>
      </c>
      <c r="B3208" t="s">
        <v>94</v>
      </c>
      <c r="C3208" t="s">
        <v>21</v>
      </c>
      <c r="D3208" t="s">
        <v>22</v>
      </c>
      <c r="E3208" t="s">
        <v>45</v>
      </c>
      <c r="F3208" t="s">
        <v>1603</v>
      </c>
      <c r="G3208">
        <v>287275159</v>
      </c>
      <c r="H3208" t="s">
        <v>1719</v>
      </c>
      <c r="I3208">
        <v>9958</v>
      </c>
      <c r="J3208">
        <v>152.58000000000001</v>
      </c>
      <c r="K3208">
        <v>97.44</v>
      </c>
      <c r="L3208">
        <v>1519391.64</v>
      </c>
      <c r="M3208">
        <v>970307.52</v>
      </c>
      <c r="N3208">
        <v>549084.12</v>
      </c>
    </row>
    <row r="3209" spans="1:14" x14ac:dyDescent="0.25">
      <c r="A3209" t="s">
        <v>51</v>
      </c>
      <c r="B3209" t="s">
        <v>219</v>
      </c>
      <c r="C3209" t="s">
        <v>40</v>
      </c>
      <c r="D3209" t="s">
        <v>17</v>
      </c>
      <c r="E3209" t="s">
        <v>18</v>
      </c>
      <c r="F3209" s="1">
        <v>41285</v>
      </c>
      <c r="G3209">
        <v>732421004</v>
      </c>
      <c r="H3209" s="1">
        <v>41286</v>
      </c>
      <c r="I3209">
        <v>8506</v>
      </c>
      <c r="J3209">
        <v>81.73</v>
      </c>
      <c r="K3209">
        <v>56.67</v>
      </c>
      <c r="L3209">
        <v>695195.38</v>
      </c>
      <c r="M3209">
        <v>482035.02</v>
      </c>
      <c r="N3209">
        <v>213160.36</v>
      </c>
    </row>
    <row r="3210" spans="1:14" x14ac:dyDescent="0.25">
      <c r="A3210" t="s">
        <v>42</v>
      </c>
      <c r="B3210" t="s">
        <v>146</v>
      </c>
      <c r="C3210" t="s">
        <v>113</v>
      </c>
      <c r="D3210" t="s">
        <v>17</v>
      </c>
      <c r="E3210" t="s">
        <v>45</v>
      </c>
      <c r="F3210" t="s">
        <v>530</v>
      </c>
      <c r="G3210">
        <v>908140885</v>
      </c>
      <c r="H3210" t="s">
        <v>888</v>
      </c>
      <c r="I3210">
        <v>7924</v>
      </c>
      <c r="J3210">
        <v>154.06</v>
      </c>
      <c r="K3210">
        <v>90.93</v>
      </c>
      <c r="L3210">
        <v>1220771.44</v>
      </c>
      <c r="M3210">
        <v>720529.32</v>
      </c>
      <c r="N3210">
        <v>500242.12</v>
      </c>
    </row>
    <row r="3211" spans="1:14" x14ac:dyDescent="0.25">
      <c r="A3211" t="s">
        <v>29</v>
      </c>
      <c r="B3211" t="s">
        <v>206</v>
      </c>
      <c r="C3211" t="s">
        <v>59</v>
      </c>
      <c r="D3211" t="s">
        <v>22</v>
      </c>
      <c r="E3211" t="s">
        <v>45</v>
      </c>
      <c r="F3211" t="s">
        <v>1364</v>
      </c>
      <c r="G3211">
        <v>192608630</v>
      </c>
      <c r="H3211" t="s">
        <v>1559</v>
      </c>
      <c r="I3211">
        <v>6029</v>
      </c>
      <c r="J3211">
        <v>437.2</v>
      </c>
      <c r="K3211">
        <v>263.33</v>
      </c>
      <c r="L3211">
        <v>2635878.7999999998</v>
      </c>
      <c r="M3211">
        <v>1587616.57</v>
      </c>
      <c r="N3211">
        <v>1048262.23</v>
      </c>
    </row>
    <row r="3212" spans="1:14" x14ac:dyDescent="0.25">
      <c r="A3212" t="s">
        <v>25</v>
      </c>
      <c r="B3212" t="s">
        <v>218</v>
      </c>
      <c r="C3212" t="s">
        <v>59</v>
      </c>
      <c r="D3212" t="s">
        <v>22</v>
      </c>
      <c r="E3212" t="s">
        <v>18</v>
      </c>
      <c r="F3212" t="s">
        <v>352</v>
      </c>
      <c r="G3212">
        <v>284310567</v>
      </c>
      <c r="H3212" s="1">
        <v>42409</v>
      </c>
      <c r="I3212">
        <v>2670</v>
      </c>
      <c r="J3212">
        <v>437.2</v>
      </c>
      <c r="K3212">
        <v>263.33</v>
      </c>
      <c r="L3212">
        <v>1167324</v>
      </c>
      <c r="M3212">
        <v>703091.1</v>
      </c>
      <c r="N3212">
        <v>464232.9</v>
      </c>
    </row>
    <row r="3213" spans="1:14" x14ac:dyDescent="0.25">
      <c r="A3213" t="s">
        <v>14</v>
      </c>
      <c r="B3213" t="s">
        <v>488</v>
      </c>
      <c r="C3213" t="s">
        <v>69</v>
      </c>
      <c r="D3213" t="s">
        <v>22</v>
      </c>
      <c r="E3213" t="s">
        <v>45</v>
      </c>
      <c r="F3213" t="s">
        <v>1720</v>
      </c>
      <c r="G3213">
        <v>252045524</v>
      </c>
      <c r="H3213" t="s">
        <v>1200</v>
      </c>
      <c r="I3213">
        <v>4726</v>
      </c>
      <c r="J3213">
        <v>421.89</v>
      </c>
      <c r="K3213">
        <v>364.69</v>
      </c>
      <c r="L3213">
        <v>1993852.14</v>
      </c>
      <c r="M3213">
        <v>1723524.94</v>
      </c>
      <c r="N3213">
        <v>270327.2</v>
      </c>
    </row>
    <row r="3214" spans="1:14" x14ac:dyDescent="0.25">
      <c r="A3214" t="s">
        <v>42</v>
      </c>
      <c r="B3214" t="s">
        <v>681</v>
      </c>
      <c r="C3214" t="s">
        <v>21</v>
      </c>
      <c r="D3214" t="s">
        <v>22</v>
      </c>
      <c r="E3214" t="s">
        <v>18</v>
      </c>
      <c r="F3214" t="s">
        <v>1225</v>
      </c>
      <c r="G3214">
        <v>584924829</v>
      </c>
      <c r="H3214" s="1">
        <v>42222</v>
      </c>
      <c r="I3214">
        <v>1110</v>
      </c>
      <c r="J3214">
        <v>152.58000000000001</v>
      </c>
      <c r="K3214">
        <v>97.44</v>
      </c>
      <c r="L3214">
        <v>169363.8</v>
      </c>
      <c r="M3214">
        <v>108158.39999999999</v>
      </c>
      <c r="N3214">
        <v>61205.4</v>
      </c>
    </row>
    <row r="3215" spans="1:14" x14ac:dyDescent="0.25">
      <c r="A3215" t="s">
        <v>25</v>
      </c>
      <c r="B3215" t="s">
        <v>47</v>
      </c>
      <c r="C3215" t="s">
        <v>113</v>
      </c>
      <c r="D3215" t="s">
        <v>22</v>
      </c>
      <c r="E3215" t="s">
        <v>18</v>
      </c>
      <c r="F3215" s="1">
        <v>41062</v>
      </c>
      <c r="G3215">
        <v>942372310</v>
      </c>
      <c r="H3215" t="s">
        <v>1653</v>
      </c>
      <c r="I3215">
        <v>7763</v>
      </c>
      <c r="J3215">
        <v>154.06</v>
      </c>
      <c r="K3215">
        <v>90.93</v>
      </c>
      <c r="L3215">
        <v>1195967.78</v>
      </c>
      <c r="M3215">
        <v>705889.59</v>
      </c>
      <c r="N3215">
        <v>490078.19</v>
      </c>
    </row>
    <row r="3216" spans="1:14" x14ac:dyDescent="0.25">
      <c r="A3216" t="s">
        <v>25</v>
      </c>
      <c r="B3216" t="s">
        <v>458</v>
      </c>
      <c r="C3216" t="s">
        <v>69</v>
      </c>
      <c r="D3216" t="s">
        <v>17</v>
      </c>
      <c r="E3216" t="s">
        <v>23</v>
      </c>
      <c r="F3216" t="s">
        <v>283</v>
      </c>
      <c r="G3216">
        <v>604124295</v>
      </c>
      <c r="H3216" s="1">
        <v>42039</v>
      </c>
      <c r="I3216">
        <v>2659</v>
      </c>
      <c r="J3216">
        <v>421.89</v>
      </c>
      <c r="K3216">
        <v>364.69</v>
      </c>
      <c r="L3216">
        <v>1121805.51</v>
      </c>
      <c r="M3216">
        <v>969710.71</v>
      </c>
      <c r="N3216">
        <v>152094.79999999999</v>
      </c>
    </row>
    <row r="3217" spans="1:14" x14ac:dyDescent="0.25">
      <c r="A3217" t="s">
        <v>25</v>
      </c>
      <c r="B3217" t="s">
        <v>339</v>
      </c>
      <c r="C3217" t="s">
        <v>88</v>
      </c>
      <c r="D3217" t="s">
        <v>17</v>
      </c>
      <c r="E3217" t="s">
        <v>23</v>
      </c>
      <c r="F3217" s="1">
        <v>42188</v>
      </c>
      <c r="G3217">
        <v>720229613</v>
      </c>
      <c r="H3217" s="1">
        <v>42311</v>
      </c>
      <c r="I3217">
        <v>803</v>
      </c>
      <c r="J3217">
        <v>9.33</v>
      </c>
      <c r="K3217">
        <v>6.92</v>
      </c>
      <c r="L3217">
        <v>7491.99</v>
      </c>
      <c r="M3217">
        <v>5556.76</v>
      </c>
      <c r="N3217">
        <v>1935.23</v>
      </c>
    </row>
    <row r="3218" spans="1:14" x14ac:dyDescent="0.25">
      <c r="A3218" t="s">
        <v>38</v>
      </c>
      <c r="B3218" t="s">
        <v>58</v>
      </c>
      <c r="C3218" t="s">
        <v>31</v>
      </c>
      <c r="D3218" t="s">
        <v>17</v>
      </c>
      <c r="E3218" t="s">
        <v>32</v>
      </c>
      <c r="F3218" t="s">
        <v>591</v>
      </c>
      <c r="G3218">
        <v>261049592</v>
      </c>
      <c r="H3218" s="1">
        <v>40880</v>
      </c>
      <c r="I3218">
        <v>9230</v>
      </c>
      <c r="J3218">
        <v>205.7</v>
      </c>
      <c r="K3218">
        <v>117.11</v>
      </c>
      <c r="L3218">
        <v>1898611</v>
      </c>
      <c r="M3218">
        <v>1080925.3</v>
      </c>
      <c r="N3218">
        <v>817685.7</v>
      </c>
    </row>
    <row r="3219" spans="1:14" x14ac:dyDescent="0.25">
      <c r="A3219" t="s">
        <v>25</v>
      </c>
      <c r="B3219" t="s">
        <v>72</v>
      </c>
      <c r="C3219" t="s">
        <v>40</v>
      </c>
      <c r="D3219" t="s">
        <v>17</v>
      </c>
      <c r="E3219" t="s">
        <v>18</v>
      </c>
      <c r="F3219" t="s">
        <v>1289</v>
      </c>
      <c r="G3219">
        <v>967258059</v>
      </c>
      <c r="H3219" s="1">
        <v>41859</v>
      </c>
      <c r="I3219">
        <v>2009</v>
      </c>
      <c r="J3219">
        <v>81.73</v>
      </c>
      <c r="K3219">
        <v>56.67</v>
      </c>
      <c r="L3219">
        <v>164195.57</v>
      </c>
      <c r="M3219">
        <v>113850.03</v>
      </c>
      <c r="N3219">
        <v>50345.54</v>
      </c>
    </row>
    <row r="3220" spans="1:14" x14ac:dyDescent="0.25">
      <c r="A3220" t="s">
        <v>51</v>
      </c>
      <c r="B3220" t="s">
        <v>169</v>
      </c>
      <c r="C3220" t="s">
        <v>59</v>
      </c>
      <c r="D3220" t="s">
        <v>22</v>
      </c>
      <c r="E3220" t="s">
        <v>32</v>
      </c>
      <c r="F3220" t="s">
        <v>1721</v>
      </c>
      <c r="G3220">
        <v>599841344</v>
      </c>
      <c r="H3220" s="1">
        <v>42010</v>
      </c>
      <c r="I3220">
        <v>5238</v>
      </c>
      <c r="J3220">
        <v>437.2</v>
      </c>
      <c r="K3220">
        <v>263.33</v>
      </c>
      <c r="L3220">
        <v>2290053.6</v>
      </c>
      <c r="M3220">
        <v>1379322.54</v>
      </c>
      <c r="N3220">
        <v>910731.06</v>
      </c>
    </row>
    <row r="3221" spans="1:14" x14ac:dyDescent="0.25">
      <c r="A3221" t="s">
        <v>51</v>
      </c>
      <c r="B3221" t="s">
        <v>115</v>
      </c>
      <c r="C3221" t="s">
        <v>88</v>
      </c>
      <c r="D3221" t="s">
        <v>22</v>
      </c>
      <c r="E3221" t="s">
        <v>18</v>
      </c>
      <c r="F3221" t="s">
        <v>318</v>
      </c>
      <c r="G3221">
        <v>590098273</v>
      </c>
      <c r="H3221" t="s">
        <v>1459</v>
      </c>
      <c r="I3221">
        <v>2047</v>
      </c>
      <c r="J3221">
        <v>9.33</v>
      </c>
      <c r="K3221">
        <v>6.92</v>
      </c>
      <c r="L3221">
        <v>19098.509999999998</v>
      </c>
      <c r="M3221">
        <v>14165.24</v>
      </c>
      <c r="N3221">
        <v>4933.2700000000004</v>
      </c>
    </row>
    <row r="3222" spans="1:14" x14ac:dyDescent="0.25">
      <c r="A3222" t="s">
        <v>38</v>
      </c>
      <c r="B3222" t="s">
        <v>83</v>
      </c>
      <c r="C3222" t="s">
        <v>31</v>
      </c>
      <c r="D3222" t="s">
        <v>22</v>
      </c>
      <c r="E3222" t="s">
        <v>32</v>
      </c>
      <c r="F3222" t="s">
        <v>540</v>
      </c>
      <c r="G3222">
        <v>189640176</v>
      </c>
      <c r="H3222" s="1">
        <v>40644</v>
      </c>
      <c r="I3222">
        <v>7597</v>
      </c>
      <c r="J3222">
        <v>205.7</v>
      </c>
      <c r="K3222">
        <v>117.11</v>
      </c>
      <c r="L3222">
        <v>1562702.9</v>
      </c>
      <c r="M3222">
        <v>889684.67</v>
      </c>
      <c r="N3222">
        <v>673018.23</v>
      </c>
    </row>
    <row r="3223" spans="1:14" x14ac:dyDescent="0.25">
      <c r="A3223" t="s">
        <v>25</v>
      </c>
      <c r="B3223" t="s">
        <v>218</v>
      </c>
      <c r="C3223" t="s">
        <v>31</v>
      </c>
      <c r="D3223" t="s">
        <v>22</v>
      </c>
      <c r="E3223" t="s">
        <v>18</v>
      </c>
      <c r="F3223" s="1">
        <v>40822</v>
      </c>
      <c r="G3223">
        <v>520390880</v>
      </c>
      <c r="H3223" t="s">
        <v>1478</v>
      </c>
      <c r="I3223">
        <v>4080</v>
      </c>
      <c r="J3223">
        <v>205.7</v>
      </c>
      <c r="K3223">
        <v>117.11</v>
      </c>
      <c r="L3223">
        <v>839256</v>
      </c>
      <c r="M3223">
        <v>477808.8</v>
      </c>
      <c r="N3223">
        <v>361447.2</v>
      </c>
    </row>
    <row r="3224" spans="1:14" x14ac:dyDescent="0.25">
      <c r="A3224" t="s">
        <v>38</v>
      </c>
      <c r="B3224" t="s">
        <v>527</v>
      </c>
      <c r="C3224" t="s">
        <v>59</v>
      </c>
      <c r="D3224" t="s">
        <v>22</v>
      </c>
      <c r="E3224" t="s">
        <v>23</v>
      </c>
      <c r="F3224" s="1">
        <v>42435</v>
      </c>
      <c r="G3224">
        <v>524586713</v>
      </c>
      <c r="H3224" t="s">
        <v>1333</v>
      </c>
      <c r="I3224">
        <v>5721</v>
      </c>
      <c r="J3224">
        <v>437.2</v>
      </c>
      <c r="K3224">
        <v>263.33</v>
      </c>
      <c r="L3224">
        <v>2501221.2000000002</v>
      </c>
      <c r="M3224">
        <v>1506510.93</v>
      </c>
      <c r="N3224">
        <v>994710.27</v>
      </c>
    </row>
    <row r="3225" spans="1:14" x14ac:dyDescent="0.25">
      <c r="A3225" t="s">
        <v>51</v>
      </c>
      <c r="B3225" t="s">
        <v>350</v>
      </c>
      <c r="C3225" t="s">
        <v>40</v>
      </c>
      <c r="D3225" t="s">
        <v>22</v>
      </c>
      <c r="E3225" t="s">
        <v>45</v>
      </c>
      <c r="F3225" t="s">
        <v>978</v>
      </c>
      <c r="G3225">
        <v>114776504</v>
      </c>
      <c r="H3225" s="1">
        <v>40460</v>
      </c>
      <c r="I3225">
        <v>3773</v>
      </c>
      <c r="J3225">
        <v>81.73</v>
      </c>
      <c r="K3225">
        <v>56.67</v>
      </c>
      <c r="L3225">
        <v>308367.28999999998</v>
      </c>
      <c r="M3225">
        <v>213815.91</v>
      </c>
      <c r="N3225">
        <v>94551.38</v>
      </c>
    </row>
    <row r="3226" spans="1:14" x14ac:dyDescent="0.25">
      <c r="A3226" t="s">
        <v>25</v>
      </c>
      <c r="B3226" t="s">
        <v>47</v>
      </c>
      <c r="C3226" t="s">
        <v>88</v>
      </c>
      <c r="D3226" t="s">
        <v>22</v>
      </c>
      <c r="E3226" t="s">
        <v>32</v>
      </c>
      <c r="F3226" t="s">
        <v>1438</v>
      </c>
      <c r="G3226">
        <v>623821580</v>
      </c>
      <c r="H3226" t="s">
        <v>1706</v>
      </c>
      <c r="I3226">
        <v>1523</v>
      </c>
      <c r="J3226">
        <v>9.33</v>
      </c>
      <c r="K3226">
        <v>6.92</v>
      </c>
      <c r="L3226">
        <v>14209.59</v>
      </c>
      <c r="M3226">
        <v>10539.16</v>
      </c>
      <c r="N3226">
        <v>3670.43</v>
      </c>
    </row>
    <row r="3227" spans="1:14" x14ac:dyDescent="0.25">
      <c r="A3227" t="s">
        <v>38</v>
      </c>
      <c r="B3227" t="s">
        <v>68</v>
      </c>
      <c r="C3227" t="s">
        <v>31</v>
      </c>
      <c r="D3227" t="s">
        <v>17</v>
      </c>
      <c r="E3227" t="s">
        <v>18</v>
      </c>
      <c r="F3227" s="1">
        <v>43071</v>
      </c>
      <c r="G3227">
        <v>754895770</v>
      </c>
      <c r="H3227" s="1">
        <v>43072</v>
      </c>
      <c r="I3227">
        <v>9289</v>
      </c>
      <c r="J3227">
        <v>205.7</v>
      </c>
      <c r="K3227">
        <v>117.11</v>
      </c>
      <c r="L3227">
        <v>1910747.3</v>
      </c>
      <c r="M3227">
        <v>1087834.79</v>
      </c>
      <c r="N3227">
        <v>822912.51</v>
      </c>
    </row>
    <row r="3228" spans="1:14" x14ac:dyDescent="0.25">
      <c r="A3228" t="s">
        <v>42</v>
      </c>
      <c r="B3228" t="s">
        <v>107</v>
      </c>
      <c r="C3228" t="s">
        <v>27</v>
      </c>
      <c r="D3228" t="s">
        <v>17</v>
      </c>
      <c r="E3228" t="s">
        <v>32</v>
      </c>
      <c r="F3228" t="s">
        <v>1329</v>
      </c>
      <c r="G3228">
        <v>631485402</v>
      </c>
      <c r="H3228" s="1">
        <v>43077</v>
      </c>
      <c r="I3228">
        <v>9418</v>
      </c>
      <c r="J3228">
        <v>47.45</v>
      </c>
      <c r="K3228">
        <v>31.79</v>
      </c>
      <c r="L3228">
        <v>446884.1</v>
      </c>
      <c r="M3228">
        <v>299398.21999999997</v>
      </c>
      <c r="N3228">
        <v>147485.88</v>
      </c>
    </row>
    <row r="3229" spans="1:14" x14ac:dyDescent="0.25">
      <c r="A3229" t="s">
        <v>38</v>
      </c>
      <c r="B3229" t="s">
        <v>105</v>
      </c>
      <c r="C3229" t="s">
        <v>40</v>
      </c>
      <c r="D3229" t="s">
        <v>17</v>
      </c>
      <c r="E3229" t="s">
        <v>32</v>
      </c>
      <c r="F3229" t="s">
        <v>1276</v>
      </c>
      <c r="G3229">
        <v>447389304</v>
      </c>
      <c r="H3229" t="s">
        <v>952</v>
      </c>
      <c r="I3229">
        <v>1292</v>
      </c>
      <c r="J3229">
        <v>81.73</v>
      </c>
      <c r="K3229">
        <v>56.67</v>
      </c>
      <c r="L3229">
        <v>105595.16</v>
      </c>
      <c r="M3229">
        <v>73217.64</v>
      </c>
      <c r="N3229">
        <v>32377.52</v>
      </c>
    </row>
    <row r="3230" spans="1:14" x14ac:dyDescent="0.25">
      <c r="A3230" t="s">
        <v>51</v>
      </c>
      <c r="B3230" t="s">
        <v>231</v>
      </c>
      <c r="C3230" t="s">
        <v>131</v>
      </c>
      <c r="D3230" t="s">
        <v>17</v>
      </c>
      <c r="E3230" t="s">
        <v>18</v>
      </c>
      <c r="F3230" t="s">
        <v>1722</v>
      </c>
      <c r="G3230">
        <v>916718804</v>
      </c>
      <c r="H3230" s="1">
        <v>40424</v>
      </c>
      <c r="I3230">
        <v>6321</v>
      </c>
      <c r="J3230">
        <v>668.27</v>
      </c>
      <c r="K3230">
        <v>502.54</v>
      </c>
      <c r="L3230">
        <v>4224134.67</v>
      </c>
      <c r="M3230">
        <v>3176555.34</v>
      </c>
      <c r="N3230">
        <v>1047579.33</v>
      </c>
    </row>
    <row r="3231" spans="1:14" x14ac:dyDescent="0.25">
      <c r="A3231" t="s">
        <v>42</v>
      </c>
      <c r="B3231" t="s">
        <v>146</v>
      </c>
      <c r="C3231" t="s">
        <v>21</v>
      </c>
      <c r="D3231" t="s">
        <v>22</v>
      </c>
      <c r="E3231" t="s">
        <v>18</v>
      </c>
      <c r="F3231" s="1">
        <v>42104</v>
      </c>
      <c r="G3231">
        <v>123897731</v>
      </c>
      <c r="H3231" t="s">
        <v>1561</v>
      </c>
      <c r="I3231">
        <v>2947</v>
      </c>
      <c r="J3231">
        <v>152.58000000000001</v>
      </c>
      <c r="K3231">
        <v>97.44</v>
      </c>
      <c r="L3231">
        <v>449653.26</v>
      </c>
      <c r="M3231">
        <v>287155.68</v>
      </c>
      <c r="N3231">
        <v>162497.57999999999</v>
      </c>
    </row>
    <row r="3232" spans="1:14" x14ac:dyDescent="0.25">
      <c r="A3232" t="s">
        <v>25</v>
      </c>
      <c r="B3232" t="s">
        <v>74</v>
      </c>
      <c r="C3232" t="s">
        <v>69</v>
      </c>
      <c r="D3232" t="s">
        <v>17</v>
      </c>
      <c r="E3232" t="s">
        <v>23</v>
      </c>
      <c r="F3232" t="s">
        <v>617</v>
      </c>
      <c r="G3232">
        <v>273662412</v>
      </c>
      <c r="H3232" t="s">
        <v>1723</v>
      </c>
      <c r="I3232">
        <v>1644</v>
      </c>
      <c r="J3232">
        <v>421.89</v>
      </c>
      <c r="K3232">
        <v>364.69</v>
      </c>
      <c r="L3232">
        <v>693587.16</v>
      </c>
      <c r="M3232">
        <v>599550.36</v>
      </c>
      <c r="N3232">
        <v>94036.800000000003</v>
      </c>
    </row>
    <row r="3233" spans="1:14" x14ac:dyDescent="0.25">
      <c r="A3233" t="s">
        <v>25</v>
      </c>
      <c r="B3233" t="s">
        <v>339</v>
      </c>
      <c r="C3233" t="s">
        <v>113</v>
      </c>
      <c r="D3233" t="s">
        <v>22</v>
      </c>
      <c r="E3233" t="s">
        <v>18</v>
      </c>
      <c r="F3233" s="1">
        <v>42950</v>
      </c>
      <c r="G3233">
        <v>941061675</v>
      </c>
      <c r="H3233" t="s">
        <v>80</v>
      </c>
      <c r="I3233">
        <v>9917</v>
      </c>
      <c r="J3233">
        <v>154.06</v>
      </c>
      <c r="K3233">
        <v>90.93</v>
      </c>
      <c r="L3233">
        <v>1527813.02</v>
      </c>
      <c r="M3233">
        <v>901752.81</v>
      </c>
      <c r="N3233">
        <v>626060.21</v>
      </c>
    </row>
    <row r="3234" spans="1:14" x14ac:dyDescent="0.25">
      <c r="A3234" t="s">
        <v>25</v>
      </c>
      <c r="B3234" t="s">
        <v>386</v>
      </c>
      <c r="C3234" t="s">
        <v>69</v>
      </c>
      <c r="D3234" t="s">
        <v>17</v>
      </c>
      <c r="E3234" t="s">
        <v>18</v>
      </c>
      <c r="F3234" s="1">
        <v>41467</v>
      </c>
      <c r="G3234">
        <v>421456849</v>
      </c>
      <c r="H3234" s="1">
        <v>41559</v>
      </c>
      <c r="I3234">
        <v>7302</v>
      </c>
      <c r="J3234">
        <v>421.89</v>
      </c>
      <c r="K3234">
        <v>364.69</v>
      </c>
      <c r="L3234">
        <v>3080640.78</v>
      </c>
      <c r="M3234">
        <v>2662966.38</v>
      </c>
      <c r="N3234">
        <v>417674.4</v>
      </c>
    </row>
    <row r="3235" spans="1:14" x14ac:dyDescent="0.25">
      <c r="A3235" t="s">
        <v>29</v>
      </c>
      <c r="B3235" t="s">
        <v>124</v>
      </c>
      <c r="C3235" t="s">
        <v>69</v>
      </c>
      <c r="D3235" t="s">
        <v>22</v>
      </c>
      <c r="E3235" t="s">
        <v>32</v>
      </c>
      <c r="F3235" t="s">
        <v>120</v>
      </c>
      <c r="G3235">
        <v>680521762</v>
      </c>
      <c r="H3235" t="s">
        <v>1680</v>
      </c>
      <c r="I3235">
        <v>367</v>
      </c>
      <c r="J3235">
        <v>421.89</v>
      </c>
      <c r="K3235">
        <v>364.69</v>
      </c>
      <c r="L3235">
        <v>154833.63</v>
      </c>
      <c r="M3235">
        <v>133841.23000000001</v>
      </c>
      <c r="N3235">
        <v>20992.400000000001</v>
      </c>
    </row>
    <row r="3236" spans="1:14" x14ac:dyDescent="0.25">
      <c r="A3236" t="s">
        <v>51</v>
      </c>
      <c r="B3236" t="s">
        <v>350</v>
      </c>
      <c r="C3236" t="s">
        <v>88</v>
      </c>
      <c r="D3236" t="s">
        <v>17</v>
      </c>
      <c r="E3236" t="s">
        <v>18</v>
      </c>
      <c r="F3236" t="s">
        <v>1724</v>
      </c>
      <c r="G3236">
        <v>604242742</v>
      </c>
      <c r="H3236" t="s">
        <v>1725</v>
      </c>
      <c r="I3236">
        <v>7710</v>
      </c>
      <c r="J3236">
        <v>9.33</v>
      </c>
      <c r="K3236">
        <v>6.92</v>
      </c>
      <c r="L3236">
        <v>71934.3</v>
      </c>
      <c r="M3236">
        <v>53353.2</v>
      </c>
      <c r="N3236">
        <v>18581.099999999999</v>
      </c>
    </row>
    <row r="3237" spans="1:14" x14ac:dyDescent="0.25">
      <c r="A3237" t="s">
        <v>14</v>
      </c>
      <c r="B3237" t="s">
        <v>372</v>
      </c>
      <c r="C3237" t="s">
        <v>59</v>
      </c>
      <c r="D3237" t="s">
        <v>22</v>
      </c>
      <c r="E3237" t="s">
        <v>18</v>
      </c>
      <c r="F3237" t="s">
        <v>990</v>
      </c>
      <c r="G3237">
        <v>948918616</v>
      </c>
      <c r="H3237" t="s">
        <v>1044</v>
      </c>
      <c r="I3237">
        <v>4960</v>
      </c>
      <c r="J3237">
        <v>437.2</v>
      </c>
      <c r="K3237">
        <v>263.33</v>
      </c>
      <c r="L3237">
        <v>2168512</v>
      </c>
      <c r="M3237">
        <v>1306116.8</v>
      </c>
      <c r="N3237">
        <v>862395.2</v>
      </c>
    </row>
    <row r="3238" spans="1:14" x14ac:dyDescent="0.25">
      <c r="A3238" t="s">
        <v>25</v>
      </c>
      <c r="B3238" t="s">
        <v>529</v>
      </c>
      <c r="C3238" t="s">
        <v>59</v>
      </c>
      <c r="D3238" t="s">
        <v>17</v>
      </c>
      <c r="E3238" t="s">
        <v>45</v>
      </c>
      <c r="F3238" s="1">
        <v>41186</v>
      </c>
      <c r="G3238">
        <v>291160714</v>
      </c>
      <c r="H3238" t="s">
        <v>897</v>
      </c>
      <c r="I3238">
        <v>9780</v>
      </c>
      <c r="J3238">
        <v>437.2</v>
      </c>
      <c r="K3238">
        <v>263.33</v>
      </c>
      <c r="L3238">
        <v>4275816</v>
      </c>
      <c r="M3238">
        <v>2575367.4</v>
      </c>
      <c r="N3238">
        <v>1700448.6</v>
      </c>
    </row>
    <row r="3239" spans="1:14" x14ac:dyDescent="0.25">
      <c r="A3239" t="s">
        <v>42</v>
      </c>
      <c r="B3239" t="s">
        <v>103</v>
      </c>
      <c r="C3239" t="s">
        <v>88</v>
      </c>
      <c r="D3239" t="s">
        <v>17</v>
      </c>
      <c r="E3239" t="s">
        <v>23</v>
      </c>
      <c r="F3239" t="s">
        <v>736</v>
      </c>
      <c r="G3239">
        <v>877892863</v>
      </c>
      <c r="H3239" t="s">
        <v>995</v>
      </c>
      <c r="I3239">
        <v>6862</v>
      </c>
      <c r="J3239">
        <v>9.33</v>
      </c>
      <c r="K3239">
        <v>6.92</v>
      </c>
      <c r="L3239">
        <v>64022.46</v>
      </c>
      <c r="M3239">
        <v>47485.04</v>
      </c>
      <c r="N3239">
        <v>16537.419999999998</v>
      </c>
    </row>
    <row r="3240" spans="1:14" x14ac:dyDescent="0.25">
      <c r="A3240" t="s">
        <v>51</v>
      </c>
      <c r="B3240" t="s">
        <v>305</v>
      </c>
      <c r="C3240" t="s">
        <v>113</v>
      </c>
      <c r="D3240" t="s">
        <v>17</v>
      </c>
      <c r="E3240" t="s">
        <v>18</v>
      </c>
      <c r="F3240" t="s">
        <v>692</v>
      </c>
      <c r="G3240">
        <v>976351392</v>
      </c>
      <c r="H3240" s="1">
        <v>41982</v>
      </c>
      <c r="I3240">
        <v>2928</v>
      </c>
      <c r="J3240">
        <v>154.06</v>
      </c>
      <c r="K3240">
        <v>90.93</v>
      </c>
      <c r="L3240">
        <v>451087.68</v>
      </c>
      <c r="M3240">
        <v>266243.03999999998</v>
      </c>
      <c r="N3240">
        <v>184844.64</v>
      </c>
    </row>
    <row r="3241" spans="1:14" x14ac:dyDescent="0.25">
      <c r="A3241" t="s">
        <v>25</v>
      </c>
      <c r="B3241" t="s">
        <v>785</v>
      </c>
      <c r="C3241" t="s">
        <v>88</v>
      </c>
      <c r="D3241" t="s">
        <v>22</v>
      </c>
      <c r="E3241" t="s">
        <v>18</v>
      </c>
      <c r="F3241" t="s">
        <v>212</v>
      </c>
      <c r="G3241">
        <v>724085128</v>
      </c>
      <c r="H3241" s="1">
        <v>41914</v>
      </c>
      <c r="I3241">
        <v>1735</v>
      </c>
      <c r="J3241">
        <v>9.33</v>
      </c>
      <c r="K3241">
        <v>6.92</v>
      </c>
      <c r="L3241">
        <v>16187.55</v>
      </c>
      <c r="M3241">
        <v>12006.2</v>
      </c>
      <c r="N3241">
        <v>4181.3500000000004</v>
      </c>
    </row>
    <row r="3242" spans="1:14" x14ac:dyDescent="0.25">
      <c r="A3242" t="s">
        <v>51</v>
      </c>
      <c r="B3242" t="s">
        <v>305</v>
      </c>
      <c r="C3242" t="s">
        <v>44</v>
      </c>
      <c r="D3242" t="s">
        <v>22</v>
      </c>
      <c r="E3242" t="s">
        <v>45</v>
      </c>
      <c r="F3242" t="s">
        <v>1444</v>
      </c>
      <c r="G3242">
        <v>778955399</v>
      </c>
      <c r="H3242" t="s">
        <v>1726</v>
      </c>
      <c r="I3242">
        <v>9068</v>
      </c>
      <c r="J3242">
        <v>109.28</v>
      </c>
      <c r="K3242">
        <v>35.840000000000003</v>
      </c>
      <c r="L3242">
        <v>990951.04</v>
      </c>
      <c r="M3242">
        <v>324997.12</v>
      </c>
      <c r="N3242">
        <v>665953.92000000004</v>
      </c>
    </row>
    <row r="3243" spans="1:14" x14ac:dyDescent="0.25">
      <c r="A3243" t="s">
        <v>29</v>
      </c>
      <c r="B3243" t="s">
        <v>338</v>
      </c>
      <c r="C3243" t="s">
        <v>69</v>
      </c>
      <c r="D3243" t="s">
        <v>17</v>
      </c>
      <c r="E3243" t="s">
        <v>18</v>
      </c>
      <c r="F3243" s="1">
        <v>42252</v>
      </c>
      <c r="G3243">
        <v>969136035</v>
      </c>
      <c r="H3243" t="s">
        <v>317</v>
      </c>
      <c r="I3243">
        <v>7744</v>
      </c>
      <c r="J3243">
        <v>421.89</v>
      </c>
      <c r="K3243">
        <v>364.69</v>
      </c>
      <c r="L3243">
        <v>3267116.16</v>
      </c>
      <c r="M3243">
        <v>2824159.36</v>
      </c>
      <c r="N3243">
        <v>442956.79999999999</v>
      </c>
    </row>
    <row r="3244" spans="1:14" x14ac:dyDescent="0.25">
      <c r="A3244" t="s">
        <v>51</v>
      </c>
      <c r="B3244" t="s">
        <v>210</v>
      </c>
      <c r="C3244" t="s">
        <v>16</v>
      </c>
      <c r="D3244" t="s">
        <v>17</v>
      </c>
      <c r="E3244" t="s">
        <v>45</v>
      </c>
      <c r="F3244" t="s">
        <v>1682</v>
      </c>
      <c r="G3244">
        <v>743113362</v>
      </c>
      <c r="H3244" t="s">
        <v>866</v>
      </c>
      <c r="I3244">
        <v>2612</v>
      </c>
      <c r="J3244">
        <v>255.28</v>
      </c>
      <c r="K3244">
        <v>159.41999999999999</v>
      </c>
      <c r="L3244">
        <v>666791.36</v>
      </c>
      <c r="M3244">
        <v>416405.04</v>
      </c>
      <c r="N3244">
        <v>250386.32</v>
      </c>
    </row>
    <row r="3245" spans="1:14" x14ac:dyDescent="0.25">
      <c r="A3245" t="s">
        <v>29</v>
      </c>
      <c r="B3245" t="s">
        <v>619</v>
      </c>
      <c r="C3245" t="s">
        <v>21</v>
      </c>
      <c r="D3245" t="s">
        <v>22</v>
      </c>
      <c r="E3245" t="s">
        <v>32</v>
      </c>
      <c r="F3245" t="s">
        <v>1727</v>
      </c>
      <c r="G3245">
        <v>519686210</v>
      </c>
      <c r="H3245" t="s">
        <v>930</v>
      </c>
      <c r="I3245">
        <v>5553</v>
      </c>
      <c r="J3245">
        <v>152.58000000000001</v>
      </c>
      <c r="K3245">
        <v>97.44</v>
      </c>
      <c r="L3245">
        <v>847276.74</v>
      </c>
      <c r="M3245">
        <v>541084.31999999995</v>
      </c>
      <c r="N3245">
        <v>306192.42</v>
      </c>
    </row>
    <row r="3246" spans="1:14" x14ac:dyDescent="0.25">
      <c r="A3246" t="s">
        <v>14</v>
      </c>
      <c r="B3246" t="s">
        <v>432</v>
      </c>
      <c r="C3246" t="s">
        <v>69</v>
      </c>
      <c r="D3246" t="s">
        <v>17</v>
      </c>
      <c r="E3246" t="s">
        <v>23</v>
      </c>
      <c r="F3246" s="1">
        <v>41006</v>
      </c>
      <c r="G3246">
        <v>337965905</v>
      </c>
      <c r="H3246" t="s">
        <v>1728</v>
      </c>
      <c r="I3246">
        <v>477</v>
      </c>
      <c r="J3246">
        <v>421.89</v>
      </c>
      <c r="K3246">
        <v>364.69</v>
      </c>
      <c r="L3246">
        <v>201241.53</v>
      </c>
      <c r="M3246">
        <v>173957.13</v>
      </c>
      <c r="N3246">
        <v>27284.400000000001</v>
      </c>
    </row>
    <row r="3247" spans="1:14" x14ac:dyDescent="0.25">
      <c r="A3247" t="s">
        <v>51</v>
      </c>
      <c r="B3247" t="s">
        <v>169</v>
      </c>
      <c r="C3247" t="s">
        <v>88</v>
      </c>
      <c r="D3247" t="s">
        <v>22</v>
      </c>
      <c r="E3247" t="s">
        <v>23</v>
      </c>
      <c r="F3247" s="1">
        <v>42590</v>
      </c>
      <c r="G3247">
        <v>307376277</v>
      </c>
      <c r="H3247" t="s">
        <v>1729</v>
      </c>
      <c r="I3247">
        <v>8326</v>
      </c>
      <c r="J3247">
        <v>9.33</v>
      </c>
      <c r="K3247">
        <v>6.92</v>
      </c>
      <c r="L3247">
        <v>77681.58</v>
      </c>
      <c r="M3247">
        <v>57615.92</v>
      </c>
      <c r="N3247">
        <v>20065.66</v>
      </c>
    </row>
    <row r="3248" spans="1:14" x14ac:dyDescent="0.25">
      <c r="A3248" t="s">
        <v>29</v>
      </c>
      <c r="B3248" t="s">
        <v>494</v>
      </c>
      <c r="C3248" t="s">
        <v>113</v>
      </c>
      <c r="D3248" t="s">
        <v>22</v>
      </c>
      <c r="E3248" t="s">
        <v>45</v>
      </c>
      <c r="F3248" t="s">
        <v>1317</v>
      </c>
      <c r="G3248">
        <v>157653653</v>
      </c>
      <c r="H3248" t="s">
        <v>425</v>
      </c>
      <c r="I3248">
        <v>2074</v>
      </c>
      <c r="J3248">
        <v>154.06</v>
      </c>
      <c r="K3248">
        <v>90.93</v>
      </c>
      <c r="L3248">
        <v>319520.44</v>
      </c>
      <c r="M3248">
        <v>188588.82</v>
      </c>
      <c r="N3248">
        <v>130931.62</v>
      </c>
    </row>
    <row r="3249" spans="1:14" x14ac:dyDescent="0.25">
      <c r="A3249" t="s">
        <v>42</v>
      </c>
      <c r="B3249" t="s">
        <v>476</v>
      </c>
      <c r="C3249" t="s">
        <v>59</v>
      </c>
      <c r="D3249" t="s">
        <v>22</v>
      </c>
      <c r="E3249" t="s">
        <v>23</v>
      </c>
      <c r="F3249" s="1">
        <v>40521</v>
      </c>
      <c r="G3249">
        <v>588846862</v>
      </c>
      <c r="H3249" t="s">
        <v>742</v>
      </c>
      <c r="I3249">
        <v>1727</v>
      </c>
      <c r="J3249">
        <v>437.2</v>
      </c>
      <c r="K3249">
        <v>263.33</v>
      </c>
      <c r="L3249">
        <v>755044.4</v>
      </c>
      <c r="M3249">
        <v>454770.91</v>
      </c>
      <c r="N3249">
        <v>300273.49</v>
      </c>
    </row>
    <row r="3250" spans="1:14" x14ac:dyDescent="0.25">
      <c r="A3250" t="s">
        <v>51</v>
      </c>
      <c r="B3250" t="s">
        <v>578</v>
      </c>
      <c r="C3250" t="s">
        <v>40</v>
      </c>
      <c r="D3250" t="s">
        <v>22</v>
      </c>
      <c r="E3250" t="s">
        <v>23</v>
      </c>
      <c r="F3250" t="s">
        <v>913</v>
      </c>
      <c r="G3250">
        <v>121317231</v>
      </c>
      <c r="H3250" s="1">
        <v>41306</v>
      </c>
      <c r="I3250">
        <v>9319</v>
      </c>
      <c r="J3250">
        <v>81.73</v>
      </c>
      <c r="K3250">
        <v>56.67</v>
      </c>
      <c r="L3250">
        <v>761641.87</v>
      </c>
      <c r="M3250">
        <v>528107.73</v>
      </c>
      <c r="N3250">
        <v>233534.14</v>
      </c>
    </row>
    <row r="3251" spans="1:14" x14ac:dyDescent="0.25">
      <c r="A3251" t="s">
        <v>14</v>
      </c>
      <c r="B3251" t="s">
        <v>81</v>
      </c>
      <c r="C3251" t="s">
        <v>21</v>
      </c>
      <c r="D3251" t="s">
        <v>17</v>
      </c>
      <c r="E3251" t="s">
        <v>23</v>
      </c>
      <c r="F3251" s="1">
        <v>41681</v>
      </c>
      <c r="G3251">
        <v>945738589</v>
      </c>
      <c r="H3251" t="s">
        <v>1012</v>
      </c>
      <c r="I3251">
        <v>3920</v>
      </c>
      <c r="J3251">
        <v>152.58000000000001</v>
      </c>
      <c r="K3251">
        <v>97.44</v>
      </c>
      <c r="L3251">
        <v>598113.6</v>
      </c>
      <c r="M3251">
        <v>381964.79999999999</v>
      </c>
      <c r="N3251">
        <v>216148.8</v>
      </c>
    </row>
    <row r="3252" spans="1:14" x14ac:dyDescent="0.25">
      <c r="A3252" t="s">
        <v>38</v>
      </c>
      <c r="B3252" t="s">
        <v>68</v>
      </c>
      <c r="C3252" t="s">
        <v>44</v>
      </c>
      <c r="D3252" t="s">
        <v>22</v>
      </c>
      <c r="E3252" t="s">
        <v>45</v>
      </c>
      <c r="F3252" t="s">
        <v>1311</v>
      </c>
      <c r="G3252">
        <v>373097264</v>
      </c>
      <c r="H3252" s="1">
        <v>42893</v>
      </c>
      <c r="I3252">
        <v>6626</v>
      </c>
      <c r="J3252">
        <v>109.28</v>
      </c>
      <c r="K3252">
        <v>35.840000000000003</v>
      </c>
      <c r="L3252">
        <v>724089.28</v>
      </c>
      <c r="M3252">
        <v>237475.84</v>
      </c>
      <c r="N3252">
        <v>486613.44</v>
      </c>
    </row>
    <row r="3253" spans="1:14" x14ac:dyDescent="0.25">
      <c r="A3253" t="s">
        <v>14</v>
      </c>
      <c r="B3253" t="s">
        <v>64</v>
      </c>
      <c r="C3253" t="s">
        <v>113</v>
      </c>
      <c r="D3253" t="s">
        <v>22</v>
      </c>
      <c r="E3253" t="s">
        <v>18</v>
      </c>
      <c r="F3253" t="s">
        <v>769</v>
      </c>
      <c r="G3253">
        <v>284692084</v>
      </c>
      <c r="H3253" s="1">
        <v>41091</v>
      </c>
      <c r="I3253">
        <v>5569</v>
      </c>
      <c r="J3253">
        <v>154.06</v>
      </c>
      <c r="K3253">
        <v>90.93</v>
      </c>
      <c r="L3253">
        <v>857960.14</v>
      </c>
      <c r="M3253">
        <v>506389.17</v>
      </c>
      <c r="N3253">
        <v>351570.97</v>
      </c>
    </row>
    <row r="3254" spans="1:14" x14ac:dyDescent="0.25">
      <c r="A3254" t="s">
        <v>29</v>
      </c>
      <c r="B3254" t="s">
        <v>356</v>
      </c>
      <c r="C3254" t="s">
        <v>88</v>
      </c>
      <c r="D3254" t="s">
        <v>17</v>
      </c>
      <c r="E3254" t="s">
        <v>23</v>
      </c>
      <c r="F3254" t="s">
        <v>690</v>
      </c>
      <c r="G3254">
        <v>382134377</v>
      </c>
      <c r="H3254" s="1">
        <v>41071</v>
      </c>
      <c r="I3254">
        <v>909</v>
      </c>
      <c r="J3254">
        <v>9.33</v>
      </c>
      <c r="K3254">
        <v>6.92</v>
      </c>
      <c r="L3254">
        <v>8480.9699999999993</v>
      </c>
      <c r="M3254">
        <v>6290.28</v>
      </c>
      <c r="N3254">
        <v>2190.69</v>
      </c>
    </row>
    <row r="3255" spans="1:14" x14ac:dyDescent="0.25">
      <c r="A3255" t="s">
        <v>51</v>
      </c>
      <c r="B3255" t="s">
        <v>542</v>
      </c>
      <c r="C3255" t="s">
        <v>55</v>
      </c>
      <c r="D3255" t="s">
        <v>17</v>
      </c>
      <c r="E3255" t="s">
        <v>23</v>
      </c>
      <c r="F3255" s="1">
        <v>42381</v>
      </c>
      <c r="G3255">
        <v>437347972</v>
      </c>
      <c r="H3255" t="s">
        <v>624</v>
      </c>
      <c r="I3255">
        <v>9839</v>
      </c>
      <c r="J3255">
        <v>651.21</v>
      </c>
      <c r="K3255">
        <v>524.96</v>
      </c>
      <c r="L3255">
        <v>6407255.1900000004</v>
      </c>
      <c r="M3255">
        <v>5165081.4400000004</v>
      </c>
      <c r="N3255">
        <v>1242173.75</v>
      </c>
    </row>
    <row r="3256" spans="1:14" x14ac:dyDescent="0.25">
      <c r="A3256" t="s">
        <v>25</v>
      </c>
      <c r="B3256" t="s">
        <v>112</v>
      </c>
      <c r="C3256" t="s">
        <v>113</v>
      </c>
      <c r="D3256" t="s">
        <v>17</v>
      </c>
      <c r="E3256" t="s">
        <v>18</v>
      </c>
      <c r="F3256" t="s">
        <v>1103</v>
      </c>
      <c r="G3256">
        <v>742569196</v>
      </c>
      <c r="H3256" t="s">
        <v>484</v>
      </c>
      <c r="I3256">
        <v>1581</v>
      </c>
      <c r="J3256">
        <v>154.06</v>
      </c>
      <c r="K3256">
        <v>90.93</v>
      </c>
      <c r="L3256">
        <v>243568.86</v>
      </c>
      <c r="M3256">
        <v>143760.32999999999</v>
      </c>
      <c r="N3256">
        <v>99808.53</v>
      </c>
    </row>
    <row r="3257" spans="1:14" x14ac:dyDescent="0.25">
      <c r="A3257" t="s">
        <v>25</v>
      </c>
      <c r="B3257" t="s">
        <v>218</v>
      </c>
      <c r="C3257" t="s">
        <v>131</v>
      </c>
      <c r="D3257" t="s">
        <v>17</v>
      </c>
      <c r="E3257" t="s">
        <v>18</v>
      </c>
      <c r="F3257" t="s">
        <v>1133</v>
      </c>
      <c r="G3257">
        <v>760346877</v>
      </c>
      <c r="H3257" s="1">
        <v>42529</v>
      </c>
      <c r="I3257">
        <v>2392</v>
      </c>
      <c r="J3257">
        <v>668.27</v>
      </c>
      <c r="K3257">
        <v>502.54</v>
      </c>
      <c r="L3257">
        <v>1598501.84</v>
      </c>
      <c r="M3257">
        <v>1202075.68</v>
      </c>
      <c r="N3257">
        <v>396426.16</v>
      </c>
    </row>
    <row r="3258" spans="1:14" x14ac:dyDescent="0.25">
      <c r="A3258" t="s">
        <v>14</v>
      </c>
      <c r="B3258" t="s">
        <v>98</v>
      </c>
      <c r="C3258" t="s">
        <v>21</v>
      </c>
      <c r="D3258" t="s">
        <v>17</v>
      </c>
      <c r="E3258" t="s">
        <v>45</v>
      </c>
      <c r="F3258" s="1">
        <v>40665</v>
      </c>
      <c r="G3258">
        <v>473542344</v>
      </c>
      <c r="H3258" s="1">
        <v>40788</v>
      </c>
      <c r="I3258">
        <v>558</v>
      </c>
      <c r="J3258">
        <v>152.58000000000001</v>
      </c>
      <c r="K3258">
        <v>97.44</v>
      </c>
      <c r="L3258">
        <v>85139.64</v>
      </c>
      <c r="M3258">
        <v>54371.519999999997</v>
      </c>
      <c r="N3258">
        <v>30768.12</v>
      </c>
    </row>
    <row r="3259" spans="1:14" x14ac:dyDescent="0.25">
      <c r="A3259" t="s">
        <v>51</v>
      </c>
      <c r="B3259" t="s">
        <v>169</v>
      </c>
      <c r="C3259" t="s">
        <v>113</v>
      </c>
      <c r="D3259" t="s">
        <v>17</v>
      </c>
      <c r="E3259" t="s">
        <v>18</v>
      </c>
      <c r="F3259" t="s">
        <v>710</v>
      </c>
      <c r="G3259">
        <v>835329425</v>
      </c>
      <c r="H3259" t="s">
        <v>827</v>
      </c>
      <c r="I3259">
        <v>1395</v>
      </c>
      <c r="J3259">
        <v>154.06</v>
      </c>
      <c r="K3259">
        <v>90.93</v>
      </c>
      <c r="L3259">
        <v>214913.7</v>
      </c>
      <c r="M3259">
        <v>126847.35</v>
      </c>
      <c r="N3259">
        <v>88066.35</v>
      </c>
    </row>
    <row r="3260" spans="1:14" x14ac:dyDescent="0.25">
      <c r="A3260" t="s">
        <v>38</v>
      </c>
      <c r="B3260" t="s">
        <v>190</v>
      </c>
      <c r="C3260" t="s">
        <v>113</v>
      </c>
      <c r="D3260" t="s">
        <v>17</v>
      </c>
      <c r="E3260" t="s">
        <v>32</v>
      </c>
      <c r="F3260" s="1">
        <v>41760</v>
      </c>
      <c r="G3260">
        <v>619194447</v>
      </c>
      <c r="H3260" s="1">
        <v>41822</v>
      </c>
      <c r="I3260">
        <v>2252</v>
      </c>
      <c r="J3260">
        <v>154.06</v>
      </c>
      <c r="K3260">
        <v>90.93</v>
      </c>
      <c r="L3260">
        <v>346943.12</v>
      </c>
      <c r="M3260">
        <v>204774.36</v>
      </c>
      <c r="N3260">
        <v>142168.76</v>
      </c>
    </row>
    <row r="3261" spans="1:14" x14ac:dyDescent="0.25">
      <c r="A3261" t="s">
        <v>51</v>
      </c>
      <c r="B3261" t="s">
        <v>108</v>
      </c>
      <c r="C3261" t="s">
        <v>113</v>
      </c>
      <c r="D3261" t="s">
        <v>17</v>
      </c>
      <c r="E3261" t="s">
        <v>18</v>
      </c>
      <c r="F3261" t="s">
        <v>1192</v>
      </c>
      <c r="G3261">
        <v>468936240</v>
      </c>
      <c r="H3261" s="1">
        <v>42407</v>
      </c>
      <c r="I3261">
        <v>7509</v>
      </c>
      <c r="J3261">
        <v>154.06</v>
      </c>
      <c r="K3261">
        <v>90.93</v>
      </c>
      <c r="L3261">
        <v>1156836.54</v>
      </c>
      <c r="M3261">
        <v>682793.37</v>
      </c>
      <c r="N3261">
        <v>474043.17</v>
      </c>
    </row>
    <row r="3262" spans="1:14" x14ac:dyDescent="0.25">
      <c r="A3262" t="s">
        <v>42</v>
      </c>
      <c r="B3262" t="s">
        <v>681</v>
      </c>
      <c r="C3262" t="s">
        <v>55</v>
      </c>
      <c r="D3262" t="s">
        <v>22</v>
      </c>
      <c r="E3262" t="s">
        <v>32</v>
      </c>
      <c r="F3262" t="s">
        <v>663</v>
      </c>
      <c r="G3262">
        <v>648666131</v>
      </c>
      <c r="H3262" s="1">
        <v>41985</v>
      </c>
      <c r="I3262">
        <v>3578</v>
      </c>
      <c r="J3262">
        <v>651.21</v>
      </c>
      <c r="K3262">
        <v>524.96</v>
      </c>
      <c r="L3262">
        <v>2330029.38</v>
      </c>
      <c r="M3262">
        <v>1878306.88</v>
      </c>
      <c r="N3262">
        <v>451722.5</v>
      </c>
    </row>
    <row r="3263" spans="1:14" x14ac:dyDescent="0.25">
      <c r="A3263" t="s">
        <v>38</v>
      </c>
      <c r="B3263" t="s">
        <v>49</v>
      </c>
      <c r="C3263" t="s">
        <v>131</v>
      </c>
      <c r="D3263" t="s">
        <v>22</v>
      </c>
      <c r="E3263" t="s">
        <v>23</v>
      </c>
      <c r="F3263" t="s">
        <v>409</v>
      </c>
      <c r="G3263">
        <v>592807948</v>
      </c>
      <c r="H3263" t="s">
        <v>1394</v>
      </c>
      <c r="I3263">
        <v>3900</v>
      </c>
      <c r="J3263">
        <v>668.27</v>
      </c>
      <c r="K3263">
        <v>502.54</v>
      </c>
      <c r="L3263">
        <v>2606253</v>
      </c>
      <c r="M3263">
        <v>1959906</v>
      </c>
      <c r="N3263">
        <v>646347</v>
      </c>
    </row>
    <row r="3264" spans="1:14" x14ac:dyDescent="0.25">
      <c r="A3264" t="s">
        <v>51</v>
      </c>
      <c r="B3264" t="s">
        <v>734</v>
      </c>
      <c r="C3264" t="s">
        <v>16</v>
      </c>
      <c r="D3264" t="s">
        <v>22</v>
      </c>
      <c r="E3264" t="s">
        <v>18</v>
      </c>
      <c r="F3264" s="1">
        <v>41647</v>
      </c>
      <c r="G3264">
        <v>256098020</v>
      </c>
      <c r="H3264" t="s">
        <v>409</v>
      </c>
      <c r="I3264">
        <v>3950</v>
      </c>
      <c r="J3264">
        <v>255.28</v>
      </c>
      <c r="K3264">
        <v>159.41999999999999</v>
      </c>
      <c r="L3264">
        <v>1008356</v>
      </c>
      <c r="M3264">
        <v>629709</v>
      </c>
      <c r="N3264">
        <v>378647</v>
      </c>
    </row>
    <row r="3265" spans="1:14" x14ac:dyDescent="0.25">
      <c r="A3265" t="s">
        <v>29</v>
      </c>
      <c r="B3265" t="s">
        <v>585</v>
      </c>
      <c r="C3265" t="s">
        <v>131</v>
      </c>
      <c r="D3265" t="s">
        <v>17</v>
      </c>
      <c r="E3265" t="s">
        <v>23</v>
      </c>
      <c r="F3265" t="s">
        <v>1180</v>
      </c>
      <c r="G3265">
        <v>563585174</v>
      </c>
      <c r="H3265" t="s">
        <v>1730</v>
      </c>
      <c r="I3265">
        <v>6232</v>
      </c>
      <c r="J3265">
        <v>668.27</v>
      </c>
      <c r="K3265">
        <v>502.54</v>
      </c>
      <c r="L3265">
        <v>4164658.64</v>
      </c>
      <c r="M3265">
        <v>3131829.28</v>
      </c>
      <c r="N3265">
        <v>1032829.36</v>
      </c>
    </row>
    <row r="3266" spans="1:14" x14ac:dyDescent="0.25">
      <c r="A3266" t="s">
        <v>25</v>
      </c>
      <c r="B3266" t="s">
        <v>386</v>
      </c>
      <c r="C3266" t="s">
        <v>59</v>
      </c>
      <c r="D3266" t="s">
        <v>17</v>
      </c>
      <c r="E3266" t="s">
        <v>18</v>
      </c>
      <c r="F3266" s="1">
        <v>42135</v>
      </c>
      <c r="G3266">
        <v>260630738</v>
      </c>
      <c r="H3266" t="s">
        <v>397</v>
      </c>
      <c r="I3266">
        <v>5282</v>
      </c>
      <c r="J3266">
        <v>437.2</v>
      </c>
      <c r="K3266">
        <v>263.33</v>
      </c>
      <c r="L3266">
        <v>2309290.4</v>
      </c>
      <c r="M3266">
        <v>1390909.06</v>
      </c>
      <c r="N3266">
        <v>918381.34</v>
      </c>
    </row>
    <row r="3267" spans="1:14" x14ac:dyDescent="0.25">
      <c r="A3267" t="s">
        <v>29</v>
      </c>
      <c r="B3267" t="s">
        <v>124</v>
      </c>
      <c r="C3267" t="s">
        <v>131</v>
      </c>
      <c r="D3267" t="s">
        <v>22</v>
      </c>
      <c r="E3267" t="s">
        <v>45</v>
      </c>
      <c r="F3267" s="1">
        <v>42527</v>
      </c>
      <c r="G3267">
        <v>862908542</v>
      </c>
      <c r="H3267" s="1">
        <v>42620</v>
      </c>
      <c r="I3267">
        <v>2668</v>
      </c>
      <c r="J3267">
        <v>668.27</v>
      </c>
      <c r="K3267">
        <v>502.54</v>
      </c>
      <c r="L3267">
        <v>1782944.36</v>
      </c>
      <c r="M3267">
        <v>1340776.72</v>
      </c>
      <c r="N3267">
        <v>442167.64</v>
      </c>
    </row>
    <row r="3268" spans="1:14" x14ac:dyDescent="0.25">
      <c r="A3268" t="s">
        <v>29</v>
      </c>
      <c r="B3268" t="s">
        <v>315</v>
      </c>
      <c r="C3268" t="s">
        <v>40</v>
      </c>
      <c r="D3268" t="s">
        <v>22</v>
      </c>
      <c r="E3268" t="s">
        <v>23</v>
      </c>
      <c r="F3268" t="s">
        <v>1169</v>
      </c>
      <c r="G3268">
        <v>806404912</v>
      </c>
      <c r="H3268" t="s">
        <v>767</v>
      </c>
      <c r="I3268">
        <v>1988</v>
      </c>
      <c r="J3268">
        <v>81.73</v>
      </c>
      <c r="K3268">
        <v>56.67</v>
      </c>
      <c r="L3268">
        <v>162479.24</v>
      </c>
      <c r="M3268">
        <v>112659.96</v>
      </c>
      <c r="N3268">
        <v>49819.28</v>
      </c>
    </row>
    <row r="3269" spans="1:14" x14ac:dyDescent="0.25">
      <c r="A3269" t="s">
        <v>51</v>
      </c>
      <c r="B3269" t="s">
        <v>260</v>
      </c>
      <c r="C3269" t="s">
        <v>131</v>
      </c>
      <c r="D3269" t="s">
        <v>22</v>
      </c>
      <c r="E3269" t="s">
        <v>23</v>
      </c>
      <c r="F3269" t="s">
        <v>95</v>
      </c>
      <c r="G3269">
        <v>397418677</v>
      </c>
      <c r="H3269" s="1">
        <v>41674</v>
      </c>
      <c r="I3269">
        <v>3873</v>
      </c>
      <c r="J3269">
        <v>668.27</v>
      </c>
      <c r="K3269">
        <v>502.54</v>
      </c>
      <c r="L3269">
        <v>2588209.71</v>
      </c>
      <c r="M3269">
        <v>1946337.42</v>
      </c>
      <c r="N3269">
        <v>641872.29</v>
      </c>
    </row>
    <row r="3270" spans="1:14" x14ac:dyDescent="0.25">
      <c r="A3270" t="s">
        <v>25</v>
      </c>
      <c r="B3270" t="s">
        <v>426</v>
      </c>
      <c r="C3270" t="s">
        <v>69</v>
      </c>
      <c r="D3270" t="s">
        <v>17</v>
      </c>
      <c r="E3270" t="s">
        <v>45</v>
      </c>
      <c r="F3270" s="1">
        <v>41309</v>
      </c>
      <c r="G3270">
        <v>462561166</v>
      </c>
      <c r="H3270" s="1">
        <v>41310</v>
      </c>
      <c r="I3270">
        <v>983</v>
      </c>
      <c r="J3270">
        <v>421.89</v>
      </c>
      <c r="K3270">
        <v>364.69</v>
      </c>
      <c r="L3270">
        <v>414717.87</v>
      </c>
      <c r="M3270">
        <v>358490.27</v>
      </c>
      <c r="N3270">
        <v>56227.6</v>
      </c>
    </row>
    <row r="3271" spans="1:14" x14ac:dyDescent="0.25">
      <c r="A3271" t="s">
        <v>29</v>
      </c>
      <c r="B3271" t="s">
        <v>315</v>
      </c>
      <c r="C3271" t="s">
        <v>40</v>
      </c>
      <c r="D3271" t="s">
        <v>17</v>
      </c>
      <c r="E3271" t="s">
        <v>18</v>
      </c>
      <c r="F3271" t="s">
        <v>1494</v>
      </c>
      <c r="G3271">
        <v>998756206</v>
      </c>
      <c r="H3271" t="s">
        <v>735</v>
      </c>
      <c r="I3271">
        <v>3011</v>
      </c>
      <c r="J3271">
        <v>81.73</v>
      </c>
      <c r="K3271">
        <v>56.67</v>
      </c>
      <c r="L3271">
        <v>246089.03</v>
      </c>
      <c r="M3271">
        <v>170633.37</v>
      </c>
      <c r="N3271">
        <v>75455.66</v>
      </c>
    </row>
    <row r="3272" spans="1:14" x14ac:dyDescent="0.25">
      <c r="A3272" t="s">
        <v>51</v>
      </c>
      <c r="B3272" t="s">
        <v>274</v>
      </c>
      <c r="C3272" t="s">
        <v>59</v>
      </c>
      <c r="D3272" t="s">
        <v>22</v>
      </c>
      <c r="E3272" t="s">
        <v>45</v>
      </c>
      <c r="F3272" t="s">
        <v>392</v>
      </c>
      <c r="G3272">
        <v>723240125</v>
      </c>
      <c r="H3272" t="s">
        <v>896</v>
      </c>
      <c r="I3272">
        <v>1680</v>
      </c>
      <c r="J3272">
        <v>437.2</v>
      </c>
      <c r="K3272">
        <v>263.33</v>
      </c>
      <c r="L3272">
        <v>734496</v>
      </c>
      <c r="M3272">
        <v>442394.4</v>
      </c>
      <c r="N3272">
        <v>292101.59999999998</v>
      </c>
    </row>
    <row r="3273" spans="1:14" x14ac:dyDescent="0.25">
      <c r="A3273" t="s">
        <v>29</v>
      </c>
      <c r="B3273" t="s">
        <v>485</v>
      </c>
      <c r="C3273" t="s">
        <v>44</v>
      </c>
      <c r="D3273" t="s">
        <v>22</v>
      </c>
      <c r="E3273" t="s">
        <v>45</v>
      </c>
      <c r="F3273" s="1">
        <v>40459</v>
      </c>
      <c r="G3273">
        <v>223561751</v>
      </c>
      <c r="H3273" t="s">
        <v>1650</v>
      </c>
      <c r="I3273">
        <v>5745</v>
      </c>
      <c r="J3273">
        <v>109.28</v>
      </c>
      <c r="K3273">
        <v>35.840000000000003</v>
      </c>
      <c r="L3273">
        <v>627813.6</v>
      </c>
      <c r="M3273">
        <v>205900.79999999999</v>
      </c>
      <c r="N3273">
        <v>421912.8</v>
      </c>
    </row>
    <row r="3274" spans="1:14" x14ac:dyDescent="0.25">
      <c r="A3274" t="s">
        <v>77</v>
      </c>
      <c r="B3274" t="s">
        <v>320</v>
      </c>
      <c r="C3274" t="s">
        <v>69</v>
      </c>
      <c r="D3274" t="s">
        <v>22</v>
      </c>
      <c r="E3274" t="s">
        <v>18</v>
      </c>
      <c r="F3274" t="s">
        <v>841</v>
      </c>
      <c r="G3274">
        <v>607582414</v>
      </c>
      <c r="H3274" t="s">
        <v>474</v>
      </c>
      <c r="I3274">
        <v>5993</v>
      </c>
      <c r="J3274">
        <v>421.89</v>
      </c>
      <c r="K3274">
        <v>364.69</v>
      </c>
      <c r="L3274">
        <v>2528386.77</v>
      </c>
      <c r="M3274">
        <v>2185587.17</v>
      </c>
      <c r="N3274">
        <v>342799.6</v>
      </c>
    </row>
    <row r="3275" spans="1:14" x14ac:dyDescent="0.25">
      <c r="A3275" t="s">
        <v>25</v>
      </c>
      <c r="B3275" t="s">
        <v>172</v>
      </c>
      <c r="C3275" t="s">
        <v>40</v>
      </c>
      <c r="D3275" t="s">
        <v>22</v>
      </c>
      <c r="E3275" t="s">
        <v>45</v>
      </c>
      <c r="F3275" s="1">
        <v>41680</v>
      </c>
      <c r="G3275">
        <v>353475940</v>
      </c>
      <c r="H3275" s="1">
        <v>41739</v>
      </c>
      <c r="I3275">
        <v>240</v>
      </c>
      <c r="J3275">
        <v>81.73</v>
      </c>
      <c r="K3275">
        <v>56.67</v>
      </c>
      <c r="L3275">
        <v>19615.2</v>
      </c>
      <c r="M3275">
        <v>13600.8</v>
      </c>
      <c r="N3275">
        <v>6014.4</v>
      </c>
    </row>
    <row r="3276" spans="1:14" x14ac:dyDescent="0.25">
      <c r="A3276" t="s">
        <v>42</v>
      </c>
      <c r="B3276" t="s">
        <v>573</v>
      </c>
      <c r="C3276" t="s">
        <v>31</v>
      </c>
      <c r="D3276" t="s">
        <v>22</v>
      </c>
      <c r="E3276" t="s">
        <v>45</v>
      </c>
      <c r="F3276" s="1">
        <v>42856</v>
      </c>
      <c r="G3276">
        <v>259728658</v>
      </c>
      <c r="H3276" t="s">
        <v>1540</v>
      </c>
      <c r="I3276">
        <v>8336</v>
      </c>
      <c r="J3276">
        <v>205.7</v>
      </c>
      <c r="K3276">
        <v>117.11</v>
      </c>
      <c r="L3276">
        <v>1714715.2</v>
      </c>
      <c r="M3276">
        <v>976228.96</v>
      </c>
      <c r="N3276">
        <v>738486.24</v>
      </c>
    </row>
    <row r="3277" spans="1:14" x14ac:dyDescent="0.25">
      <c r="A3277" t="s">
        <v>51</v>
      </c>
      <c r="B3277" t="s">
        <v>487</v>
      </c>
      <c r="C3277" t="s">
        <v>31</v>
      </c>
      <c r="D3277" t="s">
        <v>22</v>
      </c>
      <c r="E3277" t="s">
        <v>32</v>
      </c>
      <c r="F3277" t="s">
        <v>1115</v>
      </c>
      <c r="G3277">
        <v>295139396</v>
      </c>
      <c r="H3277" t="s">
        <v>512</v>
      </c>
      <c r="I3277">
        <v>7161</v>
      </c>
      <c r="J3277">
        <v>205.7</v>
      </c>
      <c r="K3277">
        <v>117.11</v>
      </c>
      <c r="L3277">
        <v>1473017.7</v>
      </c>
      <c r="M3277">
        <v>838624.71</v>
      </c>
      <c r="N3277">
        <v>634392.99</v>
      </c>
    </row>
    <row r="3278" spans="1:14" x14ac:dyDescent="0.25">
      <c r="A3278" t="s">
        <v>42</v>
      </c>
      <c r="B3278" t="s">
        <v>174</v>
      </c>
      <c r="C3278" t="s">
        <v>113</v>
      </c>
      <c r="D3278" t="s">
        <v>17</v>
      </c>
      <c r="E3278" t="s">
        <v>32</v>
      </c>
      <c r="F3278" t="s">
        <v>950</v>
      </c>
      <c r="G3278">
        <v>948819482</v>
      </c>
      <c r="H3278" t="s">
        <v>1731</v>
      </c>
      <c r="I3278">
        <v>5624</v>
      </c>
      <c r="J3278">
        <v>154.06</v>
      </c>
      <c r="K3278">
        <v>90.93</v>
      </c>
      <c r="L3278">
        <v>866433.44</v>
      </c>
      <c r="M3278">
        <v>511390.32</v>
      </c>
      <c r="N3278">
        <v>355043.12</v>
      </c>
    </row>
    <row r="3279" spans="1:14" x14ac:dyDescent="0.25">
      <c r="A3279" t="s">
        <v>51</v>
      </c>
      <c r="B3279" t="s">
        <v>260</v>
      </c>
      <c r="C3279" t="s">
        <v>16</v>
      </c>
      <c r="D3279" t="s">
        <v>22</v>
      </c>
      <c r="E3279" t="s">
        <v>18</v>
      </c>
      <c r="F3279" s="1">
        <v>42953</v>
      </c>
      <c r="G3279">
        <v>980192744</v>
      </c>
      <c r="H3279" s="1">
        <v>43076</v>
      </c>
      <c r="I3279">
        <v>9670</v>
      </c>
      <c r="J3279">
        <v>255.28</v>
      </c>
      <c r="K3279">
        <v>159.41999999999999</v>
      </c>
      <c r="L3279">
        <v>2468557.6</v>
      </c>
      <c r="M3279">
        <v>1541591.4</v>
      </c>
      <c r="N3279">
        <v>926966.2</v>
      </c>
    </row>
    <row r="3280" spans="1:14" x14ac:dyDescent="0.25">
      <c r="A3280" t="s">
        <v>14</v>
      </c>
      <c r="B3280" t="s">
        <v>357</v>
      </c>
      <c r="C3280" t="s">
        <v>69</v>
      </c>
      <c r="D3280" t="s">
        <v>17</v>
      </c>
      <c r="E3280" t="s">
        <v>23</v>
      </c>
      <c r="F3280" s="1">
        <v>42347</v>
      </c>
      <c r="G3280">
        <v>568995511</v>
      </c>
      <c r="H3280" s="1">
        <v>42015</v>
      </c>
      <c r="I3280">
        <v>7271</v>
      </c>
      <c r="J3280">
        <v>421.89</v>
      </c>
      <c r="K3280">
        <v>364.69</v>
      </c>
      <c r="L3280">
        <v>3067562.19</v>
      </c>
      <c r="M3280">
        <v>2651660.9900000002</v>
      </c>
      <c r="N3280">
        <v>415901.2</v>
      </c>
    </row>
    <row r="3281" spans="1:14" x14ac:dyDescent="0.25">
      <c r="A3281" t="s">
        <v>51</v>
      </c>
      <c r="B3281" t="s">
        <v>367</v>
      </c>
      <c r="C3281" t="s">
        <v>21</v>
      </c>
      <c r="D3281" t="s">
        <v>17</v>
      </c>
      <c r="E3281" t="s">
        <v>23</v>
      </c>
      <c r="F3281" t="s">
        <v>114</v>
      </c>
      <c r="G3281">
        <v>865276610</v>
      </c>
      <c r="H3281" t="s">
        <v>600</v>
      </c>
      <c r="I3281">
        <v>3432</v>
      </c>
      <c r="J3281">
        <v>152.58000000000001</v>
      </c>
      <c r="K3281">
        <v>97.44</v>
      </c>
      <c r="L3281">
        <v>523654.56</v>
      </c>
      <c r="M3281">
        <v>334414.08000000002</v>
      </c>
      <c r="N3281">
        <v>189240.48</v>
      </c>
    </row>
    <row r="3282" spans="1:14" x14ac:dyDescent="0.25">
      <c r="A3282" t="s">
        <v>38</v>
      </c>
      <c r="B3282" t="s">
        <v>39</v>
      </c>
      <c r="C3282" t="s">
        <v>55</v>
      </c>
      <c r="D3282" t="s">
        <v>17</v>
      </c>
      <c r="E3282" t="s">
        <v>32</v>
      </c>
      <c r="F3282" t="s">
        <v>1349</v>
      </c>
      <c r="G3282">
        <v>839397370</v>
      </c>
      <c r="H3282" t="s">
        <v>1732</v>
      </c>
      <c r="I3282">
        <v>5190</v>
      </c>
      <c r="J3282">
        <v>651.21</v>
      </c>
      <c r="K3282">
        <v>524.96</v>
      </c>
      <c r="L3282">
        <v>3379779.9</v>
      </c>
      <c r="M3282">
        <v>2724542.4</v>
      </c>
      <c r="N3282">
        <v>655237.5</v>
      </c>
    </row>
    <row r="3283" spans="1:14" x14ac:dyDescent="0.25">
      <c r="A3283" t="s">
        <v>25</v>
      </c>
      <c r="B3283" t="s">
        <v>284</v>
      </c>
      <c r="C3283" t="s">
        <v>27</v>
      </c>
      <c r="D3283" t="s">
        <v>17</v>
      </c>
      <c r="E3283" t="s">
        <v>45</v>
      </c>
      <c r="F3283" s="1">
        <v>40669</v>
      </c>
      <c r="G3283">
        <v>432031619</v>
      </c>
      <c r="H3283" t="s">
        <v>553</v>
      </c>
      <c r="I3283">
        <v>6612</v>
      </c>
      <c r="J3283">
        <v>47.45</v>
      </c>
      <c r="K3283">
        <v>31.79</v>
      </c>
      <c r="L3283">
        <v>313739.40000000002</v>
      </c>
      <c r="M3283">
        <v>210195.48</v>
      </c>
      <c r="N3283">
        <v>103543.92</v>
      </c>
    </row>
    <row r="3284" spans="1:14" x14ac:dyDescent="0.25">
      <c r="A3284" t="s">
        <v>25</v>
      </c>
      <c r="B3284" t="s">
        <v>284</v>
      </c>
      <c r="C3284" t="s">
        <v>131</v>
      </c>
      <c r="D3284" t="s">
        <v>17</v>
      </c>
      <c r="E3284" t="s">
        <v>32</v>
      </c>
      <c r="F3284" t="s">
        <v>1653</v>
      </c>
      <c r="G3284">
        <v>104165685</v>
      </c>
      <c r="H3284" s="1">
        <v>41063</v>
      </c>
      <c r="I3284">
        <v>3796</v>
      </c>
      <c r="J3284">
        <v>668.27</v>
      </c>
      <c r="K3284">
        <v>502.54</v>
      </c>
      <c r="L3284">
        <v>2536752.92</v>
      </c>
      <c r="M3284">
        <v>1907641.84</v>
      </c>
      <c r="N3284">
        <v>629111.07999999996</v>
      </c>
    </row>
    <row r="3285" spans="1:14" x14ac:dyDescent="0.25">
      <c r="A3285" t="s">
        <v>51</v>
      </c>
      <c r="B3285" t="s">
        <v>169</v>
      </c>
      <c r="C3285" t="s">
        <v>88</v>
      </c>
      <c r="D3285" t="s">
        <v>22</v>
      </c>
      <c r="E3285" t="s">
        <v>18</v>
      </c>
      <c r="F3285" t="s">
        <v>602</v>
      </c>
      <c r="G3285">
        <v>387098395</v>
      </c>
      <c r="H3285" s="1">
        <v>40674</v>
      </c>
      <c r="I3285">
        <v>9872</v>
      </c>
      <c r="J3285">
        <v>9.33</v>
      </c>
      <c r="K3285">
        <v>6.92</v>
      </c>
      <c r="L3285">
        <v>92105.76</v>
      </c>
      <c r="M3285">
        <v>68314.240000000005</v>
      </c>
      <c r="N3285">
        <v>23791.52</v>
      </c>
    </row>
    <row r="3286" spans="1:14" x14ac:dyDescent="0.25">
      <c r="A3286" t="s">
        <v>14</v>
      </c>
      <c r="B3286" t="s">
        <v>370</v>
      </c>
      <c r="C3286" t="s">
        <v>44</v>
      </c>
      <c r="D3286" t="s">
        <v>22</v>
      </c>
      <c r="E3286" t="s">
        <v>32</v>
      </c>
      <c r="F3286" t="s">
        <v>48</v>
      </c>
      <c r="G3286">
        <v>532441079</v>
      </c>
      <c r="H3286" s="1">
        <v>41497</v>
      </c>
      <c r="I3286">
        <v>2</v>
      </c>
      <c r="J3286">
        <v>109.28</v>
      </c>
      <c r="K3286">
        <v>35.840000000000003</v>
      </c>
      <c r="L3286">
        <v>218.56</v>
      </c>
      <c r="M3286">
        <v>71.680000000000007</v>
      </c>
      <c r="N3286">
        <v>146.88</v>
      </c>
    </row>
    <row r="3287" spans="1:14" x14ac:dyDescent="0.25">
      <c r="A3287" t="s">
        <v>25</v>
      </c>
      <c r="B3287" t="s">
        <v>196</v>
      </c>
      <c r="C3287" t="s">
        <v>40</v>
      </c>
      <c r="D3287" t="s">
        <v>17</v>
      </c>
      <c r="E3287" t="s">
        <v>18</v>
      </c>
      <c r="F3287" t="s">
        <v>948</v>
      </c>
      <c r="G3287">
        <v>762117564</v>
      </c>
      <c r="H3287" t="s">
        <v>46</v>
      </c>
      <c r="I3287">
        <v>6378</v>
      </c>
      <c r="J3287">
        <v>81.73</v>
      </c>
      <c r="K3287">
        <v>56.67</v>
      </c>
      <c r="L3287">
        <v>521273.94</v>
      </c>
      <c r="M3287">
        <v>361441.26</v>
      </c>
      <c r="N3287">
        <v>159832.68</v>
      </c>
    </row>
    <row r="3288" spans="1:14" x14ac:dyDescent="0.25">
      <c r="A3288" t="s">
        <v>25</v>
      </c>
      <c r="B3288" t="s">
        <v>134</v>
      </c>
      <c r="C3288" t="s">
        <v>21</v>
      </c>
      <c r="D3288" t="s">
        <v>22</v>
      </c>
      <c r="E3288" t="s">
        <v>45</v>
      </c>
      <c r="F3288" s="1">
        <v>41550</v>
      </c>
      <c r="G3288">
        <v>918364179</v>
      </c>
      <c r="H3288" s="1">
        <v>41582</v>
      </c>
      <c r="I3288">
        <v>3223</v>
      </c>
      <c r="J3288">
        <v>152.58000000000001</v>
      </c>
      <c r="K3288">
        <v>97.44</v>
      </c>
      <c r="L3288">
        <v>491765.34</v>
      </c>
      <c r="M3288">
        <v>314049.12</v>
      </c>
      <c r="N3288">
        <v>177716.22</v>
      </c>
    </row>
    <row r="3289" spans="1:14" x14ac:dyDescent="0.25">
      <c r="A3289" t="s">
        <v>25</v>
      </c>
      <c r="B3289" t="s">
        <v>785</v>
      </c>
      <c r="C3289" t="s">
        <v>69</v>
      </c>
      <c r="D3289" t="s">
        <v>17</v>
      </c>
      <c r="E3289" t="s">
        <v>18</v>
      </c>
      <c r="F3289" t="s">
        <v>340</v>
      </c>
      <c r="G3289">
        <v>913729751</v>
      </c>
      <c r="H3289" s="1">
        <v>40791</v>
      </c>
      <c r="I3289">
        <v>1793</v>
      </c>
      <c r="J3289">
        <v>421.89</v>
      </c>
      <c r="K3289">
        <v>364.69</v>
      </c>
      <c r="L3289">
        <v>756448.77</v>
      </c>
      <c r="M3289">
        <v>653889.17000000004</v>
      </c>
      <c r="N3289">
        <v>102559.6</v>
      </c>
    </row>
    <row r="3290" spans="1:14" x14ac:dyDescent="0.25">
      <c r="A3290" t="s">
        <v>51</v>
      </c>
      <c r="B3290" t="s">
        <v>877</v>
      </c>
      <c r="C3290" t="s">
        <v>131</v>
      </c>
      <c r="D3290" t="s">
        <v>22</v>
      </c>
      <c r="E3290" t="s">
        <v>45</v>
      </c>
      <c r="F3290" s="1">
        <v>41366</v>
      </c>
      <c r="G3290">
        <v>281075608</v>
      </c>
      <c r="H3290" t="s">
        <v>1198</v>
      </c>
      <c r="I3290">
        <v>5373</v>
      </c>
      <c r="J3290">
        <v>668.27</v>
      </c>
      <c r="K3290">
        <v>502.54</v>
      </c>
      <c r="L3290">
        <v>3590614.71</v>
      </c>
      <c r="M3290">
        <v>2700147.42</v>
      </c>
      <c r="N3290">
        <v>890467.29</v>
      </c>
    </row>
    <row r="3291" spans="1:14" x14ac:dyDescent="0.25">
      <c r="A3291" t="s">
        <v>51</v>
      </c>
      <c r="B3291" t="s">
        <v>210</v>
      </c>
      <c r="C3291" t="s">
        <v>113</v>
      </c>
      <c r="D3291" t="s">
        <v>22</v>
      </c>
      <c r="E3291" t="s">
        <v>45</v>
      </c>
      <c r="F3291" s="1">
        <v>42016</v>
      </c>
      <c r="G3291">
        <v>423575580</v>
      </c>
      <c r="H3291" s="1">
        <v>42289</v>
      </c>
      <c r="I3291">
        <v>4282</v>
      </c>
      <c r="J3291">
        <v>154.06</v>
      </c>
      <c r="K3291">
        <v>90.93</v>
      </c>
      <c r="L3291">
        <v>659684.92000000004</v>
      </c>
      <c r="M3291">
        <v>389362.26</v>
      </c>
      <c r="N3291">
        <v>270322.65999999997</v>
      </c>
    </row>
    <row r="3292" spans="1:14" x14ac:dyDescent="0.25">
      <c r="A3292" t="s">
        <v>38</v>
      </c>
      <c r="B3292" t="s">
        <v>83</v>
      </c>
      <c r="C3292" t="s">
        <v>31</v>
      </c>
      <c r="D3292" t="s">
        <v>22</v>
      </c>
      <c r="E3292" t="s">
        <v>32</v>
      </c>
      <c r="F3292" t="s">
        <v>155</v>
      </c>
      <c r="G3292">
        <v>564715993</v>
      </c>
      <c r="H3292" s="1">
        <v>40245</v>
      </c>
      <c r="I3292">
        <v>866</v>
      </c>
      <c r="J3292">
        <v>205.7</v>
      </c>
      <c r="K3292">
        <v>117.11</v>
      </c>
      <c r="L3292">
        <v>178136.2</v>
      </c>
      <c r="M3292">
        <v>101417.26</v>
      </c>
      <c r="N3292">
        <v>76718.94</v>
      </c>
    </row>
    <row r="3293" spans="1:14" x14ac:dyDescent="0.25">
      <c r="A3293" t="s">
        <v>14</v>
      </c>
      <c r="B3293" t="s">
        <v>98</v>
      </c>
      <c r="C3293" t="s">
        <v>27</v>
      </c>
      <c r="D3293" t="s">
        <v>22</v>
      </c>
      <c r="E3293" t="s">
        <v>45</v>
      </c>
      <c r="F3293" t="s">
        <v>775</v>
      </c>
      <c r="G3293">
        <v>898295676</v>
      </c>
      <c r="H3293" t="s">
        <v>1106</v>
      </c>
      <c r="I3293">
        <v>4508</v>
      </c>
      <c r="J3293">
        <v>47.45</v>
      </c>
      <c r="K3293">
        <v>31.79</v>
      </c>
      <c r="L3293">
        <v>213904.6</v>
      </c>
      <c r="M3293">
        <v>143309.32</v>
      </c>
      <c r="N3293">
        <v>70595.28</v>
      </c>
    </row>
    <row r="3294" spans="1:14" x14ac:dyDescent="0.25">
      <c r="A3294" t="s">
        <v>51</v>
      </c>
      <c r="B3294" t="s">
        <v>424</v>
      </c>
      <c r="C3294" t="s">
        <v>55</v>
      </c>
      <c r="D3294" t="s">
        <v>22</v>
      </c>
      <c r="E3294" t="s">
        <v>45</v>
      </c>
      <c r="F3294" s="1">
        <v>40971</v>
      </c>
      <c r="G3294">
        <v>338425958</v>
      </c>
      <c r="H3294" s="1">
        <v>41125</v>
      </c>
      <c r="I3294">
        <v>6616</v>
      </c>
      <c r="J3294">
        <v>651.21</v>
      </c>
      <c r="K3294">
        <v>524.96</v>
      </c>
      <c r="L3294">
        <v>4308405.3600000003</v>
      </c>
      <c r="M3294">
        <v>3473135.36</v>
      </c>
      <c r="N3294">
        <v>835270</v>
      </c>
    </row>
    <row r="3295" spans="1:14" x14ac:dyDescent="0.25">
      <c r="A3295" t="s">
        <v>14</v>
      </c>
      <c r="B3295" t="s">
        <v>357</v>
      </c>
      <c r="C3295" t="s">
        <v>88</v>
      </c>
      <c r="D3295" t="s">
        <v>17</v>
      </c>
      <c r="E3295" t="s">
        <v>18</v>
      </c>
      <c r="F3295" s="1">
        <v>42831</v>
      </c>
      <c r="G3295">
        <v>569530665</v>
      </c>
      <c r="H3295" t="s">
        <v>1725</v>
      </c>
      <c r="I3295">
        <v>5635</v>
      </c>
      <c r="J3295">
        <v>9.33</v>
      </c>
      <c r="K3295">
        <v>6.92</v>
      </c>
      <c r="L3295">
        <v>52574.55</v>
      </c>
      <c r="M3295">
        <v>38994.199999999997</v>
      </c>
      <c r="N3295">
        <v>13580.35</v>
      </c>
    </row>
    <row r="3296" spans="1:14" x14ac:dyDescent="0.25">
      <c r="A3296" t="s">
        <v>25</v>
      </c>
      <c r="B3296" t="s">
        <v>284</v>
      </c>
      <c r="C3296" t="s">
        <v>21</v>
      </c>
      <c r="D3296" t="s">
        <v>17</v>
      </c>
      <c r="E3296" t="s">
        <v>45</v>
      </c>
      <c r="F3296" t="s">
        <v>829</v>
      </c>
      <c r="G3296">
        <v>196346127</v>
      </c>
      <c r="H3296" s="1">
        <v>40881</v>
      </c>
      <c r="I3296">
        <v>2037</v>
      </c>
      <c r="J3296">
        <v>152.58000000000001</v>
      </c>
      <c r="K3296">
        <v>97.44</v>
      </c>
      <c r="L3296">
        <v>310805.46000000002</v>
      </c>
      <c r="M3296">
        <v>198485.28</v>
      </c>
      <c r="N3296">
        <v>112320.18</v>
      </c>
    </row>
    <row r="3297" spans="1:14" x14ac:dyDescent="0.25">
      <c r="A3297" t="s">
        <v>29</v>
      </c>
      <c r="B3297" t="s">
        <v>159</v>
      </c>
      <c r="C3297" t="s">
        <v>131</v>
      </c>
      <c r="D3297" t="s">
        <v>17</v>
      </c>
      <c r="E3297" t="s">
        <v>18</v>
      </c>
      <c r="F3297" s="1">
        <v>42675</v>
      </c>
      <c r="G3297">
        <v>593921172</v>
      </c>
      <c r="H3297" t="s">
        <v>1292</v>
      </c>
      <c r="I3297">
        <v>3328</v>
      </c>
      <c r="J3297">
        <v>668.27</v>
      </c>
      <c r="K3297">
        <v>502.54</v>
      </c>
      <c r="L3297">
        <v>2224002.56</v>
      </c>
      <c r="M3297">
        <v>1672453.1200000001</v>
      </c>
      <c r="N3297">
        <v>551549.43999999994</v>
      </c>
    </row>
    <row r="3298" spans="1:14" x14ac:dyDescent="0.25">
      <c r="A3298" t="s">
        <v>38</v>
      </c>
      <c r="B3298" t="s">
        <v>288</v>
      </c>
      <c r="C3298" t="s">
        <v>59</v>
      </c>
      <c r="D3298" t="s">
        <v>17</v>
      </c>
      <c r="E3298" t="s">
        <v>32</v>
      </c>
      <c r="F3298" t="s">
        <v>1060</v>
      </c>
      <c r="G3298">
        <v>957617127</v>
      </c>
      <c r="H3298" t="s">
        <v>1664</v>
      </c>
      <c r="I3298">
        <v>9043</v>
      </c>
      <c r="J3298">
        <v>437.2</v>
      </c>
      <c r="K3298">
        <v>263.33</v>
      </c>
      <c r="L3298">
        <v>3953599.6</v>
      </c>
      <c r="M3298">
        <v>2381293.19</v>
      </c>
      <c r="N3298">
        <v>1572306.41</v>
      </c>
    </row>
    <row r="3299" spans="1:14" x14ac:dyDescent="0.25">
      <c r="A3299" t="s">
        <v>25</v>
      </c>
      <c r="B3299" t="s">
        <v>252</v>
      </c>
      <c r="C3299" t="s">
        <v>40</v>
      </c>
      <c r="D3299" t="s">
        <v>17</v>
      </c>
      <c r="E3299" t="s">
        <v>18</v>
      </c>
      <c r="F3299" t="s">
        <v>1733</v>
      </c>
      <c r="G3299">
        <v>553107821</v>
      </c>
      <c r="H3299" t="s">
        <v>1734</v>
      </c>
      <c r="I3299">
        <v>5751</v>
      </c>
      <c r="J3299">
        <v>81.73</v>
      </c>
      <c r="K3299">
        <v>56.67</v>
      </c>
      <c r="L3299">
        <v>470029.23</v>
      </c>
      <c r="M3299">
        <v>325909.17</v>
      </c>
      <c r="N3299">
        <v>144120.06</v>
      </c>
    </row>
    <row r="3300" spans="1:14" x14ac:dyDescent="0.25">
      <c r="A3300" t="s">
        <v>42</v>
      </c>
      <c r="B3300" t="s">
        <v>290</v>
      </c>
      <c r="C3300" t="s">
        <v>31</v>
      </c>
      <c r="D3300" t="s">
        <v>22</v>
      </c>
      <c r="E3300" t="s">
        <v>32</v>
      </c>
      <c r="F3300" t="s">
        <v>923</v>
      </c>
      <c r="G3300">
        <v>966379582</v>
      </c>
      <c r="H3300" t="s">
        <v>902</v>
      </c>
      <c r="I3300">
        <v>2048</v>
      </c>
      <c r="J3300">
        <v>205.7</v>
      </c>
      <c r="K3300">
        <v>117.11</v>
      </c>
      <c r="L3300">
        <v>421273.59999999998</v>
      </c>
      <c r="M3300">
        <v>239841.28</v>
      </c>
      <c r="N3300">
        <v>181432.32000000001</v>
      </c>
    </row>
    <row r="3301" spans="1:14" x14ac:dyDescent="0.25">
      <c r="A3301" t="s">
        <v>29</v>
      </c>
      <c r="B3301" t="s">
        <v>248</v>
      </c>
      <c r="C3301" t="s">
        <v>16</v>
      </c>
      <c r="D3301" t="s">
        <v>17</v>
      </c>
      <c r="E3301" t="s">
        <v>45</v>
      </c>
      <c r="F3301" s="1">
        <v>41186</v>
      </c>
      <c r="G3301">
        <v>253731238</v>
      </c>
      <c r="H3301" t="s">
        <v>1735</v>
      </c>
      <c r="I3301">
        <v>3567</v>
      </c>
      <c r="J3301">
        <v>255.28</v>
      </c>
      <c r="K3301">
        <v>159.41999999999999</v>
      </c>
      <c r="L3301">
        <v>910583.76</v>
      </c>
      <c r="M3301">
        <v>568651.14</v>
      </c>
      <c r="N3301">
        <v>341932.62</v>
      </c>
    </row>
    <row r="3302" spans="1:14" x14ac:dyDescent="0.25">
      <c r="A3302" t="s">
        <v>25</v>
      </c>
      <c r="B3302" t="s">
        <v>142</v>
      </c>
      <c r="C3302" t="s">
        <v>31</v>
      </c>
      <c r="D3302" t="s">
        <v>17</v>
      </c>
      <c r="E3302" t="s">
        <v>18</v>
      </c>
      <c r="F3302" s="1">
        <v>41856</v>
      </c>
      <c r="G3302">
        <v>591774117</v>
      </c>
      <c r="H3302" t="s">
        <v>130</v>
      </c>
      <c r="I3302">
        <v>7967</v>
      </c>
      <c r="J3302">
        <v>205.7</v>
      </c>
      <c r="K3302">
        <v>117.11</v>
      </c>
      <c r="L3302">
        <v>1638811.9</v>
      </c>
      <c r="M3302">
        <v>933015.37</v>
      </c>
      <c r="N3302">
        <v>705796.53</v>
      </c>
    </row>
    <row r="3303" spans="1:14" x14ac:dyDescent="0.25">
      <c r="A3303" t="s">
        <v>25</v>
      </c>
      <c r="B3303" t="s">
        <v>252</v>
      </c>
      <c r="C3303" t="s">
        <v>40</v>
      </c>
      <c r="D3303" t="s">
        <v>17</v>
      </c>
      <c r="E3303" t="s">
        <v>23</v>
      </c>
      <c r="F3303" s="1">
        <v>42041</v>
      </c>
      <c r="G3303">
        <v>627432048</v>
      </c>
      <c r="H3303" t="s">
        <v>955</v>
      </c>
      <c r="I3303">
        <v>9941</v>
      </c>
      <c r="J3303">
        <v>81.73</v>
      </c>
      <c r="K3303">
        <v>56.67</v>
      </c>
      <c r="L3303">
        <v>812477.93</v>
      </c>
      <c r="M3303">
        <v>563356.47</v>
      </c>
      <c r="N3303">
        <v>249121.46</v>
      </c>
    </row>
    <row r="3304" spans="1:14" x14ac:dyDescent="0.25">
      <c r="A3304" t="s">
        <v>51</v>
      </c>
      <c r="B3304" t="s">
        <v>414</v>
      </c>
      <c r="C3304" t="s">
        <v>88</v>
      </c>
      <c r="D3304" t="s">
        <v>17</v>
      </c>
      <c r="E3304" t="s">
        <v>23</v>
      </c>
      <c r="F3304" s="1">
        <v>40670</v>
      </c>
      <c r="G3304">
        <v>427941358</v>
      </c>
      <c r="H3304" t="s">
        <v>989</v>
      </c>
      <c r="I3304">
        <v>6212</v>
      </c>
      <c r="J3304">
        <v>9.33</v>
      </c>
      <c r="K3304">
        <v>6.92</v>
      </c>
      <c r="L3304">
        <v>57957.96</v>
      </c>
      <c r="M3304">
        <v>42987.040000000001</v>
      </c>
      <c r="N3304">
        <v>14970.92</v>
      </c>
    </row>
    <row r="3305" spans="1:14" x14ac:dyDescent="0.25">
      <c r="A3305" t="s">
        <v>38</v>
      </c>
      <c r="B3305" t="s">
        <v>85</v>
      </c>
      <c r="C3305" t="s">
        <v>16</v>
      </c>
      <c r="D3305" t="s">
        <v>17</v>
      </c>
      <c r="E3305" t="s">
        <v>32</v>
      </c>
      <c r="F3305" t="s">
        <v>1736</v>
      </c>
      <c r="G3305">
        <v>130850875</v>
      </c>
      <c r="H3305" s="1">
        <v>40850</v>
      </c>
      <c r="I3305">
        <v>537</v>
      </c>
      <c r="J3305">
        <v>255.28</v>
      </c>
      <c r="K3305">
        <v>159.41999999999999</v>
      </c>
      <c r="L3305">
        <v>137085.35999999999</v>
      </c>
      <c r="M3305">
        <v>85608.54</v>
      </c>
      <c r="N3305">
        <v>51476.82</v>
      </c>
    </row>
    <row r="3306" spans="1:14" x14ac:dyDescent="0.25">
      <c r="A3306" t="s">
        <v>29</v>
      </c>
      <c r="B3306" t="s">
        <v>619</v>
      </c>
      <c r="C3306" t="s">
        <v>69</v>
      </c>
      <c r="D3306" t="s">
        <v>22</v>
      </c>
      <c r="E3306" t="s">
        <v>23</v>
      </c>
      <c r="F3306" t="s">
        <v>1007</v>
      </c>
      <c r="G3306">
        <v>394021928</v>
      </c>
      <c r="H3306" t="s">
        <v>1322</v>
      </c>
      <c r="I3306">
        <v>8699</v>
      </c>
      <c r="J3306">
        <v>421.89</v>
      </c>
      <c r="K3306">
        <v>364.69</v>
      </c>
      <c r="L3306">
        <v>3670021.11</v>
      </c>
      <c r="M3306">
        <v>3172438.31</v>
      </c>
      <c r="N3306">
        <v>497582.8</v>
      </c>
    </row>
    <row r="3307" spans="1:14" x14ac:dyDescent="0.25">
      <c r="A3307" t="s">
        <v>29</v>
      </c>
      <c r="B3307" t="s">
        <v>315</v>
      </c>
      <c r="C3307" t="s">
        <v>69</v>
      </c>
      <c r="D3307" t="s">
        <v>17</v>
      </c>
      <c r="E3307" t="s">
        <v>23</v>
      </c>
      <c r="F3307" t="s">
        <v>560</v>
      </c>
      <c r="G3307">
        <v>145628345</v>
      </c>
      <c r="H3307" t="s">
        <v>658</v>
      </c>
      <c r="I3307">
        <v>3518</v>
      </c>
      <c r="J3307">
        <v>421.89</v>
      </c>
      <c r="K3307">
        <v>364.69</v>
      </c>
      <c r="L3307">
        <v>1484209.02</v>
      </c>
      <c r="M3307">
        <v>1282979.42</v>
      </c>
      <c r="N3307">
        <v>201229.6</v>
      </c>
    </row>
    <row r="3308" spans="1:14" x14ac:dyDescent="0.25">
      <c r="A3308" t="s">
        <v>51</v>
      </c>
      <c r="B3308" t="s">
        <v>327</v>
      </c>
      <c r="C3308" t="s">
        <v>69</v>
      </c>
      <c r="D3308" t="s">
        <v>22</v>
      </c>
      <c r="E3308" t="s">
        <v>18</v>
      </c>
      <c r="F3308" s="1">
        <v>42800</v>
      </c>
      <c r="G3308">
        <v>634156453</v>
      </c>
      <c r="H3308" t="s">
        <v>188</v>
      </c>
      <c r="I3308">
        <v>9842</v>
      </c>
      <c r="J3308">
        <v>421.89</v>
      </c>
      <c r="K3308">
        <v>364.69</v>
      </c>
      <c r="L3308">
        <v>4152241.38</v>
      </c>
      <c r="M3308">
        <v>3589278.98</v>
      </c>
      <c r="N3308">
        <v>562962.4</v>
      </c>
    </row>
    <row r="3309" spans="1:14" x14ac:dyDescent="0.25">
      <c r="A3309" t="s">
        <v>14</v>
      </c>
      <c r="B3309" t="s">
        <v>226</v>
      </c>
      <c r="C3309" t="s">
        <v>31</v>
      </c>
      <c r="D3309" t="s">
        <v>17</v>
      </c>
      <c r="E3309" t="s">
        <v>32</v>
      </c>
      <c r="F3309" s="1">
        <v>40856</v>
      </c>
      <c r="G3309">
        <v>478405082</v>
      </c>
      <c r="H3309" t="s">
        <v>1518</v>
      </c>
      <c r="I3309">
        <v>9550</v>
      </c>
      <c r="J3309">
        <v>205.7</v>
      </c>
      <c r="K3309">
        <v>117.11</v>
      </c>
      <c r="L3309">
        <v>1964435</v>
      </c>
      <c r="M3309">
        <v>1118400.5</v>
      </c>
      <c r="N3309">
        <v>846034.5</v>
      </c>
    </row>
    <row r="3310" spans="1:14" x14ac:dyDescent="0.25">
      <c r="A3310" t="s">
        <v>38</v>
      </c>
      <c r="B3310" t="s">
        <v>187</v>
      </c>
      <c r="C3310" t="s">
        <v>40</v>
      </c>
      <c r="D3310" t="s">
        <v>22</v>
      </c>
      <c r="E3310" t="s">
        <v>23</v>
      </c>
      <c r="F3310" t="s">
        <v>1737</v>
      </c>
      <c r="G3310">
        <v>617485558</v>
      </c>
      <c r="H3310" s="1">
        <v>41861</v>
      </c>
      <c r="I3310">
        <v>6554</v>
      </c>
      <c r="J3310">
        <v>81.73</v>
      </c>
      <c r="K3310">
        <v>56.67</v>
      </c>
      <c r="L3310">
        <v>535658.42000000004</v>
      </c>
      <c r="M3310">
        <v>371415.18</v>
      </c>
      <c r="N3310">
        <v>164243.24</v>
      </c>
    </row>
    <row r="3311" spans="1:14" x14ac:dyDescent="0.25">
      <c r="A3311" t="s">
        <v>51</v>
      </c>
      <c r="B3311" t="s">
        <v>164</v>
      </c>
      <c r="C3311" t="s">
        <v>69</v>
      </c>
      <c r="D3311" t="s">
        <v>22</v>
      </c>
      <c r="E3311" t="s">
        <v>23</v>
      </c>
      <c r="F3311" s="1">
        <v>41859</v>
      </c>
      <c r="G3311">
        <v>260821712</v>
      </c>
      <c r="H3311" t="s">
        <v>1394</v>
      </c>
      <c r="I3311">
        <v>1795</v>
      </c>
      <c r="J3311">
        <v>421.89</v>
      </c>
      <c r="K3311">
        <v>364.69</v>
      </c>
      <c r="L3311">
        <v>757292.55</v>
      </c>
      <c r="M3311">
        <v>654618.55000000005</v>
      </c>
      <c r="N3311">
        <v>102674</v>
      </c>
    </row>
    <row r="3312" spans="1:14" x14ac:dyDescent="0.25">
      <c r="A3312" t="s">
        <v>51</v>
      </c>
      <c r="B3312" t="s">
        <v>169</v>
      </c>
      <c r="C3312" t="s">
        <v>27</v>
      </c>
      <c r="D3312" t="s">
        <v>22</v>
      </c>
      <c r="E3312" t="s">
        <v>23</v>
      </c>
      <c r="F3312" t="s">
        <v>1211</v>
      </c>
      <c r="G3312">
        <v>938149869</v>
      </c>
      <c r="H3312" t="s">
        <v>1211</v>
      </c>
      <c r="I3312">
        <v>8249</v>
      </c>
      <c r="J3312">
        <v>47.45</v>
      </c>
      <c r="K3312">
        <v>31.79</v>
      </c>
      <c r="L3312">
        <v>391415.05</v>
      </c>
      <c r="M3312">
        <v>262235.71000000002</v>
      </c>
      <c r="N3312">
        <v>129179.34</v>
      </c>
    </row>
    <row r="3313" spans="1:14" x14ac:dyDescent="0.25">
      <c r="A3313" t="s">
        <v>51</v>
      </c>
      <c r="B3313" t="s">
        <v>301</v>
      </c>
      <c r="C3313" t="s">
        <v>88</v>
      </c>
      <c r="D3313" t="s">
        <v>17</v>
      </c>
      <c r="E3313" t="s">
        <v>32</v>
      </c>
      <c r="F3313" s="1">
        <v>41614</v>
      </c>
      <c r="G3313">
        <v>649518859</v>
      </c>
      <c r="H3313" t="s">
        <v>776</v>
      </c>
      <c r="I3313">
        <v>5919</v>
      </c>
      <c r="J3313">
        <v>9.33</v>
      </c>
      <c r="K3313">
        <v>6.92</v>
      </c>
      <c r="L3313">
        <v>55224.27</v>
      </c>
      <c r="M3313">
        <v>40959.480000000003</v>
      </c>
      <c r="N3313">
        <v>14264.79</v>
      </c>
    </row>
    <row r="3314" spans="1:14" x14ac:dyDescent="0.25">
      <c r="A3314" t="s">
        <v>25</v>
      </c>
      <c r="B3314" t="s">
        <v>497</v>
      </c>
      <c r="C3314" t="s">
        <v>69</v>
      </c>
      <c r="D3314" t="s">
        <v>22</v>
      </c>
      <c r="E3314" t="s">
        <v>18</v>
      </c>
      <c r="F3314" t="s">
        <v>702</v>
      </c>
      <c r="G3314">
        <v>615290009</v>
      </c>
      <c r="H3314" t="s">
        <v>1370</v>
      </c>
      <c r="I3314">
        <v>6842</v>
      </c>
      <c r="J3314">
        <v>421.89</v>
      </c>
      <c r="K3314">
        <v>364.69</v>
      </c>
      <c r="L3314">
        <v>2886571.38</v>
      </c>
      <c r="M3314">
        <v>2495208.98</v>
      </c>
      <c r="N3314">
        <v>391362.4</v>
      </c>
    </row>
    <row r="3315" spans="1:14" x14ac:dyDescent="0.25">
      <c r="A3315" t="s">
        <v>38</v>
      </c>
      <c r="B3315" t="s">
        <v>190</v>
      </c>
      <c r="C3315" t="s">
        <v>44</v>
      </c>
      <c r="D3315" t="s">
        <v>17</v>
      </c>
      <c r="E3315" t="s">
        <v>18</v>
      </c>
      <c r="F3315" s="1">
        <v>40614</v>
      </c>
      <c r="G3315">
        <v>326137149</v>
      </c>
      <c r="H3315" s="1">
        <v>40940</v>
      </c>
      <c r="I3315">
        <v>85</v>
      </c>
      <c r="J3315">
        <v>109.28</v>
      </c>
      <c r="K3315">
        <v>35.840000000000003</v>
      </c>
      <c r="L3315">
        <v>9288.7999999999993</v>
      </c>
      <c r="M3315">
        <v>3046.4</v>
      </c>
      <c r="N3315">
        <v>6242.4</v>
      </c>
    </row>
    <row r="3316" spans="1:14" x14ac:dyDescent="0.25">
      <c r="A3316" t="s">
        <v>29</v>
      </c>
      <c r="B3316" t="s">
        <v>338</v>
      </c>
      <c r="C3316" t="s">
        <v>27</v>
      </c>
      <c r="D3316" t="s">
        <v>17</v>
      </c>
      <c r="E3316" t="s">
        <v>32</v>
      </c>
      <c r="F3316" t="s">
        <v>1738</v>
      </c>
      <c r="G3316">
        <v>693046605</v>
      </c>
      <c r="H3316" t="s">
        <v>1661</v>
      </c>
      <c r="I3316">
        <v>6746</v>
      </c>
      <c r="J3316">
        <v>47.45</v>
      </c>
      <c r="K3316">
        <v>31.79</v>
      </c>
      <c r="L3316">
        <v>320097.7</v>
      </c>
      <c r="M3316">
        <v>214455.34</v>
      </c>
      <c r="N3316">
        <v>105642.36</v>
      </c>
    </row>
    <row r="3317" spans="1:14" x14ac:dyDescent="0.25">
      <c r="A3317" t="s">
        <v>25</v>
      </c>
      <c r="B3317" t="s">
        <v>469</v>
      </c>
      <c r="C3317" t="s">
        <v>27</v>
      </c>
      <c r="D3317" t="s">
        <v>17</v>
      </c>
      <c r="E3317" t="s">
        <v>45</v>
      </c>
      <c r="F3317" t="s">
        <v>1325</v>
      </c>
      <c r="G3317">
        <v>897317206</v>
      </c>
      <c r="H3317" s="1">
        <v>42013</v>
      </c>
      <c r="I3317">
        <v>4957</v>
      </c>
      <c r="J3317">
        <v>47.45</v>
      </c>
      <c r="K3317">
        <v>31.79</v>
      </c>
      <c r="L3317">
        <v>235209.65</v>
      </c>
      <c r="M3317">
        <v>157583.03</v>
      </c>
      <c r="N3317">
        <v>77626.62</v>
      </c>
    </row>
    <row r="3318" spans="1:14" x14ac:dyDescent="0.25">
      <c r="A3318" t="s">
        <v>29</v>
      </c>
      <c r="B3318" t="s">
        <v>243</v>
      </c>
      <c r="C3318" t="s">
        <v>69</v>
      </c>
      <c r="D3318" t="s">
        <v>22</v>
      </c>
      <c r="E3318" t="s">
        <v>32</v>
      </c>
      <c r="F3318" s="1">
        <v>41924</v>
      </c>
      <c r="G3318">
        <v>640560281</v>
      </c>
      <c r="H3318" t="s">
        <v>1739</v>
      </c>
      <c r="I3318">
        <v>4877</v>
      </c>
      <c r="J3318">
        <v>421.89</v>
      </c>
      <c r="K3318">
        <v>364.69</v>
      </c>
      <c r="L3318">
        <v>2057557.53</v>
      </c>
      <c r="M3318">
        <v>1778593.13</v>
      </c>
      <c r="N3318">
        <v>278964.40000000002</v>
      </c>
    </row>
    <row r="3319" spans="1:14" x14ac:dyDescent="0.25">
      <c r="A3319" t="s">
        <v>25</v>
      </c>
      <c r="B3319" t="s">
        <v>96</v>
      </c>
      <c r="C3319" t="s">
        <v>40</v>
      </c>
      <c r="D3319" t="s">
        <v>22</v>
      </c>
      <c r="E3319" t="s">
        <v>32</v>
      </c>
      <c r="F3319" t="s">
        <v>1695</v>
      </c>
      <c r="G3319">
        <v>594699656</v>
      </c>
      <c r="H3319" t="s">
        <v>126</v>
      </c>
      <c r="I3319">
        <v>3699</v>
      </c>
      <c r="J3319">
        <v>81.73</v>
      </c>
      <c r="K3319">
        <v>56.67</v>
      </c>
      <c r="L3319">
        <v>302319.27</v>
      </c>
      <c r="M3319">
        <v>209622.33</v>
      </c>
      <c r="N3319">
        <v>92696.94</v>
      </c>
    </row>
    <row r="3320" spans="1:14" x14ac:dyDescent="0.25">
      <c r="A3320" t="s">
        <v>29</v>
      </c>
      <c r="B3320" t="s">
        <v>440</v>
      </c>
      <c r="C3320" t="s">
        <v>40</v>
      </c>
      <c r="D3320" t="s">
        <v>22</v>
      </c>
      <c r="E3320" t="s">
        <v>18</v>
      </c>
      <c r="F3320" s="1">
        <v>40553</v>
      </c>
      <c r="G3320">
        <v>151971662</v>
      </c>
      <c r="H3320" t="s">
        <v>1518</v>
      </c>
      <c r="I3320">
        <v>647</v>
      </c>
      <c r="J3320">
        <v>81.73</v>
      </c>
      <c r="K3320">
        <v>56.67</v>
      </c>
      <c r="L3320">
        <v>52879.31</v>
      </c>
      <c r="M3320">
        <v>36665.49</v>
      </c>
      <c r="N3320">
        <v>16213.82</v>
      </c>
    </row>
    <row r="3321" spans="1:14" x14ac:dyDescent="0.25">
      <c r="A3321" t="s">
        <v>25</v>
      </c>
      <c r="B3321" t="s">
        <v>196</v>
      </c>
      <c r="C3321" t="s">
        <v>59</v>
      </c>
      <c r="D3321" t="s">
        <v>22</v>
      </c>
      <c r="E3321" t="s">
        <v>18</v>
      </c>
      <c r="F3321" t="s">
        <v>188</v>
      </c>
      <c r="G3321">
        <v>574925124</v>
      </c>
      <c r="H3321" t="s">
        <v>178</v>
      </c>
      <c r="I3321">
        <v>1975</v>
      </c>
      <c r="J3321">
        <v>437.2</v>
      </c>
      <c r="K3321">
        <v>263.33</v>
      </c>
      <c r="L3321">
        <v>863470</v>
      </c>
      <c r="M3321">
        <v>520076.75</v>
      </c>
      <c r="N3321">
        <v>343393.25</v>
      </c>
    </row>
    <row r="3322" spans="1:14" x14ac:dyDescent="0.25">
      <c r="A3322" t="s">
        <v>25</v>
      </c>
      <c r="B3322" t="s">
        <v>196</v>
      </c>
      <c r="C3322" t="s">
        <v>27</v>
      </c>
      <c r="D3322" t="s">
        <v>22</v>
      </c>
      <c r="E3322" t="s">
        <v>18</v>
      </c>
      <c r="F3322" t="s">
        <v>382</v>
      </c>
      <c r="G3322">
        <v>946421372</v>
      </c>
      <c r="H3322" t="s">
        <v>1016</v>
      </c>
      <c r="I3322">
        <v>5971</v>
      </c>
      <c r="J3322">
        <v>47.45</v>
      </c>
      <c r="K3322">
        <v>31.79</v>
      </c>
      <c r="L3322">
        <v>283323.95</v>
      </c>
      <c r="M3322">
        <v>189818.09</v>
      </c>
      <c r="N3322">
        <v>93505.86</v>
      </c>
    </row>
    <row r="3323" spans="1:14" x14ac:dyDescent="0.25">
      <c r="A3323" t="s">
        <v>29</v>
      </c>
      <c r="B3323" t="s">
        <v>375</v>
      </c>
      <c r="C3323" t="s">
        <v>31</v>
      </c>
      <c r="D3323" t="s">
        <v>22</v>
      </c>
      <c r="E3323" t="s">
        <v>32</v>
      </c>
      <c r="F3323" s="1">
        <v>41463</v>
      </c>
      <c r="G3323">
        <v>419634234</v>
      </c>
      <c r="H3323" t="s">
        <v>56</v>
      </c>
      <c r="I3323">
        <v>7950</v>
      </c>
      <c r="J3323">
        <v>205.7</v>
      </c>
      <c r="K3323">
        <v>117.11</v>
      </c>
      <c r="L3323">
        <v>1635315</v>
      </c>
      <c r="M3323">
        <v>931024.5</v>
      </c>
      <c r="N3323">
        <v>704290.5</v>
      </c>
    </row>
    <row r="3324" spans="1:14" x14ac:dyDescent="0.25">
      <c r="A3324" t="s">
        <v>42</v>
      </c>
      <c r="B3324" t="s">
        <v>103</v>
      </c>
      <c r="C3324" t="s">
        <v>59</v>
      </c>
      <c r="D3324" t="s">
        <v>22</v>
      </c>
      <c r="E3324" t="s">
        <v>45</v>
      </c>
      <c r="F3324" t="s">
        <v>1306</v>
      </c>
      <c r="G3324">
        <v>468050038</v>
      </c>
      <c r="H3324" s="1">
        <v>41741</v>
      </c>
      <c r="I3324">
        <v>5262</v>
      </c>
      <c r="J3324">
        <v>437.2</v>
      </c>
      <c r="K3324">
        <v>263.33</v>
      </c>
      <c r="L3324">
        <v>2300546.4</v>
      </c>
      <c r="M3324">
        <v>1385642.46</v>
      </c>
      <c r="N3324">
        <v>914903.94</v>
      </c>
    </row>
    <row r="3325" spans="1:14" x14ac:dyDescent="0.25">
      <c r="A3325" t="s">
        <v>51</v>
      </c>
      <c r="B3325" t="s">
        <v>223</v>
      </c>
      <c r="C3325" t="s">
        <v>113</v>
      </c>
      <c r="D3325" t="s">
        <v>17</v>
      </c>
      <c r="E3325" t="s">
        <v>32</v>
      </c>
      <c r="F3325" t="s">
        <v>1740</v>
      </c>
      <c r="G3325">
        <v>835467612</v>
      </c>
      <c r="H3325" s="1">
        <v>40523</v>
      </c>
      <c r="I3325">
        <v>2287</v>
      </c>
      <c r="J3325">
        <v>154.06</v>
      </c>
      <c r="K3325">
        <v>90.93</v>
      </c>
      <c r="L3325">
        <v>352335.22</v>
      </c>
      <c r="M3325">
        <v>207956.91</v>
      </c>
      <c r="N3325">
        <v>144378.31</v>
      </c>
    </row>
    <row r="3326" spans="1:14" x14ac:dyDescent="0.25">
      <c r="A3326" t="s">
        <v>25</v>
      </c>
      <c r="B3326" t="s">
        <v>284</v>
      </c>
      <c r="C3326" t="s">
        <v>44</v>
      </c>
      <c r="D3326" t="s">
        <v>22</v>
      </c>
      <c r="E3326" t="s">
        <v>23</v>
      </c>
      <c r="F3326" t="s">
        <v>608</v>
      </c>
      <c r="G3326">
        <v>885998284</v>
      </c>
      <c r="H3326" t="s">
        <v>1423</v>
      </c>
      <c r="I3326">
        <v>5436</v>
      </c>
      <c r="J3326">
        <v>109.28</v>
      </c>
      <c r="K3326">
        <v>35.840000000000003</v>
      </c>
      <c r="L3326">
        <v>594046.07999999996</v>
      </c>
      <c r="M3326">
        <v>194826.23999999999</v>
      </c>
      <c r="N3326">
        <v>399219.84</v>
      </c>
    </row>
    <row r="3327" spans="1:14" x14ac:dyDescent="0.25">
      <c r="A3327" t="s">
        <v>25</v>
      </c>
      <c r="B3327" t="s">
        <v>343</v>
      </c>
      <c r="C3327" t="s">
        <v>131</v>
      </c>
      <c r="D3327" t="s">
        <v>22</v>
      </c>
      <c r="E3327" t="s">
        <v>32</v>
      </c>
      <c r="F3327" t="s">
        <v>1490</v>
      </c>
      <c r="G3327">
        <v>954065883</v>
      </c>
      <c r="H3327" s="1">
        <v>42378</v>
      </c>
      <c r="I3327">
        <v>8151</v>
      </c>
      <c r="J3327">
        <v>668.27</v>
      </c>
      <c r="K3327">
        <v>502.54</v>
      </c>
      <c r="L3327">
        <v>5447068.7699999996</v>
      </c>
      <c r="M3327">
        <v>4096203.54</v>
      </c>
      <c r="N3327">
        <v>1350865.23</v>
      </c>
    </row>
    <row r="3328" spans="1:14" x14ac:dyDescent="0.25">
      <c r="A3328" t="s">
        <v>25</v>
      </c>
      <c r="B3328" t="s">
        <v>242</v>
      </c>
      <c r="C3328" t="s">
        <v>27</v>
      </c>
      <c r="D3328" t="s">
        <v>17</v>
      </c>
      <c r="E3328" t="s">
        <v>18</v>
      </c>
      <c r="F3328" s="1">
        <v>42191</v>
      </c>
      <c r="G3328">
        <v>994406735</v>
      </c>
      <c r="H3328" t="s">
        <v>1146</v>
      </c>
      <c r="I3328">
        <v>5906</v>
      </c>
      <c r="J3328">
        <v>47.45</v>
      </c>
      <c r="K3328">
        <v>31.79</v>
      </c>
      <c r="L3328">
        <v>280239.7</v>
      </c>
      <c r="M3328">
        <v>187751.74</v>
      </c>
      <c r="N3328">
        <v>92487.96</v>
      </c>
    </row>
    <row r="3329" spans="1:14" x14ac:dyDescent="0.25">
      <c r="A3329" t="s">
        <v>25</v>
      </c>
      <c r="B3329" t="s">
        <v>72</v>
      </c>
      <c r="C3329" t="s">
        <v>40</v>
      </c>
      <c r="D3329" t="s">
        <v>17</v>
      </c>
      <c r="E3329" t="s">
        <v>18</v>
      </c>
      <c r="F3329" s="1">
        <v>42985</v>
      </c>
      <c r="G3329">
        <v>132069671</v>
      </c>
      <c r="H3329" t="s">
        <v>404</v>
      </c>
      <c r="I3329">
        <v>1205</v>
      </c>
      <c r="J3329">
        <v>81.73</v>
      </c>
      <c r="K3329">
        <v>56.67</v>
      </c>
      <c r="L3329">
        <v>98484.65</v>
      </c>
      <c r="M3329">
        <v>68287.350000000006</v>
      </c>
      <c r="N3329">
        <v>30197.3</v>
      </c>
    </row>
    <row r="3330" spans="1:14" x14ac:dyDescent="0.25">
      <c r="A3330" t="s">
        <v>51</v>
      </c>
      <c r="B3330" t="s">
        <v>414</v>
      </c>
      <c r="C3330" t="s">
        <v>55</v>
      </c>
      <c r="D3330" t="s">
        <v>22</v>
      </c>
      <c r="E3330" t="s">
        <v>45</v>
      </c>
      <c r="F3330" s="1">
        <v>41249</v>
      </c>
      <c r="G3330">
        <v>712416017</v>
      </c>
      <c r="H3330" t="s">
        <v>1741</v>
      </c>
      <c r="I3330">
        <v>8586</v>
      </c>
      <c r="J3330">
        <v>651.21</v>
      </c>
      <c r="K3330">
        <v>524.96</v>
      </c>
      <c r="L3330">
        <v>5591289.0599999996</v>
      </c>
      <c r="M3330">
        <v>4507306.5599999996</v>
      </c>
      <c r="N3330">
        <v>1083982.5</v>
      </c>
    </row>
    <row r="3331" spans="1:14" x14ac:dyDescent="0.25">
      <c r="A3331" t="s">
        <v>51</v>
      </c>
      <c r="B3331" t="s">
        <v>542</v>
      </c>
      <c r="C3331" t="s">
        <v>113</v>
      </c>
      <c r="D3331" t="s">
        <v>22</v>
      </c>
      <c r="E3331" t="s">
        <v>18</v>
      </c>
      <c r="F3331" s="1">
        <v>42772</v>
      </c>
      <c r="G3331">
        <v>651119601</v>
      </c>
      <c r="H3331" t="s">
        <v>1242</v>
      </c>
      <c r="I3331">
        <v>9614</v>
      </c>
      <c r="J3331">
        <v>154.06</v>
      </c>
      <c r="K3331">
        <v>90.93</v>
      </c>
      <c r="L3331">
        <v>1481132.84</v>
      </c>
      <c r="M3331">
        <v>874201.02</v>
      </c>
      <c r="N3331">
        <v>606931.81999999995</v>
      </c>
    </row>
    <row r="3332" spans="1:14" x14ac:dyDescent="0.25">
      <c r="A3332" t="s">
        <v>51</v>
      </c>
      <c r="B3332" t="s">
        <v>398</v>
      </c>
      <c r="C3332" t="s">
        <v>16</v>
      </c>
      <c r="D3332" t="s">
        <v>17</v>
      </c>
      <c r="E3332" t="s">
        <v>32</v>
      </c>
      <c r="F3332" s="1">
        <v>40950</v>
      </c>
      <c r="G3332">
        <v>184166753</v>
      </c>
      <c r="H3332" t="s">
        <v>912</v>
      </c>
      <c r="I3332">
        <v>7890</v>
      </c>
      <c r="J3332">
        <v>255.28</v>
      </c>
      <c r="K3332">
        <v>159.41999999999999</v>
      </c>
      <c r="L3332">
        <v>2014159.2</v>
      </c>
      <c r="M3332">
        <v>1257823.8</v>
      </c>
      <c r="N3332">
        <v>756335.4</v>
      </c>
    </row>
    <row r="3333" spans="1:14" x14ac:dyDescent="0.25">
      <c r="A3333" t="s">
        <v>51</v>
      </c>
      <c r="B3333" t="s">
        <v>194</v>
      </c>
      <c r="C3333" t="s">
        <v>31</v>
      </c>
      <c r="D3333" t="s">
        <v>17</v>
      </c>
      <c r="E3333" t="s">
        <v>45</v>
      </c>
      <c r="F3333" s="1">
        <v>41702</v>
      </c>
      <c r="G3333">
        <v>517856299</v>
      </c>
      <c r="H3333" t="s">
        <v>401</v>
      </c>
      <c r="I3333">
        <v>4042</v>
      </c>
      <c r="J3333">
        <v>205.7</v>
      </c>
      <c r="K3333">
        <v>117.11</v>
      </c>
      <c r="L3333">
        <v>831439.4</v>
      </c>
      <c r="M3333">
        <v>473358.62</v>
      </c>
      <c r="N3333">
        <v>358080.78</v>
      </c>
    </row>
    <row r="3334" spans="1:14" x14ac:dyDescent="0.25">
      <c r="A3334" t="s">
        <v>38</v>
      </c>
      <c r="B3334" t="s">
        <v>156</v>
      </c>
      <c r="C3334" t="s">
        <v>16</v>
      </c>
      <c r="D3334" t="s">
        <v>22</v>
      </c>
      <c r="E3334" t="s">
        <v>45</v>
      </c>
      <c r="F3334" t="s">
        <v>876</v>
      </c>
      <c r="G3334">
        <v>678799569</v>
      </c>
      <c r="H3334" t="s">
        <v>1202</v>
      </c>
      <c r="I3334">
        <v>732</v>
      </c>
      <c r="J3334">
        <v>255.28</v>
      </c>
      <c r="K3334">
        <v>159.41999999999999</v>
      </c>
      <c r="L3334">
        <v>186864.96</v>
      </c>
      <c r="M3334">
        <v>116695.44</v>
      </c>
      <c r="N3334">
        <v>70169.52</v>
      </c>
    </row>
    <row r="3335" spans="1:14" x14ac:dyDescent="0.25">
      <c r="A3335" t="s">
        <v>51</v>
      </c>
      <c r="B3335" t="s">
        <v>169</v>
      </c>
      <c r="C3335" t="s">
        <v>69</v>
      </c>
      <c r="D3335" t="s">
        <v>17</v>
      </c>
      <c r="E3335" t="s">
        <v>23</v>
      </c>
      <c r="F3335" s="1">
        <v>42192</v>
      </c>
      <c r="G3335">
        <v>663920390</v>
      </c>
      <c r="H3335" s="1">
        <v>42284</v>
      </c>
      <c r="I3335">
        <v>7652</v>
      </c>
      <c r="J3335">
        <v>421.89</v>
      </c>
      <c r="K3335">
        <v>364.69</v>
      </c>
      <c r="L3335">
        <v>3228302.28</v>
      </c>
      <c r="M3335">
        <v>2790607.88</v>
      </c>
      <c r="N3335">
        <v>437694.4</v>
      </c>
    </row>
    <row r="3336" spans="1:14" x14ac:dyDescent="0.25">
      <c r="A3336" t="s">
        <v>25</v>
      </c>
      <c r="B3336" t="s">
        <v>609</v>
      </c>
      <c r="C3336" t="s">
        <v>131</v>
      </c>
      <c r="D3336" t="s">
        <v>17</v>
      </c>
      <c r="E3336" t="s">
        <v>18</v>
      </c>
      <c r="F3336" t="s">
        <v>1328</v>
      </c>
      <c r="G3336">
        <v>990455090</v>
      </c>
      <c r="H3336" t="s">
        <v>1184</v>
      </c>
      <c r="I3336">
        <v>6526</v>
      </c>
      <c r="J3336">
        <v>668.27</v>
      </c>
      <c r="K3336">
        <v>502.54</v>
      </c>
      <c r="L3336">
        <v>4361130.0199999996</v>
      </c>
      <c r="M3336">
        <v>3279576.04</v>
      </c>
      <c r="N3336">
        <v>1081553.98</v>
      </c>
    </row>
    <row r="3337" spans="1:14" x14ac:dyDescent="0.25">
      <c r="A3337" t="s">
        <v>25</v>
      </c>
      <c r="B3337" t="s">
        <v>266</v>
      </c>
      <c r="C3337" t="s">
        <v>31</v>
      </c>
      <c r="D3337" t="s">
        <v>22</v>
      </c>
      <c r="E3337" t="s">
        <v>23</v>
      </c>
      <c r="F3337" s="1">
        <v>42161</v>
      </c>
      <c r="G3337">
        <v>445952498</v>
      </c>
      <c r="H3337" s="1">
        <v>42192</v>
      </c>
      <c r="I3337">
        <v>6109</v>
      </c>
      <c r="J3337">
        <v>205.7</v>
      </c>
      <c r="K3337">
        <v>117.11</v>
      </c>
      <c r="L3337">
        <v>1256621.3</v>
      </c>
      <c r="M3337">
        <v>715424.99</v>
      </c>
      <c r="N3337">
        <v>541196.31000000006</v>
      </c>
    </row>
    <row r="3338" spans="1:14" x14ac:dyDescent="0.25">
      <c r="A3338" t="s">
        <v>38</v>
      </c>
      <c r="B3338" t="s">
        <v>58</v>
      </c>
      <c r="C3338" t="s">
        <v>21</v>
      </c>
      <c r="D3338" t="s">
        <v>22</v>
      </c>
      <c r="E3338" t="s">
        <v>23</v>
      </c>
      <c r="F3338" t="s">
        <v>237</v>
      </c>
      <c r="G3338">
        <v>138273942</v>
      </c>
      <c r="H3338" s="1">
        <v>40278</v>
      </c>
      <c r="I3338">
        <v>7187</v>
      </c>
      <c r="J3338">
        <v>152.58000000000001</v>
      </c>
      <c r="K3338">
        <v>97.44</v>
      </c>
      <c r="L3338">
        <v>1096592.46</v>
      </c>
      <c r="M3338">
        <v>700301.28</v>
      </c>
      <c r="N3338">
        <v>396291.18</v>
      </c>
    </row>
    <row r="3339" spans="1:14" x14ac:dyDescent="0.25">
      <c r="A3339" t="s">
        <v>51</v>
      </c>
      <c r="B3339" t="s">
        <v>638</v>
      </c>
      <c r="C3339" t="s">
        <v>59</v>
      </c>
      <c r="D3339" t="s">
        <v>22</v>
      </c>
      <c r="E3339" t="s">
        <v>32</v>
      </c>
      <c r="F3339" t="s">
        <v>114</v>
      </c>
      <c r="G3339">
        <v>345593249</v>
      </c>
      <c r="H3339" t="s">
        <v>788</v>
      </c>
      <c r="I3339">
        <v>7577</v>
      </c>
      <c r="J3339">
        <v>437.2</v>
      </c>
      <c r="K3339">
        <v>263.33</v>
      </c>
      <c r="L3339">
        <v>3312664.4</v>
      </c>
      <c r="M3339">
        <v>1995251.41</v>
      </c>
      <c r="N3339">
        <v>1317412.99</v>
      </c>
    </row>
    <row r="3340" spans="1:14" x14ac:dyDescent="0.25">
      <c r="A3340" t="s">
        <v>14</v>
      </c>
      <c r="B3340" t="s">
        <v>15</v>
      </c>
      <c r="C3340" t="s">
        <v>59</v>
      </c>
      <c r="D3340" t="s">
        <v>22</v>
      </c>
      <c r="E3340" t="s">
        <v>45</v>
      </c>
      <c r="F3340" t="s">
        <v>310</v>
      </c>
      <c r="G3340">
        <v>966396749</v>
      </c>
      <c r="H3340" t="s">
        <v>1579</v>
      </c>
      <c r="I3340">
        <v>7128</v>
      </c>
      <c r="J3340">
        <v>437.2</v>
      </c>
      <c r="K3340">
        <v>263.33</v>
      </c>
      <c r="L3340">
        <v>3116361.6</v>
      </c>
      <c r="M3340">
        <v>1877016.24</v>
      </c>
      <c r="N3340">
        <v>1239345.3600000001</v>
      </c>
    </row>
    <row r="3341" spans="1:14" x14ac:dyDescent="0.25">
      <c r="A3341" t="s">
        <v>51</v>
      </c>
      <c r="B3341" t="s">
        <v>192</v>
      </c>
      <c r="C3341" t="s">
        <v>21</v>
      </c>
      <c r="D3341" t="s">
        <v>17</v>
      </c>
      <c r="E3341" t="s">
        <v>32</v>
      </c>
      <c r="F3341" s="1">
        <v>40978</v>
      </c>
      <c r="G3341">
        <v>169483268</v>
      </c>
      <c r="H3341" s="1">
        <v>41010</v>
      </c>
      <c r="I3341">
        <v>2720</v>
      </c>
      <c r="J3341">
        <v>152.58000000000001</v>
      </c>
      <c r="K3341">
        <v>97.44</v>
      </c>
      <c r="L3341">
        <v>415017.6</v>
      </c>
      <c r="M3341">
        <v>265036.79999999999</v>
      </c>
      <c r="N3341">
        <v>149980.79999999999</v>
      </c>
    </row>
    <row r="3342" spans="1:14" x14ac:dyDescent="0.25">
      <c r="A3342" t="s">
        <v>29</v>
      </c>
      <c r="B3342" t="s">
        <v>585</v>
      </c>
      <c r="C3342" t="s">
        <v>31</v>
      </c>
      <c r="D3342" t="s">
        <v>17</v>
      </c>
      <c r="E3342" t="s">
        <v>18</v>
      </c>
      <c r="F3342" s="1">
        <v>41062</v>
      </c>
      <c r="G3342">
        <v>243964135</v>
      </c>
      <c r="H3342" t="s">
        <v>1587</v>
      </c>
      <c r="I3342">
        <v>3264</v>
      </c>
      <c r="J3342">
        <v>205.7</v>
      </c>
      <c r="K3342">
        <v>117.11</v>
      </c>
      <c r="L3342">
        <v>671404.8</v>
      </c>
      <c r="M3342">
        <v>382247.04</v>
      </c>
      <c r="N3342">
        <v>289157.76000000001</v>
      </c>
    </row>
    <row r="3343" spans="1:14" x14ac:dyDescent="0.25">
      <c r="A3343" t="s">
        <v>38</v>
      </c>
      <c r="B3343" t="s">
        <v>58</v>
      </c>
      <c r="C3343" t="s">
        <v>44</v>
      </c>
      <c r="D3343" t="s">
        <v>17</v>
      </c>
      <c r="E3343" t="s">
        <v>23</v>
      </c>
      <c r="F3343" s="1">
        <v>42103</v>
      </c>
      <c r="G3343">
        <v>849263179</v>
      </c>
      <c r="H3343" s="1">
        <v>42165</v>
      </c>
      <c r="I3343">
        <v>4702</v>
      </c>
      <c r="J3343">
        <v>109.28</v>
      </c>
      <c r="K3343">
        <v>35.840000000000003</v>
      </c>
      <c r="L3343">
        <v>513834.56</v>
      </c>
      <c r="M3343">
        <v>168519.67999999999</v>
      </c>
      <c r="N3343">
        <v>345314.88</v>
      </c>
    </row>
    <row r="3344" spans="1:14" x14ac:dyDescent="0.25">
      <c r="A3344" t="s">
        <v>51</v>
      </c>
      <c r="B3344" t="s">
        <v>502</v>
      </c>
      <c r="C3344" t="s">
        <v>131</v>
      </c>
      <c r="D3344" t="s">
        <v>22</v>
      </c>
      <c r="E3344" t="s">
        <v>18</v>
      </c>
      <c r="F3344" t="s">
        <v>566</v>
      </c>
      <c r="G3344">
        <v>365116727</v>
      </c>
      <c r="H3344" s="1">
        <v>42591</v>
      </c>
      <c r="I3344">
        <v>5008</v>
      </c>
      <c r="J3344">
        <v>668.27</v>
      </c>
      <c r="K3344">
        <v>502.54</v>
      </c>
      <c r="L3344">
        <v>3346696.16</v>
      </c>
      <c r="M3344">
        <v>2516720.3199999998</v>
      </c>
      <c r="N3344">
        <v>829975.84</v>
      </c>
    </row>
    <row r="3345" spans="1:14" x14ac:dyDescent="0.25">
      <c r="A3345" t="s">
        <v>38</v>
      </c>
      <c r="B3345" t="s">
        <v>527</v>
      </c>
      <c r="C3345" t="s">
        <v>69</v>
      </c>
      <c r="D3345" t="s">
        <v>17</v>
      </c>
      <c r="E3345" t="s">
        <v>45</v>
      </c>
      <c r="F3345" s="1">
        <v>41457</v>
      </c>
      <c r="G3345">
        <v>841573607</v>
      </c>
      <c r="H3345" t="s">
        <v>411</v>
      </c>
      <c r="I3345">
        <v>9187</v>
      </c>
      <c r="J3345">
        <v>421.89</v>
      </c>
      <c r="K3345">
        <v>364.69</v>
      </c>
      <c r="L3345">
        <v>3875903.43</v>
      </c>
      <c r="M3345">
        <v>3350407.03</v>
      </c>
      <c r="N3345">
        <v>525496.4</v>
      </c>
    </row>
    <row r="3346" spans="1:14" x14ac:dyDescent="0.25">
      <c r="A3346" t="s">
        <v>38</v>
      </c>
      <c r="B3346" t="s">
        <v>451</v>
      </c>
      <c r="C3346" t="s">
        <v>27</v>
      </c>
      <c r="D3346" t="s">
        <v>22</v>
      </c>
      <c r="E3346" t="s">
        <v>23</v>
      </c>
      <c r="F3346" s="1">
        <v>40611</v>
      </c>
      <c r="G3346">
        <v>348995149</v>
      </c>
      <c r="H3346" t="s">
        <v>1612</v>
      </c>
      <c r="I3346">
        <v>4275</v>
      </c>
      <c r="J3346">
        <v>47.45</v>
      </c>
      <c r="K3346">
        <v>31.79</v>
      </c>
      <c r="L3346">
        <v>202848.75</v>
      </c>
      <c r="M3346">
        <v>135902.25</v>
      </c>
      <c r="N3346">
        <v>66946.5</v>
      </c>
    </row>
    <row r="3347" spans="1:14" x14ac:dyDescent="0.25">
      <c r="A3347" t="s">
        <v>25</v>
      </c>
      <c r="B3347" t="s">
        <v>87</v>
      </c>
      <c r="C3347" t="s">
        <v>55</v>
      </c>
      <c r="D3347" t="s">
        <v>22</v>
      </c>
      <c r="E3347" t="s">
        <v>18</v>
      </c>
      <c r="F3347" t="s">
        <v>1153</v>
      </c>
      <c r="G3347">
        <v>628055179</v>
      </c>
      <c r="H3347" t="s">
        <v>1483</v>
      </c>
      <c r="I3347">
        <v>4339</v>
      </c>
      <c r="J3347">
        <v>651.21</v>
      </c>
      <c r="K3347">
        <v>524.96</v>
      </c>
      <c r="L3347">
        <v>2825600.19</v>
      </c>
      <c r="M3347">
        <v>2277801.44</v>
      </c>
      <c r="N3347">
        <v>547798.75</v>
      </c>
    </row>
    <row r="3348" spans="1:14" x14ac:dyDescent="0.25">
      <c r="A3348" t="s">
        <v>51</v>
      </c>
      <c r="B3348" t="s">
        <v>52</v>
      </c>
      <c r="C3348" t="s">
        <v>55</v>
      </c>
      <c r="D3348" t="s">
        <v>22</v>
      </c>
      <c r="E3348" t="s">
        <v>23</v>
      </c>
      <c r="F3348" s="1">
        <v>42381</v>
      </c>
      <c r="G3348">
        <v>339740025</v>
      </c>
      <c r="H3348" s="1">
        <v>42472</v>
      </c>
      <c r="I3348">
        <v>5478</v>
      </c>
      <c r="J3348">
        <v>651.21</v>
      </c>
      <c r="K3348">
        <v>524.96</v>
      </c>
      <c r="L3348">
        <v>3567328.38</v>
      </c>
      <c r="M3348">
        <v>2875730.88</v>
      </c>
      <c r="N3348">
        <v>691597.5</v>
      </c>
    </row>
    <row r="3349" spans="1:14" x14ac:dyDescent="0.25">
      <c r="A3349" t="s">
        <v>38</v>
      </c>
      <c r="B3349" t="s">
        <v>187</v>
      </c>
      <c r="C3349" t="s">
        <v>55</v>
      </c>
      <c r="D3349" t="s">
        <v>17</v>
      </c>
      <c r="E3349" t="s">
        <v>32</v>
      </c>
      <c r="F3349" s="1">
        <v>42165</v>
      </c>
      <c r="G3349">
        <v>915348517</v>
      </c>
      <c r="H3349" s="1">
        <v>42287</v>
      </c>
      <c r="I3349">
        <v>822</v>
      </c>
      <c r="J3349">
        <v>651.21</v>
      </c>
      <c r="K3349">
        <v>524.96</v>
      </c>
      <c r="L3349">
        <v>535294.62</v>
      </c>
      <c r="M3349">
        <v>431517.12</v>
      </c>
      <c r="N3349">
        <v>103777.5</v>
      </c>
    </row>
    <row r="3350" spans="1:14" x14ac:dyDescent="0.25">
      <c r="A3350" t="s">
        <v>29</v>
      </c>
      <c r="B3350" t="s">
        <v>153</v>
      </c>
      <c r="C3350" t="s">
        <v>40</v>
      </c>
      <c r="D3350" t="s">
        <v>17</v>
      </c>
      <c r="E3350" t="s">
        <v>23</v>
      </c>
      <c r="F3350" t="s">
        <v>894</v>
      </c>
      <c r="G3350">
        <v>706491982</v>
      </c>
      <c r="H3350" s="1">
        <v>42678</v>
      </c>
      <c r="I3350">
        <v>5532</v>
      </c>
      <c r="J3350">
        <v>81.73</v>
      </c>
      <c r="K3350">
        <v>56.67</v>
      </c>
      <c r="L3350">
        <v>452130.36</v>
      </c>
      <c r="M3350">
        <v>313498.44</v>
      </c>
      <c r="N3350">
        <v>138631.92000000001</v>
      </c>
    </row>
    <row r="3351" spans="1:14" x14ac:dyDescent="0.25">
      <c r="A3351" t="s">
        <v>14</v>
      </c>
      <c r="B3351" t="s">
        <v>20</v>
      </c>
      <c r="C3351" t="s">
        <v>113</v>
      </c>
      <c r="D3351" t="s">
        <v>22</v>
      </c>
      <c r="E3351" t="s">
        <v>23</v>
      </c>
      <c r="F3351" s="1">
        <v>40729</v>
      </c>
      <c r="G3351">
        <v>835094249</v>
      </c>
      <c r="H3351" t="s">
        <v>369</v>
      </c>
      <c r="I3351">
        <v>1801</v>
      </c>
      <c r="J3351">
        <v>154.06</v>
      </c>
      <c r="K3351">
        <v>90.93</v>
      </c>
      <c r="L3351">
        <v>277462.06</v>
      </c>
      <c r="M3351">
        <v>163764.93</v>
      </c>
      <c r="N3351">
        <v>113697.13</v>
      </c>
    </row>
    <row r="3352" spans="1:14" x14ac:dyDescent="0.25">
      <c r="A3352" t="s">
        <v>25</v>
      </c>
      <c r="B3352" t="s">
        <v>239</v>
      </c>
      <c r="C3352" t="s">
        <v>40</v>
      </c>
      <c r="D3352" t="s">
        <v>17</v>
      </c>
      <c r="E3352" t="s">
        <v>23</v>
      </c>
      <c r="F3352" s="1">
        <v>40335</v>
      </c>
      <c r="G3352">
        <v>243391644</v>
      </c>
      <c r="H3352" t="s">
        <v>612</v>
      </c>
      <c r="I3352">
        <v>3851</v>
      </c>
      <c r="J3352">
        <v>81.73</v>
      </c>
      <c r="K3352">
        <v>56.67</v>
      </c>
      <c r="L3352">
        <v>314742.23</v>
      </c>
      <c r="M3352">
        <v>218236.17</v>
      </c>
      <c r="N3352">
        <v>96506.06</v>
      </c>
    </row>
    <row r="3353" spans="1:14" x14ac:dyDescent="0.25">
      <c r="A3353" t="s">
        <v>42</v>
      </c>
      <c r="B3353" t="s">
        <v>43</v>
      </c>
      <c r="C3353" t="s">
        <v>131</v>
      </c>
      <c r="D3353" t="s">
        <v>22</v>
      </c>
      <c r="E3353" t="s">
        <v>45</v>
      </c>
      <c r="F3353" s="1">
        <v>41249</v>
      </c>
      <c r="G3353">
        <v>643932998</v>
      </c>
      <c r="H3353" t="s">
        <v>1044</v>
      </c>
      <c r="I3353">
        <v>2938</v>
      </c>
      <c r="J3353">
        <v>668.27</v>
      </c>
      <c r="K3353">
        <v>502.54</v>
      </c>
      <c r="L3353">
        <v>1963377.26</v>
      </c>
      <c r="M3353">
        <v>1476462.52</v>
      </c>
      <c r="N3353">
        <v>486914.74</v>
      </c>
    </row>
    <row r="3354" spans="1:14" x14ac:dyDescent="0.25">
      <c r="A3354" t="s">
        <v>29</v>
      </c>
      <c r="B3354" t="s">
        <v>137</v>
      </c>
      <c r="C3354" t="s">
        <v>113</v>
      </c>
      <c r="D3354" t="s">
        <v>22</v>
      </c>
      <c r="E3354" t="s">
        <v>45</v>
      </c>
      <c r="F3354" t="s">
        <v>1178</v>
      </c>
      <c r="G3354">
        <v>669579637</v>
      </c>
      <c r="H3354" t="s">
        <v>1507</v>
      </c>
      <c r="I3354">
        <v>2349</v>
      </c>
      <c r="J3354">
        <v>154.06</v>
      </c>
      <c r="K3354">
        <v>90.93</v>
      </c>
      <c r="L3354">
        <v>361886.94</v>
      </c>
      <c r="M3354">
        <v>213594.57</v>
      </c>
      <c r="N3354">
        <v>148292.37</v>
      </c>
    </row>
    <row r="3355" spans="1:14" x14ac:dyDescent="0.25">
      <c r="A3355" t="s">
        <v>25</v>
      </c>
      <c r="B3355" t="s">
        <v>196</v>
      </c>
      <c r="C3355" t="s">
        <v>44</v>
      </c>
      <c r="D3355" t="s">
        <v>17</v>
      </c>
      <c r="E3355" t="s">
        <v>45</v>
      </c>
      <c r="F3355" s="1">
        <v>42311</v>
      </c>
      <c r="G3355">
        <v>823505389</v>
      </c>
      <c r="H3355" t="s">
        <v>1742</v>
      </c>
      <c r="I3355">
        <v>2400</v>
      </c>
      <c r="J3355">
        <v>109.28</v>
      </c>
      <c r="K3355">
        <v>35.840000000000003</v>
      </c>
      <c r="L3355">
        <v>262272</v>
      </c>
      <c r="M3355">
        <v>86016</v>
      </c>
      <c r="N3355">
        <v>176256</v>
      </c>
    </row>
    <row r="3356" spans="1:14" x14ac:dyDescent="0.25">
      <c r="A3356" t="s">
        <v>14</v>
      </c>
      <c r="B3356" t="s">
        <v>15</v>
      </c>
      <c r="C3356" t="s">
        <v>69</v>
      </c>
      <c r="D3356" t="s">
        <v>22</v>
      </c>
      <c r="E3356" t="s">
        <v>45</v>
      </c>
      <c r="F3356" t="s">
        <v>1743</v>
      </c>
      <c r="G3356">
        <v>329196584</v>
      </c>
      <c r="H3356" s="1">
        <v>40795</v>
      </c>
      <c r="I3356">
        <v>5439</v>
      </c>
      <c r="J3356">
        <v>421.89</v>
      </c>
      <c r="K3356">
        <v>364.69</v>
      </c>
      <c r="L3356">
        <v>2294659.71</v>
      </c>
      <c r="M3356">
        <v>1983548.91</v>
      </c>
      <c r="N3356">
        <v>311110.8</v>
      </c>
    </row>
    <row r="3357" spans="1:14" x14ac:dyDescent="0.25">
      <c r="A3357" t="s">
        <v>29</v>
      </c>
      <c r="B3357" t="s">
        <v>467</v>
      </c>
      <c r="C3357" t="s">
        <v>69</v>
      </c>
      <c r="D3357" t="s">
        <v>17</v>
      </c>
      <c r="E3357" t="s">
        <v>32</v>
      </c>
      <c r="F3357" s="1">
        <v>40360</v>
      </c>
      <c r="G3357">
        <v>280452048</v>
      </c>
      <c r="H3357" t="s">
        <v>789</v>
      </c>
      <c r="I3357">
        <v>848</v>
      </c>
      <c r="J3357">
        <v>421.89</v>
      </c>
      <c r="K3357">
        <v>364.69</v>
      </c>
      <c r="L3357">
        <v>357762.72</v>
      </c>
      <c r="M3357">
        <v>309257.12</v>
      </c>
      <c r="N3357">
        <v>48505.599999999999</v>
      </c>
    </row>
    <row r="3358" spans="1:14" x14ac:dyDescent="0.25">
      <c r="A3358" t="s">
        <v>14</v>
      </c>
      <c r="B3358" t="s">
        <v>208</v>
      </c>
      <c r="C3358" t="s">
        <v>55</v>
      </c>
      <c r="D3358" t="s">
        <v>22</v>
      </c>
      <c r="E3358" t="s">
        <v>45</v>
      </c>
      <c r="F3358" t="s">
        <v>693</v>
      </c>
      <c r="G3358">
        <v>491383111</v>
      </c>
      <c r="H3358" s="1">
        <v>41769</v>
      </c>
      <c r="I3358">
        <v>37</v>
      </c>
      <c r="J3358">
        <v>651.21</v>
      </c>
      <c r="K3358">
        <v>524.96</v>
      </c>
      <c r="L3358">
        <v>24094.77</v>
      </c>
      <c r="M3358">
        <v>19423.52</v>
      </c>
      <c r="N3358">
        <v>4671.25</v>
      </c>
    </row>
    <row r="3359" spans="1:14" x14ac:dyDescent="0.25">
      <c r="A3359" t="s">
        <v>25</v>
      </c>
      <c r="B3359" t="s">
        <v>615</v>
      </c>
      <c r="C3359" t="s">
        <v>21</v>
      </c>
      <c r="D3359" t="s">
        <v>17</v>
      </c>
      <c r="E3359" t="s">
        <v>32</v>
      </c>
      <c r="F3359" t="s">
        <v>1744</v>
      </c>
      <c r="G3359">
        <v>846413600</v>
      </c>
      <c r="H3359" t="s">
        <v>1745</v>
      </c>
      <c r="I3359">
        <v>1448</v>
      </c>
      <c r="J3359">
        <v>152.58000000000001</v>
      </c>
      <c r="K3359">
        <v>97.44</v>
      </c>
      <c r="L3359">
        <v>220935.84</v>
      </c>
      <c r="M3359">
        <v>141093.12</v>
      </c>
      <c r="N3359">
        <v>79842.720000000001</v>
      </c>
    </row>
    <row r="3360" spans="1:14" x14ac:dyDescent="0.25">
      <c r="A3360" t="s">
        <v>25</v>
      </c>
      <c r="B3360" t="s">
        <v>252</v>
      </c>
      <c r="C3360" t="s">
        <v>88</v>
      </c>
      <c r="D3360" t="s">
        <v>22</v>
      </c>
      <c r="E3360" t="s">
        <v>23</v>
      </c>
      <c r="F3360" t="s">
        <v>1486</v>
      </c>
      <c r="G3360">
        <v>850279843</v>
      </c>
      <c r="H3360" s="1">
        <v>41186</v>
      </c>
      <c r="I3360">
        <v>5556</v>
      </c>
      <c r="J3360">
        <v>9.33</v>
      </c>
      <c r="K3360">
        <v>6.92</v>
      </c>
      <c r="L3360">
        <v>51837.48</v>
      </c>
      <c r="M3360">
        <v>38447.519999999997</v>
      </c>
      <c r="N3360">
        <v>13389.96</v>
      </c>
    </row>
    <row r="3361" spans="1:14" x14ac:dyDescent="0.25">
      <c r="A3361" t="s">
        <v>51</v>
      </c>
      <c r="B3361" t="s">
        <v>525</v>
      </c>
      <c r="C3361" t="s">
        <v>88</v>
      </c>
      <c r="D3361" t="s">
        <v>22</v>
      </c>
      <c r="E3361" t="s">
        <v>18</v>
      </c>
      <c r="F3361" s="1">
        <v>42160</v>
      </c>
      <c r="G3361">
        <v>978030669</v>
      </c>
      <c r="H3361" t="s">
        <v>1152</v>
      </c>
      <c r="I3361">
        <v>9864</v>
      </c>
      <c r="J3361">
        <v>9.33</v>
      </c>
      <c r="K3361">
        <v>6.92</v>
      </c>
      <c r="L3361">
        <v>92031.12</v>
      </c>
      <c r="M3361">
        <v>68258.880000000005</v>
      </c>
      <c r="N3361">
        <v>23772.240000000002</v>
      </c>
    </row>
    <row r="3362" spans="1:14" x14ac:dyDescent="0.25">
      <c r="A3362" t="s">
        <v>29</v>
      </c>
      <c r="B3362" t="s">
        <v>243</v>
      </c>
      <c r="C3362" t="s">
        <v>27</v>
      </c>
      <c r="D3362" t="s">
        <v>22</v>
      </c>
      <c r="E3362" t="s">
        <v>45</v>
      </c>
      <c r="F3362" t="s">
        <v>1050</v>
      </c>
      <c r="G3362">
        <v>425027406</v>
      </c>
      <c r="H3362" t="s">
        <v>715</v>
      </c>
      <c r="I3362">
        <v>3909</v>
      </c>
      <c r="J3362">
        <v>47.45</v>
      </c>
      <c r="K3362">
        <v>31.79</v>
      </c>
      <c r="L3362">
        <v>185482.05</v>
      </c>
      <c r="M3362">
        <v>124267.11</v>
      </c>
      <c r="N3362">
        <v>61214.94</v>
      </c>
    </row>
    <row r="3363" spans="1:14" x14ac:dyDescent="0.25">
      <c r="A3363" t="s">
        <v>14</v>
      </c>
      <c r="B3363" t="s">
        <v>64</v>
      </c>
      <c r="C3363" t="s">
        <v>27</v>
      </c>
      <c r="D3363" t="s">
        <v>17</v>
      </c>
      <c r="E3363" t="s">
        <v>18</v>
      </c>
      <c r="F3363" s="1">
        <v>42707</v>
      </c>
      <c r="G3363">
        <v>256943881</v>
      </c>
      <c r="H3363" t="s">
        <v>1503</v>
      </c>
      <c r="I3363">
        <v>4259</v>
      </c>
      <c r="J3363">
        <v>47.45</v>
      </c>
      <c r="K3363">
        <v>31.79</v>
      </c>
      <c r="L3363">
        <v>202089.55</v>
      </c>
      <c r="M3363">
        <v>135393.60999999999</v>
      </c>
      <c r="N3363">
        <v>66695.94</v>
      </c>
    </row>
    <row r="3364" spans="1:14" x14ac:dyDescent="0.25">
      <c r="A3364" t="s">
        <v>38</v>
      </c>
      <c r="B3364" t="s">
        <v>58</v>
      </c>
      <c r="C3364" t="s">
        <v>59</v>
      </c>
      <c r="D3364" t="s">
        <v>22</v>
      </c>
      <c r="E3364" t="s">
        <v>45</v>
      </c>
      <c r="F3364" t="s">
        <v>1478</v>
      </c>
      <c r="G3364">
        <v>259766423</v>
      </c>
      <c r="H3364" s="1">
        <v>40856</v>
      </c>
      <c r="I3364">
        <v>9512</v>
      </c>
      <c r="J3364">
        <v>437.2</v>
      </c>
      <c r="K3364">
        <v>263.33</v>
      </c>
      <c r="L3364">
        <v>4158646.4</v>
      </c>
      <c r="M3364">
        <v>2504794.96</v>
      </c>
      <c r="N3364">
        <v>1653851.44</v>
      </c>
    </row>
    <row r="3365" spans="1:14" x14ac:dyDescent="0.25">
      <c r="A3365" t="s">
        <v>14</v>
      </c>
      <c r="B3365" t="s">
        <v>64</v>
      </c>
      <c r="C3365" t="s">
        <v>27</v>
      </c>
      <c r="D3365" t="s">
        <v>17</v>
      </c>
      <c r="E3365" t="s">
        <v>45</v>
      </c>
      <c r="F3365" t="s">
        <v>980</v>
      </c>
      <c r="G3365">
        <v>289793860</v>
      </c>
      <c r="H3365" t="s">
        <v>760</v>
      </c>
      <c r="I3365">
        <v>5298</v>
      </c>
      <c r="J3365">
        <v>47.45</v>
      </c>
      <c r="K3365">
        <v>31.79</v>
      </c>
      <c r="L3365">
        <v>251390.1</v>
      </c>
      <c r="M3365">
        <v>168423.42</v>
      </c>
      <c r="N3365">
        <v>82966.679999999993</v>
      </c>
    </row>
    <row r="3366" spans="1:14" x14ac:dyDescent="0.25">
      <c r="A3366" t="s">
        <v>51</v>
      </c>
      <c r="B3366" t="s">
        <v>194</v>
      </c>
      <c r="C3366" t="s">
        <v>88</v>
      </c>
      <c r="D3366" t="s">
        <v>22</v>
      </c>
      <c r="E3366" t="s">
        <v>45</v>
      </c>
      <c r="F3366" t="s">
        <v>1347</v>
      </c>
      <c r="G3366">
        <v>723637521</v>
      </c>
      <c r="H3366" t="s">
        <v>471</v>
      </c>
      <c r="I3366">
        <v>9278</v>
      </c>
      <c r="J3366">
        <v>9.33</v>
      </c>
      <c r="K3366">
        <v>6.92</v>
      </c>
      <c r="L3366">
        <v>86563.74</v>
      </c>
      <c r="M3366">
        <v>64203.76</v>
      </c>
      <c r="N3366">
        <v>22359.98</v>
      </c>
    </row>
    <row r="3367" spans="1:14" x14ac:dyDescent="0.25">
      <c r="A3367" t="s">
        <v>51</v>
      </c>
      <c r="B3367" t="s">
        <v>417</v>
      </c>
      <c r="C3367" t="s">
        <v>31</v>
      </c>
      <c r="D3367" t="s">
        <v>22</v>
      </c>
      <c r="E3367" t="s">
        <v>45</v>
      </c>
      <c r="F3367" s="1">
        <v>40828</v>
      </c>
      <c r="G3367">
        <v>208221232</v>
      </c>
      <c r="H3367" t="s">
        <v>296</v>
      </c>
      <c r="I3367">
        <v>6145</v>
      </c>
      <c r="J3367">
        <v>205.7</v>
      </c>
      <c r="K3367">
        <v>117.11</v>
      </c>
      <c r="L3367">
        <v>1264026.5</v>
      </c>
      <c r="M3367">
        <v>719640.95</v>
      </c>
      <c r="N3367">
        <v>544385.55000000005</v>
      </c>
    </row>
    <row r="3368" spans="1:14" x14ac:dyDescent="0.25">
      <c r="A3368" t="s">
        <v>14</v>
      </c>
      <c r="B3368" t="s">
        <v>20</v>
      </c>
      <c r="C3368" t="s">
        <v>113</v>
      </c>
      <c r="D3368" t="s">
        <v>17</v>
      </c>
      <c r="E3368" t="s">
        <v>23</v>
      </c>
      <c r="F3368" s="1">
        <v>42619</v>
      </c>
      <c r="G3368">
        <v>610781323</v>
      </c>
      <c r="H3368" t="s">
        <v>1171</v>
      </c>
      <c r="I3368">
        <v>2621</v>
      </c>
      <c r="J3368">
        <v>154.06</v>
      </c>
      <c r="K3368">
        <v>90.93</v>
      </c>
      <c r="L3368">
        <v>403791.26</v>
      </c>
      <c r="M3368">
        <v>238327.53</v>
      </c>
      <c r="N3368">
        <v>165463.73000000001</v>
      </c>
    </row>
    <row r="3369" spans="1:14" x14ac:dyDescent="0.25">
      <c r="A3369" t="s">
        <v>29</v>
      </c>
      <c r="B3369" t="s">
        <v>545</v>
      </c>
      <c r="C3369" t="s">
        <v>27</v>
      </c>
      <c r="D3369" t="s">
        <v>22</v>
      </c>
      <c r="E3369" t="s">
        <v>45</v>
      </c>
      <c r="F3369" t="s">
        <v>1211</v>
      </c>
      <c r="G3369">
        <v>268866622</v>
      </c>
      <c r="H3369" s="1">
        <v>42464</v>
      </c>
      <c r="I3369">
        <v>2463</v>
      </c>
      <c r="J3369">
        <v>47.45</v>
      </c>
      <c r="K3369">
        <v>31.79</v>
      </c>
      <c r="L3369">
        <v>116869.35</v>
      </c>
      <c r="M3369">
        <v>78298.77</v>
      </c>
      <c r="N3369">
        <v>38570.58</v>
      </c>
    </row>
    <row r="3370" spans="1:14" x14ac:dyDescent="0.25">
      <c r="A3370" t="s">
        <v>38</v>
      </c>
      <c r="B3370" t="s">
        <v>68</v>
      </c>
      <c r="C3370" t="s">
        <v>55</v>
      </c>
      <c r="D3370" t="s">
        <v>22</v>
      </c>
      <c r="E3370" t="s">
        <v>45</v>
      </c>
      <c r="F3370" s="1">
        <v>41072</v>
      </c>
      <c r="G3370">
        <v>740338456</v>
      </c>
      <c r="H3370" s="1">
        <v>41255</v>
      </c>
      <c r="I3370">
        <v>1456</v>
      </c>
      <c r="J3370">
        <v>651.21</v>
      </c>
      <c r="K3370">
        <v>524.96</v>
      </c>
      <c r="L3370">
        <v>948161.76</v>
      </c>
      <c r="M3370">
        <v>764341.76000000001</v>
      </c>
      <c r="N3370">
        <v>183820</v>
      </c>
    </row>
    <row r="3371" spans="1:14" x14ac:dyDescent="0.25">
      <c r="A3371" t="s">
        <v>42</v>
      </c>
      <c r="B3371" t="s">
        <v>174</v>
      </c>
      <c r="C3371" t="s">
        <v>131</v>
      </c>
      <c r="D3371" t="s">
        <v>22</v>
      </c>
      <c r="E3371" t="s">
        <v>23</v>
      </c>
      <c r="F3371" t="s">
        <v>981</v>
      </c>
      <c r="G3371">
        <v>953370654</v>
      </c>
      <c r="H3371" t="s">
        <v>415</v>
      </c>
      <c r="I3371">
        <v>2417</v>
      </c>
      <c r="J3371">
        <v>668.27</v>
      </c>
      <c r="K3371">
        <v>502.54</v>
      </c>
      <c r="L3371">
        <v>1615208.59</v>
      </c>
      <c r="M3371">
        <v>1214639.18</v>
      </c>
      <c r="N3371">
        <v>400569.41</v>
      </c>
    </row>
    <row r="3372" spans="1:14" x14ac:dyDescent="0.25">
      <c r="A3372" t="s">
        <v>42</v>
      </c>
      <c r="B3372" t="s">
        <v>90</v>
      </c>
      <c r="C3372" t="s">
        <v>59</v>
      </c>
      <c r="D3372" t="s">
        <v>22</v>
      </c>
      <c r="E3372" t="s">
        <v>45</v>
      </c>
      <c r="F3372" s="1">
        <v>40787</v>
      </c>
      <c r="G3372">
        <v>356449544</v>
      </c>
      <c r="H3372" t="s">
        <v>948</v>
      </c>
      <c r="I3372">
        <v>196</v>
      </c>
      <c r="J3372">
        <v>437.2</v>
      </c>
      <c r="K3372">
        <v>263.33</v>
      </c>
      <c r="L3372">
        <v>85691.199999999997</v>
      </c>
      <c r="M3372">
        <v>51612.68</v>
      </c>
      <c r="N3372">
        <v>34078.519999999997</v>
      </c>
    </row>
    <row r="3373" spans="1:14" x14ac:dyDescent="0.25">
      <c r="A3373" t="s">
        <v>25</v>
      </c>
      <c r="B3373" t="s">
        <v>72</v>
      </c>
      <c r="C3373" t="s">
        <v>55</v>
      </c>
      <c r="D3373" t="s">
        <v>17</v>
      </c>
      <c r="E3373" t="s">
        <v>45</v>
      </c>
      <c r="F3373" t="s">
        <v>1722</v>
      </c>
      <c r="G3373">
        <v>268373954</v>
      </c>
      <c r="H3373" t="s">
        <v>513</v>
      </c>
      <c r="I3373">
        <v>6672</v>
      </c>
      <c r="J3373">
        <v>651.21</v>
      </c>
      <c r="K3373">
        <v>524.96</v>
      </c>
      <c r="L3373">
        <v>4344873.12</v>
      </c>
      <c r="M3373">
        <v>3502533.12</v>
      </c>
      <c r="N3373">
        <v>842340</v>
      </c>
    </row>
    <row r="3374" spans="1:14" x14ac:dyDescent="0.25">
      <c r="A3374" t="s">
        <v>51</v>
      </c>
      <c r="B3374" t="s">
        <v>108</v>
      </c>
      <c r="C3374" t="s">
        <v>21</v>
      </c>
      <c r="D3374" t="s">
        <v>22</v>
      </c>
      <c r="E3374" t="s">
        <v>45</v>
      </c>
      <c r="F3374" s="1">
        <v>42739</v>
      </c>
      <c r="G3374">
        <v>728255212</v>
      </c>
      <c r="H3374" s="1">
        <v>42829</v>
      </c>
      <c r="I3374">
        <v>5755</v>
      </c>
      <c r="J3374">
        <v>152.58000000000001</v>
      </c>
      <c r="K3374">
        <v>97.44</v>
      </c>
      <c r="L3374">
        <v>878097.9</v>
      </c>
      <c r="M3374">
        <v>560767.19999999995</v>
      </c>
      <c r="N3374">
        <v>317330.7</v>
      </c>
    </row>
    <row r="3375" spans="1:14" x14ac:dyDescent="0.25">
      <c r="A3375" t="s">
        <v>51</v>
      </c>
      <c r="B3375" t="s">
        <v>305</v>
      </c>
      <c r="C3375" t="s">
        <v>21</v>
      </c>
      <c r="D3375" t="s">
        <v>22</v>
      </c>
      <c r="E3375" t="s">
        <v>23</v>
      </c>
      <c r="F3375" t="s">
        <v>873</v>
      </c>
      <c r="G3375">
        <v>945517146</v>
      </c>
      <c r="H3375" s="1">
        <v>41276</v>
      </c>
      <c r="I3375">
        <v>8390</v>
      </c>
      <c r="J3375">
        <v>152.58000000000001</v>
      </c>
      <c r="K3375">
        <v>97.44</v>
      </c>
      <c r="L3375">
        <v>1280146.2</v>
      </c>
      <c r="M3375">
        <v>817521.6</v>
      </c>
      <c r="N3375">
        <v>462624.6</v>
      </c>
    </row>
    <row r="3376" spans="1:14" x14ac:dyDescent="0.25">
      <c r="A3376" t="s">
        <v>51</v>
      </c>
      <c r="B3376" t="s">
        <v>223</v>
      </c>
      <c r="C3376" t="s">
        <v>131</v>
      </c>
      <c r="D3376" t="s">
        <v>22</v>
      </c>
      <c r="E3376" t="s">
        <v>45</v>
      </c>
      <c r="F3376" t="s">
        <v>1746</v>
      </c>
      <c r="G3376">
        <v>649896085</v>
      </c>
      <c r="H3376" t="s">
        <v>1290</v>
      </c>
      <c r="I3376">
        <v>7548</v>
      </c>
      <c r="J3376">
        <v>668.27</v>
      </c>
      <c r="K3376">
        <v>502.54</v>
      </c>
      <c r="L3376">
        <v>5044101.96</v>
      </c>
      <c r="M3376">
        <v>3793171.92</v>
      </c>
      <c r="N3376">
        <v>1250930.04</v>
      </c>
    </row>
    <row r="3377" spans="1:14" x14ac:dyDescent="0.25">
      <c r="A3377" t="s">
        <v>51</v>
      </c>
      <c r="B3377" t="s">
        <v>327</v>
      </c>
      <c r="C3377" t="s">
        <v>40</v>
      </c>
      <c r="D3377" t="s">
        <v>17</v>
      </c>
      <c r="E3377" t="s">
        <v>18</v>
      </c>
      <c r="F3377" s="1">
        <v>42378</v>
      </c>
      <c r="G3377">
        <v>541440856</v>
      </c>
      <c r="H3377" t="s">
        <v>221</v>
      </c>
      <c r="I3377">
        <v>3236</v>
      </c>
      <c r="J3377">
        <v>81.73</v>
      </c>
      <c r="K3377">
        <v>56.67</v>
      </c>
      <c r="L3377">
        <v>264478.28000000003</v>
      </c>
      <c r="M3377">
        <v>183384.12</v>
      </c>
      <c r="N3377">
        <v>81094.16</v>
      </c>
    </row>
    <row r="3378" spans="1:14" x14ac:dyDescent="0.25">
      <c r="A3378" t="s">
        <v>42</v>
      </c>
      <c r="B3378" t="s">
        <v>565</v>
      </c>
      <c r="C3378" t="s">
        <v>40</v>
      </c>
      <c r="D3378" t="s">
        <v>22</v>
      </c>
      <c r="E3378" t="s">
        <v>18</v>
      </c>
      <c r="F3378" t="s">
        <v>538</v>
      </c>
      <c r="G3378">
        <v>940512788</v>
      </c>
      <c r="H3378" t="s">
        <v>1747</v>
      </c>
      <c r="I3378">
        <v>7489</v>
      </c>
      <c r="J3378">
        <v>81.73</v>
      </c>
      <c r="K3378">
        <v>56.67</v>
      </c>
      <c r="L3378">
        <v>612075.97</v>
      </c>
      <c r="M3378">
        <v>424401.63</v>
      </c>
      <c r="N3378">
        <v>187674.34</v>
      </c>
    </row>
    <row r="3379" spans="1:14" x14ac:dyDescent="0.25">
      <c r="A3379" t="s">
        <v>51</v>
      </c>
      <c r="B3379" t="s">
        <v>575</v>
      </c>
      <c r="C3379" t="s">
        <v>21</v>
      </c>
      <c r="D3379" t="s">
        <v>22</v>
      </c>
      <c r="E3379" t="s">
        <v>45</v>
      </c>
      <c r="F3379" t="s">
        <v>1370</v>
      </c>
      <c r="G3379">
        <v>437785708</v>
      </c>
      <c r="H3379" t="s">
        <v>1501</v>
      </c>
      <c r="I3379">
        <v>9375</v>
      </c>
      <c r="J3379">
        <v>152.58000000000001</v>
      </c>
      <c r="K3379">
        <v>97.44</v>
      </c>
      <c r="L3379">
        <v>1430437.5</v>
      </c>
      <c r="M3379">
        <v>913500</v>
      </c>
      <c r="N3379">
        <v>516937.5</v>
      </c>
    </row>
    <row r="3380" spans="1:14" x14ac:dyDescent="0.25">
      <c r="A3380" t="s">
        <v>29</v>
      </c>
      <c r="B3380" t="s">
        <v>271</v>
      </c>
      <c r="C3380" t="s">
        <v>88</v>
      </c>
      <c r="D3380" t="s">
        <v>17</v>
      </c>
      <c r="E3380" t="s">
        <v>18</v>
      </c>
      <c r="F3380" t="s">
        <v>1748</v>
      </c>
      <c r="G3380">
        <v>844245946</v>
      </c>
      <c r="H3380" s="1">
        <v>40909</v>
      </c>
      <c r="I3380">
        <v>9991</v>
      </c>
      <c r="J3380">
        <v>9.33</v>
      </c>
      <c r="K3380">
        <v>6.92</v>
      </c>
      <c r="L3380">
        <v>93216.03</v>
      </c>
      <c r="M3380">
        <v>69137.72</v>
      </c>
      <c r="N3380">
        <v>24078.31</v>
      </c>
    </row>
    <row r="3381" spans="1:14" x14ac:dyDescent="0.25">
      <c r="A3381" t="s">
        <v>38</v>
      </c>
      <c r="B3381" t="s">
        <v>329</v>
      </c>
      <c r="C3381" t="s">
        <v>131</v>
      </c>
      <c r="D3381" t="s">
        <v>22</v>
      </c>
      <c r="E3381" t="s">
        <v>23</v>
      </c>
      <c r="F3381" t="s">
        <v>851</v>
      </c>
      <c r="G3381">
        <v>441192328</v>
      </c>
      <c r="H3381" t="s">
        <v>694</v>
      </c>
      <c r="I3381">
        <v>7469</v>
      </c>
      <c r="J3381">
        <v>668.27</v>
      </c>
      <c r="K3381">
        <v>502.54</v>
      </c>
      <c r="L3381">
        <v>4991308.63</v>
      </c>
      <c r="M3381">
        <v>3753471.26</v>
      </c>
      <c r="N3381">
        <v>1237837.3700000001</v>
      </c>
    </row>
    <row r="3382" spans="1:14" x14ac:dyDescent="0.25">
      <c r="A3382" t="s">
        <v>29</v>
      </c>
      <c r="B3382" t="s">
        <v>440</v>
      </c>
      <c r="C3382" t="s">
        <v>27</v>
      </c>
      <c r="D3382" t="s">
        <v>17</v>
      </c>
      <c r="E3382" t="s">
        <v>32</v>
      </c>
      <c r="F3382" t="s">
        <v>1124</v>
      </c>
      <c r="G3382">
        <v>730236184</v>
      </c>
      <c r="H3382" t="s">
        <v>904</v>
      </c>
      <c r="I3382">
        <v>1969</v>
      </c>
      <c r="J3382">
        <v>47.45</v>
      </c>
      <c r="K3382">
        <v>31.79</v>
      </c>
      <c r="L3382">
        <v>93429.05</v>
      </c>
      <c r="M3382">
        <v>62594.51</v>
      </c>
      <c r="N3382">
        <v>30834.54</v>
      </c>
    </row>
    <row r="3383" spans="1:14" x14ac:dyDescent="0.25">
      <c r="A3383" t="s">
        <v>29</v>
      </c>
      <c r="B3383" t="s">
        <v>585</v>
      </c>
      <c r="C3383" t="s">
        <v>21</v>
      </c>
      <c r="D3383" t="s">
        <v>22</v>
      </c>
      <c r="E3383" t="s">
        <v>32</v>
      </c>
      <c r="F3383" t="s">
        <v>1749</v>
      </c>
      <c r="G3383">
        <v>583301341</v>
      </c>
      <c r="H3383" t="s">
        <v>1711</v>
      </c>
      <c r="I3383">
        <v>684</v>
      </c>
      <c r="J3383">
        <v>152.58000000000001</v>
      </c>
      <c r="K3383">
        <v>97.44</v>
      </c>
      <c r="L3383">
        <v>104364.72</v>
      </c>
      <c r="M3383">
        <v>66648.960000000006</v>
      </c>
      <c r="N3383">
        <v>37715.760000000002</v>
      </c>
    </row>
    <row r="3384" spans="1:14" x14ac:dyDescent="0.25">
      <c r="A3384" t="s">
        <v>51</v>
      </c>
      <c r="B3384" t="s">
        <v>398</v>
      </c>
      <c r="C3384" t="s">
        <v>27</v>
      </c>
      <c r="D3384" t="s">
        <v>17</v>
      </c>
      <c r="E3384" t="s">
        <v>32</v>
      </c>
      <c r="F3384" t="s">
        <v>1527</v>
      </c>
      <c r="G3384">
        <v>292624127</v>
      </c>
      <c r="H3384" t="s">
        <v>222</v>
      </c>
      <c r="I3384">
        <v>2837</v>
      </c>
      <c r="J3384">
        <v>47.45</v>
      </c>
      <c r="K3384">
        <v>31.79</v>
      </c>
      <c r="L3384">
        <v>134615.65</v>
      </c>
      <c r="M3384">
        <v>90188.23</v>
      </c>
      <c r="N3384">
        <v>44427.42</v>
      </c>
    </row>
    <row r="3385" spans="1:14" x14ac:dyDescent="0.25">
      <c r="A3385" t="s">
        <v>14</v>
      </c>
      <c r="B3385" t="s">
        <v>370</v>
      </c>
      <c r="C3385" t="s">
        <v>27</v>
      </c>
      <c r="D3385" t="s">
        <v>17</v>
      </c>
      <c r="E3385" t="s">
        <v>23</v>
      </c>
      <c r="F3385" t="s">
        <v>1750</v>
      </c>
      <c r="G3385">
        <v>220753371</v>
      </c>
      <c r="H3385" t="s">
        <v>942</v>
      </c>
      <c r="I3385">
        <v>4683</v>
      </c>
      <c r="J3385">
        <v>47.45</v>
      </c>
      <c r="K3385">
        <v>31.79</v>
      </c>
      <c r="L3385">
        <v>222208.35</v>
      </c>
      <c r="M3385">
        <v>148872.57</v>
      </c>
      <c r="N3385">
        <v>73335.78</v>
      </c>
    </row>
    <row r="3386" spans="1:14" x14ac:dyDescent="0.25">
      <c r="A3386" t="s">
        <v>25</v>
      </c>
      <c r="B3386" t="s">
        <v>204</v>
      </c>
      <c r="C3386" t="s">
        <v>59</v>
      </c>
      <c r="D3386" t="s">
        <v>17</v>
      </c>
      <c r="E3386" t="s">
        <v>45</v>
      </c>
      <c r="F3386" t="s">
        <v>994</v>
      </c>
      <c r="G3386">
        <v>350550401</v>
      </c>
      <c r="H3386" t="s">
        <v>1294</v>
      </c>
      <c r="I3386">
        <v>4508</v>
      </c>
      <c r="J3386">
        <v>437.2</v>
      </c>
      <c r="K3386">
        <v>263.33</v>
      </c>
      <c r="L3386">
        <v>1970897.6</v>
      </c>
      <c r="M3386">
        <v>1187091.6399999999</v>
      </c>
      <c r="N3386">
        <v>783805.96</v>
      </c>
    </row>
    <row r="3387" spans="1:14" x14ac:dyDescent="0.25">
      <c r="A3387" t="s">
        <v>38</v>
      </c>
      <c r="B3387" t="s">
        <v>54</v>
      </c>
      <c r="C3387" t="s">
        <v>31</v>
      </c>
      <c r="D3387" t="s">
        <v>22</v>
      </c>
      <c r="E3387" t="s">
        <v>32</v>
      </c>
      <c r="F3387" s="1">
        <v>41519</v>
      </c>
      <c r="G3387">
        <v>735189044</v>
      </c>
      <c r="H3387" s="1">
        <v>41336</v>
      </c>
      <c r="I3387">
        <v>7631</v>
      </c>
      <c r="J3387">
        <v>205.7</v>
      </c>
      <c r="K3387">
        <v>117.11</v>
      </c>
      <c r="L3387">
        <v>1569696.7</v>
      </c>
      <c r="M3387">
        <v>893666.41</v>
      </c>
      <c r="N3387">
        <v>676030.29</v>
      </c>
    </row>
    <row r="3388" spans="1:14" x14ac:dyDescent="0.25">
      <c r="A3388" t="s">
        <v>51</v>
      </c>
      <c r="B3388" t="s">
        <v>166</v>
      </c>
      <c r="C3388" t="s">
        <v>31</v>
      </c>
      <c r="D3388" t="s">
        <v>22</v>
      </c>
      <c r="E3388" t="s">
        <v>18</v>
      </c>
      <c r="F3388" t="s">
        <v>489</v>
      </c>
      <c r="G3388">
        <v>148155629</v>
      </c>
      <c r="H3388" t="s">
        <v>1630</v>
      </c>
      <c r="I3388">
        <v>1398</v>
      </c>
      <c r="J3388">
        <v>205.7</v>
      </c>
      <c r="K3388">
        <v>117.11</v>
      </c>
      <c r="L3388">
        <v>287568.59999999998</v>
      </c>
      <c r="M3388">
        <v>163719.78</v>
      </c>
      <c r="N3388">
        <v>123848.82</v>
      </c>
    </row>
    <row r="3389" spans="1:14" x14ac:dyDescent="0.25">
      <c r="A3389" t="s">
        <v>14</v>
      </c>
      <c r="B3389" t="s">
        <v>372</v>
      </c>
      <c r="C3389" t="s">
        <v>69</v>
      </c>
      <c r="D3389" t="s">
        <v>22</v>
      </c>
      <c r="E3389" t="s">
        <v>23</v>
      </c>
      <c r="F3389" t="s">
        <v>644</v>
      </c>
      <c r="G3389">
        <v>133248984</v>
      </c>
      <c r="H3389" t="s">
        <v>411</v>
      </c>
      <c r="I3389">
        <v>190</v>
      </c>
      <c r="J3389">
        <v>421.89</v>
      </c>
      <c r="K3389">
        <v>364.69</v>
      </c>
      <c r="L3389">
        <v>80159.100000000006</v>
      </c>
      <c r="M3389">
        <v>69291.100000000006</v>
      </c>
      <c r="N3389">
        <v>10868</v>
      </c>
    </row>
    <row r="3390" spans="1:14" x14ac:dyDescent="0.25">
      <c r="A3390" t="s">
        <v>51</v>
      </c>
      <c r="B3390" t="s">
        <v>848</v>
      </c>
      <c r="C3390" t="s">
        <v>113</v>
      </c>
      <c r="D3390" t="s">
        <v>22</v>
      </c>
      <c r="E3390" t="s">
        <v>32</v>
      </c>
      <c r="F3390" t="s">
        <v>1313</v>
      </c>
      <c r="G3390">
        <v>954580438</v>
      </c>
      <c r="H3390" s="1">
        <v>41218</v>
      </c>
      <c r="I3390">
        <v>419</v>
      </c>
      <c r="J3390">
        <v>154.06</v>
      </c>
      <c r="K3390">
        <v>90.93</v>
      </c>
      <c r="L3390">
        <v>64551.14</v>
      </c>
      <c r="M3390">
        <v>38099.67</v>
      </c>
      <c r="N3390">
        <v>26451.47</v>
      </c>
    </row>
    <row r="3391" spans="1:14" x14ac:dyDescent="0.25">
      <c r="A3391" t="s">
        <v>14</v>
      </c>
      <c r="B3391" t="s">
        <v>81</v>
      </c>
      <c r="C3391" t="s">
        <v>21</v>
      </c>
      <c r="D3391" t="s">
        <v>22</v>
      </c>
      <c r="E3391" t="s">
        <v>32</v>
      </c>
      <c r="F3391" s="1">
        <v>40760</v>
      </c>
      <c r="G3391">
        <v>246573817</v>
      </c>
      <c r="H3391" t="s">
        <v>1462</v>
      </c>
      <c r="I3391">
        <v>5527</v>
      </c>
      <c r="J3391">
        <v>152.58000000000001</v>
      </c>
      <c r="K3391">
        <v>97.44</v>
      </c>
      <c r="L3391">
        <v>843309.66</v>
      </c>
      <c r="M3391">
        <v>538550.88</v>
      </c>
      <c r="N3391">
        <v>304758.78000000003</v>
      </c>
    </row>
    <row r="3392" spans="1:14" x14ac:dyDescent="0.25">
      <c r="A3392" t="s">
        <v>42</v>
      </c>
      <c r="B3392" t="s">
        <v>90</v>
      </c>
      <c r="C3392" t="s">
        <v>27</v>
      </c>
      <c r="D3392" t="s">
        <v>22</v>
      </c>
      <c r="E3392" t="s">
        <v>32</v>
      </c>
      <c r="F3392" s="1">
        <v>42379</v>
      </c>
      <c r="G3392">
        <v>663965451</v>
      </c>
      <c r="H3392" s="1">
        <v>42500</v>
      </c>
      <c r="I3392">
        <v>987</v>
      </c>
      <c r="J3392">
        <v>47.45</v>
      </c>
      <c r="K3392">
        <v>31.79</v>
      </c>
      <c r="L3392">
        <v>46833.15</v>
      </c>
      <c r="M3392">
        <v>31376.73</v>
      </c>
      <c r="N3392">
        <v>15456.42</v>
      </c>
    </row>
    <row r="3393" spans="1:14" x14ac:dyDescent="0.25">
      <c r="A3393" t="s">
        <v>77</v>
      </c>
      <c r="B3393" t="s">
        <v>78</v>
      </c>
      <c r="C3393" t="s">
        <v>131</v>
      </c>
      <c r="D3393" t="s">
        <v>22</v>
      </c>
      <c r="E3393" t="s">
        <v>45</v>
      </c>
      <c r="F3393" t="s">
        <v>639</v>
      </c>
      <c r="G3393">
        <v>431804168</v>
      </c>
      <c r="H3393" s="1">
        <v>42889</v>
      </c>
      <c r="I3393">
        <v>9304</v>
      </c>
      <c r="J3393">
        <v>668.27</v>
      </c>
      <c r="K3393">
        <v>502.54</v>
      </c>
      <c r="L3393">
        <v>6217584.0800000001</v>
      </c>
      <c r="M3393">
        <v>4675632.16</v>
      </c>
      <c r="N3393">
        <v>1541951.92</v>
      </c>
    </row>
    <row r="3394" spans="1:14" x14ac:dyDescent="0.25">
      <c r="A3394" t="s">
        <v>29</v>
      </c>
      <c r="B3394" t="s">
        <v>121</v>
      </c>
      <c r="C3394" t="s">
        <v>21</v>
      </c>
      <c r="D3394" t="s">
        <v>17</v>
      </c>
      <c r="E3394" t="s">
        <v>18</v>
      </c>
      <c r="F3394" s="1">
        <v>42827</v>
      </c>
      <c r="G3394">
        <v>995451295</v>
      </c>
      <c r="H3394" t="s">
        <v>1423</v>
      </c>
      <c r="I3394">
        <v>5014</v>
      </c>
      <c r="J3394">
        <v>152.58000000000001</v>
      </c>
      <c r="K3394">
        <v>97.44</v>
      </c>
      <c r="L3394">
        <v>765036.12</v>
      </c>
      <c r="M3394">
        <v>488564.16</v>
      </c>
      <c r="N3394">
        <v>276471.96000000002</v>
      </c>
    </row>
    <row r="3395" spans="1:14" x14ac:dyDescent="0.25">
      <c r="A3395" t="s">
        <v>51</v>
      </c>
      <c r="B3395" t="s">
        <v>360</v>
      </c>
      <c r="C3395" t="s">
        <v>88</v>
      </c>
      <c r="D3395" t="s">
        <v>22</v>
      </c>
      <c r="E3395" t="s">
        <v>45</v>
      </c>
      <c r="F3395" t="s">
        <v>942</v>
      </c>
      <c r="G3395">
        <v>270580661</v>
      </c>
      <c r="H3395" t="s">
        <v>779</v>
      </c>
      <c r="I3395">
        <v>9685</v>
      </c>
      <c r="J3395">
        <v>9.33</v>
      </c>
      <c r="K3395">
        <v>6.92</v>
      </c>
      <c r="L3395">
        <v>90361.05</v>
      </c>
      <c r="M3395">
        <v>67020.2</v>
      </c>
      <c r="N3395">
        <v>23340.85</v>
      </c>
    </row>
    <row r="3396" spans="1:14" x14ac:dyDescent="0.25">
      <c r="A3396" t="s">
        <v>25</v>
      </c>
      <c r="B3396" t="s">
        <v>142</v>
      </c>
      <c r="C3396" t="s">
        <v>40</v>
      </c>
      <c r="D3396" t="s">
        <v>17</v>
      </c>
      <c r="E3396" t="s">
        <v>23</v>
      </c>
      <c r="F3396" t="s">
        <v>1751</v>
      </c>
      <c r="G3396">
        <v>293178594</v>
      </c>
      <c r="H3396" s="1">
        <v>40184</v>
      </c>
      <c r="I3396">
        <v>6916</v>
      </c>
      <c r="J3396">
        <v>81.73</v>
      </c>
      <c r="K3396">
        <v>56.67</v>
      </c>
      <c r="L3396">
        <v>565244.68000000005</v>
      </c>
      <c r="M3396">
        <v>391929.72</v>
      </c>
      <c r="N3396">
        <v>173314.96</v>
      </c>
    </row>
    <row r="3397" spans="1:14" x14ac:dyDescent="0.25">
      <c r="A3397" t="s">
        <v>51</v>
      </c>
      <c r="B3397" t="s">
        <v>129</v>
      </c>
      <c r="C3397" t="s">
        <v>131</v>
      </c>
      <c r="D3397" t="s">
        <v>22</v>
      </c>
      <c r="E3397" t="s">
        <v>23</v>
      </c>
      <c r="F3397" t="s">
        <v>1656</v>
      </c>
      <c r="G3397">
        <v>469543921</v>
      </c>
      <c r="H3397" t="s">
        <v>1193</v>
      </c>
      <c r="I3397">
        <v>7336</v>
      </c>
      <c r="J3397">
        <v>668.27</v>
      </c>
      <c r="K3397">
        <v>502.54</v>
      </c>
      <c r="L3397">
        <v>4902428.72</v>
      </c>
      <c r="M3397">
        <v>3686633.44</v>
      </c>
      <c r="N3397">
        <v>1215795.28</v>
      </c>
    </row>
    <row r="3398" spans="1:14" x14ac:dyDescent="0.25">
      <c r="A3398" t="s">
        <v>29</v>
      </c>
      <c r="B3398" t="s">
        <v>467</v>
      </c>
      <c r="C3398" t="s">
        <v>44</v>
      </c>
      <c r="D3398" t="s">
        <v>17</v>
      </c>
      <c r="E3398" t="s">
        <v>18</v>
      </c>
      <c r="F3398" s="1">
        <v>40492</v>
      </c>
      <c r="G3398">
        <v>726287972</v>
      </c>
      <c r="H3398" t="s">
        <v>1615</v>
      </c>
      <c r="I3398">
        <v>3606</v>
      </c>
      <c r="J3398">
        <v>109.28</v>
      </c>
      <c r="K3398">
        <v>35.840000000000003</v>
      </c>
      <c r="L3398">
        <v>394063.68</v>
      </c>
      <c r="M3398">
        <v>129239.03999999999</v>
      </c>
      <c r="N3398">
        <v>264824.64</v>
      </c>
    </row>
    <row r="3399" spans="1:14" x14ac:dyDescent="0.25">
      <c r="A3399" t="s">
        <v>51</v>
      </c>
      <c r="B3399" t="s">
        <v>108</v>
      </c>
      <c r="C3399" t="s">
        <v>40</v>
      </c>
      <c r="D3399" t="s">
        <v>22</v>
      </c>
      <c r="E3399" t="s">
        <v>23</v>
      </c>
      <c r="F3399" s="1">
        <v>41156</v>
      </c>
      <c r="G3399">
        <v>160334575</v>
      </c>
      <c r="H3399" t="s">
        <v>697</v>
      </c>
      <c r="I3399">
        <v>5418</v>
      </c>
      <c r="J3399">
        <v>81.73</v>
      </c>
      <c r="K3399">
        <v>56.67</v>
      </c>
      <c r="L3399">
        <v>442813.14</v>
      </c>
      <c r="M3399">
        <v>307038.06</v>
      </c>
      <c r="N3399">
        <v>135775.07999999999</v>
      </c>
    </row>
    <row r="3400" spans="1:14" x14ac:dyDescent="0.25">
      <c r="A3400" t="s">
        <v>51</v>
      </c>
      <c r="B3400" t="s">
        <v>194</v>
      </c>
      <c r="C3400" t="s">
        <v>113</v>
      </c>
      <c r="D3400" t="s">
        <v>17</v>
      </c>
      <c r="E3400" t="s">
        <v>23</v>
      </c>
      <c r="F3400" s="1">
        <v>40670</v>
      </c>
      <c r="G3400">
        <v>188920056</v>
      </c>
      <c r="H3400" t="s">
        <v>1028</v>
      </c>
      <c r="I3400">
        <v>4498</v>
      </c>
      <c r="J3400">
        <v>154.06</v>
      </c>
      <c r="K3400">
        <v>90.93</v>
      </c>
      <c r="L3400">
        <v>692961.88</v>
      </c>
      <c r="M3400">
        <v>409003.14</v>
      </c>
      <c r="N3400">
        <v>283958.74</v>
      </c>
    </row>
    <row r="3401" spans="1:14" x14ac:dyDescent="0.25">
      <c r="A3401" t="s">
        <v>51</v>
      </c>
      <c r="B3401" t="s">
        <v>164</v>
      </c>
      <c r="C3401" t="s">
        <v>40</v>
      </c>
      <c r="D3401" t="s">
        <v>17</v>
      </c>
      <c r="E3401" t="s">
        <v>45</v>
      </c>
      <c r="F3401" t="s">
        <v>654</v>
      </c>
      <c r="G3401">
        <v>499593245</v>
      </c>
      <c r="H3401" t="s">
        <v>225</v>
      </c>
      <c r="I3401">
        <v>9598</v>
      </c>
      <c r="J3401">
        <v>81.73</v>
      </c>
      <c r="K3401">
        <v>56.67</v>
      </c>
      <c r="L3401">
        <v>784444.54</v>
      </c>
      <c r="M3401">
        <v>543918.66</v>
      </c>
      <c r="N3401">
        <v>240525.88</v>
      </c>
    </row>
    <row r="3402" spans="1:14" x14ac:dyDescent="0.25">
      <c r="A3402" t="s">
        <v>42</v>
      </c>
      <c r="B3402" t="s">
        <v>552</v>
      </c>
      <c r="C3402" t="s">
        <v>55</v>
      </c>
      <c r="D3402" t="s">
        <v>22</v>
      </c>
      <c r="E3402" t="s">
        <v>23</v>
      </c>
      <c r="F3402" s="1">
        <v>42160</v>
      </c>
      <c r="G3402">
        <v>400215470</v>
      </c>
      <c r="H3402" s="1">
        <v>42010</v>
      </c>
      <c r="I3402">
        <v>1506</v>
      </c>
      <c r="J3402">
        <v>651.21</v>
      </c>
      <c r="K3402">
        <v>524.96</v>
      </c>
      <c r="L3402">
        <v>980722.26</v>
      </c>
      <c r="M3402">
        <v>790589.76</v>
      </c>
      <c r="N3402">
        <v>190132.5</v>
      </c>
    </row>
    <row r="3403" spans="1:14" x14ac:dyDescent="0.25">
      <c r="A3403" t="s">
        <v>25</v>
      </c>
      <c r="B3403" t="s">
        <v>785</v>
      </c>
      <c r="C3403" t="s">
        <v>16</v>
      </c>
      <c r="D3403" t="s">
        <v>17</v>
      </c>
      <c r="E3403" t="s">
        <v>45</v>
      </c>
      <c r="F3403" t="s">
        <v>1752</v>
      </c>
      <c r="G3403">
        <v>168960559</v>
      </c>
      <c r="H3403" t="s">
        <v>1195</v>
      </c>
      <c r="I3403">
        <v>8039</v>
      </c>
      <c r="J3403">
        <v>255.28</v>
      </c>
      <c r="K3403">
        <v>159.41999999999999</v>
      </c>
      <c r="L3403">
        <v>2052195.92</v>
      </c>
      <c r="M3403">
        <v>1281577.3799999999</v>
      </c>
      <c r="N3403">
        <v>770618.54</v>
      </c>
    </row>
    <row r="3404" spans="1:14" x14ac:dyDescent="0.25">
      <c r="A3404" t="s">
        <v>38</v>
      </c>
      <c r="B3404" t="s">
        <v>329</v>
      </c>
      <c r="C3404" t="s">
        <v>55</v>
      </c>
      <c r="D3404" t="s">
        <v>22</v>
      </c>
      <c r="E3404" t="s">
        <v>18</v>
      </c>
      <c r="F3404" t="s">
        <v>1753</v>
      </c>
      <c r="G3404">
        <v>604314839</v>
      </c>
      <c r="H3404" s="1">
        <v>40644</v>
      </c>
      <c r="I3404">
        <v>9045</v>
      </c>
      <c r="J3404">
        <v>651.21</v>
      </c>
      <c r="K3404">
        <v>524.96</v>
      </c>
      <c r="L3404">
        <v>5890194.4500000002</v>
      </c>
      <c r="M3404">
        <v>4748263.2</v>
      </c>
      <c r="N3404">
        <v>1141931.25</v>
      </c>
    </row>
    <row r="3405" spans="1:14" x14ac:dyDescent="0.25">
      <c r="A3405" t="s">
        <v>29</v>
      </c>
      <c r="B3405" t="s">
        <v>315</v>
      </c>
      <c r="C3405" t="s">
        <v>21</v>
      </c>
      <c r="D3405" t="s">
        <v>22</v>
      </c>
      <c r="E3405" t="s">
        <v>32</v>
      </c>
      <c r="F3405" t="s">
        <v>480</v>
      </c>
      <c r="G3405">
        <v>775077140</v>
      </c>
      <c r="H3405" t="s">
        <v>1754</v>
      </c>
      <c r="I3405">
        <v>1404</v>
      </c>
      <c r="J3405">
        <v>152.58000000000001</v>
      </c>
      <c r="K3405">
        <v>97.44</v>
      </c>
      <c r="L3405">
        <v>214222.32</v>
      </c>
      <c r="M3405">
        <v>136805.76000000001</v>
      </c>
      <c r="N3405">
        <v>77416.56</v>
      </c>
    </row>
    <row r="3406" spans="1:14" x14ac:dyDescent="0.25">
      <c r="A3406" t="s">
        <v>25</v>
      </c>
      <c r="B3406" t="s">
        <v>374</v>
      </c>
      <c r="C3406" t="s">
        <v>27</v>
      </c>
      <c r="D3406" t="s">
        <v>22</v>
      </c>
      <c r="E3406" t="s">
        <v>18</v>
      </c>
      <c r="F3406" s="1">
        <v>41955</v>
      </c>
      <c r="G3406">
        <v>270358788</v>
      </c>
      <c r="H3406" t="s">
        <v>803</v>
      </c>
      <c r="I3406">
        <v>4028</v>
      </c>
      <c r="J3406">
        <v>47.45</v>
      </c>
      <c r="K3406">
        <v>31.79</v>
      </c>
      <c r="L3406">
        <v>191128.6</v>
      </c>
      <c r="M3406">
        <v>128050.12</v>
      </c>
      <c r="N3406">
        <v>63078.48</v>
      </c>
    </row>
    <row r="3407" spans="1:14" x14ac:dyDescent="0.25">
      <c r="A3407" t="s">
        <v>51</v>
      </c>
      <c r="B3407" t="s">
        <v>100</v>
      </c>
      <c r="C3407" t="s">
        <v>44</v>
      </c>
      <c r="D3407" t="s">
        <v>17</v>
      </c>
      <c r="E3407" t="s">
        <v>23</v>
      </c>
      <c r="F3407" t="s">
        <v>450</v>
      </c>
      <c r="G3407">
        <v>549583613</v>
      </c>
      <c r="H3407" t="s">
        <v>1532</v>
      </c>
      <c r="I3407">
        <v>2859</v>
      </c>
      <c r="J3407">
        <v>109.28</v>
      </c>
      <c r="K3407">
        <v>35.840000000000003</v>
      </c>
      <c r="L3407">
        <v>312431.52</v>
      </c>
      <c r="M3407">
        <v>102466.56</v>
      </c>
      <c r="N3407">
        <v>209964.96</v>
      </c>
    </row>
    <row r="3408" spans="1:14" x14ac:dyDescent="0.25">
      <c r="A3408" t="s">
        <v>38</v>
      </c>
      <c r="B3408" t="s">
        <v>92</v>
      </c>
      <c r="C3408" t="s">
        <v>16</v>
      </c>
      <c r="D3408" t="s">
        <v>22</v>
      </c>
      <c r="E3408" t="s">
        <v>45</v>
      </c>
      <c r="F3408" t="s">
        <v>1008</v>
      </c>
      <c r="G3408">
        <v>892487943</v>
      </c>
      <c r="H3408" t="s">
        <v>618</v>
      </c>
      <c r="I3408">
        <v>5870</v>
      </c>
      <c r="J3408">
        <v>255.28</v>
      </c>
      <c r="K3408">
        <v>159.41999999999999</v>
      </c>
      <c r="L3408">
        <v>1498493.6</v>
      </c>
      <c r="M3408">
        <v>935795.4</v>
      </c>
      <c r="N3408">
        <v>562698.19999999995</v>
      </c>
    </row>
    <row r="3409" spans="1:14" x14ac:dyDescent="0.25">
      <c r="A3409" t="s">
        <v>51</v>
      </c>
      <c r="B3409" t="s">
        <v>593</v>
      </c>
      <c r="C3409" t="s">
        <v>55</v>
      </c>
      <c r="D3409" t="s">
        <v>17</v>
      </c>
      <c r="E3409" t="s">
        <v>32</v>
      </c>
      <c r="F3409" t="s">
        <v>1248</v>
      </c>
      <c r="G3409">
        <v>649120604</v>
      </c>
      <c r="H3409" s="1">
        <v>42591</v>
      </c>
      <c r="I3409">
        <v>8067</v>
      </c>
      <c r="J3409">
        <v>651.21</v>
      </c>
      <c r="K3409">
        <v>524.96</v>
      </c>
      <c r="L3409">
        <v>5253311.07</v>
      </c>
      <c r="M3409">
        <v>4234852.32</v>
      </c>
      <c r="N3409">
        <v>1018458.75</v>
      </c>
    </row>
    <row r="3410" spans="1:14" x14ac:dyDescent="0.25">
      <c r="A3410" t="s">
        <v>25</v>
      </c>
      <c r="B3410" t="s">
        <v>469</v>
      </c>
      <c r="C3410" t="s">
        <v>40</v>
      </c>
      <c r="D3410" t="s">
        <v>22</v>
      </c>
      <c r="E3410" t="s">
        <v>18</v>
      </c>
      <c r="F3410" s="1">
        <v>42619</v>
      </c>
      <c r="G3410">
        <v>589842927</v>
      </c>
      <c r="H3410" t="s">
        <v>167</v>
      </c>
      <c r="I3410">
        <v>6485</v>
      </c>
      <c r="J3410">
        <v>81.73</v>
      </c>
      <c r="K3410">
        <v>56.67</v>
      </c>
      <c r="L3410">
        <v>530019.05000000005</v>
      </c>
      <c r="M3410">
        <v>367504.95</v>
      </c>
      <c r="N3410">
        <v>162514.1</v>
      </c>
    </row>
    <row r="3411" spans="1:14" x14ac:dyDescent="0.25">
      <c r="A3411" t="s">
        <v>25</v>
      </c>
      <c r="B3411" t="s">
        <v>218</v>
      </c>
      <c r="C3411" t="s">
        <v>31</v>
      </c>
      <c r="D3411" t="s">
        <v>22</v>
      </c>
      <c r="E3411" t="s">
        <v>23</v>
      </c>
      <c r="F3411" s="1">
        <v>41914</v>
      </c>
      <c r="G3411">
        <v>655328738</v>
      </c>
      <c r="H3411" t="s">
        <v>740</v>
      </c>
      <c r="I3411">
        <v>5191</v>
      </c>
      <c r="J3411">
        <v>205.7</v>
      </c>
      <c r="K3411">
        <v>117.11</v>
      </c>
      <c r="L3411">
        <v>1067788.7</v>
      </c>
      <c r="M3411">
        <v>607918.01</v>
      </c>
      <c r="N3411">
        <v>459870.69</v>
      </c>
    </row>
    <row r="3412" spans="1:14" x14ac:dyDescent="0.25">
      <c r="A3412" t="s">
        <v>25</v>
      </c>
      <c r="B3412" t="s">
        <v>374</v>
      </c>
      <c r="C3412" t="s">
        <v>113</v>
      </c>
      <c r="D3412" t="s">
        <v>17</v>
      </c>
      <c r="E3412" t="s">
        <v>18</v>
      </c>
      <c r="F3412" s="1">
        <v>41828</v>
      </c>
      <c r="G3412">
        <v>406564366</v>
      </c>
      <c r="H3412" t="s">
        <v>1515</v>
      </c>
      <c r="I3412">
        <v>286</v>
      </c>
      <c r="J3412">
        <v>154.06</v>
      </c>
      <c r="K3412">
        <v>90.93</v>
      </c>
      <c r="L3412">
        <v>44061.16</v>
      </c>
      <c r="M3412">
        <v>26005.98</v>
      </c>
      <c r="N3412">
        <v>18055.18</v>
      </c>
    </row>
    <row r="3413" spans="1:14" x14ac:dyDescent="0.25">
      <c r="A3413" t="s">
        <v>25</v>
      </c>
      <c r="B3413" t="s">
        <v>426</v>
      </c>
      <c r="C3413" t="s">
        <v>44</v>
      </c>
      <c r="D3413" t="s">
        <v>17</v>
      </c>
      <c r="E3413" t="s">
        <v>45</v>
      </c>
      <c r="F3413" t="s">
        <v>688</v>
      </c>
      <c r="G3413">
        <v>374848639</v>
      </c>
      <c r="H3413" s="1">
        <v>41069</v>
      </c>
      <c r="I3413">
        <v>4897</v>
      </c>
      <c r="J3413">
        <v>109.28</v>
      </c>
      <c r="K3413">
        <v>35.840000000000003</v>
      </c>
      <c r="L3413">
        <v>535144.16</v>
      </c>
      <c r="M3413">
        <v>175508.48000000001</v>
      </c>
      <c r="N3413">
        <v>359635.68</v>
      </c>
    </row>
    <row r="3414" spans="1:14" x14ac:dyDescent="0.25">
      <c r="A3414" t="s">
        <v>51</v>
      </c>
      <c r="B3414" t="s">
        <v>151</v>
      </c>
      <c r="C3414" t="s">
        <v>40</v>
      </c>
      <c r="D3414" t="s">
        <v>17</v>
      </c>
      <c r="E3414" t="s">
        <v>32</v>
      </c>
      <c r="F3414" t="s">
        <v>1755</v>
      </c>
      <c r="G3414">
        <v>711792886</v>
      </c>
      <c r="H3414" s="1">
        <v>40703</v>
      </c>
      <c r="I3414">
        <v>4187</v>
      </c>
      <c r="J3414">
        <v>81.73</v>
      </c>
      <c r="K3414">
        <v>56.67</v>
      </c>
      <c r="L3414">
        <v>342203.51</v>
      </c>
      <c r="M3414">
        <v>237277.29</v>
      </c>
      <c r="N3414">
        <v>104926.22</v>
      </c>
    </row>
    <row r="3415" spans="1:14" x14ac:dyDescent="0.25">
      <c r="A3415" t="s">
        <v>51</v>
      </c>
      <c r="B3415" t="s">
        <v>192</v>
      </c>
      <c r="C3415" t="s">
        <v>88</v>
      </c>
      <c r="D3415" t="s">
        <v>17</v>
      </c>
      <c r="E3415" t="s">
        <v>32</v>
      </c>
      <c r="F3415" s="1">
        <v>41000</v>
      </c>
      <c r="G3415">
        <v>739320933</v>
      </c>
      <c r="H3415" s="1">
        <v>41184</v>
      </c>
      <c r="I3415">
        <v>348</v>
      </c>
      <c r="J3415">
        <v>9.33</v>
      </c>
      <c r="K3415">
        <v>6.92</v>
      </c>
      <c r="L3415">
        <v>3246.84</v>
      </c>
      <c r="M3415">
        <v>2408.16</v>
      </c>
      <c r="N3415">
        <v>838.68</v>
      </c>
    </row>
    <row r="3416" spans="1:14" x14ac:dyDescent="0.25">
      <c r="A3416" t="s">
        <v>51</v>
      </c>
      <c r="B3416" t="s">
        <v>417</v>
      </c>
      <c r="C3416" t="s">
        <v>40</v>
      </c>
      <c r="D3416" t="s">
        <v>17</v>
      </c>
      <c r="E3416" t="s">
        <v>32</v>
      </c>
      <c r="F3416" t="s">
        <v>1544</v>
      </c>
      <c r="G3416">
        <v>299669110</v>
      </c>
      <c r="H3416" t="s">
        <v>606</v>
      </c>
      <c r="I3416">
        <v>7604</v>
      </c>
      <c r="J3416">
        <v>81.73</v>
      </c>
      <c r="K3416">
        <v>56.67</v>
      </c>
      <c r="L3416">
        <v>621474.92000000004</v>
      </c>
      <c r="M3416">
        <v>430918.68</v>
      </c>
      <c r="N3416">
        <v>190556.24</v>
      </c>
    </row>
    <row r="3417" spans="1:14" x14ac:dyDescent="0.25">
      <c r="A3417" t="s">
        <v>14</v>
      </c>
      <c r="B3417" t="s">
        <v>208</v>
      </c>
      <c r="C3417" t="s">
        <v>16</v>
      </c>
      <c r="D3417" t="s">
        <v>22</v>
      </c>
      <c r="E3417" t="s">
        <v>45</v>
      </c>
      <c r="F3417" t="s">
        <v>786</v>
      </c>
      <c r="G3417">
        <v>205386245</v>
      </c>
      <c r="H3417" s="1">
        <v>41885</v>
      </c>
      <c r="I3417">
        <v>7209</v>
      </c>
      <c r="J3417">
        <v>255.28</v>
      </c>
      <c r="K3417">
        <v>159.41999999999999</v>
      </c>
      <c r="L3417">
        <v>1840313.52</v>
      </c>
      <c r="M3417">
        <v>1149258.78</v>
      </c>
      <c r="N3417">
        <v>691054.74</v>
      </c>
    </row>
    <row r="3418" spans="1:14" x14ac:dyDescent="0.25">
      <c r="A3418" t="s">
        <v>14</v>
      </c>
      <c r="B3418" t="s">
        <v>226</v>
      </c>
      <c r="C3418" t="s">
        <v>59</v>
      </c>
      <c r="D3418" t="s">
        <v>22</v>
      </c>
      <c r="E3418" t="s">
        <v>18</v>
      </c>
      <c r="F3418" t="s">
        <v>1510</v>
      </c>
      <c r="G3418">
        <v>889333665</v>
      </c>
      <c r="H3418" t="s">
        <v>753</v>
      </c>
      <c r="I3418">
        <v>2449</v>
      </c>
      <c r="J3418">
        <v>437.2</v>
      </c>
      <c r="K3418">
        <v>263.33</v>
      </c>
      <c r="L3418">
        <v>1070702.8</v>
      </c>
      <c r="M3418">
        <v>644895.17000000004</v>
      </c>
      <c r="N3418">
        <v>425807.63</v>
      </c>
    </row>
    <row r="3419" spans="1:14" x14ac:dyDescent="0.25">
      <c r="A3419" t="s">
        <v>38</v>
      </c>
      <c r="B3419" t="s">
        <v>451</v>
      </c>
      <c r="C3419" t="s">
        <v>113</v>
      </c>
      <c r="D3419" t="s">
        <v>22</v>
      </c>
      <c r="E3419" t="s">
        <v>32</v>
      </c>
      <c r="F3419" s="1">
        <v>41863</v>
      </c>
      <c r="G3419">
        <v>154685199</v>
      </c>
      <c r="H3419" t="s">
        <v>377</v>
      </c>
      <c r="I3419">
        <v>3643</v>
      </c>
      <c r="J3419">
        <v>154.06</v>
      </c>
      <c r="K3419">
        <v>90.93</v>
      </c>
      <c r="L3419">
        <v>561240.57999999996</v>
      </c>
      <c r="M3419">
        <v>331257.99</v>
      </c>
      <c r="N3419">
        <v>229982.59</v>
      </c>
    </row>
    <row r="3420" spans="1:14" x14ac:dyDescent="0.25">
      <c r="A3420" t="s">
        <v>42</v>
      </c>
      <c r="B3420" t="s">
        <v>476</v>
      </c>
      <c r="C3420" t="s">
        <v>31</v>
      </c>
      <c r="D3420" t="s">
        <v>22</v>
      </c>
      <c r="E3420" t="s">
        <v>23</v>
      </c>
      <c r="F3420" t="s">
        <v>1756</v>
      </c>
      <c r="G3420">
        <v>824927175</v>
      </c>
      <c r="H3420" t="s">
        <v>515</v>
      </c>
      <c r="I3420">
        <v>3138</v>
      </c>
      <c r="J3420">
        <v>205.7</v>
      </c>
      <c r="K3420">
        <v>117.11</v>
      </c>
      <c r="L3420">
        <v>645486.6</v>
      </c>
      <c r="M3420">
        <v>367491.18</v>
      </c>
      <c r="N3420">
        <v>277995.42</v>
      </c>
    </row>
    <row r="3421" spans="1:14" x14ac:dyDescent="0.25">
      <c r="A3421" t="s">
        <v>25</v>
      </c>
      <c r="B3421" t="s">
        <v>569</v>
      </c>
      <c r="C3421" t="s">
        <v>88</v>
      </c>
      <c r="D3421" t="s">
        <v>22</v>
      </c>
      <c r="E3421" t="s">
        <v>32</v>
      </c>
      <c r="F3421" t="s">
        <v>929</v>
      </c>
      <c r="G3421">
        <v>393858420</v>
      </c>
      <c r="H3421" t="s">
        <v>1578</v>
      </c>
      <c r="I3421">
        <v>314</v>
      </c>
      <c r="J3421">
        <v>9.33</v>
      </c>
      <c r="K3421">
        <v>6.92</v>
      </c>
      <c r="L3421">
        <v>2929.62</v>
      </c>
      <c r="M3421">
        <v>2172.88</v>
      </c>
      <c r="N3421">
        <v>756.74</v>
      </c>
    </row>
    <row r="3422" spans="1:14" x14ac:dyDescent="0.25">
      <c r="A3422" t="s">
        <v>77</v>
      </c>
      <c r="B3422" t="s">
        <v>78</v>
      </c>
      <c r="C3422" t="s">
        <v>40</v>
      </c>
      <c r="D3422" t="s">
        <v>17</v>
      </c>
      <c r="E3422" t="s">
        <v>18</v>
      </c>
      <c r="F3422" t="s">
        <v>1757</v>
      </c>
      <c r="G3422">
        <v>475590264</v>
      </c>
      <c r="H3422" s="1">
        <v>40270</v>
      </c>
      <c r="I3422">
        <v>6583</v>
      </c>
      <c r="J3422">
        <v>81.73</v>
      </c>
      <c r="K3422">
        <v>56.67</v>
      </c>
      <c r="L3422">
        <v>538028.59</v>
      </c>
      <c r="M3422">
        <v>373058.61</v>
      </c>
      <c r="N3422">
        <v>164969.98000000001</v>
      </c>
    </row>
    <row r="3423" spans="1:14" x14ac:dyDescent="0.25">
      <c r="A3423" t="s">
        <v>38</v>
      </c>
      <c r="B3423" t="s">
        <v>68</v>
      </c>
      <c r="C3423" t="s">
        <v>131</v>
      </c>
      <c r="D3423" t="s">
        <v>17</v>
      </c>
      <c r="E3423" t="s">
        <v>18</v>
      </c>
      <c r="F3423" s="1">
        <v>41951</v>
      </c>
      <c r="G3423">
        <v>954546535</v>
      </c>
      <c r="H3423" t="s">
        <v>409</v>
      </c>
      <c r="I3423">
        <v>387</v>
      </c>
      <c r="J3423">
        <v>668.27</v>
      </c>
      <c r="K3423">
        <v>502.54</v>
      </c>
      <c r="L3423">
        <v>258620.49</v>
      </c>
      <c r="M3423">
        <v>194482.98</v>
      </c>
      <c r="N3423">
        <v>64137.51</v>
      </c>
    </row>
    <row r="3424" spans="1:14" x14ac:dyDescent="0.25">
      <c r="A3424" t="s">
        <v>25</v>
      </c>
      <c r="B3424" t="s">
        <v>242</v>
      </c>
      <c r="C3424" t="s">
        <v>27</v>
      </c>
      <c r="D3424" t="s">
        <v>17</v>
      </c>
      <c r="E3424" t="s">
        <v>23</v>
      </c>
      <c r="F3424" t="s">
        <v>465</v>
      </c>
      <c r="G3424">
        <v>435463559</v>
      </c>
      <c r="H3424" t="s">
        <v>1026</v>
      </c>
      <c r="I3424">
        <v>2199</v>
      </c>
      <c r="J3424">
        <v>47.45</v>
      </c>
      <c r="K3424">
        <v>31.79</v>
      </c>
      <c r="L3424">
        <v>104342.55</v>
      </c>
      <c r="M3424">
        <v>69906.210000000006</v>
      </c>
      <c r="N3424">
        <v>34436.339999999997</v>
      </c>
    </row>
    <row r="3425" spans="1:14" x14ac:dyDescent="0.25">
      <c r="A3425" t="s">
        <v>14</v>
      </c>
      <c r="B3425" t="s">
        <v>835</v>
      </c>
      <c r="C3425" t="s">
        <v>27</v>
      </c>
      <c r="D3425" t="s">
        <v>22</v>
      </c>
      <c r="E3425" t="s">
        <v>23</v>
      </c>
      <c r="F3425" t="s">
        <v>820</v>
      </c>
      <c r="G3425">
        <v>293390166</v>
      </c>
      <c r="H3425" s="1">
        <v>42281</v>
      </c>
      <c r="I3425">
        <v>9525</v>
      </c>
      <c r="J3425">
        <v>47.45</v>
      </c>
      <c r="K3425">
        <v>31.79</v>
      </c>
      <c r="L3425">
        <v>451961.25</v>
      </c>
      <c r="M3425">
        <v>302799.75</v>
      </c>
      <c r="N3425">
        <v>149161.5</v>
      </c>
    </row>
    <row r="3426" spans="1:14" x14ac:dyDescent="0.25">
      <c r="A3426" t="s">
        <v>51</v>
      </c>
      <c r="B3426" t="s">
        <v>299</v>
      </c>
      <c r="C3426" t="s">
        <v>27</v>
      </c>
      <c r="D3426" t="s">
        <v>22</v>
      </c>
      <c r="E3426" t="s">
        <v>45</v>
      </c>
      <c r="F3426" s="1">
        <v>41183</v>
      </c>
      <c r="G3426">
        <v>623687684</v>
      </c>
      <c r="H3426" t="s">
        <v>1726</v>
      </c>
      <c r="I3426">
        <v>1900</v>
      </c>
      <c r="J3426">
        <v>47.45</v>
      </c>
      <c r="K3426">
        <v>31.79</v>
      </c>
      <c r="L3426">
        <v>90155</v>
      </c>
      <c r="M3426">
        <v>60401</v>
      </c>
      <c r="N3426">
        <v>29754</v>
      </c>
    </row>
    <row r="3427" spans="1:14" x14ac:dyDescent="0.25">
      <c r="A3427" t="s">
        <v>29</v>
      </c>
      <c r="B3427" t="s">
        <v>393</v>
      </c>
      <c r="C3427" t="s">
        <v>55</v>
      </c>
      <c r="D3427" t="s">
        <v>22</v>
      </c>
      <c r="E3427" t="s">
        <v>32</v>
      </c>
      <c r="F3427" t="s">
        <v>685</v>
      </c>
      <c r="G3427">
        <v>692029941</v>
      </c>
      <c r="H3427" t="s">
        <v>413</v>
      </c>
      <c r="I3427">
        <v>5893</v>
      </c>
      <c r="J3427">
        <v>651.21</v>
      </c>
      <c r="K3427">
        <v>524.96</v>
      </c>
      <c r="L3427">
        <v>3837580.53</v>
      </c>
      <c r="M3427">
        <v>3093589.28</v>
      </c>
      <c r="N3427">
        <v>743991.25</v>
      </c>
    </row>
    <row r="3428" spans="1:14" x14ac:dyDescent="0.25">
      <c r="A3428" t="s">
        <v>25</v>
      </c>
      <c r="B3428" t="s">
        <v>434</v>
      </c>
      <c r="C3428" t="s">
        <v>113</v>
      </c>
      <c r="D3428" t="s">
        <v>22</v>
      </c>
      <c r="E3428" t="s">
        <v>23</v>
      </c>
      <c r="F3428" s="1">
        <v>42563</v>
      </c>
      <c r="G3428">
        <v>284403264</v>
      </c>
      <c r="H3428" t="s">
        <v>1628</v>
      </c>
      <c r="I3428">
        <v>101</v>
      </c>
      <c r="J3428">
        <v>154.06</v>
      </c>
      <c r="K3428">
        <v>90.93</v>
      </c>
      <c r="L3428">
        <v>15560.06</v>
      </c>
      <c r="M3428">
        <v>9183.93</v>
      </c>
      <c r="N3428">
        <v>6376.13</v>
      </c>
    </row>
    <row r="3429" spans="1:14" x14ac:dyDescent="0.25">
      <c r="A3429" t="s">
        <v>38</v>
      </c>
      <c r="B3429" t="s">
        <v>527</v>
      </c>
      <c r="C3429" t="s">
        <v>31</v>
      </c>
      <c r="D3429" t="s">
        <v>22</v>
      </c>
      <c r="E3429" t="s">
        <v>32</v>
      </c>
      <c r="F3429" s="1">
        <v>41310</v>
      </c>
      <c r="G3429">
        <v>157106482</v>
      </c>
      <c r="H3429" s="1">
        <v>41338</v>
      </c>
      <c r="I3429">
        <v>154</v>
      </c>
      <c r="J3429">
        <v>205.7</v>
      </c>
      <c r="K3429">
        <v>117.11</v>
      </c>
      <c r="L3429">
        <v>31677.8</v>
      </c>
      <c r="M3429">
        <v>18034.939999999999</v>
      </c>
      <c r="N3429">
        <v>13642.86</v>
      </c>
    </row>
    <row r="3430" spans="1:14" x14ac:dyDescent="0.25">
      <c r="A3430" t="s">
        <v>29</v>
      </c>
      <c r="B3430" t="s">
        <v>121</v>
      </c>
      <c r="C3430" t="s">
        <v>40</v>
      </c>
      <c r="D3430" t="s">
        <v>22</v>
      </c>
      <c r="E3430" t="s">
        <v>45</v>
      </c>
      <c r="F3430" s="1">
        <v>41095</v>
      </c>
      <c r="G3430">
        <v>686750924</v>
      </c>
      <c r="H3430" t="s">
        <v>534</v>
      </c>
      <c r="I3430">
        <v>3714</v>
      </c>
      <c r="J3430">
        <v>81.73</v>
      </c>
      <c r="K3430">
        <v>56.67</v>
      </c>
      <c r="L3430">
        <v>303545.21999999997</v>
      </c>
      <c r="M3430">
        <v>210472.38</v>
      </c>
      <c r="N3430">
        <v>93072.84</v>
      </c>
    </row>
    <row r="3431" spans="1:14" x14ac:dyDescent="0.25">
      <c r="A3431" t="s">
        <v>38</v>
      </c>
      <c r="B3431" t="s">
        <v>187</v>
      </c>
      <c r="C3431" t="s">
        <v>21</v>
      </c>
      <c r="D3431" t="s">
        <v>22</v>
      </c>
      <c r="E3431" t="s">
        <v>32</v>
      </c>
      <c r="F3431" s="1">
        <v>42467</v>
      </c>
      <c r="G3431">
        <v>520260417</v>
      </c>
      <c r="H3431" t="s">
        <v>863</v>
      </c>
      <c r="I3431">
        <v>5474</v>
      </c>
      <c r="J3431">
        <v>152.58000000000001</v>
      </c>
      <c r="K3431">
        <v>97.44</v>
      </c>
      <c r="L3431">
        <v>835222.92</v>
      </c>
      <c r="M3431">
        <v>533386.56000000006</v>
      </c>
      <c r="N3431">
        <v>301836.36</v>
      </c>
    </row>
    <row r="3432" spans="1:14" x14ac:dyDescent="0.25">
      <c r="A3432" t="s">
        <v>14</v>
      </c>
      <c r="B3432" t="s">
        <v>433</v>
      </c>
      <c r="C3432" t="s">
        <v>131</v>
      </c>
      <c r="D3432" t="s">
        <v>17</v>
      </c>
      <c r="E3432" t="s">
        <v>45</v>
      </c>
      <c r="F3432" s="1">
        <v>41855</v>
      </c>
      <c r="G3432">
        <v>624871289</v>
      </c>
      <c r="H3432" t="s">
        <v>596</v>
      </c>
      <c r="I3432">
        <v>2155</v>
      </c>
      <c r="J3432">
        <v>668.27</v>
      </c>
      <c r="K3432">
        <v>502.54</v>
      </c>
      <c r="L3432">
        <v>1440121.85</v>
      </c>
      <c r="M3432">
        <v>1082973.7</v>
      </c>
      <c r="N3432">
        <v>357148.15</v>
      </c>
    </row>
    <row r="3433" spans="1:14" x14ac:dyDescent="0.25">
      <c r="A3433" t="s">
        <v>42</v>
      </c>
      <c r="B3433" t="s">
        <v>681</v>
      </c>
      <c r="C3433" t="s">
        <v>31</v>
      </c>
      <c r="D3433" t="s">
        <v>17</v>
      </c>
      <c r="E3433" t="s">
        <v>23</v>
      </c>
      <c r="F3433" t="s">
        <v>947</v>
      </c>
      <c r="G3433">
        <v>238132369</v>
      </c>
      <c r="H3433" s="1">
        <v>41642</v>
      </c>
      <c r="I3433">
        <v>7515</v>
      </c>
      <c r="J3433">
        <v>205.7</v>
      </c>
      <c r="K3433">
        <v>117.11</v>
      </c>
      <c r="L3433">
        <v>1545835.5</v>
      </c>
      <c r="M3433">
        <v>880081.65</v>
      </c>
      <c r="N3433">
        <v>665753.85</v>
      </c>
    </row>
    <row r="3434" spans="1:14" x14ac:dyDescent="0.25">
      <c r="A3434" t="s">
        <v>25</v>
      </c>
      <c r="B3434" t="s">
        <v>752</v>
      </c>
      <c r="C3434" t="s">
        <v>40</v>
      </c>
      <c r="D3434" t="s">
        <v>17</v>
      </c>
      <c r="E3434" t="s">
        <v>32</v>
      </c>
      <c r="F3434" t="s">
        <v>1244</v>
      </c>
      <c r="G3434">
        <v>917904984</v>
      </c>
      <c r="H3434" t="s">
        <v>889</v>
      </c>
      <c r="I3434">
        <v>7338</v>
      </c>
      <c r="J3434">
        <v>81.73</v>
      </c>
      <c r="K3434">
        <v>56.67</v>
      </c>
      <c r="L3434">
        <v>599734.74</v>
      </c>
      <c r="M3434">
        <v>415844.46</v>
      </c>
      <c r="N3434">
        <v>183890.28</v>
      </c>
    </row>
    <row r="3435" spans="1:14" x14ac:dyDescent="0.25">
      <c r="A3435" t="s">
        <v>42</v>
      </c>
      <c r="B3435" t="s">
        <v>103</v>
      </c>
      <c r="C3435" t="s">
        <v>31</v>
      </c>
      <c r="D3435" t="s">
        <v>22</v>
      </c>
      <c r="E3435" t="s">
        <v>45</v>
      </c>
      <c r="F3435" t="s">
        <v>1385</v>
      </c>
      <c r="G3435">
        <v>692362964</v>
      </c>
      <c r="H3435" t="s">
        <v>1550</v>
      </c>
      <c r="I3435">
        <v>4442</v>
      </c>
      <c r="J3435">
        <v>205.7</v>
      </c>
      <c r="K3435">
        <v>117.11</v>
      </c>
      <c r="L3435">
        <v>913719.4</v>
      </c>
      <c r="M3435">
        <v>520202.62</v>
      </c>
      <c r="N3435">
        <v>393516.78</v>
      </c>
    </row>
    <row r="3436" spans="1:14" x14ac:dyDescent="0.25">
      <c r="A3436" t="s">
        <v>38</v>
      </c>
      <c r="B3436" t="s">
        <v>584</v>
      </c>
      <c r="C3436" t="s">
        <v>16</v>
      </c>
      <c r="D3436" t="s">
        <v>17</v>
      </c>
      <c r="E3436" t="s">
        <v>45</v>
      </c>
      <c r="F3436" s="1">
        <v>40917</v>
      </c>
      <c r="G3436">
        <v>809992635</v>
      </c>
      <c r="H3436" t="s">
        <v>657</v>
      </c>
      <c r="I3436">
        <v>3675</v>
      </c>
      <c r="J3436">
        <v>255.28</v>
      </c>
      <c r="K3436">
        <v>159.41999999999999</v>
      </c>
      <c r="L3436">
        <v>938154</v>
      </c>
      <c r="M3436">
        <v>585868.5</v>
      </c>
      <c r="N3436">
        <v>352285.5</v>
      </c>
    </row>
    <row r="3437" spans="1:14" x14ac:dyDescent="0.25">
      <c r="A3437" t="s">
        <v>29</v>
      </c>
      <c r="B3437" t="s">
        <v>315</v>
      </c>
      <c r="C3437" t="s">
        <v>16</v>
      </c>
      <c r="D3437" t="s">
        <v>22</v>
      </c>
      <c r="E3437" t="s">
        <v>23</v>
      </c>
      <c r="F3437" t="s">
        <v>1218</v>
      </c>
      <c r="G3437">
        <v>789592826</v>
      </c>
      <c r="H3437" s="1">
        <v>42684</v>
      </c>
      <c r="I3437">
        <v>6919</v>
      </c>
      <c r="J3437">
        <v>255.28</v>
      </c>
      <c r="K3437">
        <v>159.41999999999999</v>
      </c>
      <c r="L3437">
        <v>1766282.32</v>
      </c>
      <c r="M3437">
        <v>1103026.98</v>
      </c>
      <c r="N3437">
        <v>663255.34</v>
      </c>
    </row>
    <row r="3438" spans="1:14" x14ac:dyDescent="0.25">
      <c r="A3438" t="s">
        <v>25</v>
      </c>
      <c r="B3438" t="s">
        <v>119</v>
      </c>
      <c r="C3438" t="s">
        <v>113</v>
      </c>
      <c r="D3438" t="s">
        <v>17</v>
      </c>
      <c r="E3438" t="s">
        <v>23</v>
      </c>
      <c r="F3438" s="1">
        <v>41009</v>
      </c>
      <c r="G3438">
        <v>670274865</v>
      </c>
      <c r="H3438" t="s">
        <v>387</v>
      </c>
      <c r="I3438">
        <v>8082</v>
      </c>
      <c r="J3438">
        <v>154.06</v>
      </c>
      <c r="K3438">
        <v>90.93</v>
      </c>
      <c r="L3438">
        <v>1245112.92</v>
      </c>
      <c r="M3438">
        <v>734896.26</v>
      </c>
      <c r="N3438">
        <v>510216.66</v>
      </c>
    </row>
    <row r="3439" spans="1:14" x14ac:dyDescent="0.25">
      <c r="A3439" t="s">
        <v>42</v>
      </c>
      <c r="B3439" t="s">
        <v>43</v>
      </c>
      <c r="C3439" t="s">
        <v>69</v>
      </c>
      <c r="D3439" t="s">
        <v>22</v>
      </c>
      <c r="E3439" t="s">
        <v>18</v>
      </c>
      <c r="F3439" s="1">
        <v>41183</v>
      </c>
      <c r="G3439">
        <v>561462581</v>
      </c>
      <c r="H3439" t="s">
        <v>110</v>
      </c>
      <c r="I3439">
        <v>8109</v>
      </c>
      <c r="J3439">
        <v>421.89</v>
      </c>
      <c r="K3439">
        <v>364.69</v>
      </c>
      <c r="L3439">
        <v>3421106.01</v>
      </c>
      <c r="M3439">
        <v>2957271.21</v>
      </c>
      <c r="N3439">
        <v>463834.8</v>
      </c>
    </row>
    <row r="3440" spans="1:14" x14ac:dyDescent="0.25">
      <c r="A3440" t="s">
        <v>14</v>
      </c>
      <c r="B3440" t="s">
        <v>15</v>
      </c>
      <c r="C3440" t="s">
        <v>40</v>
      </c>
      <c r="D3440" t="s">
        <v>22</v>
      </c>
      <c r="E3440" t="s">
        <v>18</v>
      </c>
      <c r="F3440" s="1">
        <v>40700</v>
      </c>
      <c r="G3440">
        <v>192892301</v>
      </c>
      <c r="H3440" s="1">
        <v>40640</v>
      </c>
      <c r="I3440">
        <v>9973</v>
      </c>
      <c r="J3440">
        <v>81.73</v>
      </c>
      <c r="K3440">
        <v>56.67</v>
      </c>
      <c r="L3440">
        <v>815093.29</v>
      </c>
      <c r="M3440">
        <v>565169.91</v>
      </c>
      <c r="N3440">
        <v>249923.38</v>
      </c>
    </row>
    <row r="3441" spans="1:14" x14ac:dyDescent="0.25">
      <c r="A3441" t="s">
        <v>42</v>
      </c>
      <c r="B3441" t="s">
        <v>681</v>
      </c>
      <c r="C3441" t="s">
        <v>31</v>
      </c>
      <c r="D3441" t="s">
        <v>22</v>
      </c>
      <c r="E3441" t="s">
        <v>32</v>
      </c>
      <c r="F3441" t="s">
        <v>1455</v>
      </c>
      <c r="G3441">
        <v>264612853</v>
      </c>
      <c r="H3441" s="1">
        <v>40980</v>
      </c>
      <c r="I3441">
        <v>3678</v>
      </c>
      <c r="J3441">
        <v>205.7</v>
      </c>
      <c r="K3441">
        <v>117.11</v>
      </c>
      <c r="L3441">
        <v>756564.6</v>
      </c>
      <c r="M3441">
        <v>430730.58</v>
      </c>
      <c r="N3441">
        <v>325834.02</v>
      </c>
    </row>
    <row r="3442" spans="1:14" x14ac:dyDescent="0.25">
      <c r="A3442" t="s">
        <v>14</v>
      </c>
      <c r="B3442" t="s">
        <v>488</v>
      </c>
      <c r="C3442" t="s">
        <v>27</v>
      </c>
      <c r="D3442" t="s">
        <v>22</v>
      </c>
      <c r="E3442" t="s">
        <v>32</v>
      </c>
      <c r="F3442" s="1">
        <v>40700</v>
      </c>
      <c r="G3442">
        <v>196985566</v>
      </c>
      <c r="H3442" s="1">
        <v>40609</v>
      </c>
      <c r="I3442">
        <v>1261</v>
      </c>
      <c r="J3442">
        <v>47.45</v>
      </c>
      <c r="K3442">
        <v>31.79</v>
      </c>
      <c r="L3442">
        <v>59834.45</v>
      </c>
      <c r="M3442">
        <v>40087.19</v>
      </c>
      <c r="N3442">
        <v>19747.259999999998</v>
      </c>
    </row>
    <row r="3443" spans="1:14" x14ac:dyDescent="0.25">
      <c r="A3443" t="s">
        <v>25</v>
      </c>
      <c r="B3443" t="s">
        <v>112</v>
      </c>
      <c r="C3443" t="s">
        <v>59</v>
      </c>
      <c r="D3443" t="s">
        <v>22</v>
      </c>
      <c r="E3443" t="s">
        <v>18</v>
      </c>
      <c r="F3443" t="s">
        <v>1176</v>
      </c>
      <c r="G3443">
        <v>380684268</v>
      </c>
      <c r="H3443" t="s">
        <v>1359</v>
      </c>
      <c r="I3443">
        <v>1789</v>
      </c>
      <c r="J3443">
        <v>437.2</v>
      </c>
      <c r="K3443">
        <v>263.33</v>
      </c>
      <c r="L3443">
        <v>782150.8</v>
      </c>
      <c r="M3443">
        <v>471097.37</v>
      </c>
      <c r="N3443">
        <v>311053.43</v>
      </c>
    </row>
    <row r="3444" spans="1:14" x14ac:dyDescent="0.25">
      <c r="A3444" t="s">
        <v>38</v>
      </c>
      <c r="B3444" t="s">
        <v>430</v>
      </c>
      <c r="C3444" t="s">
        <v>44</v>
      </c>
      <c r="D3444" t="s">
        <v>22</v>
      </c>
      <c r="E3444" t="s">
        <v>32</v>
      </c>
      <c r="F3444" t="s">
        <v>577</v>
      </c>
      <c r="G3444">
        <v>826695287</v>
      </c>
      <c r="H3444" s="1">
        <v>42984</v>
      </c>
      <c r="I3444">
        <v>6361</v>
      </c>
      <c r="J3444">
        <v>109.28</v>
      </c>
      <c r="K3444">
        <v>35.840000000000003</v>
      </c>
      <c r="L3444">
        <v>695130.08</v>
      </c>
      <c r="M3444">
        <v>227978.23999999999</v>
      </c>
      <c r="N3444">
        <v>467151.84</v>
      </c>
    </row>
    <row r="3445" spans="1:14" x14ac:dyDescent="0.25">
      <c r="A3445" t="s">
        <v>29</v>
      </c>
      <c r="B3445" t="s">
        <v>121</v>
      </c>
      <c r="C3445" t="s">
        <v>131</v>
      </c>
      <c r="D3445" t="s">
        <v>22</v>
      </c>
      <c r="E3445" t="s">
        <v>45</v>
      </c>
      <c r="F3445" t="s">
        <v>1435</v>
      </c>
      <c r="G3445">
        <v>716317451</v>
      </c>
      <c r="H3445" s="1">
        <v>42381</v>
      </c>
      <c r="I3445">
        <v>3107</v>
      </c>
      <c r="J3445">
        <v>668.27</v>
      </c>
      <c r="K3445">
        <v>502.54</v>
      </c>
      <c r="L3445">
        <v>2076314.89</v>
      </c>
      <c r="M3445">
        <v>1561391.78</v>
      </c>
      <c r="N3445">
        <v>514923.11</v>
      </c>
    </row>
    <row r="3446" spans="1:14" x14ac:dyDescent="0.25">
      <c r="A3446" t="s">
        <v>29</v>
      </c>
      <c r="B3446" t="s">
        <v>271</v>
      </c>
      <c r="C3446" t="s">
        <v>40</v>
      </c>
      <c r="D3446" t="s">
        <v>17</v>
      </c>
      <c r="E3446" t="s">
        <v>23</v>
      </c>
      <c r="F3446" s="1">
        <v>41397</v>
      </c>
      <c r="G3446">
        <v>651162087</v>
      </c>
      <c r="H3446" t="s">
        <v>1198</v>
      </c>
      <c r="I3446">
        <v>2187</v>
      </c>
      <c r="J3446">
        <v>81.73</v>
      </c>
      <c r="K3446">
        <v>56.67</v>
      </c>
      <c r="L3446">
        <v>178743.51</v>
      </c>
      <c r="M3446">
        <v>123937.29</v>
      </c>
      <c r="N3446">
        <v>54806.22</v>
      </c>
    </row>
    <row r="3447" spans="1:14" x14ac:dyDescent="0.25">
      <c r="A3447" t="s">
        <v>51</v>
      </c>
      <c r="B3447" t="s">
        <v>129</v>
      </c>
      <c r="C3447" t="s">
        <v>113</v>
      </c>
      <c r="D3447" t="s">
        <v>17</v>
      </c>
      <c r="E3447" t="s">
        <v>45</v>
      </c>
      <c r="F3447" t="s">
        <v>1055</v>
      </c>
      <c r="G3447">
        <v>403153026</v>
      </c>
      <c r="H3447" t="s">
        <v>438</v>
      </c>
      <c r="I3447">
        <v>794</v>
      </c>
      <c r="J3447">
        <v>154.06</v>
      </c>
      <c r="K3447">
        <v>90.93</v>
      </c>
      <c r="L3447">
        <v>122323.64</v>
      </c>
      <c r="M3447">
        <v>72198.42</v>
      </c>
      <c r="N3447">
        <v>50125.22</v>
      </c>
    </row>
    <row r="3448" spans="1:14" x14ac:dyDescent="0.25">
      <c r="A3448" t="s">
        <v>25</v>
      </c>
      <c r="B3448" t="s">
        <v>752</v>
      </c>
      <c r="C3448" t="s">
        <v>40</v>
      </c>
      <c r="D3448" t="s">
        <v>22</v>
      </c>
      <c r="E3448" t="s">
        <v>45</v>
      </c>
      <c r="F3448" t="s">
        <v>1103</v>
      </c>
      <c r="G3448">
        <v>264526593</v>
      </c>
      <c r="H3448" s="1">
        <v>41830</v>
      </c>
      <c r="I3448">
        <v>8152</v>
      </c>
      <c r="J3448">
        <v>81.73</v>
      </c>
      <c r="K3448">
        <v>56.67</v>
      </c>
      <c r="L3448">
        <v>666262.96</v>
      </c>
      <c r="M3448">
        <v>461973.84</v>
      </c>
      <c r="N3448">
        <v>204289.12</v>
      </c>
    </row>
    <row r="3449" spans="1:14" x14ac:dyDescent="0.25">
      <c r="A3449" t="s">
        <v>51</v>
      </c>
      <c r="B3449" t="s">
        <v>210</v>
      </c>
      <c r="C3449" t="s">
        <v>21</v>
      </c>
      <c r="D3449" t="s">
        <v>22</v>
      </c>
      <c r="E3449" t="s">
        <v>18</v>
      </c>
      <c r="F3449" s="1">
        <v>41308</v>
      </c>
      <c r="G3449">
        <v>597831618</v>
      </c>
      <c r="H3449" t="s">
        <v>411</v>
      </c>
      <c r="I3449">
        <v>516</v>
      </c>
      <c r="J3449">
        <v>152.58000000000001</v>
      </c>
      <c r="K3449">
        <v>97.44</v>
      </c>
      <c r="L3449">
        <v>78731.28</v>
      </c>
      <c r="M3449">
        <v>50279.040000000001</v>
      </c>
      <c r="N3449">
        <v>28452.240000000002</v>
      </c>
    </row>
    <row r="3450" spans="1:14" x14ac:dyDescent="0.25">
      <c r="A3450" t="s">
        <v>25</v>
      </c>
      <c r="B3450" t="s">
        <v>196</v>
      </c>
      <c r="C3450" t="s">
        <v>40</v>
      </c>
      <c r="D3450" t="s">
        <v>22</v>
      </c>
      <c r="E3450" t="s">
        <v>23</v>
      </c>
      <c r="F3450" t="s">
        <v>501</v>
      </c>
      <c r="G3450">
        <v>485929429</v>
      </c>
      <c r="H3450" t="s">
        <v>1500</v>
      </c>
      <c r="I3450">
        <v>6171</v>
      </c>
      <c r="J3450">
        <v>81.73</v>
      </c>
      <c r="K3450">
        <v>56.67</v>
      </c>
      <c r="L3450">
        <v>504355.83</v>
      </c>
      <c r="M3450">
        <v>349710.57</v>
      </c>
      <c r="N3450">
        <v>154645.26</v>
      </c>
    </row>
    <row r="3451" spans="1:14" x14ac:dyDescent="0.25">
      <c r="A3451" t="s">
        <v>77</v>
      </c>
      <c r="B3451" t="s">
        <v>78</v>
      </c>
      <c r="C3451" t="s">
        <v>113</v>
      </c>
      <c r="D3451" t="s">
        <v>17</v>
      </c>
      <c r="E3451" t="s">
        <v>32</v>
      </c>
      <c r="F3451" s="1">
        <v>41335</v>
      </c>
      <c r="G3451">
        <v>881993854</v>
      </c>
      <c r="H3451" t="s">
        <v>645</v>
      </c>
      <c r="I3451">
        <v>436</v>
      </c>
      <c r="J3451">
        <v>154.06</v>
      </c>
      <c r="K3451">
        <v>90.93</v>
      </c>
      <c r="L3451">
        <v>67170.16</v>
      </c>
      <c r="M3451">
        <v>39645.480000000003</v>
      </c>
      <c r="N3451">
        <v>27524.68</v>
      </c>
    </row>
    <row r="3452" spans="1:14" x14ac:dyDescent="0.25">
      <c r="A3452" t="s">
        <v>51</v>
      </c>
      <c r="B3452" t="s">
        <v>129</v>
      </c>
      <c r="C3452" t="s">
        <v>88</v>
      </c>
      <c r="D3452" t="s">
        <v>17</v>
      </c>
      <c r="E3452" t="s">
        <v>32</v>
      </c>
      <c r="F3452" t="s">
        <v>366</v>
      </c>
      <c r="G3452">
        <v>559511220</v>
      </c>
      <c r="H3452" t="s">
        <v>762</v>
      </c>
      <c r="I3452">
        <v>658</v>
      </c>
      <c r="J3452">
        <v>9.33</v>
      </c>
      <c r="K3452">
        <v>6.92</v>
      </c>
      <c r="L3452">
        <v>6139.14</v>
      </c>
      <c r="M3452">
        <v>4553.3599999999997</v>
      </c>
      <c r="N3452">
        <v>1585.78</v>
      </c>
    </row>
    <row r="3453" spans="1:14" x14ac:dyDescent="0.25">
      <c r="A3453" t="s">
        <v>14</v>
      </c>
      <c r="B3453" t="s">
        <v>372</v>
      </c>
      <c r="C3453" t="s">
        <v>21</v>
      </c>
      <c r="D3453" t="s">
        <v>22</v>
      </c>
      <c r="E3453" t="s">
        <v>18</v>
      </c>
      <c r="F3453" t="s">
        <v>255</v>
      </c>
      <c r="G3453">
        <v>162280356</v>
      </c>
      <c r="H3453" s="1">
        <v>42645</v>
      </c>
      <c r="I3453">
        <v>1219</v>
      </c>
      <c r="J3453">
        <v>152.58000000000001</v>
      </c>
      <c r="K3453">
        <v>97.44</v>
      </c>
      <c r="L3453">
        <v>185995.02</v>
      </c>
      <c r="M3453">
        <v>118779.36</v>
      </c>
      <c r="N3453">
        <v>67215.66</v>
      </c>
    </row>
    <row r="3454" spans="1:14" x14ac:dyDescent="0.25">
      <c r="A3454" t="s">
        <v>38</v>
      </c>
      <c r="B3454" t="s">
        <v>584</v>
      </c>
      <c r="C3454" t="s">
        <v>31</v>
      </c>
      <c r="D3454" t="s">
        <v>17</v>
      </c>
      <c r="E3454" t="s">
        <v>32</v>
      </c>
      <c r="F3454" s="1">
        <v>42011</v>
      </c>
      <c r="G3454">
        <v>854412591</v>
      </c>
      <c r="H3454" t="s">
        <v>1106</v>
      </c>
      <c r="I3454">
        <v>8527</v>
      </c>
      <c r="J3454">
        <v>205.7</v>
      </c>
      <c r="K3454">
        <v>117.11</v>
      </c>
      <c r="L3454">
        <v>1754003.9</v>
      </c>
      <c r="M3454">
        <v>998596.97</v>
      </c>
      <c r="N3454">
        <v>755406.93</v>
      </c>
    </row>
    <row r="3455" spans="1:14" x14ac:dyDescent="0.25">
      <c r="A3455" t="s">
        <v>29</v>
      </c>
      <c r="B3455" t="s">
        <v>243</v>
      </c>
      <c r="C3455" t="s">
        <v>88</v>
      </c>
      <c r="D3455" t="s">
        <v>22</v>
      </c>
      <c r="E3455" t="s">
        <v>23</v>
      </c>
      <c r="F3455" t="s">
        <v>1442</v>
      </c>
      <c r="G3455">
        <v>270331752</v>
      </c>
      <c r="H3455" t="s">
        <v>1709</v>
      </c>
      <c r="I3455">
        <v>6028</v>
      </c>
      <c r="J3455">
        <v>9.33</v>
      </c>
      <c r="K3455">
        <v>6.92</v>
      </c>
      <c r="L3455">
        <v>56241.24</v>
      </c>
      <c r="M3455">
        <v>41713.760000000002</v>
      </c>
      <c r="N3455">
        <v>14527.48</v>
      </c>
    </row>
    <row r="3456" spans="1:14" x14ac:dyDescent="0.25">
      <c r="A3456" t="s">
        <v>14</v>
      </c>
      <c r="B3456" t="s">
        <v>433</v>
      </c>
      <c r="C3456" t="s">
        <v>59</v>
      </c>
      <c r="D3456" t="s">
        <v>17</v>
      </c>
      <c r="E3456" t="s">
        <v>18</v>
      </c>
      <c r="F3456" t="s">
        <v>1029</v>
      </c>
      <c r="G3456">
        <v>164774167</v>
      </c>
      <c r="H3456" s="1">
        <v>40664</v>
      </c>
      <c r="I3456">
        <v>9193</v>
      </c>
      <c r="J3456">
        <v>437.2</v>
      </c>
      <c r="K3456">
        <v>263.33</v>
      </c>
      <c r="L3456">
        <v>4019179.6</v>
      </c>
      <c r="M3456">
        <v>2420792.69</v>
      </c>
      <c r="N3456">
        <v>1598386.91</v>
      </c>
    </row>
    <row r="3457" spans="1:14" x14ac:dyDescent="0.25">
      <c r="A3457" t="s">
        <v>51</v>
      </c>
      <c r="B3457" t="s">
        <v>305</v>
      </c>
      <c r="C3457" t="s">
        <v>16</v>
      </c>
      <c r="D3457" t="s">
        <v>17</v>
      </c>
      <c r="E3457" t="s">
        <v>18</v>
      </c>
      <c r="F3457" s="1">
        <v>42888</v>
      </c>
      <c r="G3457">
        <v>562788665</v>
      </c>
      <c r="H3457" t="s">
        <v>122</v>
      </c>
      <c r="I3457">
        <v>527</v>
      </c>
      <c r="J3457">
        <v>255.28</v>
      </c>
      <c r="K3457">
        <v>159.41999999999999</v>
      </c>
      <c r="L3457">
        <v>134532.56</v>
      </c>
      <c r="M3457">
        <v>84014.34</v>
      </c>
      <c r="N3457">
        <v>50518.22</v>
      </c>
    </row>
    <row r="3458" spans="1:14" x14ac:dyDescent="0.25">
      <c r="A3458" t="s">
        <v>25</v>
      </c>
      <c r="B3458" t="s">
        <v>204</v>
      </c>
      <c r="C3458" t="s">
        <v>55</v>
      </c>
      <c r="D3458" t="s">
        <v>22</v>
      </c>
      <c r="E3458" t="s">
        <v>23</v>
      </c>
      <c r="F3458" t="s">
        <v>1284</v>
      </c>
      <c r="G3458">
        <v>209736573</v>
      </c>
      <c r="H3458" t="s">
        <v>399</v>
      </c>
      <c r="I3458">
        <v>4568</v>
      </c>
      <c r="J3458">
        <v>651.21</v>
      </c>
      <c r="K3458">
        <v>524.96</v>
      </c>
      <c r="L3458">
        <v>2974727.28</v>
      </c>
      <c r="M3458">
        <v>2398017.2799999998</v>
      </c>
      <c r="N3458">
        <v>576710</v>
      </c>
    </row>
    <row r="3459" spans="1:14" x14ac:dyDescent="0.25">
      <c r="A3459" t="s">
        <v>14</v>
      </c>
      <c r="B3459" t="s">
        <v>433</v>
      </c>
      <c r="C3459" t="s">
        <v>113</v>
      </c>
      <c r="D3459" t="s">
        <v>22</v>
      </c>
      <c r="E3459" t="s">
        <v>45</v>
      </c>
      <c r="F3459" t="s">
        <v>286</v>
      </c>
      <c r="G3459">
        <v>621291720</v>
      </c>
      <c r="H3459" t="s">
        <v>680</v>
      </c>
      <c r="I3459">
        <v>2881</v>
      </c>
      <c r="J3459">
        <v>154.06</v>
      </c>
      <c r="K3459">
        <v>90.93</v>
      </c>
      <c r="L3459">
        <v>443846.86</v>
      </c>
      <c r="M3459">
        <v>261969.33</v>
      </c>
      <c r="N3459">
        <v>181877.53</v>
      </c>
    </row>
    <row r="3460" spans="1:14" x14ac:dyDescent="0.25">
      <c r="A3460" t="s">
        <v>25</v>
      </c>
      <c r="B3460" t="s">
        <v>140</v>
      </c>
      <c r="C3460" t="s">
        <v>55</v>
      </c>
      <c r="D3460" t="s">
        <v>22</v>
      </c>
      <c r="E3460" t="s">
        <v>18</v>
      </c>
      <c r="F3460" s="1">
        <v>42491</v>
      </c>
      <c r="G3460">
        <v>233440434</v>
      </c>
      <c r="H3460" t="s">
        <v>909</v>
      </c>
      <c r="I3460">
        <v>9067</v>
      </c>
      <c r="J3460">
        <v>651.21</v>
      </c>
      <c r="K3460">
        <v>524.96</v>
      </c>
      <c r="L3460">
        <v>5904521.0700000003</v>
      </c>
      <c r="M3460">
        <v>4759812.32</v>
      </c>
      <c r="N3460">
        <v>1144708.75</v>
      </c>
    </row>
    <row r="3461" spans="1:14" x14ac:dyDescent="0.25">
      <c r="A3461" t="s">
        <v>42</v>
      </c>
      <c r="B3461" t="s">
        <v>43</v>
      </c>
      <c r="C3461" t="s">
        <v>55</v>
      </c>
      <c r="D3461" t="s">
        <v>17</v>
      </c>
      <c r="E3461" t="s">
        <v>45</v>
      </c>
      <c r="F3461" t="s">
        <v>539</v>
      </c>
      <c r="G3461">
        <v>252481544</v>
      </c>
      <c r="H3461" s="1">
        <v>42227</v>
      </c>
      <c r="I3461">
        <v>3754</v>
      </c>
      <c r="J3461">
        <v>651.21</v>
      </c>
      <c r="K3461">
        <v>524.96</v>
      </c>
      <c r="L3461">
        <v>2444642.34</v>
      </c>
      <c r="M3461">
        <v>1970699.84</v>
      </c>
      <c r="N3461">
        <v>473942.5</v>
      </c>
    </row>
    <row r="3462" spans="1:14" x14ac:dyDescent="0.25">
      <c r="A3462" t="s">
        <v>51</v>
      </c>
      <c r="B3462" t="s">
        <v>327</v>
      </c>
      <c r="C3462" t="s">
        <v>131</v>
      </c>
      <c r="D3462" t="s">
        <v>22</v>
      </c>
      <c r="E3462" t="s">
        <v>45</v>
      </c>
      <c r="F3462" t="s">
        <v>1089</v>
      </c>
      <c r="G3462">
        <v>605026376</v>
      </c>
      <c r="H3462" t="s">
        <v>482</v>
      </c>
      <c r="I3462">
        <v>9604</v>
      </c>
      <c r="J3462">
        <v>668.27</v>
      </c>
      <c r="K3462">
        <v>502.54</v>
      </c>
      <c r="L3462">
        <v>6418065.0800000001</v>
      </c>
      <c r="M3462">
        <v>4826394.16</v>
      </c>
      <c r="N3462">
        <v>1591670.92</v>
      </c>
    </row>
    <row r="3463" spans="1:14" x14ac:dyDescent="0.25">
      <c r="A3463" t="s">
        <v>51</v>
      </c>
      <c r="B3463" t="s">
        <v>525</v>
      </c>
      <c r="C3463" t="s">
        <v>21</v>
      </c>
      <c r="D3463" t="s">
        <v>17</v>
      </c>
      <c r="E3463" t="s">
        <v>45</v>
      </c>
      <c r="F3463" t="s">
        <v>1629</v>
      </c>
      <c r="G3463">
        <v>387998759</v>
      </c>
      <c r="H3463" t="s">
        <v>1257</v>
      </c>
      <c r="I3463">
        <v>6310</v>
      </c>
      <c r="J3463">
        <v>152.58000000000001</v>
      </c>
      <c r="K3463">
        <v>97.44</v>
      </c>
      <c r="L3463">
        <v>962779.8</v>
      </c>
      <c r="M3463">
        <v>614846.4</v>
      </c>
      <c r="N3463">
        <v>347933.4</v>
      </c>
    </row>
    <row r="3464" spans="1:14" x14ac:dyDescent="0.25">
      <c r="A3464" t="s">
        <v>38</v>
      </c>
      <c r="B3464" t="s">
        <v>105</v>
      </c>
      <c r="C3464" t="s">
        <v>88</v>
      </c>
      <c r="D3464" t="s">
        <v>17</v>
      </c>
      <c r="E3464" t="s">
        <v>32</v>
      </c>
      <c r="F3464" t="s">
        <v>1685</v>
      </c>
      <c r="G3464">
        <v>118635022</v>
      </c>
      <c r="H3464" s="1">
        <v>42950</v>
      </c>
      <c r="I3464">
        <v>5594</v>
      </c>
      <c r="J3464">
        <v>9.33</v>
      </c>
      <c r="K3464">
        <v>6.92</v>
      </c>
      <c r="L3464">
        <v>52192.02</v>
      </c>
      <c r="M3464">
        <v>38710.480000000003</v>
      </c>
      <c r="N3464">
        <v>13481.54</v>
      </c>
    </row>
    <row r="3465" spans="1:14" x14ac:dyDescent="0.25">
      <c r="A3465" t="s">
        <v>25</v>
      </c>
      <c r="B3465" t="s">
        <v>72</v>
      </c>
      <c r="C3465" t="s">
        <v>113</v>
      </c>
      <c r="D3465" t="s">
        <v>22</v>
      </c>
      <c r="E3465" t="s">
        <v>32</v>
      </c>
      <c r="F3465" s="1">
        <v>40668</v>
      </c>
      <c r="G3465">
        <v>384483993</v>
      </c>
      <c r="H3465" t="s">
        <v>1684</v>
      </c>
      <c r="I3465">
        <v>6212</v>
      </c>
      <c r="J3465">
        <v>154.06</v>
      </c>
      <c r="K3465">
        <v>90.93</v>
      </c>
      <c r="L3465">
        <v>957020.72</v>
      </c>
      <c r="M3465">
        <v>564857.16</v>
      </c>
      <c r="N3465">
        <v>392163.56</v>
      </c>
    </row>
    <row r="3466" spans="1:14" x14ac:dyDescent="0.25">
      <c r="A3466" t="s">
        <v>51</v>
      </c>
      <c r="B3466" t="s">
        <v>52</v>
      </c>
      <c r="C3466" t="s">
        <v>31</v>
      </c>
      <c r="D3466" t="s">
        <v>22</v>
      </c>
      <c r="E3466" t="s">
        <v>23</v>
      </c>
      <c r="F3466" t="s">
        <v>1264</v>
      </c>
      <c r="G3466">
        <v>493406999</v>
      </c>
      <c r="H3466" t="s">
        <v>102</v>
      </c>
      <c r="I3466">
        <v>8950</v>
      </c>
      <c r="J3466">
        <v>205.7</v>
      </c>
      <c r="K3466">
        <v>117.11</v>
      </c>
      <c r="L3466">
        <v>1841015</v>
      </c>
      <c r="M3466">
        <v>1048134.5</v>
      </c>
      <c r="N3466">
        <v>792880.5</v>
      </c>
    </row>
    <row r="3467" spans="1:14" x14ac:dyDescent="0.25">
      <c r="A3467" t="s">
        <v>51</v>
      </c>
      <c r="B3467" t="s">
        <v>502</v>
      </c>
      <c r="C3467" t="s">
        <v>16</v>
      </c>
      <c r="D3467" t="s">
        <v>17</v>
      </c>
      <c r="E3467" t="s">
        <v>45</v>
      </c>
      <c r="F3467" s="1">
        <v>42800</v>
      </c>
      <c r="G3467">
        <v>723577868</v>
      </c>
      <c r="H3467" t="s">
        <v>1321</v>
      </c>
      <c r="I3467">
        <v>1626</v>
      </c>
      <c r="J3467">
        <v>255.28</v>
      </c>
      <c r="K3467">
        <v>159.41999999999999</v>
      </c>
      <c r="L3467">
        <v>415085.28</v>
      </c>
      <c r="M3467">
        <v>259216.92</v>
      </c>
      <c r="N3467">
        <v>155868.35999999999</v>
      </c>
    </row>
    <row r="3468" spans="1:14" x14ac:dyDescent="0.25">
      <c r="A3468" t="s">
        <v>51</v>
      </c>
      <c r="B3468" t="s">
        <v>502</v>
      </c>
      <c r="C3468" t="s">
        <v>27</v>
      </c>
      <c r="D3468" t="s">
        <v>17</v>
      </c>
      <c r="E3468" t="s">
        <v>45</v>
      </c>
      <c r="F3468" s="1">
        <v>41314</v>
      </c>
      <c r="G3468">
        <v>973482930</v>
      </c>
      <c r="H3468" s="1">
        <v>41465</v>
      </c>
      <c r="I3468">
        <v>4087</v>
      </c>
      <c r="J3468">
        <v>47.45</v>
      </c>
      <c r="K3468">
        <v>31.79</v>
      </c>
      <c r="L3468">
        <v>193928.15</v>
      </c>
      <c r="M3468">
        <v>129925.73</v>
      </c>
      <c r="N3468">
        <v>64002.42</v>
      </c>
    </row>
    <row r="3469" spans="1:14" x14ac:dyDescent="0.25">
      <c r="A3469" t="s">
        <v>25</v>
      </c>
      <c r="B3469" t="s">
        <v>609</v>
      </c>
      <c r="C3469" t="s">
        <v>27</v>
      </c>
      <c r="D3469" t="s">
        <v>17</v>
      </c>
      <c r="E3469" t="s">
        <v>45</v>
      </c>
      <c r="F3469" t="s">
        <v>1187</v>
      </c>
      <c r="G3469">
        <v>311921012</v>
      </c>
      <c r="H3469" t="s">
        <v>1279</v>
      </c>
      <c r="I3469">
        <v>3214</v>
      </c>
      <c r="J3469">
        <v>47.45</v>
      </c>
      <c r="K3469">
        <v>31.79</v>
      </c>
      <c r="L3469">
        <v>152504.29999999999</v>
      </c>
      <c r="M3469">
        <v>102173.06</v>
      </c>
      <c r="N3469">
        <v>50331.24</v>
      </c>
    </row>
    <row r="3470" spans="1:14" x14ac:dyDescent="0.25">
      <c r="A3470" t="s">
        <v>25</v>
      </c>
      <c r="B3470" t="s">
        <v>119</v>
      </c>
      <c r="C3470" t="s">
        <v>16</v>
      </c>
      <c r="D3470" t="s">
        <v>17</v>
      </c>
      <c r="E3470" t="s">
        <v>32</v>
      </c>
      <c r="F3470" s="1">
        <v>40430</v>
      </c>
      <c r="G3470">
        <v>128003442</v>
      </c>
      <c r="H3470" t="s">
        <v>1758</v>
      </c>
      <c r="I3470">
        <v>7918</v>
      </c>
      <c r="J3470">
        <v>255.28</v>
      </c>
      <c r="K3470">
        <v>159.41999999999999</v>
      </c>
      <c r="L3470">
        <v>2021307.04</v>
      </c>
      <c r="M3470">
        <v>1262287.56</v>
      </c>
      <c r="N3470">
        <v>759019.48</v>
      </c>
    </row>
    <row r="3471" spans="1:14" x14ac:dyDescent="0.25">
      <c r="A3471" t="s">
        <v>25</v>
      </c>
      <c r="B3471" t="s">
        <v>469</v>
      </c>
      <c r="C3471" t="s">
        <v>27</v>
      </c>
      <c r="D3471" t="s">
        <v>22</v>
      </c>
      <c r="E3471" t="s">
        <v>23</v>
      </c>
      <c r="F3471" t="s">
        <v>677</v>
      </c>
      <c r="G3471">
        <v>981154048</v>
      </c>
      <c r="H3471" s="1">
        <v>41525</v>
      </c>
      <c r="I3471">
        <v>4141</v>
      </c>
      <c r="J3471">
        <v>47.45</v>
      </c>
      <c r="K3471">
        <v>31.79</v>
      </c>
      <c r="L3471">
        <v>196490.45</v>
      </c>
      <c r="M3471">
        <v>131642.39000000001</v>
      </c>
      <c r="N3471">
        <v>64848.06</v>
      </c>
    </row>
    <row r="3472" spans="1:14" x14ac:dyDescent="0.25">
      <c r="A3472" t="s">
        <v>14</v>
      </c>
      <c r="B3472" t="s">
        <v>20</v>
      </c>
      <c r="C3472" t="s">
        <v>69</v>
      </c>
      <c r="D3472" t="s">
        <v>17</v>
      </c>
      <c r="E3472" t="s">
        <v>45</v>
      </c>
      <c r="F3472" s="1">
        <v>41219</v>
      </c>
      <c r="G3472">
        <v>351109158</v>
      </c>
      <c r="H3472" t="s">
        <v>1513</v>
      </c>
      <c r="I3472">
        <v>9857</v>
      </c>
      <c r="J3472">
        <v>421.89</v>
      </c>
      <c r="K3472">
        <v>364.69</v>
      </c>
      <c r="L3472">
        <v>4158569.73</v>
      </c>
      <c r="M3472">
        <v>3594749.33</v>
      </c>
      <c r="N3472">
        <v>563820.4</v>
      </c>
    </row>
    <row r="3473" spans="1:14" x14ac:dyDescent="0.25">
      <c r="A3473" t="s">
        <v>25</v>
      </c>
      <c r="B3473" t="s">
        <v>497</v>
      </c>
      <c r="C3473" t="s">
        <v>40</v>
      </c>
      <c r="D3473" t="s">
        <v>17</v>
      </c>
      <c r="E3473" t="s">
        <v>32</v>
      </c>
      <c r="F3473" s="1">
        <v>40980</v>
      </c>
      <c r="G3473">
        <v>287917602</v>
      </c>
      <c r="H3473" s="1">
        <v>41395</v>
      </c>
      <c r="I3473">
        <v>71</v>
      </c>
      <c r="J3473">
        <v>81.73</v>
      </c>
      <c r="K3473">
        <v>56.67</v>
      </c>
      <c r="L3473">
        <v>5802.83</v>
      </c>
      <c r="M3473">
        <v>4023.57</v>
      </c>
      <c r="N3473">
        <v>1779.26</v>
      </c>
    </row>
    <row r="3474" spans="1:14" x14ac:dyDescent="0.25">
      <c r="A3474" t="s">
        <v>14</v>
      </c>
      <c r="B3474" t="s">
        <v>213</v>
      </c>
      <c r="C3474" t="s">
        <v>69</v>
      </c>
      <c r="D3474" t="s">
        <v>22</v>
      </c>
      <c r="E3474" t="s">
        <v>45</v>
      </c>
      <c r="F3474" s="1">
        <v>41884</v>
      </c>
      <c r="G3474">
        <v>661940705</v>
      </c>
      <c r="H3474" t="s">
        <v>921</v>
      </c>
      <c r="I3474">
        <v>1819</v>
      </c>
      <c r="J3474">
        <v>421.89</v>
      </c>
      <c r="K3474">
        <v>364.69</v>
      </c>
      <c r="L3474">
        <v>767417.91</v>
      </c>
      <c r="M3474">
        <v>663371.11</v>
      </c>
      <c r="N3474">
        <v>104046.8</v>
      </c>
    </row>
    <row r="3475" spans="1:14" x14ac:dyDescent="0.25">
      <c r="A3475" t="s">
        <v>14</v>
      </c>
      <c r="B3475" t="s">
        <v>370</v>
      </c>
      <c r="C3475" t="s">
        <v>16</v>
      </c>
      <c r="D3475" t="s">
        <v>22</v>
      </c>
      <c r="E3475" t="s">
        <v>32</v>
      </c>
      <c r="F3475" t="s">
        <v>1718</v>
      </c>
      <c r="G3475">
        <v>513852298</v>
      </c>
      <c r="H3475" t="s">
        <v>1131</v>
      </c>
      <c r="I3475">
        <v>9169</v>
      </c>
      <c r="J3475">
        <v>255.28</v>
      </c>
      <c r="K3475">
        <v>159.41999999999999</v>
      </c>
      <c r="L3475">
        <v>2340662.3199999998</v>
      </c>
      <c r="M3475">
        <v>1461721.98</v>
      </c>
      <c r="N3475">
        <v>878940.34</v>
      </c>
    </row>
    <row r="3476" spans="1:14" x14ac:dyDescent="0.25">
      <c r="A3476" t="s">
        <v>51</v>
      </c>
      <c r="B3476" t="s">
        <v>305</v>
      </c>
      <c r="C3476" t="s">
        <v>55</v>
      </c>
      <c r="D3476" t="s">
        <v>22</v>
      </c>
      <c r="E3476" t="s">
        <v>45</v>
      </c>
      <c r="F3476" s="1">
        <v>40978</v>
      </c>
      <c r="G3476">
        <v>304638707</v>
      </c>
      <c r="H3476" t="s">
        <v>1455</v>
      </c>
      <c r="I3476">
        <v>8218</v>
      </c>
      <c r="J3476">
        <v>651.21</v>
      </c>
      <c r="K3476">
        <v>524.96</v>
      </c>
      <c r="L3476">
        <v>5351643.78</v>
      </c>
      <c r="M3476">
        <v>4314121.28</v>
      </c>
      <c r="N3476">
        <v>1037522.5</v>
      </c>
    </row>
    <row r="3477" spans="1:14" x14ac:dyDescent="0.25">
      <c r="A3477" t="s">
        <v>51</v>
      </c>
      <c r="B3477" t="s">
        <v>502</v>
      </c>
      <c r="C3477" t="s">
        <v>113</v>
      </c>
      <c r="D3477" t="s">
        <v>17</v>
      </c>
      <c r="E3477" t="s">
        <v>45</v>
      </c>
      <c r="F3477" t="s">
        <v>178</v>
      </c>
      <c r="G3477">
        <v>565598762</v>
      </c>
      <c r="H3477" t="s">
        <v>1759</v>
      </c>
      <c r="I3477">
        <v>2097</v>
      </c>
      <c r="J3477">
        <v>154.06</v>
      </c>
      <c r="K3477">
        <v>90.93</v>
      </c>
      <c r="L3477">
        <v>323063.82</v>
      </c>
      <c r="M3477">
        <v>190680.21</v>
      </c>
      <c r="N3477">
        <v>132383.60999999999</v>
      </c>
    </row>
    <row r="3478" spans="1:14" x14ac:dyDescent="0.25">
      <c r="A3478" t="s">
        <v>25</v>
      </c>
      <c r="B3478" t="s">
        <v>252</v>
      </c>
      <c r="C3478" t="s">
        <v>21</v>
      </c>
      <c r="D3478" t="s">
        <v>22</v>
      </c>
      <c r="E3478" t="s">
        <v>32</v>
      </c>
      <c r="F3478" s="1">
        <v>41741</v>
      </c>
      <c r="G3478">
        <v>548343789</v>
      </c>
      <c r="H3478" s="1">
        <v>41802</v>
      </c>
      <c r="I3478">
        <v>5967</v>
      </c>
      <c r="J3478">
        <v>152.58000000000001</v>
      </c>
      <c r="K3478">
        <v>97.44</v>
      </c>
      <c r="L3478">
        <v>910444.86</v>
      </c>
      <c r="M3478">
        <v>581424.48</v>
      </c>
      <c r="N3478">
        <v>329020.38</v>
      </c>
    </row>
    <row r="3479" spans="1:14" x14ac:dyDescent="0.25">
      <c r="A3479" t="s">
        <v>29</v>
      </c>
      <c r="B3479" t="s">
        <v>121</v>
      </c>
      <c r="C3479" t="s">
        <v>113</v>
      </c>
      <c r="D3479" t="s">
        <v>22</v>
      </c>
      <c r="E3479" t="s">
        <v>32</v>
      </c>
      <c r="F3479" t="s">
        <v>557</v>
      </c>
      <c r="G3479">
        <v>474797618</v>
      </c>
      <c r="H3479" s="1">
        <v>41277</v>
      </c>
      <c r="I3479">
        <v>2021</v>
      </c>
      <c r="J3479">
        <v>154.06</v>
      </c>
      <c r="K3479">
        <v>90.93</v>
      </c>
      <c r="L3479">
        <v>311355.26</v>
      </c>
      <c r="M3479">
        <v>183769.53</v>
      </c>
      <c r="N3479">
        <v>127585.73</v>
      </c>
    </row>
    <row r="3480" spans="1:14" x14ac:dyDescent="0.25">
      <c r="A3480" t="s">
        <v>42</v>
      </c>
      <c r="B3480" t="s">
        <v>90</v>
      </c>
      <c r="C3480" t="s">
        <v>44</v>
      </c>
      <c r="D3480" t="s">
        <v>22</v>
      </c>
      <c r="E3480" t="s">
        <v>23</v>
      </c>
      <c r="F3480" t="s">
        <v>544</v>
      </c>
      <c r="G3480">
        <v>187196576</v>
      </c>
      <c r="H3480" t="s">
        <v>473</v>
      </c>
      <c r="I3480">
        <v>4482</v>
      </c>
      <c r="J3480">
        <v>109.28</v>
      </c>
      <c r="K3480">
        <v>35.840000000000003</v>
      </c>
      <c r="L3480">
        <v>489792.96</v>
      </c>
      <c r="M3480">
        <v>160634.88</v>
      </c>
      <c r="N3480">
        <v>329158.08</v>
      </c>
    </row>
    <row r="3481" spans="1:14" x14ac:dyDescent="0.25">
      <c r="A3481" t="s">
        <v>25</v>
      </c>
      <c r="B3481" t="s">
        <v>252</v>
      </c>
      <c r="C3481" t="s">
        <v>69</v>
      </c>
      <c r="D3481" t="s">
        <v>17</v>
      </c>
      <c r="E3481" t="s">
        <v>32</v>
      </c>
      <c r="F3481" s="1">
        <v>42403</v>
      </c>
      <c r="G3481">
        <v>498089492</v>
      </c>
      <c r="H3481" t="s">
        <v>910</v>
      </c>
      <c r="I3481">
        <v>4604</v>
      </c>
      <c r="J3481">
        <v>421.89</v>
      </c>
      <c r="K3481">
        <v>364.69</v>
      </c>
      <c r="L3481">
        <v>1942381.56</v>
      </c>
      <c r="M3481">
        <v>1679032.76</v>
      </c>
      <c r="N3481">
        <v>263348.8</v>
      </c>
    </row>
    <row r="3482" spans="1:14" x14ac:dyDescent="0.25">
      <c r="A3482" t="s">
        <v>38</v>
      </c>
      <c r="B3482" t="s">
        <v>190</v>
      </c>
      <c r="C3482" t="s">
        <v>88</v>
      </c>
      <c r="D3482" t="s">
        <v>22</v>
      </c>
      <c r="E3482" t="s">
        <v>23</v>
      </c>
      <c r="F3482" s="1">
        <v>41066</v>
      </c>
      <c r="G3482">
        <v>940337693</v>
      </c>
      <c r="H3482" t="s">
        <v>745</v>
      </c>
      <c r="I3482">
        <v>5675</v>
      </c>
      <c r="J3482">
        <v>9.33</v>
      </c>
      <c r="K3482">
        <v>6.92</v>
      </c>
      <c r="L3482">
        <v>52947.75</v>
      </c>
      <c r="M3482">
        <v>39271</v>
      </c>
      <c r="N3482">
        <v>13676.75</v>
      </c>
    </row>
    <row r="3483" spans="1:14" x14ac:dyDescent="0.25">
      <c r="A3483" t="s">
        <v>29</v>
      </c>
      <c r="B3483" t="s">
        <v>586</v>
      </c>
      <c r="C3483" t="s">
        <v>31</v>
      </c>
      <c r="D3483" t="s">
        <v>17</v>
      </c>
      <c r="E3483" t="s">
        <v>18</v>
      </c>
      <c r="F3483" t="s">
        <v>1669</v>
      </c>
      <c r="G3483">
        <v>217115008</v>
      </c>
      <c r="H3483" t="s">
        <v>1760</v>
      </c>
      <c r="I3483">
        <v>8011</v>
      </c>
      <c r="J3483">
        <v>205.7</v>
      </c>
      <c r="K3483">
        <v>117.11</v>
      </c>
      <c r="L3483">
        <v>1647862.7</v>
      </c>
      <c r="M3483">
        <v>938168.21</v>
      </c>
      <c r="N3483">
        <v>709694.49</v>
      </c>
    </row>
    <row r="3484" spans="1:14" x14ac:dyDescent="0.25">
      <c r="A3484" t="s">
        <v>25</v>
      </c>
      <c r="B3484" t="s">
        <v>386</v>
      </c>
      <c r="C3484" t="s">
        <v>21</v>
      </c>
      <c r="D3484" t="s">
        <v>22</v>
      </c>
      <c r="E3484" t="s">
        <v>23</v>
      </c>
      <c r="F3484" s="1">
        <v>42007</v>
      </c>
      <c r="G3484">
        <v>251907765</v>
      </c>
      <c r="H3484" s="1">
        <v>42189</v>
      </c>
      <c r="I3484">
        <v>3961</v>
      </c>
      <c r="J3484">
        <v>152.58000000000001</v>
      </c>
      <c r="K3484">
        <v>97.44</v>
      </c>
      <c r="L3484">
        <v>604369.38</v>
      </c>
      <c r="M3484">
        <v>385959.84</v>
      </c>
      <c r="N3484">
        <v>218409.54</v>
      </c>
    </row>
    <row r="3485" spans="1:14" x14ac:dyDescent="0.25">
      <c r="A3485" t="s">
        <v>29</v>
      </c>
      <c r="B3485" t="s">
        <v>315</v>
      </c>
      <c r="C3485" t="s">
        <v>88</v>
      </c>
      <c r="D3485" t="s">
        <v>22</v>
      </c>
      <c r="E3485" t="s">
        <v>45</v>
      </c>
      <c r="F3485" s="1">
        <v>42317</v>
      </c>
      <c r="G3485">
        <v>338514792</v>
      </c>
      <c r="H3485" s="1">
        <v>42347</v>
      </c>
      <c r="I3485">
        <v>2904</v>
      </c>
      <c r="J3485">
        <v>9.33</v>
      </c>
      <c r="K3485">
        <v>6.92</v>
      </c>
      <c r="L3485">
        <v>27094.32</v>
      </c>
      <c r="M3485">
        <v>20095.68</v>
      </c>
      <c r="N3485">
        <v>6998.64</v>
      </c>
    </row>
    <row r="3486" spans="1:14" x14ac:dyDescent="0.25">
      <c r="A3486" t="s">
        <v>77</v>
      </c>
      <c r="B3486" t="s">
        <v>320</v>
      </c>
      <c r="C3486" t="s">
        <v>27</v>
      </c>
      <c r="D3486" t="s">
        <v>17</v>
      </c>
      <c r="E3486" t="s">
        <v>45</v>
      </c>
      <c r="F3486" t="s">
        <v>741</v>
      </c>
      <c r="G3486">
        <v>291047418</v>
      </c>
      <c r="H3486" t="s">
        <v>1404</v>
      </c>
      <c r="I3486">
        <v>6253</v>
      </c>
      <c r="J3486">
        <v>47.45</v>
      </c>
      <c r="K3486">
        <v>31.79</v>
      </c>
      <c r="L3486">
        <v>296704.84999999998</v>
      </c>
      <c r="M3486">
        <v>198782.87</v>
      </c>
      <c r="N3486">
        <v>97921.98</v>
      </c>
    </row>
    <row r="3487" spans="1:14" x14ac:dyDescent="0.25">
      <c r="A3487" t="s">
        <v>29</v>
      </c>
      <c r="B3487" t="s">
        <v>586</v>
      </c>
      <c r="C3487" t="s">
        <v>131</v>
      </c>
      <c r="D3487" t="s">
        <v>17</v>
      </c>
      <c r="E3487" t="s">
        <v>18</v>
      </c>
      <c r="F3487" t="s">
        <v>833</v>
      </c>
      <c r="G3487">
        <v>893929469</v>
      </c>
      <c r="H3487" s="1">
        <v>40241</v>
      </c>
      <c r="I3487">
        <v>2450</v>
      </c>
      <c r="J3487">
        <v>668.27</v>
      </c>
      <c r="K3487">
        <v>502.54</v>
      </c>
      <c r="L3487">
        <v>1637261.5</v>
      </c>
      <c r="M3487">
        <v>1231223</v>
      </c>
      <c r="N3487">
        <v>406038.5</v>
      </c>
    </row>
    <row r="3488" spans="1:14" x14ac:dyDescent="0.25">
      <c r="A3488" t="s">
        <v>14</v>
      </c>
      <c r="B3488" t="s">
        <v>154</v>
      </c>
      <c r="C3488" t="s">
        <v>44</v>
      </c>
      <c r="D3488" t="s">
        <v>17</v>
      </c>
      <c r="E3488" t="s">
        <v>45</v>
      </c>
      <c r="F3488" s="1">
        <v>42015</v>
      </c>
      <c r="G3488">
        <v>751897275</v>
      </c>
      <c r="H3488" s="1">
        <v>42016</v>
      </c>
      <c r="I3488">
        <v>1967</v>
      </c>
      <c r="J3488">
        <v>109.28</v>
      </c>
      <c r="K3488">
        <v>35.840000000000003</v>
      </c>
      <c r="L3488">
        <v>214953.76</v>
      </c>
      <c r="M3488">
        <v>70497.279999999999</v>
      </c>
      <c r="N3488">
        <v>144456.48000000001</v>
      </c>
    </row>
    <row r="3489" spans="1:14" x14ac:dyDescent="0.25">
      <c r="A3489" t="s">
        <v>25</v>
      </c>
      <c r="B3489" t="s">
        <v>242</v>
      </c>
      <c r="C3489" t="s">
        <v>21</v>
      </c>
      <c r="D3489" t="s">
        <v>17</v>
      </c>
      <c r="E3489" t="s">
        <v>32</v>
      </c>
      <c r="F3489" t="s">
        <v>1721</v>
      </c>
      <c r="G3489">
        <v>339999663</v>
      </c>
      <c r="H3489" t="s">
        <v>1761</v>
      </c>
      <c r="I3489">
        <v>2311</v>
      </c>
      <c r="J3489">
        <v>152.58000000000001</v>
      </c>
      <c r="K3489">
        <v>97.44</v>
      </c>
      <c r="L3489">
        <v>352612.38</v>
      </c>
      <c r="M3489">
        <v>225183.84</v>
      </c>
      <c r="N3489">
        <v>127428.54</v>
      </c>
    </row>
    <row r="3490" spans="1:14" x14ac:dyDescent="0.25">
      <c r="A3490" t="s">
        <v>51</v>
      </c>
      <c r="B3490" t="s">
        <v>164</v>
      </c>
      <c r="C3490" t="s">
        <v>59</v>
      </c>
      <c r="D3490" t="s">
        <v>17</v>
      </c>
      <c r="E3490" t="s">
        <v>45</v>
      </c>
      <c r="F3490" t="s">
        <v>1642</v>
      </c>
      <c r="G3490">
        <v>653597962</v>
      </c>
      <c r="H3490" s="1">
        <v>43045</v>
      </c>
      <c r="I3490">
        <v>3016</v>
      </c>
      <c r="J3490">
        <v>437.2</v>
      </c>
      <c r="K3490">
        <v>263.33</v>
      </c>
      <c r="L3490">
        <v>1318595.2</v>
      </c>
      <c r="M3490">
        <v>794203.28</v>
      </c>
      <c r="N3490">
        <v>524391.92000000004</v>
      </c>
    </row>
    <row r="3491" spans="1:14" x14ac:dyDescent="0.25">
      <c r="A3491" t="s">
        <v>25</v>
      </c>
      <c r="B3491" t="s">
        <v>185</v>
      </c>
      <c r="C3491" t="s">
        <v>31</v>
      </c>
      <c r="D3491" t="s">
        <v>22</v>
      </c>
      <c r="E3491" t="s">
        <v>18</v>
      </c>
      <c r="F3491" t="s">
        <v>1213</v>
      </c>
      <c r="G3491">
        <v>958366000</v>
      </c>
      <c r="H3491" s="1">
        <v>40976</v>
      </c>
      <c r="I3491">
        <v>651</v>
      </c>
      <c r="J3491">
        <v>205.7</v>
      </c>
      <c r="K3491">
        <v>117.11</v>
      </c>
      <c r="L3491">
        <v>133910.70000000001</v>
      </c>
      <c r="M3491">
        <v>76238.61</v>
      </c>
      <c r="N3491">
        <v>57672.09</v>
      </c>
    </row>
    <row r="3492" spans="1:14" x14ac:dyDescent="0.25">
      <c r="A3492" t="s">
        <v>51</v>
      </c>
      <c r="B3492" t="s">
        <v>305</v>
      </c>
      <c r="C3492" t="s">
        <v>44</v>
      </c>
      <c r="D3492" t="s">
        <v>22</v>
      </c>
      <c r="E3492" t="s">
        <v>45</v>
      </c>
      <c r="F3492" t="s">
        <v>1762</v>
      </c>
      <c r="G3492">
        <v>140290105</v>
      </c>
      <c r="H3492" s="1">
        <v>42220</v>
      </c>
      <c r="I3492">
        <v>3814</v>
      </c>
      <c r="J3492">
        <v>109.28</v>
      </c>
      <c r="K3492">
        <v>35.840000000000003</v>
      </c>
      <c r="L3492">
        <v>416793.92</v>
      </c>
      <c r="M3492">
        <v>136693.76000000001</v>
      </c>
      <c r="N3492">
        <v>280100.15999999997</v>
      </c>
    </row>
    <row r="3493" spans="1:14" x14ac:dyDescent="0.25">
      <c r="A3493" t="s">
        <v>51</v>
      </c>
      <c r="B3493" t="s">
        <v>734</v>
      </c>
      <c r="C3493" t="s">
        <v>55</v>
      </c>
      <c r="D3493" t="s">
        <v>22</v>
      </c>
      <c r="E3493" t="s">
        <v>18</v>
      </c>
      <c r="F3493" t="s">
        <v>828</v>
      </c>
      <c r="G3493">
        <v>755669105</v>
      </c>
      <c r="H3493" t="s">
        <v>1147</v>
      </c>
      <c r="I3493">
        <v>8136</v>
      </c>
      <c r="J3493">
        <v>651.21</v>
      </c>
      <c r="K3493">
        <v>524.96</v>
      </c>
      <c r="L3493">
        <v>5298244.5599999996</v>
      </c>
      <c r="M3493">
        <v>4271074.5599999996</v>
      </c>
      <c r="N3493">
        <v>1027170</v>
      </c>
    </row>
    <row r="3494" spans="1:14" x14ac:dyDescent="0.25">
      <c r="A3494" t="s">
        <v>25</v>
      </c>
      <c r="B3494" t="s">
        <v>266</v>
      </c>
      <c r="C3494" t="s">
        <v>31</v>
      </c>
      <c r="D3494" t="s">
        <v>17</v>
      </c>
      <c r="E3494" t="s">
        <v>18</v>
      </c>
      <c r="F3494" s="1">
        <v>42105</v>
      </c>
      <c r="G3494">
        <v>481114327</v>
      </c>
      <c r="H3494" t="s">
        <v>1323</v>
      </c>
      <c r="I3494">
        <v>1276</v>
      </c>
      <c r="J3494">
        <v>205.7</v>
      </c>
      <c r="K3494">
        <v>117.11</v>
      </c>
      <c r="L3494">
        <v>262473.2</v>
      </c>
      <c r="M3494">
        <v>149432.35999999999</v>
      </c>
      <c r="N3494">
        <v>113040.84</v>
      </c>
    </row>
    <row r="3495" spans="1:14" x14ac:dyDescent="0.25">
      <c r="A3495" t="s">
        <v>51</v>
      </c>
      <c r="B3495" t="s">
        <v>487</v>
      </c>
      <c r="C3495" t="s">
        <v>131</v>
      </c>
      <c r="D3495" t="s">
        <v>17</v>
      </c>
      <c r="E3495" t="s">
        <v>18</v>
      </c>
      <c r="F3495" t="s">
        <v>1314</v>
      </c>
      <c r="G3495">
        <v>663549602</v>
      </c>
      <c r="H3495" s="1">
        <v>41792</v>
      </c>
      <c r="I3495">
        <v>7927</v>
      </c>
      <c r="J3495">
        <v>668.27</v>
      </c>
      <c r="K3495">
        <v>502.54</v>
      </c>
      <c r="L3495">
        <v>5297376.29</v>
      </c>
      <c r="M3495">
        <v>3983634.58</v>
      </c>
      <c r="N3495">
        <v>1313741.71</v>
      </c>
    </row>
    <row r="3496" spans="1:14" x14ac:dyDescent="0.25">
      <c r="A3496" t="s">
        <v>51</v>
      </c>
      <c r="B3496" t="s">
        <v>128</v>
      </c>
      <c r="C3496" t="s">
        <v>59</v>
      </c>
      <c r="D3496" t="s">
        <v>22</v>
      </c>
      <c r="E3496" t="s">
        <v>32</v>
      </c>
      <c r="F3496" t="s">
        <v>1603</v>
      </c>
      <c r="G3496">
        <v>470211255</v>
      </c>
      <c r="H3496" t="s">
        <v>1763</v>
      </c>
      <c r="I3496">
        <v>4814</v>
      </c>
      <c r="J3496">
        <v>437.2</v>
      </c>
      <c r="K3496">
        <v>263.33</v>
      </c>
      <c r="L3496">
        <v>2104680.7999999998</v>
      </c>
      <c r="M3496">
        <v>1267670.6200000001</v>
      </c>
      <c r="N3496">
        <v>837010.18</v>
      </c>
    </row>
    <row r="3497" spans="1:14" x14ac:dyDescent="0.25">
      <c r="A3497" t="s">
        <v>51</v>
      </c>
      <c r="B3497" t="s">
        <v>734</v>
      </c>
      <c r="C3497" t="s">
        <v>113</v>
      </c>
      <c r="D3497" t="s">
        <v>17</v>
      </c>
      <c r="E3497" t="s">
        <v>45</v>
      </c>
      <c r="F3497" s="1">
        <v>41006</v>
      </c>
      <c r="G3497">
        <v>938648116</v>
      </c>
      <c r="H3497" t="s">
        <v>929</v>
      </c>
      <c r="I3497">
        <v>5691</v>
      </c>
      <c r="J3497">
        <v>154.06</v>
      </c>
      <c r="K3497">
        <v>90.93</v>
      </c>
      <c r="L3497">
        <v>876755.46</v>
      </c>
      <c r="M3497">
        <v>517482.63</v>
      </c>
      <c r="N3497">
        <v>359272.83</v>
      </c>
    </row>
    <row r="3498" spans="1:14" x14ac:dyDescent="0.25">
      <c r="A3498" t="s">
        <v>51</v>
      </c>
      <c r="B3498" t="s">
        <v>308</v>
      </c>
      <c r="C3498" t="s">
        <v>27</v>
      </c>
      <c r="D3498" t="s">
        <v>17</v>
      </c>
      <c r="E3498" t="s">
        <v>32</v>
      </c>
      <c r="F3498" t="s">
        <v>336</v>
      </c>
      <c r="G3498">
        <v>926721513</v>
      </c>
      <c r="H3498" t="s">
        <v>337</v>
      </c>
      <c r="I3498">
        <v>6344</v>
      </c>
      <c r="J3498">
        <v>47.45</v>
      </c>
      <c r="K3498">
        <v>31.79</v>
      </c>
      <c r="L3498">
        <v>301022.8</v>
      </c>
      <c r="M3498">
        <v>201675.76</v>
      </c>
      <c r="N3498">
        <v>99347.04</v>
      </c>
    </row>
    <row r="3499" spans="1:14" x14ac:dyDescent="0.25">
      <c r="A3499" t="s">
        <v>29</v>
      </c>
      <c r="B3499" t="s">
        <v>61</v>
      </c>
      <c r="C3499" t="s">
        <v>131</v>
      </c>
      <c r="D3499" t="s">
        <v>22</v>
      </c>
      <c r="E3499" t="s">
        <v>32</v>
      </c>
      <c r="F3499" s="1">
        <v>41589</v>
      </c>
      <c r="G3499">
        <v>262605273</v>
      </c>
      <c r="H3499" t="s">
        <v>1149</v>
      </c>
      <c r="I3499">
        <v>9591</v>
      </c>
      <c r="J3499">
        <v>668.27</v>
      </c>
      <c r="K3499">
        <v>502.54</v>
      </c>
      <c r="L3499">
        <v>6409377.5700000003</v>
      </c>
      <c r="M3499">
        <v>4819861.1399999997</v>
      </c>
      <c r="N3499">
        <v>1589516.43</v>
      </c>
    </row>
    <row r="3500" spans="1:14" x14ac:dyDescent="0.25">
      <c r="A3500" t="s">
        <v>25</v>
      </c>
      <c r="B3500" t="s">
        <v>229</v>
      </c>
      <c r="C3500" t="s">
        <v>31</v>
      </c>
      <c r="D3500" t="s">
        <v>22</v>
      </c>
      <c r="E3500" t="s">
        <v>32</v>
      </c>
      <c r="F3500" t="s">
        <v>133</v>
      </c>
      <c r="G3500">
        <v>194785726</v>
      </c>
      <c r="H3500" t="s">
        <v>751</v>
      </c>
      <c r="I3500">
        <v>280</v>
      </c>
      <c r="J3500">
        <v>205.7</v>
      </c>
      <c r="K3500">
        <v>117.11</v>
      </c>
      <c r="L3500">
        <v>57596</v>
      </c>
      <c r="M3500">
        <v>32790.800000000003</v>
      </c>
      <c r="N3500">
        <v>24805.200000000001</v>
      </c>
    </row>
    <row r="3501" spans="1:14" x14ac:dyDescent="0.25">
      <c r="A3501" t="s">
        <v>51</v>
      </c>
      <c r="B3501" t="s">
        <v>350</v>
      </c>
      <c r="C3501" t="s">
        <v>44</v>
      </c>
      <c r="D3501" t="s">
        <v>17</v>
      </c>
      <c r="E3501" t="s">
        <v>45</v>
      </c>
      <c r="F3501" t="s">
        <v>679</v>
      </c>
      <c r="G3501">
        <v>242061698</v>
      </c>
      <c r="H3501" s="1">
        <v>42462</v>
      </c>
      <c r="I3501">
        <v>290</v>
      </c>
      <c r="J3501">
        <v>109.28</v>
      </c>
      <c r="K3501">
        <v>35.840000000000003</v>
      </c>
      <c r="L3501">
        <v>31691.200000000001</v>
      </c>
      <c r="M3501">
        <v>10393.6</v>
      </c>
      <c r="N3501">
        <v>21297.599999999999</v>
      </c>
    </row>
    <row r="3502" spans="1:14" x14ac:dyDescent="0.25">
      <c r="A3502" t="s">
        <v>25</v>
      </c>
      <c r="B3502" t="s">
        <v>529</v>
      </c>
      <c r="C3502" t="s">
        <v>27</v>
      </c>
      <c r="D3502" t="s">
        <v>17</v>
      </c>
      <c r="E3502" t="s">
        <v>23</v>
      </c>
      <c r="F3502" t="s">
        <v>1466</v>
      </c>
      <c r="G3502">
        <v>443544518</v>
      </c>
      <c r="H3502" t="s">
        <v>1697</v>
      </c>
      <c r="I3502">
        <v>3534</v>
      </c>
      <c r="J3502">
        <v>47.45</v>
      </c>
      <c r="K3502">
        <v>31.79</v>
      </c>
      <c r="L3502">
        <v>167688.29999999999</v>
      </c>
      <c r="M3502">
        <v>112345.86</v>
      </c>
      <c r="N3502">
        <v>55342.44</v>
      </c>
    </row>
    <row r="3503" spans="1:14" x14ac:dyDescent="0.25">
      <c r="A3503" t="s">
        <v>29</v>
      </c>
      <c r="B3503" t="s">
        <v>199</v>
      </c>
      <c r="C3503" t="s">
        <v>88</v>
      </c>
      <c r="D3503" t="s">
        <v>17</v>
      </c>
      <c r="E3503" t="s">
        <v>45</v>
      </c>
      <c r="F3503" s="1">
        <v>40883</v>
      </c>
      <c r="G3503">
        <v>908658015</v>
      </c>
      <c r="H3503" t="s">
        <v>505</v>
      </c>
      <c r="I3503">
        <v>954</v>
      </c>
      <c r="J3503">
        <v>9.33</v>
      </c>
      <c r="K3503">
        <v>6.92</v>
      </c>
      <c r="L3503">
        <v>8900.82</v>
      </c>
      <c r="M3503">
        <v>6601.68</v>
      </c>
      <c r="N3503">
        <v>2299.14</v>
      </c>
    </row>
    <row r="3504" spans="1:14" x14ac:dyDescent="0.25">
      <c r="A3504" t="s">
        <v>25</v>
      </c>
      <c r="B3504" t="s">
        <v>142</v>
      </c>
      <c r="C3504" t="s">
        <v>44</v>
      </c>
      <c r="D3504" t="s">
        <v>17</v>
      </c>
      <c r="E3504" t="s">
        <v>45</v>
      </c>
      <c r="F3504" t="s">
        <v>993</v>
      </c>
      <c r="G3504">
        <v>467138516</v>
      </c>
      <c r="H3504" s="1">
        <v>41494</v>
      </c>
      <c r="I3504">
        <v>5523</v>
      </c>
      <c r="J3504">
        <v>109.28</v>
      </c>
      <c r="K3504">
        <v>35.840000000000003</v>
      </c>
      <c r="L3504">
        <v>603553.43999999994</v>
      </c>
      <c r="M3504">
        <v>197944.32000000001</v>
      </c>
      <c r="N3504">
        <v>405609.12</v>
      </c>
    </row>
    <row r="3505" spans="1:14" x14ac:dyDescent="0.25">
      <c r="A3505" t="s">
        <v>29</v>
      </c>
      <c r="B3505" t="s">
        <v>30</v>
      </c>
      <c r="C3505" t="s">
        <v>44</v>
      </c>
      <c r="D3505" t="s">
        <v>22</v>
      </c>
      <c r="E3505" t="s">
        <v>18</v>
      </c>
      <c r="F3505" t="s">
        <v>582</v>
      </c>
      <c r="G3505">
        <v>719034850</v>
      </c>
      <c r="H3505" s="1">
        <v>42827</v>
      </c>
      <c r="I3505">
        <v>7246</v>
      </c>
      <c r="J3505">
        <v>109.28</v>
      </c>
      <c r="K3505">
        <v>35.840000000000003</v>
      </c>
      <c r="L3505">
        <v>791842.88</v>
      </c>
      <c r="M3505">
        <v>259696.64000000001</v>
      </c>
      <c r="N3505">
        <v>532146.24</v>
      </c>
    </row>
    <row r="3506" spans="1:14" x14ac:dyDescent="0.25">
      <c r="A3506" t="s">
        <v>25</v>
      </c>
      <c r="B3506" t="s">
        <v>47</v>
      </c>
      <c r="C3506" t="s">
        <v>113</v>
      </c>
      <c r="D3506" t="s">
        <v>17</v>
      </c>
      <c r="E3506" t="s">
        <v>45</v>
      </c>
      <c r="F3506" t="s">
        <v>1705</v>
      </c>
      <c r="G3506">
        <v>184708344</v>
      </c>
      <c r="H3506" s="1">
        <v>42412</v>
      </c>
      <c r="I3506">
        <v>8159</v>
      </c>
      <c r="J3506">
        <v>154.06</v>
      </c>
      <c r="K3506">
        <v>90.93</v>
      </c>
      <c r="L3506">
        <v>1256975.54</v>
      </c>
      <c r="M3506">
        <v>741897.87</v>
      </c>
      <c r="N3506">
        <v>515077.67</v>
      </c>
    </row>
    <row r="3507" spans="1:14" x14ac:dyDescent="0.25">
      <c r="A3507" t="s">
        <v>29</v>
      </c>
      <c r="B3507" t="s">
        <v>271</v>
      </c>
      <c r="C3507" t="s">
        <v>131</v>
      </c>
      <c r="D3507" t="s">
        <v>22</v>
      </c>
      <c r="E3507" t="s">
        <v>23</v>
      </c>
      <c r="F3507" s="1">
        <v>41282</v>
      </c>
      <c r="G3507">
        <v>154832828</v>
      </c>
      <c r="H3507" s="1">
        <v>41495</v>
      </c>
      <c r="I3507">
        <v>7329</v>
      </c>
      <c r="J3507">
        <v>668.27</v>
      </c>
      <c r="K3507">
        <v>502.54</v>
      </c>
      <c r="L3507">
        <v>4897750.83</v>
      </c>
      <c r="M3507">
        <v>3683115.66</v>
      </c>
      <c r="N3507">
        <v>1214635.17</v>
      </c>
    </row>
    <row r="3508" spans="1:14" x14ac:dyDescent="0.25">
      <c r="A3508" t="s">
        <v>25</v>
      </c>
      <c r="B3508" t="s">
        <v>47</v>
      </c>
      <c r="C3508" t="s">
        <v>55</v>
      </c>
      <c r="D3508" t="s">
        <v>22</v>
      </c>
      <c r="E3508" t="s">
        <v>45</v>
      </c>
      <c r="F3508" t="s">
        <v>1517</v>
      </c>
      <c r="G3508">
        <v>640394628</v>
      </c>
      <c r="H3508" s="1">
        <v>42196</v>
      </c>
      <c r="I3508">
        <v>5856</v>
      </c>
      <c r="J3508">
        <v>651.21</v>
      </c>
      <c r="K3508">
        <v>524.96</v>
      </c>
      <c r="L3508">
        <v>3813485.76</v>
      </c>
      <c r="M3508">
        <v>3074165.76</v>
      </c>
      <c r="N3508">
        <v>739320</v>
      </c>
    </row>
    <row r="3509" spans="1:14" x14ac:dyDescent="0.25">
      <c r="A3509" t="s">
        <v>42</v>
      </c>
      <c r="B3509" t="s">
        <v>103</v>
      </c>
      <c r="C3509" t="s">
        <v>44</v>
      </c>
      <c r="D3509" t="s">
        <v>17</v>
      </c>
      <c r="E3509" t="s">
        <v>32</v>
      </c>
      <c r="F3509" t="s">
        <v>758</v>
      </c>
      <c r="G3509">
        <v>822692573</v>
      </c>
      <c r="H3509" s="1">
        <v>41827</v>
      </c>
      <c r="I3509">
        <v>1869</v>
      </c>
      <c r="J3509">
        <v>109.28</v>
      </c>
      <c r="K3509">
        <v>35.840000000000003</v>
      </c>
      <c r="L3509">
        <v>204244.32</v>
      </c>
      <c r="M3509">
        <v>66984.960000000006</v>
      </c>
      <c r="N3509">
        <v>137259.35999999999</v>
      </c>
    </row>
    <row r="3510" spans="1:14" x14ac:dyDescent="0.25">
      <c r="A3510" t="s">
        <v>25</v>
      </c>
      <c r="B3510" t="s">
        <v>529</v>
      </c>
      <c r="C3510" t="s">
        <v>113</v>
      </c>
      <c r="D3510" t="s">
        <v>22</v>
      </c>
      <c r="E3510" t="s">
        <v>32</v>
      </c>
      <c r="F3510" t="s">
        <v>1438</v>
      </c>
      <c r="G3510">
        <v>403337991</v>
      </c>
      <c r="H3510" t="s">
        <v>1347</v>
      </c>
      <c r="I3510">
        <v>5529</v>
      </c>
      <c r="J3510">
        <v>154.06</v>
      </c>
      <c r="K3510">
        <v>90.93</v>
      </c>
      <c r="L3510">
        <v>851797.74</v>
      </c>
      <c r="M3510">
        <v>502751.97</v>
      </c>
      <c r="N3510">
        <v>349045.77</v>
      </c>
    </row>
    <row r="3511" spans="1:14" x14ac:dyDescent="0.25">
      <c r="A3511" t="s">
        <v>14</v>
      </c>
      <c r="B3511" t="s">
        <v>488</v>
      </c>
      <c r="C3511" t="s">
        <v>16</v>
      </c>
      <c r="D3511" t="s">
        <v>17</v>
      </c>
      <c r="E3511" t="s">
        <v>23</v>
      </c>
      <c r="F3511" t="s">
        <v>1745</v>
      </c>
      <c r="G3511">
        <v>954254710</v>
      </c>
      <c r="H3511" t="s">
        <v>1087</v>
      </c>
      <c r="I3511">
        <v>4029</v>
      </c>
      <c r="J3511">
        <v>255.28</v>
      </c>
      <c r="K3511">
        <v>159.41999999999999</v>
      </c>
      <c r="L3511">
        <v>1028523.12</v>
      </c>
      <c r="M3511">
        <v>642303.18000000005</v>
      </c>
      <c r="N3511">
        <v>386219.94</v>
      </c>
    </row>
    <row r="3512" spans="1:14" x14ac:dyDescent="0.25">
      <c r="A3512" t="s">
        <v>25</v>
      </c>
      <c r="B3512" t="s">
        <v>529</v>
      </c>
      <c r="C3512" t="s">
        <v>113</v>
      </c>
      <c r="D3512" t="s">
        <v>17</v>
      </c>
      <c r="E3512" t="s">
        <v>23</v>
      </c>
      <c r="F3512" s="1">
        <v>41336</v>
      </c>
      <c r="G3512">
        <v>967679059</v>
      </c>
      <c r="H3512" t="s">
        <v>1443</v>
      </c>
      <c r="I3512">
        <v>6592</v>
      </c>
      <c r="J3512">
        <v>154.06</v>
      </c>
      <c r="K3512">
        <v>90.93</v>
      </c>
      <c r="L3512">
        <v>1015563.52</v>
      </c>
      <c r="M3512">
        <v>599410.56000000006</v>
      </c>
      <c r="N3512">
        <v>416152.96</v>
      </c>
    </row>
    <row r="3513" spans="1:14" x14ac:dyDescent="0.25">
      <c r="A3513" t="s">
        <v>29</v>
      </c>
      <c r="B3513" t="s">
        <v>586</v>
      </c>
      <c r="C3513" t="s">
        <v>27</v>
      </c>
      <c r="D3513" t="s">
        <v>17</v>
      </c>
      <c r="E3513" t="s">
        <v>18</v>
      </c>
      <c r="F3513" s="1">
        <v>42070</v>
      </c>
      <c r="G3513">
        <v>806159865</v>
      </c>
      <c r="H3513" s="1">
        <v>42254</v>
      </c>
      <c r="I3513">
        <v>9474</v>
      </c>
      <c r="J3513">
        <v>47.45</v>
      </c>
      <c r="K3513">
        <v>31.79</v>
      </c>
      <c r="L3513">
        <v>449541.3</v>
      </c>
      <c r="M3513">
        <v>301178.46000000002</v>
      </c>
      <c r="N3513">
        <v>148362.84</v>
      </c>
    </row>
    <row r="3514" spans="1:14" x14ac:dyDescent="0.25">
      <c r="A3514" t="s">
        <v>14</v>
      </c>
      <c r="B3514" t="s">
        <v>98</v>
      </c>
      <c r="C3514" t="s">
        <v>59</v>
      </c>
      <c r="D3514" t="s">
        <v>22</v>
      </c>
      <c r="E3514" t="s">
        <v>45</v>
      </c>
      <c r="F3514" s="1">
        <v>42098</v>
      </c>
      <c r="G3514">
        <v>452558457</v>
      </c>
      <c r="H3514" t="s">
        <v>1571</v>
      </c>
      <c r="I3514">
        <v>959</v>
      </c>
      <c r="J3514">
        <v>437.2</v>
      </c>
      <c r="K3514">
        <v>263.33</v>
      </c>
      <c r="L3514">
        <v>419274.8</v>
      </c>
      <c r="M3514">
        <v>252533.47</v>
      </c>
      <c r="N3514">
        <v>166741.32999999999</v>
      </c>
    </row>
    <row r="3515" spans="1:14" x14ac:dyDescent="0.25">
      <c r="A3515" t="s">
        <v>51</v>
      </c>
      <c r="B3515" t="s">
        <v>169</v>
      </c>
      <c r="C3515" t="s">
        <v>131</v>
      </c>
      <c r="D3515" t="s">
        <v>22</v>
      </c>
      <c r="E3515" t="s">
        <v>45</v>
      </c>
      <c r="F3515" t="s">
        <v>1348</v>
      </c>
      <c r="G3515">
        <v>860048663</v>
      </c>
      <c r="H3515" t="s">
        <v>384</v>
      </c>
      <c r="I3515">
        <v>6366</v>
      </c>
      <c r="J3515">
        <v>668.27</v>
      </c>
      <c r="K3515">
        <v>502.54</v>
      </c>
      <c r="L3515">
        <v>4254206.82</v>
      </c>
      <c r="M3515">
        <v>3199169.64</v>
      </c>
      <c r="N3515">
        <v>1055037.18</v>
      </c>
    </row>
    <row r="3516" spans="1:14" x14ac:dyDescent="0.25">
      <c r="A3516" t="s">
        <v>51</v>
      </c>
      <c r="B3516" t="s">
        <v>129</v>
      </c>
      <c r="C3516" t="s">
        <v>131</v>
      </c>
      <c r="D3516" t="s">
        <v>17</v>
      </c>
      <c r="E3516" t="s">
        <v>18</v>
      </c>
      <c r="F3516" t="s">
        <v>1764</v>
      </c>
      <c r="G3516">
        <v>802116811</v>
      </c>
      <c r="H3516" t="s">
        <v>760</v>
      </c>
      <c r="I3516">
        <v>3044</v>
      </c>
      <c r="J3516">
        <v>668.27</v>
      </c>
      <c r="K3516">
        <v>502.54</v>
      </c>
      <c r="L3516">
        <v>2034213.88</v>
      </c>
      <c r="M3516">
        <v>1529731.76</v>
      </c>
      <c r="N3516">
        <v>504482.12</v>
      </c>
    </row>
    <row r="3517" spans="1:14" x14ac:dyDescent="0.25">
      <c r="A3517" t="s">
        <v>51</v>
      </c>
      <c r="B3517" t="s">
        <v>250</v>
      </c>
      <c r="C3517" t="s">
        <v>55</v>
      </c>
      <c r="D3517" t="s">
        <v>22</v>
      </c>
      <c r="E3517" t="s">
        <v>18</v>
      </c>
      <c r="F3517" t="s">
        <v>962</v>
      </c>
      <c r="G3517">
        <v>922561728</v>
      </c>
      <c r="H3517" s="1">
        <v>40674</v>
      </c>
      <c r="I3517">
        <v>5372</v>
      </c>
      <c r="J3517">
        <v>651.21</v>
      </c>
      <c r="K3517">
        <v>524.96</v>
      </c>
      <c r="L3517">
        <v>3498300.12</v>
      </c>
      <c r="M3517">
        <v>2820085.12</v>
      </c>
      <c r="N3517">
        <v>678215</v>
      </c>
    </row>
    <row r="3518" spans="1:14" x14ac:dyDescent="0.25">
      <c r="A3518" t="s">
        <v>51</v>
      </c>
      <c r="B3518" t="s">
        <v>151</v>
      </c>
      <c r="C3518" t="s">
        <v>31</v>
      </c>
      <c r="D3518" t="s">
        <v>22</v>
      </c>
      <c r="E3518" t="s">
        <v>23</v>
      </c>
      <c r="F3518" s="1">
        <v>40702</v>
      </c>
      <c r="G3518">
        <v>585494744</v>
      </c>
      <c r="H3518" t="s">
        <v>1356</v>
      </c>
      <c r="I3518">
        <v>9761</v>
      </c>
      <c r="J3518">
        <v>205.7</v>
      </c>
      <c r="K3518">
        <v>117.11</v>
      </c>
      <c r="L3518">
        <v>2007837.7</v>
      </c>
      <c r="M3518">
        <v>1143110.71</v>
      </c>
      <c r="N3518">
        <v>864726.99</v>
      </c>
    </row>
    <row r="3519" spans="1:14" x14ac:dyDescent="0.25">
      <c r="A3519" t="s">
        <v>25</v>
      </c>
      <c r="B3519" t="s">
        <v>458</v>
      </c>
      <c r="C3519" t="s">
        <v>21</v>
      </c>
      <c r="D3519" t="s">
        <v>17</v>
      </c>
      <c r="E3519" t="s">
        <v>32</v>
      </c>
      <c r="F3519" s="1">
        <v>43046</v>
      </c>
      <c r="G3519">
        <v>125339686</v>
      </c>
      <c r="H3519" t="s">
        <v>669</v>
      </c>
      <c r="I3519">
        <v>9653</v>
      </c>
      <c r="J3519">
        <v>152.58000000000001</v>
      </c>
      <c r="K3519">
        <v>97.44</v>
      </c>
      <c r="L3519">
        <v>1472854.74</v>
      </c>
      <c r="M3519">
        <v>940588.32</v>
      </c>
      <c r="N3519">
        <v>532266.42000000004</v>
      </c>
    </row>
    <row r="3520" spans="1:14" x14ac:dyDescent="0.25">
      <c r="A3520" t="s">
        <v>25</v>
      </c>
      <c r="B3520" t="s">
        <v>556</v>
      </c>
      <c r="C3520" t="s">
        <v>40</v>
      </c>
      <c r="D3520" t="s">
        <v>22</v>
      </c>
      <c r="E3520" t="s">
        <v>18</v>
      </c>
      <c r="F3520" t="s">
        <v>286</v>
      </c>
      <c r="G3520">
        <v>396832883</v>
      </c>
      <c r="H3520" t="s">
        <v>680</v>
      </c>
      <c r="I3520">
        <v>523</v>
      </c>
      <c r="J3520">
        <v>81.73</v>
      </c>
      <c r="K3520">
        <v>56.67</v>
      </c>
      <c r="L3520">
        <v>42744.79</v>
      </c>
      <c r="M3520">
        <v>29638.41</v>
      </c>
      <c r="N3520">
        <v>13106.38</v>
      </c>
    </row>
    <row r="3521" spans="1:14" x14ac:dyDescent="0.25">
      <c r="A3521" t="s">
        <v>38</v>
      </c>
      <c r="B3521" t="s">
        <v>1268</v>
      </c>
      <c r="C3521" t="s">
        <v>69</v>
      </c>
      <c r="D3521" t="s">
        <v>22</v>
      </c>
      <c r="E3521" t="s">
        <v>32</v>
      </c>
      <c r="F3521" s="1">
        <v>40483</v>
      </c>
      <c r="G3521">
        <v>525023162</v>
      </c>
      <c r="H3521" s="1">
        <v>40331</v>
      </c>
      <c r="I3521">
        <v>4876</v>
      </c>
      <c r="J3521">
        <v>421.89</v>
      </c>
      <c r="K3521">
        <v>364.69</v>
      </c>
      <c r="L3521">
        <v>2057135.64</v>
      </c>
      <c r="M3521">
        <v>1778228.44</v>
      </c>
      <c r="N3521">
        <v>278907.2</v>
      </c>
    </row>
    <row r="3522" spans="1:14" x14ac:dyDescent="0.25">
      <c r="A3522" t="s">
        <v>42</v>
      </c>
      <c r="B3522" t="s">
        <v>476</v>
      </c>
      <c r="C3522" t="s">
        <v>59</v>
      </c>
      <c r="D3522" t="s">
        <v>17</v>
      </c>
      <c r="E3522" t="s">
        <v>23</v>
      </c>
      <c r="F3522" s="1">
        <v>40917</v>
      </c>
      <c r="G3522">
        <v>155271852</v>
      </c>
      <c r="H3522" t="s">
        <v>1215</v>
      </c>
      <c r="I3522">
        <v>7246</v>
      </c>
      <c r="J3522">
        <v>437.2</v>
      </c>
      <c r="K3522">
        <v>263.33</v>
      </c>
      <c r="L3522">
        <v>3167951.2</v>
      </c>
      <c r="M3522">
        <v>1908089.18</v>
      </c>
      <c r="N3522">
        <v>1259862.02</v>
      </c>
    </row>
    <row r="3523" spans="1:14" x14ac:dyDescent="0.25">
      <c r="A3523" t="s">
        <v>14</v>
      </c>
      <c r="B3523" t="s">
        <v>627</v>
      </c>
      <c r="C3523" t="s">
        <v>40</v>
      </c>
      <c r="D3523" t="s">
        <v>22</v>
      </c>
      <c r="E3523" t="s">
        <v>18</v>
      </c>
      <c r="F3523" t="s">
        <v>1412</v>
      </c>
      <c r="G3523">
        <v>803252780</v>
      </c>
      <c r="H3523" t="s">
        <v>86</v>
      </c>
      <c r="I3523">
        <v>9202</v>
      </c>
      <c r="J3523">
        <v>81.73</v>
      </c>
      <c r="K3523">
        <v>56.67</v>
      </c>
      <c r="L3523">
        <v>752079.46</v>
      </c>
      <c r="M3523">
        <v>521477.34</v>
      </c>
      <c r="N3523">
        <v>230602.12</v>
      </c>
    </row>
    <row r="3524" spans="1:14" x14ac:dyDescent="0.25">
      <c r="A3524" t="s">
        <v>38</v>
      </c>
      <c r="B3524" t="s">
        <v>430</v>
      </c>
      <c r="C3524" t="s">
        <v>55</v>
      </c>
      <c r="D3524" t="s">
        <v>22</v>
      </c>
      <c r="E3524" t="s">
        <v>45</v>
      </c>
      <c r="F3524" s="1">
        <v>41919</v>
      </c>
      <c r="G3524">
        <v>904952275</v>
      </c>
      <c r="H3524" t="s">
        <v>1765</v>
      </c>
      <c r="I3524">
        <v>4343</v>
      </c>
      <c r="J3524">
        <v>651.21</v>
      </c>
      <c r="K3524">
        <v>524.96</v>
      </c>
      <c r="L3524">
        <v>2828205.03</v>
      </c>
      <c r="M3524">
        <v>2279901.2799999998</v>
      </c>
      <c r="N3524">
        <v>548303.75</v>
      </c>
    </row>
    <row r="3525" spans="1:14" x14ac:dyDescent="0.25">
      <c r="A3525" t="s">
        <v>38</v>
      </c>
      <c r="B3525" t="s">
        <v>49</v>
      </c>
      <c r="C3525" t="s">
        <v>113</v>
      </c>
      <c r="D3525" t="s">
        <v>22</v>
      </c>
      <c r="E3525" t="s">
        <v>18</v>
      </c>
      <c r="F3525" s="1">
        <v>42890</v>
      </c>
      <c r="G3525">
        <v>766669166</v>
      </c>
      <c r="H3525" t="s">
        <v>594</v>
      </c>
      <c r="I3525">
        <v>3298</v>
      </c>
      <c r="J3525">
        <v>154.06</v>
      </c>
      <c r="K3525">
        <v>90.93</v>
      </c>
      <c r="L3525">
        <v>508089.88</v>
      </c>
      <c r="M3525">
        <v>299887.14</v>
      </c>
      <c r="N3525">
        <v>208202.74</v>
      </c>
    </row>
    <row r="3526" spans="1:14" x14ac:dyDescent="0.25">
      <c r="A3526" t="s">
        <v>51</v>
      </c>
      <c r="B3526" t="s">
        <v>308</v>
      </c>
      <c r="C3526" t="s">
        <v>44</v>
      </c>
      <c r="D3526" t="s">
        <v>17</v>
      </c>
      <c r="E3526" t="s">
        <v>45</v>
      </c>
      <c r="F3526" s="1">
        <v>40515</v>
      </c>
      <c r="G3526">
        <v>315014779</v>
      </c>
      <c r="H3526" t="s">
        <v>749</v>
      </c>
      <c r="I3526">
        <v>8728</v>
      </c>
      <c r="J3526">
        <v>109.28</v>
      </c>
      <c r="K3526">
        <v>35.840000000000003</v>
      </c>
      <c r="L3526">
        <v>953795.84</v>
      </c>
      <c r="M3526">
        <v>312811.52000000002</v>
      </c>
      <c r="N3526">
        <v>640984.31999999995</v>
      </c>
    </row>
    <row r="3527" spans="1:14" x14ac:dyDescent="0.25">
      <c r="A3527" t="s">
        <v>51</v>
      </c>
      <c r="B3527" t="s">
        <v>350</v>
      </c>
      <c r="C3527" t="s">
        <v>113</v>
      </c>
      <c r="D3527" t="s">
        <v>22</v>
      </c>
      <c r="E3527" t="s">
        <v>32</v>
      </c>
      <c r="F3527" t="s">
        <v>400</v>
      </c>
      <c r="G3527">
        <v>446912944</v>
      </c>
      <c r="H3527" s="1">
        <v>41650</v>
      </c>
      <c r="I3527">
        <v>326</v>
      </c>
      <c r="J3527">
        <v>154.06</v>
      </c>
      <c r="K3527">
        <v>90.93</v>
      </c>
      <c r="L3527">
        <v>50223.56</v>
      </c>
      <c r="M3527">
        <v>29643.18</v>
      </c>
      <c r="N3527">
        <v>20580.38</v>
      </c>
    </row>
    <row r="3528" spans="1:14" x14ac:dyDescent="0.25">
      <c r="A3528" t="s">
        <v>51</v>
      </c>
      <c r="B3528" t="s">
        <v>578</v>
      </c>
      <c r="C3528" t="s">
        <v>113</v>
      </c>
      <c r="D3528" t="s">
        <v>17</v>
      </c>
      <c r="E3528" t="s">
        <v>23</v>
      </c>
      <c r="F3528" s="1">
        <v>42256</v>
      </c>
      <c r="G3528">
        <v>779599988</v>
      </c>
      <c r="H3528" s="1">
        <v>42257</v>
      </c>
      <c r="I3528">
        <v>9816</v>
      </c>
      <c r="J3528">
        <v>154.06</v>
      </c>
      <c r="K3528">
        <v>90.93</v>
      </c>
      <c r="L3528">
        <v>1512252.96</v>
      </c>
      <c r="M3528">
        <v>892568.88</v>
      </c>
      <c r="N3528">
        <v>619684.07999999996</v>
      </c>
    </row>
    <row r="3529" spans="1:14" x14ac:dyDescent="0.25">
      <c r="A3529" t="s">
        <v>51</v>
      </c>
      <c r="B3529" t="s">
        <v>295</v>
      </c>
      <c r="C3529" t="s">
        <v>59</v>
      </c>
      <c r="D3529" t="s">
        <v>17</v>
      </c>
      <c r="E3529" t="s">
        <v>18</v>
      </c>
      <c r="F3529" s="1">
        <v>40210</v>
      </c>
      <c r="G3529">
        <v>100624740</v>
      </c>
      <c r="H3529" t="s">
        <v>1312</v>
      </c>
      <c r="I3529">
        <v>5951</v>
      </c>
      <c r="J3529">
        <v>437.2</v>
      </c>
      <c r="K3529">
        <v>263.33</v>
      </c>
      <c r="L3529">
        <v>2601777.2000000002</v>
      </c>
      <c r="M3529">
        <v>1567076.83</v>
      </c>
      <c r="N3529">
        <v>1034700.37</v>
      </c>
    </row>
    <row r="3530" spans="1:14" x14ac:dyDescent="0.25">
      <c r="A3530" t="s">
        <v>14</v>
      </c>
      <c r="B3530" t="s">
        <v>98</v>
      </c>
      <c r="C3530" t="s">
        <v>16</v>
      </c>
      <c r="D3530" t="s">
        <v>22</v>
      </c>
      <c r="E3530" t="s">
        <v>18</v>
      </c>
      <c r="F3530" t="s">
        <v>1602</v>
      </c>
      <c r="G3530">
        <v>417848527</v>
      </c>
      <c r="H3530" s="1">
        <v>40788</v>
      </c>
      <c r="I3530">
        <v>9519</v>
      </c>
      <c r="J3530">
        <v>255.28</v>
      </c>
      <c r="K3530">
        <v>159.41999999999999</v>
      </c>
      <c r="L3530">
        <v>2430010.3199999998</v>
      </c>
      <c r="M3530">
        <v>1517518.98</v>
      </c>
      <c r="N3530">
        <v>912491.34</v>
      </c>
    </row>
    <row r="3531" spans="1:14" x14ac:dyDescent="0.25">
      <c r="A3531" t="s">
        <v>25</v>
      </c>
      <c r="B3531" t="s">
        <v>119</v>
      </c>
      <c r="C3531" t="s">
        <v>59</v>
      </c>
      <c r="D3531" t="s">
        <v>22</v>
      </c>
      <c r="E3531" t="s">
        <v>18</v>
      </c>
      <c r="F3531" t="s">
        <v>1031</v>
      </c>
      <c r="G3531">
        <v>209445178</v>
      </c>
      <c r="H3531" t="s">
        <v>1541</v>
      </c>
      <c r="I3531">
        <v>8337</v>
      </c>
      <c r="J3531">
        <v>437.2</v>
      </c>
      <c r="K3531">
        <v>263.33</v>
      </c>
      <c r="L3531">
        <v>3644936.4</v>
      </c>
      <c r="M3531">
        <v>2195382.21</v>
      </c>
      <c r="N3531">
        <v>1449554.19</v>
      </c>
    </row>
    <row r="3532" spans="1:14" x14ac:dyDescent="0.25">
      <c r="A3532" t="s">
        <v>51</v>
      </c>
      <c r="B3532" t="s">
        <v>115</v>
      </c>
      <c r="C3532" t="s">
        <v>69</v>
      </c>
      <c r="D3532" t="s">
        <v>17</v>
      </c>
      <c r="E3532" t="s">
        <v>45</v>
      </c>
      <c r="F3532" s="1">
        <v>42675</v>
      </c>
      <c r="G3532">
        <v>273901021</v>
      </c>
      <c r="H3532" s="1">
        <v>42584</v>
      </c>
      <c r="I3532">
        <v>2254</v>
      </c>
      <c r="J3532">
        <v>421.89</v>
      </c>
      <c r="K3532">
        <v>364.69</v>
      </c>
      <c r="L3532">
        <v>950940.06</v>
      </c>
      <c r="M3532">
        <v>822011.26</v>
      </c>
      <c r="N3532">
        <v>128928.8</v>
      </c>
    </row>
    <row r="3533" spans="1:14" x14ac:dyDescent="0.25">
      <c r="A3533" t="s">
        <v>14</v>
      </c>
      <c r="B3533" t="s">
        <v>372</v>
      </c>
      <c r="C3533" t="s">
        <v>88</v>
      </c>
      <c r="D3533" t="s">
        <v>17</v>
      </c>
      <c r="E3533" t="s">
        <v>23</v>
      </c>
      <c r="F3533" s="1">
        <v>40363</v>
      </c>
      <c r="G3533">
        <v>580014884</v>
      </c>
      <c r="H3533" t="s">
        <v>686</v>
      </c>
      <c r="I3533">
        <v>8148</v>
      </c>
      <c r="J3533">
        <v>9.33</v>
      </c>
      <c r="K3533">
        <v>6.92</v>
      </c>
      <c r="L3533">
        <v>76020.84</v>
      </c>
      <c r="M3533">
        <v>56384.160000000003</v>
      </c>
      <c r="N3533">
        <v>19636.68</v>
      </c>
    </row>
    <row r="3534" spans="1:14" x14ac:dyDescent="0.25">
      <c r="A3534" t="s">
        <v>51</v>
      </c>
      <c r="B3534" t="s">
        <v>129</v>
      </c>
      <c r="C3534" t="s">
        <v>88</v>
      </c>
      <c r="D3534" t="s">
        <v>22</v>
      </c>
      <c r="E3534" t="s">
        <v>45</v>
      </c>
      <c r="F3534" t="s">
        <v>1766</v>
      </c>
      <c r="G3534">
        <v>716898095</v>
      </c>
      <c r="H3534" t="s">
        <v>1765</v>
      </c>
      <c r="I3534">
        <v>4932</v>
      </c>
      <c r="J3534">
        <v>9.33</v>
      </c>
      <c r="K3534">
        <v>6.92</v>
      </c>
      <c r="L3534">
        <v>46015.56</v>
      </c>
      <c r="M3534">
        <v>34129.440000000002</v>
      </c>
      <c r="N3534">
        <v>11886.12</v>
      </c>
    </row>
    <row r="3535" spans="1:14" x14ac:dyDescent="0.25">
      <c r="A3535" t="s">
        <v>29</v>
      </c>
      <c r="B3535" t="s">
        <v>124</v>
      </c>
      <c r="C3535" t="s">
        <v>113</v>
      </c>
      <c r="D3535" t="s">
        <v>22</v>
      </c>
      <c r="E3535" t="s">
        <v>18</v>
      </c>
      <c r="F3535" t="s">
        <v>1214</v>
      </c>
      <c r="G3535">
        <v>343974483</v>
      </c>
      <c r="H3535" s="1">
        <v>41522</v>
      </c>
      <c r="I3535">
        <v>8548</v>
      </c>
      <c r="J3535">
        <v>154.06</v>
      </c>
      <c r="K3535">
        <v>90.93</v>
      </c>
      <c r="L3535">
        <v>1316904.8799999999</v>
      </c>
      <c r="M3535">
        <v>777269.64</v>
      </c>
      <c r="N3535">
        <v>539635.24</v>
      </c>
    </row>
    <row r="3536" spans="1:14" x14ac:dyDescent="0.25">
      <c r="A3536" t="s">
        <v>29</v>
      </c>
      <c r="B3536" t="s">
        <v>585</v>
      </c>
      <c r="C3536" t="s">
        <v>88</v>
      </c>
      <c r="D3536" t="s">
        <v>22</v>
      </c>
      <c r="E3536" t="s">
        <v>18</v>
      </c>
      <c r="F3536" t="s">
        <v>1051</v>
      </c>
      <c r="G3536">
        <v>540980374</v>
      </c>
      <c r="H3536" s="1">
        <v>41893</v>
      </c>
      <c r="I3536">
        <v>6969</v>
      </c>
      <c r="J3536">
        <v>9.33</v>
      </c>
      <c r="K3536">
        <v>6.92</v>
      </c>
      <c r="L3536">
        <v>65020.77</v>
      </c>
      <c r="M3536">
        <v>48225.48</v>
      </c>
      <c r="N3536">
        <v>16795.29</v>
      </c>
    </row>
    <row r="3537" spans="1:14" x14ac:dyDescent="0.25">
      <c r="A3537" t="s">
        <v>29</v>
      </c>
      <c r="B3537" t="s">
        <v>243</v>
      </c>
      <c r="C3537" t="s">
        <v>21</v>
      </c>
      <c r="D3537" t="s">
        <v>17</v>
      </c>
      <c r="E3537" t="s">
        <v>23</v>
      </c>
      <c r="F3537" t="s">
        <v>1480</v>
      </c>
      <c r="G3537">
        <v>657964599</v>
      </c>
      <c r="H3537" t="s">
        <v>1079</v>
      </c>
      <c r="I3537">
        <v>5201</v>
      </c>
      <c r="J3537">
        <v>152.58000000000001</v>
      </c>
      <c r="K3537">
        <v>97.44</v>
      </c>
      <c r="L3537">
        <v>793568.58</v>
      </c>
      <c r="M3537">
        <v>506785.44</v>
      </c>
      <c r="N3537">
        <v>286783.14</v>
      </c>
    </row>
    <row r="3538" spans="1:14" x14ac:dyDescent="0.25">
      <c r="A3538" t="s">
        <v>51</v>
      </c>
      <c r="B3538" t="s">
        <v>295</v>
      </c>
      <c r="C3538" t="s">
        <v>40</v>
      </c>
      <c r="D3538" t="s">
        <v>22</v>
      </c>
      <c r="E3538" t="s">
        <v>18</v>
      </c>
      <c r="F3538" s="1">
        <v>40912</v>
      </c>
      <c r="G3538">
        <v>565288484</v>
      </c>
      <c r="H3538" s="1">
        <v>41064</v>
      </c>
      <c r="I3538">
        <v>279</v>
      </c>
      <c r="J3538">
        <v>81.73</v>
      </c>
      <c r="K3538">
        <v>56.67</v>
      </c>
      <c r="L3538">
        <v>22802.67</v>
      </c>
      <c r="M3538">
        <v>15810.93</v>
      </c>
      <c r="N3538">
        <v>6991.74</v>
      </c>
    </row>
    <row r="3539" spans="1:14" x14ac:dyDescent="0.25">
      <c r="A3539" t="s">
        <v>51</v>
      </c>
      <c r="B3539" t="s">
        <v>169</v>
      </c>
      <c r="C3539" t="s">
        <v>31</v>
      </c>
      <c r="D3539" t="s">
        <v>22</v>
      </c>
      <c r="E3539" t="s">
        <v>23</v>
      </c>
      <c r="F3539" t="s">
        <v>249</v>
      </c>
      <c r="G3539">
        <v>203625857</v>
      </c>
      <c r="H3539" s="1">
        <v>40605</v>
      </c>
      <c r="I3539">
        <v>6271</v>
      </c>
      <c r="J3539">
        <v>205.7</v>
      </c>
      <c r="K3539">
        <v>117.11</v>
      </c>
      <c r="L3539">
        <v>1289944.7</v>
      </c>
      <c r="M3539">
        <v>734396.81</v>
      </c>
      <c r="N3539">
        <v>555547.89</v>
      </c>
    </row>
    <row r="3540" spans="1:14" x14ac:dyDescent="0.25">
      <c r="A3540" t="s">
        <v>25</v>
      </c>
      <c r="B3540" t="s">
        <v>119</v>
      </c>
      <c r="C3540" t="s">
        <v>44</v>
      </c>
      <c r="D3540" t="s">
        <v>22</v>
      </c>
      <c r="E3540" t="s">
        <v>18</v>
      </c>
      <c r="F3540" t="s">
        <v>291</v>
      </c>
      <c r="G3540">
        <v>933963048</v>
      </c>
      <c r="H3540" t="s">
        <v>1389</v>
      </c>
      <c r="I3540">
        <v>9275</v>
      </c>
      <c r="J3540">
        <v>109.28</v>
      </c>
      <c r="K3540">
        <v>35.840000000000003</v>
      </c>
      <c r="L3540">
        <v>1013572</v>
      </c>
      <c r="M3540">
        <v>332416</v>
      </c>
      <c r="N3540">
        <v>681156</v>
      </c>
    </row>
    <row r="3541" spans="1:14" x14ac:dyDescent="0.25">
      <c r="A3541" t="s">
        <v>25</v>
      </c>
      <c r="B3541" t="s">
        <v>462</v>
      </c>
      <c r="C3541" t="s">
        <v>31</v>
      </c>
      <c r="D3541" t="s">
        <v>17</v>
      </c>
      <c r="E3541" t="s">
        <v>45</v>
      </c>
      <c r="F3541" s="1">
        <v>42129</v>
      </c>
      <c r="G3541">
        <v>587598884</v>
      </c>
      <c r="H3541" t="s">
        <v>1761</v>
      </c>
      <c r="I3541">
        <v>2422</v>
      </c>
      <c r="J3541">
        <v>205.7</v>
      </c>
      <c r="K3541">
        <v>117.11</v>
      </c>
      <c r="L3541">
        <v>498205.4</v>
      </c>
      <c r="M3541">
        <v>283640.42</v>
      </c>
      <c r="N3541">
        <v>214564.98</v>
      </c>
    </row>
    <row r="3542" spans="1:14" x14ac:dyDescent="0.25">
      <c r="A3542" t="s">
        <v>29</v>
      </c>
      <c r="B3542" t="s">
        <v>619</v>
      </c>
      <c r="C3542" t="s">
        <v>88</v>
      </c>
      <c r="D3542" t="s">
        <v>17</v>
      </c>
      <c r="E3542" t="s">
        <v>23</v>
      </c>
      <c r="F3542" t="s">
        <v>1568</v>
      </c>
      <c r="G3542">
        <v>216144692</v>
      </c>
      <c r="H3542" t="s">
        <v>340</v>
      </c>
      <c r="I3542">
        <v>873</v>
      </c>
      <c r="J3542">
        <v>9.33</v>
      </c>
      <c r="K3542">
        <v>6.92</v>
      </c>
      <c r="L3542">
        <v>8145.09</v>
      </c>
      <c r="M3542">
        <v>6041.16</v>
      </c>
      <c r="N3542">
        <v>2103.9299999999998</v>
      </c>
    </row>
    <row r="3543" spans="1:14" x14ac:dyDescent="0.25">
      <c r="A3543" t="s">
        <v>25</v>
      </c>
      <c r="B3543" t="s">
        <v>615</v>
      </c>
      <c r="C3543" t="s">
        <v>40</v>
      </c>
      <c r="D3543" t="s">
        <v>17</v>
      </c>
      <c r="E3543" t="s">
        <v>23</v>
      </c>
      <c r="F3543" s="1">
        <v>41708</v>
      </c>
      <c r="G3543">
        <v>941524302</v>
      </c>
      <c r="H3543" s="1">
        <v>41892</v>
      </c>
      <c r="I3543">
        <v>6819</v>
      </c>
      <c r="J3543">
        <v>81.73</v>
      </c>
      <c r="K3543">
        <v>56.67</v>
      </c>
      <c r="L3543">
        <v>557316.87</v>
      </c>
      <c r="M3543">
        <v>386432.73</v>
      </c>
      <c r="N3543">
        <v>170884.14</v>
      </c>
    </row>
    <row r="3544" spans="1:14" x14ac:dyDescent="0.25">
      <c r="A3544" t="s">
        <v>25</v>
      </c>
      <c r="B3544" t="s">
        <v>303</v>
      </c>
      <c r="C3544" t="s">
        <v>59</v>
      </c>
      <c r="D3544" t="s">
        <v>22</v>
      </c>
      <c r="E3544" t="s">
        <v>18</v>
      </c>
      <c r="F3544" t="s">
        <v>822</v>
      </c>
      <c r="G3544">
        <v>805974042</v>
      </c>
      <c r="H3544" t="s">
        <v>1603</v>
      </c>
      <c r="I3544">
        <v>4484</v>
      </c>
      <c r="J3544">
        <v>437.2</v>
      </c>
      <c r="K3544">
        <v>263.33</v>
      </c>
      <c r="L3544">
        <v>1960404.8</v>
      </c>
      <c r="M3544">
        <v>1180771.72</v>
      </c>
      <c r="N3544">
        <v>779633.08</v>
      </c>
    </row>
    <row r="3545" spans="1:14" x14ac:dyDescent="0.25">
      <c r="A3545" t="s">
        <v>29</v>
      </c>
      <c r="B3545" t="s">
        <v>323</v>
      </c>
      <c r="C3545" t="s">
        <v>59</v>
      </c>
      <c r="D3545" t="s">
        <v>17</v>
      </c>
      <c r="E3545" t="s">
        <v>45</v>
      </c>
      <c r="F3545" s="1">
        <v>40577</v>
      </c>
      <c r="G3545">
        <v>622042739</v>
      </c>
      <c r="H3545" t="s">
        <v>46</v>
      </c>
      <c r="I3545">
        <v>5124</v>
      </c>
      <c r="J3545">
        <v>437.2</v>
      </c>
      <c r="K3545">
        <v>263.33</v>
      </c>
      <c r="L3545">
        <v>2240212.7999999998</v>
      </c>
      <c r="M3545">
        <v>1349302.92</v>
      </c>
      <c r="N3545">
        <v>890909.88</v>
      </c>
    </row>
    <row r="3546" spans="1:14" x14ac:dyDescent="0.25">
      <c r="A3546" t="s">
        <v>51</v>
      </c>
      <c r="B3546" t="s">
        <v>108</v>
      </c>
      <c r="C3546" t="s">
        <v>55</v>
      </c>
      <c r="D3546" t="s">
        <v>17</v>
      </c>
      <c r="E3546" t="s">
        <v>32</v>
      </c>
      <c r="F3546" t="s">
        <v>967</v>
      </c>
      <c r="G3546">
        <v>822591722</v>
      </c>
      <c r="H3546" s="1">
        <v>40246</v>
      </c>
      <c r="I3546">
        <v>2025</v>
      </c>
      <c r="J3546">
        <v>651.21</v>
      </c>
      <c r="K3546">
        <v>524.96</v>
      </c>
      <c r="L3546">
        <v>1318700.25</v>
      </c>
      <c r="M3546">
        <v>1063044</v>
      </c>
      <c r="N3546">
        <v>255656.25</v>
      </c>
    </row>
    <row r="3547" spans="1:14" x14ac:dyDescent="0.25">
      <c r="A3547" t="s">
        <v>42</v>
      </c>
      <c r="B3547" t="s">
        <v>552</v>
      </c>
      <c r="C3547" t="s">
        <v>31</v>
      </c>
      <c r="D3547" t="s">
        <v>17</v>
      </c>
      <c r="E3547" t="s">
        <v>18</v>
      </c>
      <c r="F3547" s="1">
        <v>42166</v>
      </c>
      <c r="G3547">
        <v>110794818</v>
      </c>
      <c r="H3547" t="s">
        <v>1323</v>
      </c>
      <c r="I3547">
        <v>5504</v>
      </c>
      <c r="J3547">
        <v>205.7</v>
      </c>
      <c r="K3547">
        <v>117.11</v>
      </c>
      <c r="L3547">
        <v>1132172.8</v>
      </c>
      <c r="M3547">
        <v>644573.43999999994</v>
      </c>
      <c r="N3547">
        <v>487599.35999999999</v>
      </c>
    </row>
    <row r="3548" spans="1:14" x14ac:dyDescent="0.25">
      <c r="A3548" t="s">
        <v>42</v>
      </c>
      <c r="B3548" t="s">
        <v>630</v>
      </c>
      <c r="C3548" t="s">
        <v>44</v>
      </c>
      <c r="D3548" t="s">
        <v>22</v>
      </c>
      <c r="E3548" t="s">
        <v>45</v>
      </c>
      <c r="F3548" t="s">
        <v>1767</v>
      </c>
      <c r="G3548">
        <v>410138356</v>
      </c>
      <c r="H3548" s="1">
        <v>40212</v>
      </c>
      <c r="I3548">
        <v>7909</v>
      </c>
      <c r="J3548">
        <v>109.28</v>
      </c>
      <c r="K3548">
        <v>35.840000000000003</v>
      </c>
      <c r="L3548">
        <v>864295.52</v>
      </c>
      <c r="M3548">
        <v>283458.56</v>
      </c>
      <c r="N3548">
        <v>580836.96</v>
      </c>
    </row>
    <row r="3549" spans="1:14" x14ac:dyDescent="0.25">
      <c r="A3549" t="s">
        <v>14</v>
      </c>
      <c r="B3549" t="s">
        <v>372</v>
      </c>
      <c r="C3549" t="s">
        <v>113</v>
      </c>
      <c r="D3549" t="s">
        <v>22</v>
      </c>
      <c r="E3549" t="s">
        <v>32</v>
      </c>
      <c r="F3549" s="1">
        <v>40583</v>
      </c>
      <c r="G3549">
        <v>114421164</v>
      </c>
      <c r="H3549" t="s">
        <v>999</v>
      </c>
      <c r="I3549">
        <v>8620</v>
      </c>
      <c r="J3549">
        <v>154.06</v>
      </c>
      <c r="K3549">
        <v>90.93</v>
      </c>
      <c r="L3549">
        <v>1327997.2</v>
      </c>
      <c r="M3549">
        <v>783816.6</v>
      </c>
      <c r="N3549">
        <v>544180.6</v>
      </c>
    </row>
    <row r="3550" spans="1:14" x14ac:dyDescent="0.25">
      <c r="A3550" t="s">
        <v>14</v>
      </c>
      <c r="B3550" t="s">
        <v>433</v>
      </c>
      <c r="C3550" t="s">
        <v>69</v>
      </c>
      <c r="D3550" t="s">
        <v>17</v>
      </c>
      <c r="E3550" t="s">
        <v>23</v>
      </c>
      <c r="F3550" t="s">
        <v>1226</v>
      </c>
      <c r="G3550">
        <v>837754571</v>
      </c>
      <c r="H3550" s="1">
        <v>42772</v>
      </c>
      <c r="I3550">
        <v>9049</v>
      </c>
      <c r="J3550">
        <v>421.89</v>
      </c>
      <c r="K3550">
        <v>364.69</v>
      </c>
      <c r="L3550">
        <v>3817682.61</v>
      </c>
      <c r="M3550">
        <v>3300079.81</v>
      </c>
      <c r="N3550">
        <v>517602.8</v>
      </c>
    </row>
    <row r="3551" spans="1:14" x14ac:dyDescent="0.25">
      <c r="A3551" t="s">
        <v>29</v>
      </c>
      <c r="B3551" t="s">
        <v>315</v>
      </c>
      <c r="C3551" t="s">
        <v>21</v>
      </c>
      <c r="D3551" t="s">
        <v>22</v>
      </c>
      <c r="E3551" t="s">
        <v>32</v>
      </c>
      <c r="F3551" s="1">
        <v>41495</v>
      </c>
      <c r="G3551">
        <v>664562404</v>
      </c>
      <c r="H3551" t="s">
        <v>636</v>
      </c>
      <c r="I3551">
        <v>7638</v>
      </c>
      <c r="J3551">
        <v>152.58000000000001</v>
      </c>
      <c r="K3551">
        <v>97.44</v>
      </c>
      <c r="L3551">
        <v>1165406.04</v>
      </c>
      <c r="M3551">
        <v>744246.72</v>
      </c>
      <c r="N3551">
        <v>421159.32</v>
      </c>
    </row>
    <row r="3552" spans="1:14" x14ac:dyDescent="0.25">
      <c r="A3552" t="s">
        <v>51</v>
      </c>
      <c r="B3552" t="s">
        <v>295</v>
      </c>
      <c r="C3552" t="s">
        <v>44</v>
      </c>
      <c r="D3552" t="s">
        <v>17</v>
      </c>
      <c r="E3552" t="s">
        <v>23</v>
      </c>
      <c r="F3552" s="1">
        <v>40369</v>
      </c>
      <c r="G3552">
        <v>899580991</v>
      </c>
      <c r="H3552" s="1">
        <v>40401</v>
      </c>
      <c r="I3552">
        <v>4861</v>
      </c>
      <c r="J3552">
        <v>109.28</v>
      </c>
      <c r="K3552">
        <v>35.840000000000003</v>
      </c>
      <c r="L3552">
        <v>531210.07999999996</v>
      </c>
      <c r="M3552">
        <v>174218.23999999999</v>
      </c>
      <c r="N3552">
        <v>356991.84</v>
      </c>
    </row>
    <row r="3553" spans="1:14" x14ac:dyDescent="0.25">
      <c r="A3553" t="s">
        <v>25</v>
      </c>
      <c r="B3553" t="s">
        <v>87</v>
      </c>
      <c r="C3553" t="s">
        <v>27</v>
      </c>
      <c r="D3553" t="s">
        <v>22</v>
      </c>
      <c r="E3553" t="s">
        <v>32</v>
      </c>
      <c r="F3553" t="s">
        <v>1023</v>
      </c>
      <c r="G3553">
        <v>217859160</v>
      </c>
      <c r="H3553" s="1">
        <v>42493</v>
      </c>
      <c r="I3553">
        <v>8222</v>
      </c>
      <c r="J3553">
        <v>47.45</v>
      </c>
      <c r="K3553">
        <v>31.79</v>
      </c>
      <c r="L3553">
        <v>390133.9</v>
      </c>
      <c r="M3553">
        <v>261377.38</v>
      </c>
      <c r="N3553">
        <v>128756.52</v>
      </c>
    </row>
    <row r="3554" spans="1:14" x14ac:dyDescent="0.25">
      <c r="A3554" t="s">
        <v>51</v>
      </c>
      <c r="B3554" t="s">
        <v>420</v>
      </c>
      <c r="C3554" t="s">
        <v>69</v>
      </c>
      <c r="D3554" t="s">
        <v>17</v>
      </c>
      <c r="E3554" t="s">
        <v>32</v>
      </c>
      <c r="F3554" t="s">
        <v>1261</v>
      </c>
      <c r="G3554">
        <v>514758241</v>
      </c>
      <c r="H3554" t="s">
        <v>936</v>
      </c>
      <c r="I3554">
        <v>7257</v>
      </c>
      <c r="J3554">
        <v>421.89</v>
      </c>
      <c r="K3554">
        <v>364.69</v>
      </c>
      <c r="L3554">
        <v>3061655.73</v>
      </c>
      <c r="M3554">
        <v>2646555.33</v>
      </c>
      <c r="N3554">
        <v>415100.4</v>
      </c>
    </row>
    <row r="3555" spans="1:14" x14ac:dyDescent="0.25">
      <c r="A3555" t="s">
        <v>42</v>
      </c>
      <c r="B3555" t="s">
        <v>290</v>
      </c>
      <c r="C3555" t="s">
        <v>27</v>
      </c>
      <c r="D3555" t="s">
        <v>17</v>
      </c>
      <c r="E3555" t="s">
        <v>18</v>
      </c>
      <c r="F3555" t="s">
        <v>1700</v>
      </c>
      <c r="G3555">
        <v>155952060</v>
      </c>
      <c r="H3555" s="1">
        <v>42159</v>
      </c>
      <c r="I3555">
        <v>8535</v>
      </c>
      <c r="J3555">
        <v>47.45</v>
      </c>
      <c r="K3555">
        <v>31.79</v>
      </c>
      <c r="L3555">
        <v>404985.75</v>
      </c>
      <c r="M3555">
        <v>271327.65000000002</v>
      </c>
      <c r="N3555">
        <v>133658.1</v>
      </c>
    </row>
    <row r="3556" spans="1:14" x14ac:dyDescent="0.25">
      <c r="A3556" t="s">
        <v>25</v>
      </c>
      <c r="B3556" t="s">
        <v>529</v>
      </c>
      <c r="C3556" t="s">
        <v>113</v>
      </c>
      <c r="D3556" t="s">
        <v>22</v>
      </c>
      <c r="E3556" t="s">
        <v>32</v>
      </c>
      <c r="F3556" t="s">
        <v>511</v>
      </c>
      <c r="G3556">
        <v>727426946</v>
      </c>
      <c r="H3556" s="1">
        <v>41700</v>
      </c>
      <c r="I3556">
        <v>653</v>
      </c>
      <c r="J3556">
        <v>154.06</v>
      </c>
      <c r="K3556">
        <v>90.93</v>
      </c>
      <c r="L3556">
        <v>100601.18</v>
      </c>
      <c r="M3556">
        <v>59377.29</v>
      </c>
      <c r="N3556">
        <v>41223.89</v>
      </c>
    </row>
    <row r="3557" spans="1:14" x14ac:dyDescent="0.25">
      <c r="A3557" t="s">
        <v>14</v>
      </c>
      <c r="B3557" t="s">
        <v>64</v>
      </c>
      <c r="C3557" t="s">
        <v>16</v>
      </c>
      <c r="D3557" t="s">
        <v>17</v>
      </c>
      <c r="E3557" t="s">
        <v>18</v>
      </c>
      <c r="F3557" t="s">
        <v>1673</v>
      </c>
      <c r="G3557">
        <v>285481727</v>
      </c>
      <c r="H3557" t="s">
        <v>588</v>
      </c>
      <c r="I3557">
        <v>9242</v>
      </c>
      <c r="J3557">
        <v>255.28</v>
      </c>
      <c r="K3557">
        <v>159.41999999999999</v>
      </c>
      <c r="L3557">
        <v>2359297.7599999998</v>
      </c>
      <c r="M3557">
        <v>1473359.64</v>
      </c>
      <c r="N3557">
        <v>885938.12</v>
      </c>
    </row>
    <row r="3558" spans="1:14" x14ac:dyDescent="0.25">
      <c r="A3558" t="s">
        <v>51</v>
      </c>
      <c r="B3558" t="s">
        <v>502</v>
      </c>
      <c r="C3558" t="s">
        <v>44</v>
      </c>
      <c r="D3558" t="s">
        <v>17</v>
      </c>
      <c r="E3558" t="s">
        <v>23</v>
      </c>
      <c r="F3558" t="s">
        <v>1363</v>
      </c>
      <c r="G3558">
        <v>106727731</v>
      </c>
      <c r="H3558" s="1">
        <v>41033</v>
      </c>
      <c r="I3558">
        <v>1962</v>
      </c>
      <c r="J3558">
        <v>109.28</v>
      </c>
      <c r="K3558">
        <v>35.840000000000003</v>
      </c>
      <c r="L3558">
        <v>214407.36</v>
      </c>
      <c r="M3558">
        <v>70318.080000000002</v>
      </c>
      <c r="N3558">
        <v>144089.28</v>
      </c>
    </row>
    <row r="3559" spans="1:14" x14ac:dyDescent="0.25">
      <c r="A3559" t="s">
        <v>38</v>
      </c>
      <c r="B3559" t="s">
        <v>1268</v>
      </c>
      <c r="C3559" t="s">
        <v>44</v>
      </c>
      <c r="D3559" t="s">
        <v>22</v>
      </c>
      <c r="E3559" t="s">
        <v>32</v>
      </c>
      <c r="F3559" s="1">
        <v>40586</v>
      </c>
      <c r="G3559">
        <v>638088786</v>
      </c>
      <c r="H3559" t="s">
        <v>296</v>
      </c>
      <c r="I3559">
        <v>3506</v>
      </c>
      <c r="J3559">
        <v>109.28</v>
      </c>
      <c r="K3559">
        <v>35.840000000000003</v>
      </c>
      <c r="L3559">
        <v>383135.68</v>
      </c>
      <c r="M3559">
        <v>125655.03999999999</v>
      </c>
      <c r="N3559">
        <v>257480.64</v>
      </c>
    </row>
    <row r="3560" spans="1:14" x14ac:dyDescent="0.25">
      <c r="A3560" t="s">
        <v>51</v>
      </c>
      <c r="B3560" t="s">
        <v>100</v>
      </c>
      <c r="C3560" t="s">
        <v>21</v>
      </c>
      <c r="D3560" t="s">
        <v>22</v>
      </c>
      <c r="E3560" t="s">
        <v>18</v>
      </c>
      <c r="F3560" s="1">
        <v>40760</v>
      </c>
      <c r="G3560">
        <v>146801221</v>
      </c>
      <c r="H3560" t="s">
        <v>1616</v>
      </c>
      <c r="I3560">
        <v>598</v>
      </c>
      <c r="J3560">
        <v>152.58000000000001</v>
      </c>
      <c r="K3560">
        <v>97.44</v>
      </c>
      <c r="L3560">
        <v>91242.84</v>
      </c>
      <c r="M3560">
        <v>58269.120000000003</v>
      </c>
      <c r="N3560">
        <v>32973.72</v>
      </c>
    </row>
    <row r="3561" spans="1:14" x14ac:dyDescent="0.25">
      <c r="A3561" t="s">
        <v>42</v>
      </c>
      <c r="B3561" t="s">
        <v>476</v>
      </c>
      <c r="C3561" t="s">
        <v>21</v>
      </c>
      <c r="D3561" t="s">
        <v>22</v>
      </c>
      <c r="E3561" t="s">
        <v>32</v>
      </c>
      <c r="F3561" t="s">
        <v>1623</v>
      </c>
      <c r="G3561">
        <v>570413863</v>
      </c>
      <c r="H3561" t="s">
        <v>607</v>
      </c>
      <c r="I3561">
        <v>6993</v>
      </c>
      <c r="J3561">
        <v>152.58000000000001</v>
      </c>
      <c r="K3561">
        <v>97.44</v>
      </c>
      <c r="L3561">
        <v>1066991.94</v>
      </c>
      <c r="M3561">
        <v>681397.92</v>
      </c>
      <c r="N3561">
        <v>385594.02</v>
      </c>
    </row>
    <row r="3562" spans="1:14" x14ac:dyDescent="0.25">
      <c r="A3562" t="s">
        <v>38</v>
      </c>
      <c r="B3562" t="s">
        <v>430</v>
      </c>
      <c r="C3562" t="s">
        <v>55</v>
      </c>
      <c r="D3562" t="s">
        <v>22</v>
      </c>
      <c r="E3562" t="s">
        <v>32</v>
      </c>
      <c r="F3562" t="s">
        <v>422</v>
      </c>
      <c r="G3562">
        <v>766788041</v>
      </c>
      <c r="H3562" t="s">
        <v>1768</v>
      </c>
      <c r="I3562">
        <v>8476</v>
      </c>
      <c r="J3562">
        <v>651.21</v>
      </c>
      <c r="K3562">
        <v>524.96</v>
      </c>
      <c r="L3562">
        <v>5519655.96</v>
      </c>
      <c r="M3562">
        <v>4449560.96</v>
      </c>
      <c r="N3562">
        <v>1070095</v>
      </c>
    </row>
    <row r="3563" spans="1:14" x14ac:dyDescent="0.25">
      <c r="A3563" t="s">
        <v>38</v>
      </c>
      <c r="B3563" t="s">
        <v>58</v>
      </c>
      <c r="C3563" t="s">
        <v>55</v>
      </c>
      <c r="D3563" t="s">
        <v>17</v>
      </c>
      <c r="E3563" t="s">
        <v>32</v>
      </c>
      <c r="F3563" t="s">
        <v>812</v>
      </c>
      <c r="G3563">
        <v>564097583</v>
      </c>
      <c r="H3563" s="1">
        <v>40221</v>
      </c>
      <c r="I3563">
        <v>7865</v>
      </c>
      <c r="J3563">
        <v>651.21</v>
      </c>
      <c r="K3563">
        <v>524.96</v>
      </c>
      <c r="L3563">
        <v>5121766.6500000004</v>
      </c>
      <c r="M3563">
        <v>4128810.4</v>
      </c>
      <c r="N3563">
        <v>992956.25</v>
      </c>
    </row>
    <row r="3564" spans="1:14" x14ac:dyDescent="0.25">
      <c r="A3564" t="s">
        <v>51</v>
      </c>
      <c r="B3564" t="s">
        <v>151</v>
      </c>
      <c r="C3564" t="s">
        <v>113</v>
      </c>
      <c r="D3564" t="s">
        <v>17</v>
      </c>
      <c r="E3564" t="s">
        <v>45</v>
      </c>
      <c r="F3564" t="s">
        <v>1310</v>
      </c>
      <c r="G3564">
        <v>310828816</v>
      </c>
      <c r="H3564" t="s">
        <v>1507</v>
      </c>
      <c r="I3564">
        <v>9</v>
      </c>
      <c r="J3564">
        <v>154.06</v>
      </c>
      <c r="K3564">
        <v>90.93</v>
      </c>
      <c r="L3564">
        <v>1386.54</v>
      </c>
      <c r="M3564">
        <v>818.37</v>
      </c>
      <c r="N3564">
        <v>568.16999999999996</v>
      </c>
    </row>
    <row r="3565" spans="1:14" x14ac:dyDescent="0.25">
      <c r="A3565" t="s">
        <v>51</v>
      </c>
      <c r="B3565" t="s">
        <v>250</v>
      </c>
      <c r="C3565" t="s">
        <v>131</v>
      </c>
      <c r="D3565" t="s">
        <v>17</v>
      </c>
      <c r="E3565" t="s">
        <v>32</v>
      </c>
      <c r="F3565" s="1">
        <v>42320</v>
      </c>
      <c r="G3565">
        <v>425780570</v>
      </c>
      <c r="H3565" t="s">
        <v>1769</v>
      </c>
      <c r="I3565">
        <v>6787</v>
      </c>
      <c r="J3565">
        <v>668.27</v>
      </c>
      <c r="K3565">
        <v>502.54</v>
      </c>
      <c r="L3565">
        <v>4535548.49</v>
      </c>
      <c r="M3565">
        <v>3410738.98</v>
      </c>
      <c r="N3565">
        <v>1124809.51</v>
      </c>
    </row>
    <row r="3566" spans="1:14" x14ac:dyDescent="0.25">
      <c r="A3566" t="s">
        <v>29</v>
      </c>
      <c r="B3566" t="s">
        <v>35</v>
      </c>
      <c r="C3566" t="s">
        <v>21</v>
      </c>
      <c r="D3566" t="s">
        <v>22</v>
      </c>
      <c r="E3566" t="s">
        <v>45</v>
      </c>
      <c r="F3566" s="1">
        <v>41100</v>
      </c>
      <c r="G3566">
        <v>948064172</v>
      </c>
      <c r="H3566" t="s">
        <v>1232</v>
      </c>
      <c r="I3566">
        <v>2111</v>
      </c>
      <c r="J3566">
        <v>152.58000000000001</v>
      </c>
      <c r="K3566">
        <v>97.44</v>
      </c>
      <c r="L3566">
        <v>322096.38</v>
      </c>
      <c r="M3566">
        <v>205695.84</v>
      </c>
      <c r="N3566">
        <v>116400.54</v>
      </c>
    </row>
    <row r="3567" spans="1:14" x14ac:dyDescent="0.25">
      <c r="A3567" t="s">
        <v>25</v>
      </c>
      <c r="B3567" t="s">
        <v>140</v>
      </c>
      <c r="C3567" t="s">
        <v>88</v>
      </c>
      <c r="D3567" t="s">
        <v>22</v>
      </c>
      <c r="E3567" t="s">
        <v>18</v>
      </c>
      <c r="F3567" s="1">
        <v>40638</v>
      </c>
      <c r="G3567">
        <v>187103450</v>
      </c>
      <c r="H3567" t="s">
        <v>1134</v>
      </c>
      <c r="I3567">
        <v>6924</v>
      </c>
      <c r="J3567">
        <v>9.33</v>
      </c>
      <c r="K3567">
        <v>6.92</v>
      </c>
      <c r="L3567">
        <v>64600.92</v>
      </c>
      <c r="M3567">
        <v>47914.080000000002</v>
      </c>
      <c r="N3567">
        <v>16686.84</v>
      </c>
    </row>
    <row r="3568" spans="1:14" x14ac:dyDescent="0.25">
      <c r="A3568" t="s">
        <v>25</v>
      </c>
      <c r="B3568" t="s">
        <v>752</v>
      </c>
      <c r="C3568" t="s">
        <v>31</v>
      </c>
      <c r="D3568" t="s">
        <v>17</v>
      </c>
      <c r="E3568" t="s">
        <v>45</v>
      </c>
      <c r="F3568" t="s">
        <v>1770</v>
      </c>
      <c r="G3568">
        <v>572634732</v>
      </c>
      <c r="H3568" s="1">
        <v>42373</v>
      </c>
      <c r="I3568">
        <v>4197</v>
      </c>
      <c r="J3568">
        <v>205.7</v>
      </c>
      <c r="K3568">
        <v>117.11</v>
      </c>
      <c r="L3568">
        <v>863322.9</v>
      </c>
      <c r="M3568">
        <v>491510.67</v>
      </c>
      <c r="N3568">
        <v>371812.23</v>
      </c>
    </row>
    <row r="3569" spans="1:14" x14ac:dyDescent="0.25">
      <c r="A3569" t="s">
        <v>38</v>
      </c>
      <c r="B3569" t="s">
        <v>156</v>
      </c>
      <c r="C3569" t="s">
        <v>131</v>
      </c>
      <c r="D3569" t="s">
        <v>17</v>
      </c>
      <c r="E3569" t="s">
        <v>45</v>
      </c>
      <c r="F3569" s="1">
        <v>41913</v>
      </c>
      <c r="G3569">
        <v>104706847</v>
      </c>
      <c r="H3569" s="1">
        <v>41822</v>
      </c>
      <c r="I3569">
        <v>3938</v>
      </c>
      <c r="J3569">
        <v>668.27</v>
      </c>
      <c r="K3569">
        <v>502.54</v>
      </c>
      <c r="L3569">
        <v>2631647.2599999998</v>
      </c>
      <c r="M3569">
        <v>1979002.52</v>
      </c>
      <c r="N3569">
        <v>652644.74</v>
      </c>
    </row>
    <row r="3570" spans="1:14" x14ac:dyDescent="0.25">
      <c r="A3570" t="s">
        <v>29</v>
      </c>
      <c r="B3570" t="s">
        <v>586</v>
      </c>
      <c r="C3570" t="s">
        <v>16</v>
      </c>
      <c r="D3570" t="s">
        <v>17</v>
      </c>
      <c r="E3570" t="s">
        <v>23</v>
      </c>
      <c r="F3570" t="s">
        <v>626</v>
      </c>
      <c r="G3570">
        <v>903681123</v>
      </c>
      <c r="H3570" t="s">
        <v>245</v>
      </c>
      <c r="I3570">
        <v>8181</v>
      </c>
      <c r="J3570">
        <v>255.28</v>
      </c>
      <c r="K3570">
        <v>159.41999999999999</v>
      </c>
      <c r="L3570">
        <v>2088445.68</v>
      </c>
      <c r="M3570">
        <v>1304215.02</v>
      </c>
      <c r="N3570">
        <v>784230.66</v>
      </c>
    </row>
    <row r="3571" spans="1:14" x14ac:dyDescent="0.25">
      <c r="A3571" t="s">
        <v>51</v>
      </c>
      <c r="B3571" t="s">
        <v>274</v>
      </c>
      <c r="C3571" t="s">
        <v>113</v>
      </c>
      <c r="D3571" t="s">
        <v>17</v>
      </c>
      <c r="E3571" t="s">
        <v>32</v>
      </c>
      <c r="F3571" t="s">
        <v>200</v>
      </c>
      <c r="G3571">
        <v>660231387</v>
      </c>
      <c r="H3571" t="s">
        <v>689</v>
      </c>
      <c r="I3571">
        <v>5994</v>
      </c>
      <c r="J3571">
        <v>154.06</v>
      </c>
      <c r="K3571">
        <v>90.93</v>
      </c>
      <c r="L3571">
        <v>923435.64</v>
      </c>
      <c r="M3571">
        <v>545034.42000000004</v>
      </c>
      <c r="N3571">
        <v>378401.22</v>
      </c>
    </row>
    <row r="3572" spans="1:14" x14ac:dyDescent="0.25">
      <c r="A3572" t="s">
        <v>25</v>
      </c>
      <c r="B3572" t="s">
        <v>204</v>
      </c>
      <c r="C3572" t="s">
        <v>113</v>
      </c>
      <c r="D3572" t="s">
        <v>17</v>
      </c>
      <c r="E3572" t="s">
        <v>23</v>
      </c>
      <c r="F3572" t="s">
        <v>1362</v>
      </c>
      <c r="G3572">
        <v>285343968</v>
      </c>
      <c r="H3572" s="1">
        <v>41768</v>
      </c>
      <c r="I3572">
        <v>8476</v>
      </c>
      <c r="J3572">
        <v>154.06</v>
      </c>
      <c r="K3572">
        <v>90.93</v>
      </c>
      <c r="L3572">
        <v>1305812.56</v>
      </c>
      <c r="M3572">
        <v>770722.68</v>
      </c>
      <c r="N3572">
        <v>535089.88</v>
      </c>
    </row>
    <row r="3573" spans="1:14" x14ac:dyDescent="0.25">
      <c r="A3573" t="s">
        <v>42</v>
      </c>
      <c r="B3573" t="s">
        <v>103</v>
      </c>
      <c r="C3573" t="s">
        <v>31</v>
      </c>
      <c r="D3573" t="s">
        <v>17</v>
      </c>
      <c r="E3573" t="s">
        <v>32</v>
      </c>
      <c r="F3573" s="1">
        <v>41250</v>
      </c>
      <c r="G3573">
        <v>760317695</v>
      </c>
      <c r="H3573" t="s">
        <v>1485</v>
      </c>
      <c r="I3573">
        <v>3757</v>
      </c>
      <c r="J3573">
        <v>205.7</v>
      </c>
      <c r="K3573">
        <v>117.11</v>
      </c>
      <c r="L3573">
        <v>772814.9</v>
      </c>
      <c r="M3573">
        <v>439982.27</v>
      </c>
      <c r="N3573">
        <v>332832.63</v>
      </c>
    </row>
    <row r="3574" spans="1:14" x14ac:dyDescent="0.25">
      <c r="A3574" t="s">
        <v>25</v>
      </c>
      <c r="B3574" t="s">
        <v>239</v>
      </c>
      <c r="C3574" t="s">
        <v>113</v>
      </c>
      <c r="D3574" t="s">
        <v>22</v>
      </c>
      <c r="E3574" t="s">
        <v>18</v>
      </c>
      <c r="F3574" t="s">
        <v>1237</v>
      </c>
      <c r="G3574">
        <v>886763894</v>
      </c>
      <c r="H3574" t="s">
        <v>796</v>
      </c>
      <c r="I3574">
        <v>1997</v>
      </c>
      <c r="J3574">
        <v>154.06</v>
      </c>
      <c r="K3574">
        <v>90.93</v>
      </c>
      <c r="L3574">
        <v>307657.82</v>
      </c>
      <c r="M3574">
        <v>181587.21</v>
      </c>
      <c r="N3574">
        <v>126070.61</v>
      </c>
    </row>
    <row r="3575" spans="1:14" x14ac:dyDescent="0.25">
      <c r="A3575" t="s">
        <v>25</v>
      </c>
      <c r="B3575" t="s">
        <v>386</v>
      </c>
      <c r="C3575" t="s">
        <v>27</v>
      </c>
      <c r="D3575" t="s">
        <v>22</v>
      </c>
      <c r="E3575" t="s">
        <v>23</v>
      </c>
      <c r="F3575" s="1">
        <v>41375</v>
      </c>
      <c r="G3575">
        <v>436606395</v>
      </c>
      <c r="H3575" s="1">
        <v>41345</v>
      </c>
      <c r="I3575">
        <v>389</v>
      </c>
      <c r="J3575">
        <v>47.45</v>
      </c>
      <c r="K3575">
        <v>31.79</v>
      </c>
      <c r="L3575">
        <v>18458.05</v>
      </c>
      <c r="M3575">
        <v>12366.31</v>
      </c>
      <c r="N3575">
        <v>6091.74</v>
      </c>
    </row>
    <row r="3576" spans="1:14" x14ac:dyDescent="0.25">
      <c r="A3576" t="s">
        <v>38</v>
      </c>
      <c r="B3576" t="s">
        <v>85</v>
      </c>
      <c r="C3576" t="s">
        <v>88</v>
      </c>
      <c r="D3576" t="s">
        <v>17</v>
      </c>
      <c r="E3576" t="s">
        <v>45</v>
      </c>
      <c r="F3576" t="s">
        <v>1037</v>
      </c>
      <c r="G3576">
        <v>602081525</v>
      </c>
      <c r="H3576" t="s">
        <v>1668</v>
      </c>
      <c r="I3576">
        <v>8158</v>
      </c>
      <c r="J3576">
        <v>9.33</v>
      </c>
      <c r="K3576">
        <v>6.92</v>
      </c>
      <c r="L3576">
        <v>76114.14</v>
      </c>
      <c r="M3576">
        <v>56453.36</v>
      </c>
      <c r="N3576">
        <v>19660.78</v>
      </c>
    </row>
    <row r="3577" spans="1:14" x14ac:dyDescent="0.25">
      <c r="A3577" t="s">
        <v>25</v>
      </c>
      <c r="B3577" t="s">
        <v>339</v>
      </c>
      <c r="C3577" t="s">
        <v>59</v>
      </c>
      <c r="D3577" t="s">
        <v>17</v>
      </c>
      <c r="E3577" t="s">
        <v>32</v>
      </c>
      <c r="F3577" t="s">
        <v>742</v>
      </c>
      <c r="G3577">
        <v>845738112</v>
      </c>
      <c r="H3577" t="s">
        <v>1758</v>
      </c>
      <c r="I3577">
        <v>1557</v>
      </c>
      <c r="J3577">
        <v>437.2</v>
      </c>
      <c r="K3577">
        <v>263.33</v>
      </c>
      <c r="L3577">
        <v>680720.4</v>
      </c>
      <c r="M3577">
        <v>410004.81</v>
      </c>
      <c r="N3577">
        <v>270715.59000000003</v>
      </c>
    </row>
    <row r="3578" spans="1:14" x14ac:dyDescent="0.25">
      <c r="A3578" t="s">
        <v>51</v>
      </c>
      <c r="B3578" t="s">
        <v>575</v>
      </c>
      <c r="C3578" t="s">
        <v>16</v>
      </c>
      <c r="D3578" t="s">
        <v>17</v>
      </c>
      <c r="E3578" t="s">
        <v>32</v>
      </c>
      <c r="F3578" s="1">
        <v>41587</v>
      </c>
      <c r="G3578">
        <v>250437486</v>
      </c>
      <c r="H3578" s="1">
        <v>41404</v>
      </c>
      <c r="I3578">
        <v>8872</v>
      </c>
      <c r="J3578">
        <v>255.28</v>
      </c>
      <c r="K3578">
        <v>159.41999999999999</v>
      </c>
      <c r="L3578">
        <v>2264844.16</v>
      </c>
      <c r="M3578">
        <v>1414374.24</v>
      </c>
      <c r="N3578">
        <v>850469.92</v>
      </c>
    </row>
    <row r="3579" spans="1:14" x14ac:dyDescent="0.25">
      <c r="A3579" t="s">
        <v>25</v>
      </c>
      <c r="B3579" t="s">
        <v>609</v>
      </c>
      <c r="C3579" t="s">
        <v>88</v>
      </c>
      <c r="D3579" t="s">
        <v>17</v>
      </c>
      <c r="E3579" t="s">
        <v>23</v>
      </c>
      <c r="F3579" t="s">
        <v>737</v>
      </c>
      <c r="G3579">
        <v>669353473</v>
      </c>
      <c r="H3579" s="1">
        <v>41827</v>
      </c>
      <c r="I3579">
        <v>5422</v>
      </c>
      <c r="J3579">
        <v>9.33</v>
      </c>
      <c r="K3579">
        <v>6.92</v>
      </c>
      <c r="L3579">
        <v>50587.26</v>
      </c>
      <c r="M3579">
        <v>37520.239999999998</v>
      </c>
      <c r="N3579">
        <v>13067.02</v>
      </c>
    </row>
    <row r="3580" spans="1:14" x14ac:dyDescent="0.25">
      <c r="A3580" t="s">
        <v>51</v>
      </c>
      <c r="B3580" t="s">
        <v>327</v>
      </c>
      <c r="C3580" t="s">
        <v>59</v>
      </c>
      <c r="D3580" t="s">
        <v>22</v>
      </c>
      <c r="E3580" t="s">
        <v>18</v>
      </c>
      <c r="F3580" s="1">
        <v>42189</v>
      </c>
      <c r="G3580">
        <v>875972402</v>
      </c>
      <c r="H3580" t="s">
        <v>1621</v>
      </c>
      <c r="I3580">
        <v>8555</v>
      </c>
      <c r="J3580">
        <v>437.2</v>
      </c>
      <c r="K3580">
        <v>263.33</v>
      </c>
      <c r="L3580">
        <v>3740246</v>
      </c>
      <c r="M3580">
        <v>2252788.15</v>
      </c>
      <c r="N3580">
        <v>1487457.85</v>
      </c>
    </row>
    <row r="3581" spans="1:14" x14ac:dyDescent="0.25">
      <c r="A3581" t="s">
        <v>51</v>
      </c>
      <c r="B3581" t="s">
        <v>192</v>
      </c>
      <c r="C3581" t="s">
        <v>59</v>
      </c>
      <c r="D3581" t="s">
        <v>22</v>
      </c>
      <c r="E3581" t="s">
        <v>32</v>
      </c>
      <c r="F3581" s="1">
        <v>42192</v>
      </c>
      <c r="G3581">
        <v>614093101</v>
      </c>
      <c r="H3581" t="s">
        <v>37</v>
      </c>
      <c r="I3581">
        <v>2650</v>
      </c>
      <c r="J3581">
        <v>437.2</v>
      </c>
      <c r="K3581">
        <v>263.33</v>
      </c>
      <c r="L3581">
        <v>1158580</v>
      </c>
      <c r="M3581">
        <v>697824.5</v>
      </c>
      <c r="N3581">
        <v>460755.5</v>
      </c>
    </row>
    <row r="3582" spans="1:14" x14ac:dyDescent="0.25">
      <c r="A3582" t="s">
        <v>25</v>
      </c>
      <c r="B3582" t="s">
        <v>140</v>
      </c>
      <c r="C3582" t="s">
        <v>59</v>
      </c>
      <c r="D3582" t="s">
        <v>17</v>
      </c>
      <c r="E3582" t="s">
        <v>18</v>
      </c>
      <c r="F3582" t="s">
        <v>461</v>
      </c>
      <c r="G3582">
        <v>147826898</v>
      </c>
      <c r="H3582" s="1">
        <v>42135</v>
      </c>
      <c r="I3582">
        <v>4119</v>
      </c>
      <c r="J3582">
        <v>437.2</v>
      </c>
      <c r="K3582">
        <v>263.33</v>
      </c>
      <c r="L3582">
        <v>1800826.8</v>
      </c>
      <c r="M3582">
        <v>1084656.27</v>
      </c>
      <c r="N3582">
        <v>716170.53</v>
      </c>
    </row>
    <row r="3583" spans="1:14" x14ac:dyDescent="0.25">
      <c r="A3583" t="s">
        <v>51</v>
      </c>
      <c r="B3583" t="s">
        <v>299</v>
      </c>
      <c r="C3583" t="s">
        <v>40</v>
      </c>
      <c r="D3583" t="s">
        <v>22</v>
      </c>
      <c r="E3583" t="s">
        <v>18</v>
      </c>
      <c r="F3583" s="1">
        <v>41315</v>
      </c>
      <c r="G3583">
        <v>711597621</v>
      </c>
      <c r="H3583" t="s">
        <v>906</v>
      </c>
      <c r="I3583">
        <v>6404</v>
      </c>
      <c r="J3583">
        <v>81.73</v>
      </c>
      <c r="K3583">
        <v>56.67</v>
      </c>
      <c r="L3583">
        <v>523398.92</v>
      </c>
      <c r="M3583">
        <v>362914.68</v>
      </c>
      <c r="N3583">
        <v>160484.24</v>
      </c>
    </row>
    <row r="3584" spans="1:14" x14ac:dyDescent="0.25">
      <c r="A3584" t="s">
        <v>29</v>
      </c>
      <c r="B3584" t="s">
        <v>61</v>
      </c>
      <c r="C3584" t="s">
        <v>59</v>
      </c>
      <c r="D3584" t="s">
        <v>17</v>
      </c>
      <c r="E3584" t="s">
        <v>32</v>
      </c>
      <c r="F3584" t="s">
        <v>319</v>
      </c>
      <c r="G3584">
        <v>460141599</v>
      </c>
      <c r="H3584" s="1">
        <v>42705</v>
      </c>
      <c r="I3584">
        <v>4979</v>
      </c>
      <c r="J3584">
        <v>437.2</v>
      </c>
      <c r="K3584">
        <v>263.33</v>
      </c>
      <c r="L3584">
        <v>2176818.7999999998</v>
      </c>
      <c r="M3584">
        <v>1311120.07</v>
      </c>
      <c r="N3584">
        <v>865698.73</v>
      </c>
    </row>
    <row r="3585" spans="1:14" x14ac:dyDescent="0.25">
      <c r="A3585" t="s">
        <v>51</v>
      </c>
      <c r="B3585" t="s">
        <v>250</v>
      </c>
      <c r="C3585" t="s">
        <v>59</v>
      </c>
      <c r="D3585" t="s">
        <v>17</v>
      </c>
      <c r="E3585" t="s">
        <v>18</v>
      </c>
      <c r="F3585" s="1">
        <v>40544</v>
      </c>
      <c r="G3585">
        <v>318507659</v>
      </c>
      <c r="H3585" s="1">
        <v>40726</v>
      </c>
      <c r="I3585">
        <v>2349</v>
      </c>
      <c r="J3585">
        <v>437.2</v>
      </c>
      <c r="K3585">
        <v>263.33</v>
      </c>
      <c r="L3585">
        <v>1026982.8</v>
      </c>
      <c r="M3585">
        <v>618562.17000000004</v>
      </c>
      <c r="N3585">
        <v>408420.63</v>
      </c>
    </row>
    <row r="3586" spans="1:14" x14ac:dyDescent="0.25">
      <c r="A3586" t="s">
        <v>25</v>
      </c>
      <c r="B3586" t="s">
        <v>426</v>
      </c>
      <c r="C3586" t="s">
        <v>59</v>
      </c>
      <c r="D3586" t="s">
        <v>17</v>
      </c>
      <c r="E3586" t="s">
        <v>23</v>
      </c>
      <c r="F3586" s="1">
        <v>40577</v>
      </c>
      <c r="G3586">
        <v>832057130</v>
      </c>
      <c r="H3586" s="1">
        <v>40578</v>
      </c>
      <c r="I3586">
        <v>3050</v>
      </c>
      <c r="J3586">
        <v>437.2</v>
      </c>
      <c r="K3586">
        <v>263.33</v>
      </c>
      <c r="L3586">
        <v>1333460</v>
      </c>
      <c r="M3586">
        <v>803156.5</v>
      </c>
      <c r="N3586">
        <v>530303.5</v>
      </c>
    </row>
    <row r="3587" spans="1:14" x14ac:dyDescent="0.25">
      <c r="A3587" t="s">
        <v>14</v>
      </c>
      <c r="B3587" t="s">
        <v>20</v>
      </c>
      <c r="C3587" t="s">
        <v>31</v>
      </c>
      <c r="D3587" t="s">
        <v>17</v>
      </c>
      <c r="E3587" t="s">
        <v>45</v>
      </c>
      <c r="F3587" t="s">
        <v>1631</v>
      </c>
      <c r="G3587">
        <v>816463840</v>
      </c>
      <c r="H3587" s="1">
        <v>40787</v>
      </c>
      <c r="I3587">
        <v>8649</v>
      </c>
      <c r="J3587">
        <v>205.7</v>
      </c>
      <c r="K3587">
        <v>117.11</v>
      </c>
      <c r="L3587">
        <v>1779099.3</v>
      </c>
      <c r="M3587">
        <v>1012884.39</v>
      </c>
      <c r="N3587">
        <v>766214.91</v>
      </c>
    </row>
    <row r="3588" spans="1:14" x14ac:dyDescent="0.25">
      <c r="A3588" t="s">
        <v>29</v>
      </c>
      <c r="B3588" t="s">
        <v>338</v>
      </c>
      <c r="C3588" t="s">
        <v>40</v>
      </c>
      <c r="D3588" t="s">
        <v>17</v>
      </c>
      <c r="E3588" t="s">
        <v>18</v>
      </c>
      <c r="F3588" s="1">
        <v>41371</v>
      </c>
      <c r="G3588">
        <v>507714116</v>
      </c>
      <c r="H3588" t="s">
        <v>1144</v>
      </c>
      <c r="I3588">
        <v>2744</v>
      </c>
      <c r="J3588">
        <v>81.73</v>
      </c>
      <c r="K3588">
        <v>56.67</v>
      </c>
      <c r="L3588">
        <v>224267.12</v>
      </c>
      <c r="M3588">
        <v>155502.48000000001</v>
      </c>
      <c r="N3588">
        <v>68764.639999999999</v>
      </c>
    </row>
    <row r="3589" spans="1:14" x14ac:dyDescent="0.25">
      <c r="A3589" t="s">
        <v>25</v>
      </c>
      <c r="B3589" t="s">
        <v>363</v>
      </c>
      <c r="C3589" t="s">
        <v>55</v>
      </c>
      <c r="D3589" t="s">
        <v>17</v>
      </c>
      <c r="E3589" t="s">
        <v>45</v>
      </c>
      <c r="F3589" t="s">
        <v>1275</v>
      </c>
      <c r="G3589">
        <v>212106788</v>
      </c>
      <c r="H3589" t="s">
        <v>1671</v>
      </c>
      <c r="I3589">
        <v>5967</v>
      </c>
      <c r="J3589">
        <v>651.21</v>
      </c>
      <c r="K3589">
        <v>524.96</v>
      </c>
      <c r="L3589">
        <v>3885770.07</v>
      </c>
      <c r="M3589">
        <v>3132436.32</v>
      </c>
      <c r="N3589">
        <v>753333.75</v>
      </c>
    </row>
    <row r="3590" spans="1:14" x14ac:dyDescent="0.25">
      <c r="A3590" t="s">
        <v>51</v>
      </c>
      <c r="B3590" t="s">
        <v>593</v>
      </c>
      <c r="C3590" t="s">
        <v>16</v>
      </c>
      <c r="D3590" t="s">
        <v>17</v>
      </c>
      <c r="E3590" t="s">
        <v>45</v>
      </c>
      <c r="F3590" t="s">
        <v>970</v>
      </c>
      <c r="G3590">
        <v>756253182</v>
      </c>
      <c r="H3590" s="1">
        <v>41888</v>
      </c>
      <c r="I3590">
        <v>977</v>
      </c>
      <c r="J3590">
        <v>255.28</v>
      </c>
      <c r="K3590">
        <v>159.41999999999999</v>
      </c>
      <c r="L3590">
        <v>249408.56</v>
      </c>
      <c r="M3590">
        <v>155753.34</v>
      </c>
      <c r="N3590">
        <v>93655.22</v>
      </c>
    </row>
    <row r="3591" spans="1:14" x14ac:dyDescent="0.25">
      <c r="A3591" t="s">
        <v>42</v>
      </c>
      <c r="B3591" t="s">
        <v>681</v>
      </c>
      <c r="C3591" t="s">
        <v>16</v>
      </c>
      <c r="D3591" t="s">
        <v>22</v>
      </c>
      <c r="E3591" t="s">
        <v>18</v>
      </c>
      <c r="F3591" t="s">
        <v>717</v>
      </c>
      <c r="G3591">
        <v>337077128</v>
      </c>
      <c r="H3591" t="s">
        <v>718</v>
      </c>
      <c r="I3591">
        <v>7468</v>
      </c>
      <c r="J3591">
        <v>255.28</v>
      </c>
      <c r="K3591">
        <v>159.41999999999999</v>
      </c>
      <c r="L3591">
        <v>1906431.04</v>
      </c>
      <c r="M3591">
        <v>1190548.56</v>
      </c>
      <c r="N3591">
        <v>715882.48</v>
      </c>
    </row>
    <row r="3592" spans="1:14" x14ac:dyDescent="0.25">
      <c r="A3592" t="s">
        <v>25</v>
      </c>
      <c r="B3592" t="s">
        <v>185</v>
      </c>
      <c r="C3592" t="s">
        <v>40</v>
      </c>
      <c r="D3592" t="s">
        <v>17</v>
      </c>
      <c r="E3592" t="s">
        <v>18</v>
      </c>
      <c r="F3592" t="s">
        <v>1510</v>
      </c>
      <c r="G3592">
        <v>371814954</v>
      </c>
      <c r="H3592" s="1">
        <v>41861</v>
      </c>
      <c r="I3592">
        <v>7162</v>
      </c>
      <c r="J3592">
        <v>81.73</v>
      </c>
      <c r="K3592">
        <v>56.67</v>
      </c>
      <c r="L3592">
        <v>585350.26</v>
      </c>
      <c r="M3592">
        <v>405870.54</v>
      </c>
      <c r="N3592">
        <v>179479.72</v>
      </c>
    </row>
    <row r="3593" spans="1:14" x14ac:dyDescent="0.25">
      <c r="A3593" t="s">
        <v>25</v>
      </c>
      <c r="B3593" t="s">
        <v>615</v>
      </c>
      <c r="C3593" t="s">
        <v>88</v>
      </c>
      <c r="D3593" t="s">
        <v>17</v>
      </c>
      <c r="E3593" t="s">
        <v>32</v>
      </c>
      <c r="F3593" t="s">
        <v>1056</v>
      </c>
      <c r="G3593">
        <v>548015487</v>
      </c>
      <c r="H3593" s="1">
        <v>42623</v>
      </c>
      <c r="I3593">
        <v>8815</v>
      </c>
      <c r="J3593">
        <v>9.33</v>
      </c>
      <c r="K3593">
        <v>6.92</v>
      </c>
      <c r="L3593">
        <v>82243.95</v>
      </c>
      <c r="M3593">
        <v>60999.8</v>
      </c>
      <c r="N3593">
        <v>21244.15</v>
      </c>
    </row>
    <row r="3594" spans="1:14" x14ac:dyDescent="0.25">
      <c r="A3594" t="s">
        <v>77</v>
      </c>
      <c r="B3594" t="s">
        <v>794</v>
      </c>
      <c r="C3594" t="s">
        <v>59</v>
      </c>
      <c r="D3594" t="s">
        <v>22</v>
      </c>
      <c r="E3594" t="s">
        <v>18</v>
      </c>
      <c r="F3594" s="1">
        <v>42738</v>
      </c>
      <c r="G3594">
        <v>173540055</v>
      </c>
      <c r="H3594" t="s">
        <v>1166</v>
      </c>
      <c r="I3594">
        <v>3214</v>
      </c>
      <c r="J3594">
        <v>437.2</v>
      </c>
      <c r="K3594">
        <v>263.33</v>
      </c>
      <c r="L3594">
        <v>1405160.8</v>
      </c>
      <c r="M3594">
        <v>846342.62</v>
      </c>
      <c r="N3594">
        <v>558818.18000000005</v>
      </c>
    </row>
    <row r="3595" spans="1:14" x14ac:dyDescent="0.25">
      <c r="A3595" t="s">
        <v>38</v>
      </c>
      <c r="B3595" t="s">
        <v>430</v>
      </c>
      <c r="C3595" t="s">
        <v>69</v>
      </c>
      <c r="D3595" t="s">
        <v>22</v>
      </c>
      <c r="E3595" t="s">
        <v>23</v>
      </c>
      <c r="F3595" t="s">
        <v>1285</v>
      </c>
      <c r="G3595">
        <v>426562488</v>
      </c>
      <c r="H3595" t="s">
        <v>1437</v>
      </c>
      <c r="I3595">
        <v>8174</v>
      </c>
      <c r="J3595">
        <v>421.89</v>
      </c>
      <c r="K3595">
        <v>364.69</v>
      </c>
      <c r="L3595">
        <v>3448528.86</v>
      </c>
      <c r="M3595">
        <v>2980976.06</v>
      </c>
      <c r="N3595">
        <v>467552.8</v>
      </c>
    </row>
    <row r="3596" spans="1:14" x14ac:dyDescent="0.25">
      <c r="A3596" t="s">
        <v>25</v>
      </c>
      <c r="B3596" t="s">
        <v>426</v>
      </c>
      <c r="C3596" t="s">
        <v>113</v>
      </c>
      <c r="D3596" t="s">
        <v>22</v>
      </c>
      <c r="E3596" t="s">
        <v>18</v>
      </c>
      <c r="F3596" t="s">
        <v>768</v>
      </c>
      <c r="G3596">
        <v>305569112</v>
      </c>
      <c r="H3596" s="1">
        <v>40608</v>
      </c>
      <c r="I3596">
        <v>3545</v>
      </c>
      <c r="J3596">
        <v>154.06</v>
      </c>
      <c r="K3596">
        <v>90.93</v>
      </c>
      <c r="L3596">
        <v>546142.69999999995</v>
      </c>
      <c r="M3596">
        <v>322346.84999999998</v>
      </c>
      <c r="N3596">
        <v>223795.85</v>
      </c>
    </row>
    <row r="3597" spans="1:14" x14ac:dyDescent="0.25">
      <c r="A3597" t="s">
        <v>29</v>
      </c>
      <c r="B3597" t="s">
        <v>467</v>
      </c>
      <c r="C3597" t="s">
        <v>21</v>
      </c>
      <c r="D3597" t="s">
        <v>17</v>
      </c>
      <c r="E3597" t="s">
        <v>23</v>
      </c>
      <c r="F3597" t="s">
        <v>1771</v>
      </c>
      <c r="G3597">
        <v>679358756</v>
      </c>
      <c r="H3597" t="s">
        <v>224</v>
      </c>
      <c r="I3597">
        <v>6208</v>
      </c>
      <c r="J3597">
        <v>152.58000000000001</v>
      </c>
      <c r="K3597">
        <v>97.44</v>
      </c>
      <c r="L3597">
        <v>947216.64</v>
      </c>
      <c r="M3597">
        <v>604907.52000000002</v>
      </c>
      <c r="N3597">
        <v>342309.12</v>
      </c>
    </row>
    <row r="3598" spans="1:14" x14ac:dyDescent="0.25">
      <c r="A3598" t="s">
        <v>38</v>
      </c>
      <c r="B3598" t="s">
        <v>177</v>
      </c>
      <c r="C3598" t="s">
        <v>131</v>
      </c>
      <c r="D3598" t="s">
        <v>17</v>
      </c>
      <c r="E3598" t="s">
        <v>45</v>
      </c>
      <c r="F3598" s="1">
        <v>40666</v>
      </c>
      <c r="G3598">
        <v>237042748</v>
      </c>
      <c r="H3598" s="1">
        <v>40606</v>
      </c>
      <c r="I3598">
        <v>5072</v>
      </c>
      <c r="J3598">
        <v>668.27</v>
      </c>
      <c r="K3598">
        <v>502.54</v>
      </c>
      <c r="L3598">
        <v>3389465.44</v>
      </c>
      <c r="M3598">
        <v>2548882.88</v>
      </c>
      <c r="N3598">
        <v>840582.56</v>
      </c>
    </row>
    <row r="3599" spans="1:14" x14ac:dyDescent="0.25">
      <c r="A3599" t="s">
        <v>51</v>
      </c>
      <c r="B3599" t="s">
        <v>108</v>
      </c>
      <c r="C3599" t="s">
        <v>27</v>
      </c>
      <c r="D3599" t="s">
        <v>22</v>
      </c>
      <c r="E3599" t="s">
        <v>45</v>
      </c>
      <c r="F3599" s="1">
        <v>41552</v>
      </c>
      <c r="G3599">
        <v>438044917</v>
      </c>
      <c r="H3599" t="s">
        <v>60</v>
      </c>
      <c r="I3599">
        <v>6080</v>
      </c>
      <c r="J3599">
        <v>47.45</v>
      </c>
      <c r="K3599">
        <v>31.79</v>
      </c>
      <c r="L3599">
        <v>288496</v>
      </c>
      <c r="M3599">
        <v>193283.20000000001</v>
      </c>
      <c r="N3599">
        <v>95212.800000000003</v>
      </c>
    </row>
    <row r="3600" spans="1:14" x14ac:dyDescent="0.25">
      <c r="A3600" t="s">
        <v>14</v>
      </c>
      <c r="B3600" t="s">
        <v>226</v>
      </c>
      <c r="C3600" t="s">
        <v>59</v>
      </c>
      <c r="D3600" t="s">
        <v>17</v>
      </c>
      <c r="E3600" t="s">
        <v>23</v>
      </c>
      <c r="F3600" s="1">
        <v>40514</v>
      </c>
      <c r="G3600">
        <v>562101590</v>
      </c>
      <c r="H3600" t="s">
        <v>905</v>
      </c>
      <c r="I3600">
        <v>7207</v>
      </c>
      <c r="J3600">
        <v>437.2</v>
      </c>
      <c r="K3600">
        <v>263.33</v>
      </c>
      <c r="L3600">
        <v>3150900.4</v>
      </c>
      <c r="M3600">
        <v>1897819.31</v>
      </c>
      <c r="N3600">
        <v>1253081.0900000001</v>
      </c>
    </row>
    <row r="3601" spans="1:14" x14ac:dyDescent="0.25">
      <c r="A3601" t="s">
        <v>51</v>
      </c>
      <c r="B3601" t="s">
        <v>414</v>
      </c>
      <c r="C3601" t="s">
        <v>113</v>
      </c>
      <c r="D3601" t="s">
        <v>22</v>
      </c>
      <c r="E3601" t="s">
        <v>18</v>
      </c>
      <c r="F3601" t="s">
        <v>951</v>
      </c>
      <c r="G3601">
        <v>859261596</v>
      </c>
      <c r="H3601" t="s">
        <v>1471</v>
      </c>
      <c r="I3601">
        <v>3456</v>
      </c>
      <c r="J3601">
        <v>154.06</v>
      </c>
      <c r="K3601">
        <v>90.93</v>
      </c>
      <c r="L3601">
        <v>532431.35999999999</v>
      </c>
      <c r="M3601">
        <v>314254.08000000002</v>
      </c>
      <c r="N3601">
        <v>218177.28</v>
      </c>
    </row>
    <row r="3602" spans="1:14" x14ac:dyDescent="0.25">
      <c r="A3602" t="s">
        <v>29</v>
      </c>
      <c r="B3602" t="s">
        <v>35</v>
      </c>
      <c r="C3602" t="s">
        <v>21</v>
      </c>
      <c r="D3602" t="s">
        <v>22</v>
      </c>
      <c r="E3602" t="s">
        <v>23</v>
      </c>
      <c r="F3602" s="1">
        <v>40523</v>
      </c>
      <c r="G3602">
        <v>299886262</v>
      </c>
      <c r="H3602" s="1">
        <v>40402</v>
      </c>
      <c r="I3602">
        <v>1864</v>
      </c>
      <c r="J3602">
        <v>152.58000000000001</v>
      </c>
      <c r="K3602">
        <v>97.44</v>
      </c>
      <c r="L3602">
        <v>284409.12</v>
      </c>
      <c r="M3602">
        <v>181628.16</v>
      </c>
      <c r="N3602">
        <v>102780.96</v>
      </c>
    </row>
    <row r="3603" spans="1:14" x14ac:dyDescent="0.25">
      <c r="A3603" t="s">
        <v>38</v>
      </c>
      <c r="B3603" t="s">
        <v>430</v>
      </c>
      <c r="C3603" t="s">
        <v>113</v>
      </c>
      <c r="D3603" t="s">
        <v>22</v>
      </c>
      <c r="E3603" t="s">
        <v>18</v>
      </c>
      <c r="F3603" s="1">
        <v>40214</v>
      </c>
      <c r="G3603">
        <v>624649417</v>
      </c>
      <c r="H3603" t="s">
        <v>1416</v>
      </c>
      <c r="I3603">
        <v>6498</v>
      </c>
      <c r="J3603">
        <v>154.06</v>
      </c>
      <c r="K3603">
        <v>90.93</v>
      </c>
      <c r="L3603">
        <v>1001081.88</v>
      </c>
      <c r="M3603">
        <v>590863.14</v>
      </c>
      <c r="N3603">
        <v>410218.74</v>
      </c>
    </row>
    <row r="3604" spans="1:14" x14ac:dyDescent="0.25">
      <c r="A3604" t="s">
        <v>38</v>
      </c>
      <c r="B3604" t="s">
        <v>346</v>
      </c>
      <c r="C3604" t="s">
        <v>88</v>
      </c>
      <c r="D3604" t="s">
        <v>17</v>
      </c>
      <c r="E3604" t="s">
        <v>23</v>
      </c>
      <c r="F3604" t="s">
        <v>612</v>
      </c>
      <c r="G3604">
        <v>494537389</v>
      </c>
      <c r="H3604" t="s">
        <v>1003</v>
      </c>
      <c r="I3604">
        <v>3458</v>
      </c>
      <c r="J3604">
        <v>9.33</v>
      </c>
      <c r="K3604">
        <v>6.92</v>
      </c>
      <c r="L3604">
        <v>32263.14</v>
      </c>
      <c r="M3604">
        <v>23929.360000000001</v>
      </c>
      <c r="N3604">
        <v>8333.7800000000007</v>
      </c>
    </row>
    <row r="3605" spans="1:14" x14ac:dyDescent="0.25">
      <c r="A3605" t="s">
        <v>51</v>
      </c>
      <c r="B3605" t="s">
        <v>301</v>
      </c>
      <c r="C3605" t="s">
        <v>16</v>
      </c>
      <c r="D3605" t="s">
        <v>17</v>
      </c>
      <c r="E3605" t="s">
        <v>32</v>
      </c>
      <c r="F3605" t="s">
        <v>1624</v>
      </c>
      <c r="G3605">
        <v>440849006</v>
      </c>
      <c r="H3605" t="s">
        <v>930</v>
      </c>
      <c r="I3605">
        <v>5872</v>
      </c>
      <c r="J3605">
        <v>255.28</v>
      </c>
      <c r="K3605">
        <v>159.41999999999999</v>
      </c>
      <c r="L3605">
        <v>1499004.16</v>
      </c>
      <c r="M3605">
        <v>936114.24</v>
      </c>
      <c r="N3605">
        <v>562889.92000000004</v>
      </c>
    </row>
    <row r="3606" spans="1:14" x14ac:dyDescent="0.25">
      <c r="A3606" t="s">
        <v>51</v>
      </c>
      <c r="B3606" t="s">
        <v>52</v>
      </c>
      <c r="C3606" t="s">
        <v>21</v>
      </c>
      <c r="D3606" t="s">
        <v>22</v>
      </c>
      <c r="E3606" t="s">
        <v>18</v>
      </c>
      <c r="F3606" s="1">
        <v>42315</v>
      </c>
      <c r="G3606">
        <v>615195596</v>
      </c>
      <c r="H3606" t="s">
        <v>1261</v>
      </c>
      <c r="I3606">
        <v>8903</v>
      </c>
      <c r="J3606">
        <v>152.58000000000001</v>
      </c>
      <c r="K3606">
        <v>97.44</v>
      </c>
      <c r="L3606">
        <v>1358419.74</v>
      </c>
      <c r="M3606">
        <v>867508.32</v>
      </c>
      <c r="N3606">
        <v>490911.42</v>
      </c>
    </row>
    <row r="3607" spans="1:14" x14ac:dyDescent="0.25">
      <c r="A3607" t="s">
        <v>51</v>
      </c>
      <c r="B3607" t="s">
        <v>52</v>
      </c>
      <c r="C3607" t="s">
        <v>16</v>
      </c>
      <c r="D3607" t="s">
        <v>22</v>
      </c>
      <c r="E3607" t="s">
        <v>32</v>
      </c>
      <c r="F3607" s="1">
        <v>42411</v>
      </c>
      <c r="G3607">
        <v>339500987</v>
      </c>
      <c r="H3607" s="1">
        <v>42502</v>
      </c>
      <c r="I3607">
        <v>4741</v>
      </c>
      <c r="J3607">
        <v>255.28</v>
      </c>
      <c r="K3607">
        <v>159.41999999999999</v>
      </c>
      <c r="L3607">
        <v>1210282.48</v>
      </c>
      <c r="M3607">
        <v>755810.22</v>
      </c>
      <c r="N3607">
        <v>454472.26</v>
      </c>
    </row>
    <row r="3608" spans="1:14" x14ac:dyDescent="0.25">
      <c r="A3608" t="s">
        <v>51</v>
      </c>
      <c r="B3608" t="s">
        <v>182</v>
      </c>
      <c r="C3608" t="s">
        <v>44</v>
      </c>
      <c r="D3608" t="s">
        <v>17</v>
      </c>
      <c r="E3608" t="s">
        <v>45</v>
      </c>
      <c r="F3608" s="1">
        <v>40795</v>
      </c>
      <c r="G3608">
        <v>356001508</v>
      </c>
      <c r="H3608" t="s">
        <v>999</v>
      </c>
      <c r="I3608">
        <v>7612</v>
      </c>
      <c r="J3608">
        <v>109.28</v>
      </c>
      <c r="K3608">
        <v>35.840000000000003</v>
      </c>
      <c r="L3608">
        <v>831839.36</v>
      </c>
      <c r="M3608">
        <v>272814.08000000002</v>
      </c>
      <c r="N3608">
        <v>559025.28</v>
      </c>
    </row>
    <row r="3609" spans="1:14" x14ac:dyDescent="0.25">
      <c r="A3609" t="s">
        <v>42</v>
      </c>
      <c r="B3609" t="s">
        <v>565</v>
      </c>
      <c r="C3609" t="s">
        <v>16</v>
      </c>
      <c r="D3609" t="s">
        <v>17</v>
      </c>
      <c r="E3609" t="s">
        <v>45</v>
      </c>
      <c r="F3609" t="s">
        <v>1031</v>
      </c>
      <c r="G3609">
        <v>577245986</v>
      </c>
      <c r="H3609" t="s">
        <v>1709</v>
      </c>
      <c r="I3609">
        <v>8770</v>
      </c>
      <c r="J3609">
        <v>255.28</v>
      </c>
      <c r="K3609">
        <v>159.41999999999999</v>
      </c>
      <c r="L3609">
        <v>2238805.6</v>
      </c>
      <c r="M3609">
        <v>1398113.4</v>
      </c>
      <c r="N3609">
        <v>840692.2</v>
      </c>
    </row>
    <row r="3610" spans="1:14" x14ac:dyDescent="0.25">
      <c r="A3610" t="s">
        <v>25</v>
      </c>
      <c r="B3610" t="s">
        <v>569</v>
      </c>
      <c r="C3610" t="s">
        <v>21</v>
      </c>
      <c r="D3610" t="s">
        <v>22</v>
      </c>
      <c r="E3610" t="s">
        <v>23</v>
      </c>
      <c r="F3610" t="s">
        <v>1119</v>
      </c>
      <c r="G3610">
        <v>536095750</v>
      </c>
      <c r="H3610" t="s">
        <v>1523</v>
      </c>
      <c r="I3610">
        <v>1500</v>
      </c>
      <c r="J3610">
        <v>152.58000000000001</v>
      </c>
      <c r="K3610">
        <v>97.44</v>
      </c>
      <c r="L3610">
        <v>228870</v>
      </c>
      <c r="M3610">
        <v>146160</v>
      </c>
      <c r="N3610">
        <v>82710</v>
      </c>
    </row>
    <row r="3611" spans="1:14" x14ac:dyDescent="0.25">
      <c r="A3611" t="s">
        <v>51</v>
      </c>
      <c r="B3611" t="s">
        <v>299</v>
      </c>
      <c r="C3611" t="s">
        <v>88</v>
      </c>
      <c r="D3611" t="s">
        <v>22</v>
      </c>
      <c r="E3611" t="s">
        <v>23</v>
      </c>
      <c r="F3611" s="1">
        <v>42856</v>
      </c>
      <c r="G3611">
        <v>735724627</v>
      </c>
      <c r="H3611" t="s">
        <v>498</v>
      </c>
      <c r="I3611">
        <v>6122</v>
      </c>
      <c r="J3611">
        <v>9.33</v>
      </c>
      <c r="K3611">
        <v>6.92</v>
      </c>
      <c r="L3611">
        <v>57118.26</v>
      </c>
      <c r="M3611">
        <v>42364.24</v>
      </c>
      <c r="N3611">
        <v>14754.02</v>
      </c>
    </row>
    <row r="3612" spans="1:14" x14ac:dyDescent="0.25">
      <c r="A3612" t="s">
        <v>14</v>
      </c>
      <c r="B3612" t="s">
        <v>383</v>
      </c>
      <c r="C3612" t="s">
        <v>27</v>
      </c>
      <c r="D3612" t="s">
        <v>17</v>
      </c>
      <c r="E3612" t="s">
        <v>32</v>
      </c>
      <c r="F3612" s="1">
        <v>41365</v>
      </c>
      <c r="G3612">
        <v>399618947</v>
      </c>
      <c r="H3612" t="s">
        <v>1772</v>
      </c>
      <c r="I3612">
        <v>4982</v>
      </c>
      <c r="J3612">
        <v>47.45</v>
      </c>
      <c r="K3612">
        <v>31.79</v>
      </c>
      <c r="L3612">
        <v>236395.9</v>
      </c>
      <c r="M3612">
        <v>158377.78</v>
      </c>
      <c r="N3612">
        <v>78018.12</v>
      </c>
    </row>
    <row r="3613" spans="1:14" x14ac:dyDescent="0.25">
      <c r="A3613" t="s">
        <v>25</v>
      </c>
      <c r="B3613" t="s">
        <v>284</v>
      </c>
      <c r="C3613" t="s">
        <v>131</v>
      </c>
      <c r="D3613" t="s">
        <v>22</v>
      </c>
      <c r="E3613" t="s">
        <v>32</v>
      </c>
      <c r="F3613" s="1">
        <v>42256</v>
      </c>
      <c r="G3613">
        <v>621577537</v>
      </c>
      <c r="H3613" t="s">
        <v>874</v>
      </c>
      <c r="I3613">
        <v>7461</v>
      </c>
      <c r="J3613">
        <v>668.27</v>
      </c>
      <c r="K3613">
        <v>502.54</v>
      </c>
      <c r="L3613">
        <v>4985962.47</v>
      </c>
      <c r="M3613">
        <v>3749450.94</v>
      </c>
      <c r="N3613">
        <v>1236511.53</v>
      </c>
    </row>
    <row r="3614" spans="1:14" x14ac:dyDescent="0.25">
      <c r="A3614" t="s">
        <v>51</v>
      </c>
      <c r="B3614" t="s">
        <v>194</v>
      </c>
      <c r="C3614" t="s">
        <v>59</v>
      </c>
      <c r="D3614" t="s">
        <v>17</v>
      </c>
      <c r="E3614" t="s">
        <v>45</v>
      </c>
      <c r="F3614" t="s">
        <v>1298</v>
      </c>
      <c r="G3614">
        <v>315711724</v>
      </c>
      <c r="H3614" s="1">
        <v>41855</v>
      </c>
      <c r="I3614">
        <v>4970</v>
      </c>
      <c r="J3614">
        <v>437.2</v>
      </c>
      <c r="K3614">
        <v>263.33</v>
      </c>
      <c r="L3614">
        <v>2172884</v>
      </c>
      <c r="M3614">
        <v>1308750.1000000001</v>
      </c>
      <c r="N3614">
        <v>864133.9</v>
      </c>
    </row>
    <row r="3615" spans="1:14" x14ac:dyDescent="0.25">
      <c r="A3615" t="s">
        <v>29</v>
      </c>
      <c r="B3615" t="s">
        <v>393</v>
      </c>
      <c r="C3615" t="s">
        <v>59</v>
      </c>
      <c r="D3615" t="s">
        <v>17</v>
      </c>
      <c r="E3615" t="s">
        <v>45</v>
      </c>
      <c r="F3615" t="s">
        <v>1639</v>
      </c>
      <c r="G3615">
        <v>266445338</v>
      </c>
      <c r="H3615" t="s">
        <v>513</v>
      </c>
      <c r="I3615">
        <v>5951</v>
      </c>
      <c r="J3615">
        <v>437.2</v>
      </c>
      <c r="K3615">
        <v>263.33</v>
      </c>
      <c r="L3615">
        <v>2601777.2000000002</v>
      </c>
      <c r="M3615">
        <v>1567076.83</v>
      </c>
      <c r="N3615">
        <v>1034700.37</v>
      </c>
    </row>
    <row r="3616" spans="1:14" x14ac:dyDescent="0.25">
      <c r="A3616" t="s">
        <v>29</v>
      </c>
      <c r="B3616" t="s">
        <v>323</v>
      </c>
      <c r="C3616" t="s">
        <v>27</v>
      </c>
      <c r="D3616" t="s">
        <v>22</v>
      </c>
      <c r="E3616" t="s">
        <v>23</v>
      </c>
      <c r="F3616" t="s">
        <v>605</v>
      </c>
      <c r="G3616">
        <v>878514707</v>
      </c>
      <c r="H3616" s="1">
        <v>41588</v>
      </c>
      <c r="I3616">
        <v>879</v>
      </c>
      <c r="J3616">
        <v>47.45</v>
      </c>
      <c r="K3616">
        <v>31.79</v>
      </c>
      <c r="L3616">
        <v>41708.550000000003</v>
      </c>
      <c r="M3616">
        <v>27943.41</v>
      </c>
      <c r="N3616">
        <v>13765.14</v>
      </c>
    </row>
    <row r="3617" spans="1:14" x14ac:dyDescent="0.25">
      <c r="A3617" t="s">
        <v>25</v>
      </c>
      <c r="B3617" t="s">
        <v>74</v>
      </c>
      <c r="C3617" t="s">
        <v>59</v>
      </c>
      <c r="D3617" t="s">
        <v>22</v>
      </c>
      <c r="E3617" t="s">
        <v>45</v>
      </c>
      <c r="F3617" s="1">
        <v>42891</v>
      </c>
      <c r="G3617">
        <v>826968657</v>
      </c>
      <c r="H3617" t="s">
        <v>1140</v>
      </c>
      <c r="I3617">
        <v>7258</v>
      </c>
      <c r="J3617">
        <v>437.2</v>
      </c>
      <c r="K3617">
        <v>263.33</v>
      </c>
      <c r="L3617">
        <v>3173197.6</v>
      </c>
      <c r="M3617">
        <v>1911249.14</v>
      </c>
      <c r="N3617">
        <v>1261948.46</v>
      </c>
    </row>
    <row r="3618" spans="1:14" x14ac:dyDescent="0.25">
      <c r="A3618" t="s">
        <v>51</v>
      </c>
      <c r="B3618" t="s">
        <v>734</v>
      </c>
      <c r="C3618" t="s">
        <v>31</v>
      </c>
      <c r="D3618" t="s">
        <v>22</v>
      </c>
      <c r="E3618" t="s">
        <v>32</v>
      </c>
      <c r="F3618" t="s">
        <v>1074</v>
      </c>
      <c r="G3618">
        <v>207168519</v>
      </c>
      <c r="H3618" s="1">
        <v>41797</v>
      </c>
      <c r="I3618">
        <v>4623</v>
      </c>
      <c r="J3618">
        <v>205.7</v>
      </c>
      <c r="K3618">
        <v>117.11</v>
      </c>
      <c r="L3618">
        <v>950951.1</v>
      </c>
      <c r="M3618">
        <v>541399.53</v>
      </c>
      <c r="N3618">
        <v>409551.57</v>
      </c>
    </row>
    <row r="3619" spans="1:14" x14ac:dyDescent="0.25">
      <c r="A3619" t="s">
        <v>14</v>
      </c>
      <c r="B3619" t="s">
        <v>15</v>
      </c>
      <c r="C3619" t="s">
        <v>16</v>
      </c>
      <c r="D3619" t="s">
        <v>17</v>
      </c>
      <c r="E3619" t="s">
        <v>32</v>
      </c>
      <c r="F3619" s="1">
        <v>40368</v>
      </c>
      <c r="G3619">
        <v>984788119</v>
      </c>
      <c r="H3619" s="1">
        <v>40492</v>
      </c>
      <c r="I3619">
        <v>9544</v>
      </c>
      <c r="J3619">
        <v>255.28</v>
      </c>
      <c r="K3619">
        <v>159.41999999999999</v>
      </c>
      <c r="L3619">
        <v>2436392.3199999998</v>
      </c>
      <c r="M3619">
        <v>1521504.48</v>
      </c>
      <c r="N3619">
        <v>914887.84</v>
      </c>
    </row>
    <row r="3620" spans="1:14" x14ac:dyDescent="0.25">
      <c r="A3620" t="s">
        <v>51</v>
      </c>
      <c r="B3620" t="s">
        <v>258</v>
      </c>
      <c r="C3620" t="s">
        <v>59</v>
      </c>
      <c r="D3620" t="s">
        <v>22</v>
      </c>
      <c r="E3620" t="s">
        <v>18</v>
      </c>
      <c r="F3620" s="1">
        <v>41428</v>
      </c>
      <c r="G3620">
        <v>245813786</v>
      </c>
      <c r="H3620" s="1">
        <v>41611</v>
      </c>
      <c r="I3620">
        <v>617</v>
      </c>
      <c r="J3620">
        <v>437.2</v>
      </c>
      <c r="K3620">
        <v>263.33</v>
      </c>
      <c r="L3620">
        <v>269752.40000000002</v>
      </c>
      <c r="M3620">
        <v>162474.60999999999</v>
      </c>
      <c r="N3620">
        <v>107277.79</v>
      </c>
    </row>
    <row r="3621" spans="1:14" x14ac:dyDescent="0.25">
      <c r="A3621" t="s">
        <v>25</v>
      </c>
      <c r="B3621" t="s">
        <v>96</v>
      </c>
      <c r="C3621" t="s">
        <v>131</v>
      </c>
      <c r="D3621" t="s">
        <v>22</v>
      </c>
      <c r="E3621" t="s">
        <v>32</v>
      </c>
      <c r="F3621" t="s">
        <v>716</v>
      </c>
      <c r="G3621">
        <v>546544349</v>
      </c>
      <c r="H3621" s="1">
        <v>40524</v>
      </c>
      <c r="I3621">
        <v>3473</v>
      </c>
      <c r="J3621">
        <v>668.27</v>
      </c>
      <c r="K3621">
        <v>502.54</v>
      </c>
      <c r="L3621">
        <v>2320901.71</v>
      </c>
      <c r="M3621">
        <v>1745321.42</v>
      </c>
      <c r="N3621">
        <v>575580.29</v>
      </c>
    </row>
    <row r="3622" spans="1:14" x14ac:dyDescent="0.25">
      <c r="A3622" t="s">
        <v>25</v>
      </c>
      <c r="B3622" t="s">
        <v>112</v>
      </c>
      <c r="C3622" t="s">
        <v>131</v>
      </c>
      <c r="D3622" t="s">
        <v>22</v>
      </c>
      <c r="E3622" t="s">
        <v>23</v>
      </c>
      <c r="F3622" s="1">
        <v>42499</v>
      </c>
      <c r="G3622">
        <v>463591134</v>
      </c>
      <c r="H3622" s="1">
        <v>42379</v>
      </c>
      <c r="I3622">
        <v>5773</v>
      </c>
      <c r="J3622">
        <v>668.27</v>
      </c>
      <c r="K3622">
        <v>502.54</v>
      </c>
      <c r="L3622">
        <v>3857922.71</v>
      </c>
      <c r="M3622">
        <v>2901163.42</v>
      </c>
      <c r="N3622">
        <v>956759.29</v>
      </c>
    </row>
    <row r="3623" spans="1:14" x14ac:dyDescent="0.25">
      <c r="A3623" t="s">
        <v>51</v>
      </c>
      <c r="B3623" t="s">
        <v>169</v>
      </c>
      <c r="C3623" t="s">
        <v>16</v>
      </c>
      <c r="D3623" t="s">
        <v>22</v>
      </c>
      <c r="E3623" t="s">
        <v>45</v>
      </c>
      <c r="F3623" s="1">
        <v>40214</v>
      </c>
      <c r="G3623">
        <v>443877971</v>
      </c>
      <c r="H3623" s="1">
        <v>40335</v>
      </c>
      <c r="I3623">
        <v>2210</v>
      </c>
      <c r="J3623">
        <v>255.28</v>
      </c>
      <c r="K3623">
        <v>159.41999999999999</v>
      </c>
      <c r="L3623">
        <v>564168.80000000005</v>
      </c>
      <c r="M3623">
        <v>352318.2</v>
      </c>
      <c r="N3623">
        <v>211850.6</v>
      </c>
    </row>
    <row r="3624" spans="1:14" x14ac:dyDescent="0.25">
      <c r="A3624" t="s">
        <v>42</v>
      </c>
      <c r="B3624" t="s">
        <v>565</v>
      </c>
      <c r="C3624" t="s">
        <v>131</v>
      </c>
      <c r="D3624" t="s">
        <v>17</v>
      </c>
      <c r="E3624" t="s">
        <v>18</v>
      </c>
      <c r="F3624" s="1">
        <v>40367</v>
      </c>
      <c r="G3624">
        <v>554641187</v>
      </c>
      <c r="H3624" t="s">
        <v>549</v>
      </c>
      <c r="I3624">
        <v>9507</v>
      </c>
      <c r="J3624">
        <v>668.27</v>
      </c>
      <c r="K3624">
        <v>502.54</v>
      </c>
      <c r="L3624">
        <v>6353242.8899999997</v>
      </c>
      <c r="M3624">
        <v>4777647.78</v>
      </c>
      <c r="N3624">
        <v>1575595.11</v>
      </c>
    </row>
    <row r="3625" spans="1:14" x14ac:dyDescent="0.25">
      <c r="A3625" t="s">
        <v>29</v>
      </c>
      <c r="B3625" t="s">
        <v>61</v>
      </c>
      <c r="C3625" t="s">
        <v>69</v>
      </c>
      <c r="D3625" t="s">
        <v>22</v>
      </c>
      <c r="E3625" t="s">
        <v>18</v>
      </c>
      <c r="F3625" t="s">
        <v>1717</v>
      </c>
      <c r="G3625">
        <v>933429610</v>
      </c>
      <c r="H3625" t="s">
        <v>67</v>
      </c>
      <c r="I3625">
        <v>1419</v>
      </c>
      <c r="J3625">
        <v>421.89</v>
      </c>
      <c r="K3625">
        <v>364.69</v>
      </c>
      <c r="L3625">
        <v>598661.91</v>
      </c>
      <c r="M3625">
        <v>517495.11</v>
      </c>
      <c r="N3625">
        <v>81166.8</v>
      </c>
    </row>
    <row r="3626" spans="1:14" x14ac:dyDescent="0.25">
      <c r="A3626" t="s">
        <v>14</v>
      </c>
      <c r="B3626" t="s">
        <v>370</v>
      </c>
      <c r="C3626" t="s">
        <v>59</v>
      </c>
      <c r="D3626" t="s">
        <v>22</v>
      </c>
      <c r="E3626" t="s">
        <v>45</v>
      </c>
      <c r="F3626" t="s">
        <v>1537</v>
      </c>
      <c r="G3626">
        <v>438104569</v>
      </c>
      <c r="H3626" t="s">
        <v>387</v>
      </c>
      <c r="I3626">
        <v>3733</v>
      </c>
      <c r="J3626">
        <v>437.2</v>
      </c>
      <c r="K3626">
        <v>263.33</v>
      </c>
      <c r="L3626">
        <v>1632067.6</v>
      </c>
      <c r="M3626">
        <v>983010.89</v>
      </c>
      <c r="N3626">
        <v>649056.71</v>
      </c>
    </row>
    <row r="3627" spans="1:14" x14ac:dyDescent="0.25">
      <c r="A3627" t="s">
        <v>25</v>
      </c>
      <c r="B3627" t="s">
        <v>458</v>
      </c>
      <c r="C3627" t="s">
        <v>55</v>
      </c>
      <c r="D3627" t="s">
        <v>22</v>
      </c>
      <c r="E3627" t="s">
        <v>23</v>
      </c>
      <c r="F3627" t="s">
        <v>70</v>
      </c>
      <c r="G3627">
        <v>696839892</v>
      </c>
      <c r="H3627" s="1">
        <v>42401</v>
      </c>
      <c r="I3627">
        <v>9264</v>
      </c>
      <c r="J3627">
        <v>651.21</v>
      </c>
      <c r="K3627">
        <v>524.96</v>
      </c>
      <c r="L3627">
        <v>6032809.4400000004</v>
      </c>
      <c r="M3627">
        <v>4863229.4400000004</v>
      </c>
      <c r="N3627">
        <v>1169580</v>
      </c>
    </row>
    <row r="3628" spans="1:14" x14ac:dyDescent="0.25">
      <c r="A3628" t="s">
        <v>29</v>
      </c>
      <c r="B3628" t="s">
        <v>124</v>
      </c>
      <c r="C3628" t="s">
        <v>44</v>
      </c>
      <c r="D3628" t="s">
        <v>22</v>
      </c>
      <c r="E3628" t="s">
        <v>45</v>
      </c>
      <c r="F3628" t="s">
        <v>1283</v>
      </c>
      <c r="G3628">
        <v>258121907</v>
      </c>
      <c r="H3628" s="1">
        <v>41072</v>
      </c>
      <c r="I3628">
        <v>2863</v>
      </c>
      <c r="J3628">
        <v>109.28</v>
      </c>
      <c r="K3628">
        <v>35.840000000000003</v>
      </c>
      <c r="L3628">
        <v>312868.64</v>
      </c>
      <c r="M3628">
        <v>102609.92</v>
      </c>
      <c r="N3628">
        <v>210258.72</v>
      </c>
    </row>
    <row r="3629" spans="1:14" x14ac:dyDescent="0.25">
      <c r="A3629" t="s">
        <v>14</v>
      </c>
      <c r="B3629" t="s">
        <v>226</v>
      </c>
      <c r="C3629" t="s">
        <v>44</v>
      </c>
      <c r="D3629" t="s">
        <v>17</v>
      </c>
      <c r="E3629" t="s">
        <v>18</v>
      </c>
      <c r="F3629" t="s">
        <v>790</v>
      </c>
      <c r="G3629">
        <v>440749442</v>
      </c>
      <c r="H3629" t="s">
        <v>443</v>
      </c>
      <c r="I3629">
        <v>6409</v>
      </c>
      <c r="J3629">
        <v>109.28</v>
      </c>
      <c r="K3629">
        <v>35.840000000000003</v>
      </c>
      <c r="L3629">
        <v>700375.52</v>
      </c>
      <c r="M3629">
        <v>229698.56</v>
      </c>
      <c r="N3629">
        <v>470676.96</v>
      </c>
    </row>
    <row r="3630" spans="1:14" x14ac:dyDescent="0.25">
      <c r="A3630" t="s">
        <v>29</v>
      </c>
      <c r="B3630" t="s">
        <v>243</v>
      </c>
      <c r="C3630" t="s">
        <v>21</v>
      </c>
      <c r="D3630" t="s">
        <v>22</v>
      </c>
      <c r="E3630" t="s">
        <v>32</v>
      </c>
      <c r="F3630" s="1">
        <v>42951</v>
      </c>
      <c r="G3630">
        <v>383833825</v>
      </c>
      <c r="H3630" t="s">
        <v>93</v>
      </c>
      <c r="I3630">
        <v>3813</v>
      </c>
      <c r="J3630">
        <v>152.58000000000001</v>
      </c>
      <c r="K3630">
        <v>97.44</v>
      </c>
      <c r="L3630">
        <v>581787.54</v>
      </c>
      <c r="M3630">
        <v>371538.72</v>
      </c>
      <c r="N3630">
        <v>210248.82</v>
      </c>
    </row>
    <row r="3631" spans="1:14" x14ac:dyDescent="0.25">
      <c r="A3631" t="s">
        <v>14</v>
      </c>
      <c r="B3631" t="s">
        <v>835</v>
      </c>
      <c r="C3631" t="s">
        <v>113</v>
      </c>
      <c r="D3631" t="s">
        <v>17</v>
      </c>
      <c r="E3631" t="s">
        <v>32</v>
      </c>
      <c r="F3631" t="s">
        <v>695</v>
      </c>
      <c r="G3631">
        <v>196798884</v>
      </c>
      <c r="H3631" t="s">
        <v>995</v>
      </c>
      <c r="I3631">
        <v>6018</v>
      </c>
      <c r="J3631">
        <v>154.06</v>
      </c>
      <c r="K3631">
        <v>90.93</v>
      </c>
      <c r="L3631">
        <v>927133.08</v>
      </c>
      <c r="M3631">
        <v>547216.74</v>
      </c>
      <c r="N3631">
        <v>379916.34</v>
      </c>
    </row>
    <row r="3632" spans="1:14" x14ac:dyDescent="0.25">
      <c r="A3632" t="s">
        <v>25</v>
      </c>
      <c r="B3632" t="s">
        <v>234</v>
      </c>
      <c r="C3632" t="s">
        <v>40</v>
      </c>
      <c r="D3632" t="s">
        <v>22</v>
      </c>
      <c r="E3632" t="s">
        <v>18</v>
      </c>
      <c r="F3632" t="s">
        <v>601</v>
      </c>
      <c r="G3632">
        <v>509380948</v>
      </c>
      <c r="H3632" t="s">
        <v>847</v>
      </c>
      <c r="I3632">
        <v>5997</v>
      </c>
      <c r="J3632">
        <v>81.73</v>
      </c>
      <c r="K3632">
        <v>56.67</v>
      </c>
      <c r="L3632">
        <v>490134.81</v>
      </c>
      <c r="M3632">
        <v>339849.99</v>
      </c>
      <c r="N3632">
        <v>150284.82</v>
      </c>
    </row>
    <row r="3633" spans="1:14" x14ac:dyDescent="0.25">
      <c r="A3633" t="s">
        <v>25</v>
      </c>
      <c r="B3633" t="s">
        <v>185</v>
      </c>
      <c r="C3633" t="s">
        <v>44</v>
      </c>
      <c r="D3633" t="s">
        <v>22</v>
      </c>
      <c r="E3633" t="s">
        <v>18</v>
      </c>
      <c r="F3633" t="s">
        <v>495</v>
      </c>
      <c r="G3633">
        <v>221628844</v>
      </c>
      <c r="H3633" s="1">
        <v>40552</v>
      </c>
      <c r="I3633">
        <v>3755</v>
      </c>
      <c r="J3633">
        <v>109.28</v>
      </c>
      <c r="K3633">
        <v>35.840000000000003</v>
      </c>
      <c r="L3633">
        <v>410346.4</v>
      </c>
      <c r="M3633">
        <v>134579.20000000001</v>
      </c>
      <c r="N3633">
        <v>275767.2</v>
      </c>
    </row>
    <row r="3634" spans="1:14" x14ac:dyDescent="0.25">
      <c r="A3634" t="s">
        <v>51</v>
      </c>
      <c r="B3634" t="s">
        <v>734</v>
      </c>
      <c r="C3634" t="s">
        <v>27</v>
      </c>
      <c r="D3634" t="s">
        <v>22</v>
      </c>
      <c r="E3634" t="s">
        <v>45</v>
      </c>
      <c r="F3634" t="s">
        <v>482</v>
      </c>
      <c r="G3634">
        <v>553903901</v>
      </c>
      <c r="H3634" s="1">
        <v>41794</v>
      </c>
      <c r="I3634">
        <v>1328</v>
      </c>
      <c r="J3634">
        <v>47.45</v>
      </c>
      <c r="K3634">
        <v>31.79</v>
      </c>
      <c r="L3634">
        <v>63013.599999999999</v>
      </c>
      <c r="M3634">
        <v>42217.120000000003</v>
      </c>
      <c r="N3634">
        <v>20796.48</v>
      </c>
    </row>
    <row r="3635" spans="1:14" x14ac:dyDescent="0.25">
      <c r="A3635" t="s">
        <v>51</v>
      </c>
      <c r="B3635" t="s">
        <v>182</v>
      </c>
      <c r="C3635" t="s">
        <v>59</v>
      </c>
      <c r="D3635" t="s">
        <v>22</v>
      </c>
      <c r="E3635" t="s">
        <v>23</v>
      </c>
      <c r="F3635" s="1">
        <v>41030</v>
      </c>
      <c r="G3635">
        <v>996879947</v>
      </c>
      <c r="H3635" s="1">
        <v>41030</v>
      </c>
      <c r="I3635">
        <v>7784</v>
      </c>
      <c r="J3635">
        <v>437.2</v>
      </c>
      <c r="K3635">
        <v>263.33</v>
      </c>
      <c r="L3635">
        <v>3403164.8</v>
      </c>
      <c r="M3635">
        <v>2049760.72</v>
      </c>
      <c r="N3635">
        <v>1353404.08</v>
      </c>
    </row>
    <row r="3636" spans="1:14" x14ac:dyDescent="0.25">
      <c r="A3636" t="s">
        <v>51</v>
      </c>
      <c r="B3636" t="s">
        <v>424</v>
      </c>
      <c r="C3636" t="s">
        <v>55</v>
      </c>
      <c r="D3636" t="s">
        <v>22</v>
      </c>
      <c r="E3636" t="s">
        <v>45</v>
      </c>
      <c r="F3636" s="1">
        <v>41640</v>
      </c>
      <c r="G3636">
        <v>661543309</v>
      </c>
      <c r="H3636" t="s">
        <v>649</v>
      </c>
      <c r="I3636">
        <v>4221</v>
      </c>
      <c r="J3636">
        <v>651.21</v>
      </c>
      <c r="K3636">
        <v>524.96</v>
      </c>
      <c r="L3636">
        <v>2748757.41</v>
      </c>
      <c r="M3636">
        <v>2215856.16</v>
      </c>
      <c r="N3636">
        <v>532901.25</v>
      </c>
    </row>
    <row r="3637" spans="1:14" x14ac:dyDescent="0.25">
      <c r="A3637" t="s">
        <v>29</v>
      </c>
      <c r="B3637" t="s">
        <v>30</v>
      </c>
      <c r="C3637" t="s">
        <v>131</v>
      </c>
      <c r="D3637" t="s">
        <v>22</v>
      </c>
      <c r="E3637" t="s">
        <v>32</v>
      </c>
      <c r="F3637" t="s">
        <v>1172</v>
      </c>
      <c r="G3637">
        <v>529192817</v>
      </c>
      <c r="H3637" s="1">
        <v>40545</v>
      </c>
      <c r="I3637">
        <v>8769</v>
      </c>
      <c r="J3637">
        <v>668.27</v>
      </c>
      <c r="K3637">
        <v>502.54</v>
      </c>
      <c r="L3637">
        <v>5860059.6299999999</v>
      </c>
      <c r="M3637">
        <v>4406773.26</v>
      </c>
      <c r="N3637">
        <v>1453286.37</v>
      </c>
    </row>
    <row r="3638" spans="1:14" x14ac:dyDescent="0.25">
      <c r="A3638" t="s">
        <v>51</v>
      </c>
      <c r="B3638" t="s">
        <v>100</v>
      </c>
      <c r="C3638" t="s">
        <v>69</v>
      </c>
      <c r="D3638" t="s">
        <v>17</v>
      </c>
      <c r="E3638" t="s">
        <v>32</v>
      </c>
      <c r="F3638" t="s">
        <v>1773</v>
      </c>
      <c r="G3638">
        <v>301439797</v>
      </c>
      <c r="H3638" t="s">
        <v>353</v>
      </c>
      <c r="I3638">
        <v>1590</v>
      </c>
      <c r="J3638">
        <v>421.89</v>
      </c>
      <c r="K3638">
        <v>364.69</v>
      </c>
      <c r="L3638">
        <v>670805.1</v>
      </c>
      <c r="M3638">
        <v>579857.1</v>
      </c>
      <c r="N3638">
        <v>90948</v>
      </c>
    </row>
    <row r="3639" spans="1:14" x14ac:dyDescent="0.25">
      <c r="A3639" t="s">
        <v>25</v>
      </c>
      <c r="B3639" t="s">
        <v>87</v>
      </c>
      <c r="C3639" t="s">
        <v>27</v>
      </c>
      <c r="D3639" t="s">
        <v>17</v>
      </c>
      <c r="E3639" t="s">
        <v>45</v>
      </c>
      <c r="F3639" t="s">
        <v>1630</v>
      </c>
      <c r="G3639">
        <v>650208079</v>
      </c>
      <c r="H3639" t="s">
        <v>1000</v>
      </c>
      <c r="I3639">
        <v>9875</v>
      </c>
      <c r="J3639">
        <v>47.45</v>
      </c>
      <c r="K3639">
        <v>31.79</v>
      </c>
      <c r="L3639">
        <v>468568.75</v>
      </c>
      <c r="M3639">
        <v>313926.25</v>
      </c>
      <c r="N3639">
        <v>154642.5</v>
      </c>
    </row>
    <row r="3640" spans="1:14" x14ac:dyDescent="0.25">
      <c r="A3640" t="s">
        <v>29</v>
      </c>
      <c r="B3640" t="s">
        <v>199</v>
      </c>
      <c r="C3640" t="s">
        <v>55</v>
      </c>
      <c r="D3640" t="s">
        <v>22</v>
      </c>
      <c r="E3640" t="s">
        <v>18</v>
      </c>
      <c r="F3640" s="1">
        <v>40761</v>
      </c>
      <c r="G3640">
        <v>967733991</v>
      </c>
      <c r="H3640" t="s">
        <v>607</v>
      </c>
      <c r="I3640">
        <v>2848</v>
      </c>
      <c r="J3640">
        <v>651.21</v>
      </c>
      <c r="K3640">
        <v>524.96</v>
      </c>
      <c r="L3640">
        <v>1854646.08</v>
      </c>
      <c r="M3640">
        <v>1495086.0800000001</v>
      </c>
      <c r="N3640">
        <v>359560</v>
      </c>
    </row>
    <row r="3641" spans="1:14" x14ac:dyDescent="0.25">
      <c r="A3641" t="s">
        <v>51</v>
      </c>
      <c r="B3641" t="s">
        <v>575</v>
      </c>
      <c r="C3641" t="s">
        <v>131</v>
      </c>
      <c r="D3641" t="s">
        <v>17</v>
      </c>
      <c r="E3641" t="s">
        <v>18</v>
      </c>
      <c r="F3641" s="1">
        <v>41821</v>
      </c>
      <c r="G3641">
        <v>716566359</v>
      </c>
      <c r="H3641" s="1">
        <v>41641</v>
      </c>
      <c r="I3641">
        <v>6764</v>
      </c>
      <c r="J3641">
        <v>668.27</v>
      </c>
      <c r="K3641">
        <v>502.54</v>
      </c>
      <c r="L3641">
        <v>4520178.28</v>
      </c>
      <c r="M3641">
        <v>3399180.56</v>
      </c>
      <c r="N3641">
        <v>1120997.72</v>
      </c>
    </row>
    <row r="3642" spans="1:14" x14ac:dyDescent="0.25">
      <c r="A3642" t="s">
        <v>42</v>
      </c>
      <c r="B3642" t="s">
        <v>174</v>
      </c>
      <c r="C3642" t="s">
        <v>16</v>
      </c>
      <c r="D3642" t="s">
        <v>17</v>
      </c>
      <c r="E3642" t="s">
        <v>18</v>
      </c>
      <c r="F3642" s="1">
        <v>41160</v>
      </c>
      <c r="G3642">
        <v>779566514</v>
      </c>
      <c r="H3642" t="s">
        <v>629</v>
      </c>
      <c r="I3642">
        <v>9910</v>
      </c>
      <c r="J3642">
        <v>255.28</v>
      </c>
      <c r="K3642">
        <v>159.41999999999999</v>
      </c>
      <c r="L3642">
        <v>2529824.7999999998</v>
      </c>
      <c r="M3642">
        <v>1579852.2</v>
      </c>
      <c r="N3642">
        <v>949972.6</v>
      </c>
    </row>
    <row r="3643" spans="1:14" x14ac:dyDescent="0.25">
      <c r="A3643" t="s">
        <v>51</v>
      </c>
      <c r="B3643" t="s">
        <v>575</v>
      </c>
      <c r="C3643" t="s">
        <v>16</v>
      </c>
      <c r="D3643" t="s">
        <v>22</v>
      </c>
      <c r="E3643" t="s">
        <v>23</v>
      </c>
      <c r="F3643" t="s">
        <v>1199</v>
      </c>
      <c r="G3643">
        <v>309908282</v>
      </c>
      <c r="H3643" s="1">
        <v>42552</v>
      </c>
      <c r="I3643">
        <v>7602</v>
      </c>
      <c r="J3643">
        <v>255.28</v>
      </c>
      <c r="K3643">
        <v>159.41999999999999</v>
      </c>
      <c r="L3643">
        <v>1940638.56</v>
      </c>
      <c r="M3643">
        <v>1211910.8400000001</v>
      </c>
      <c r="N3643">
        <v>728727.72</v>
      </c>
    </row>
    <row r="3644" spans="1:14" x14ac:dyDescent="0.25">
      <c r="A3644" t="s">
        <v>29</v>
      </c>
      <c r="B3644" t="s">
        <v>243</v>
      </c>
      <c r="C3644" t="s">
        <v>27</v>
      </c>
      <c r="D3644" t="s">
        <v>17</v>
      </c>
      <c r="E3644" t="s">
        <v>32</v>
      </c>
      <c r="F3644" t="s">
        <v>660</v>
      </c>
      <c r="G3644">
        <v>781077992</v>
      </c>
      <c r="H3644" s="1">
        <v>40221</v>
      </c>
      <c r="I3644">
        <v>7190</v>
      </c>
      <c r="J3644">
        <v>47.45</v>
      </c>
      <c r="K3644">
        <v>31.79</v>
      </c>
      <c r="L3644">
        <v>341165.5</v>
      </c>
      <c r="M3644">
        <v>228570.1</v>
      </c>
      <c r="N3644">
        <v>112595.4</v>
      </c>
    </row>
    <row r="3645" spans="1:14" x14ac:dyDescent="0.25">
      <c r="A3645" t="s">
        <v>29</v>
      </c>
      <c r="B3645" t="s">
        <v>243</v>
      </c>
      <c r="C3645" t="s">
        <v>31</v>
      </c>
      <c r="D3645" t="s">
        <v>22</v>
      </c>
      <c r="E3645" t="s">
        <v>45</v>
      </c>
      <c r="F3645" t="s">
        <v>1606</v>
      </c>
      <c r="G3645">
        <v>136874473</v>
      </c>
      <c r="H3645" s="1">
        <v>41125</v>
      </c>
      <c r="I3645">
        <v>3053</v>
      </c>
      <c r="J3645">
        <v>205.7</v>
      </c>
      <c r="K3645">
        <v>117.11</v>
      </c>
      <c r="L3645">
        <v>628002.1</v>
      </c>
      <c r="M3645">
        <v>357536.83</v>
      </c>
      <c r="N3645">
        <v>270465.27</v>
      </c>
    </row>
    <row r="3646" spans="1:14" x14ac:dyDescent="0.25">
      <c r="A3646" t="s">
        <v>42</v>
      </c>
      <c r="B3646" t="s">
        <v>476</v>
      </c>
      <c r="C3646" t="s">
        <v>69</v>
      </c>
      <c r="D3646" t="s">
        <v>17</v>
      </c>
      <c r="E3646" t="s">
        <v>18</v>
      </c>
      <c r="F3646" t="s">
        <v>1455</v>
      </c>
      <c r="G3646">
        <v>441409051</v>
      </c>
      <c r="H3646" t="s">
        <v>783</v>
      </c>
      <c r="I3646">
        <v>1602</v>
      </c>
      <c r="J3646">
        <v>421.89</v>
      </c>
      <c r="K3646">
        <v>364.69</v>
      </c>
      <c r="L3646">
        <v>675867.78</v>
      </c>
      <c r="M3646">
        <v>584233.38</v>
      </c>
      <c r="N3646">
        <v>91634.4</v>
      </c>
    </row>
    <row r="3647" spans="1:14" x14ac:dyDescent="0.25">
      <c r="A3647" t="s">
        <v>25</v>
      </c>
      <c r="B3647" t="s">
        <v>386</v>
      </c>
      <c r="C3647" t="s">
        <v>69</v>
      </c>
      <c r="D3647" t="s">
        <v>22</v>
      </c>
      <c r="E3647" t="s">
        <v>32</v>
      </c>
      <c r="F3647" t="s">
        <v>311</v>
      </c>
      <c r="G3647">
        <v>229105556</v>
      </c>
      <c r="H3647" s="1">
        <v>40245</v>
      </c>
      <c r="I3647">
        <v>6280</v>
      </c>
      <c r="J3647">
        <v>421.89</v>
      </c>
      <c r="K3647">
        <v>364.69</v>
      </c>
      <c r="L3647">
        <v>2649469.2000000002</v>
      </c>
      <c r="M3647">
        <v>2290253.2000000002</v>
      </c>
      <c r="N3647">
        <v>359216</v>
      </c>
    </row>
    <row r="3648" spans="1:14" x14ac:dyDescent="0.25">
      <c r="A3648" t="s">
        <v>51</v>
      </c>
      <c r="B3648" t="s">
        <v>301</v>
      </c>
      <c r="C3648" t="s">
        <v>16</v>
      </c>
      <c r="D3648" t="s">
        <v>22</v>
      </c>
      <c r="E3648" t="s">
        <v>18</v>
      </c>
      <c r="F3648" t="s">
        <v>919</v>
      </c>
      <c r="G3648">
        <v>354700314</v>
      </c>
      <c r="H3648" t="s">
        <v>1433</v>
      </c>
      <c r="I3648">
        <v>2560</v>
      </c>
      <c r="J3648">
        <v>255.28</v>
      </c>
      <c r="K3648">
        <v>159.41999999999999</v>
      </c>
      <c r="L3648">
        <v>653516.80000000005</v>
      </c>
      <c r="M3648">
        <v>408115.20000000001</v>
      </c>
      <c r="N3648">
        <v>245401.60000000001</v>
      </c>
    </row>
    <row r="3649" spans="1:14" x14ac:dyDescent="0.25">
      <c r="A3649" t="s">
        <v>38</v>
      </c>
      <c r="B3649" t="s">
        <v>329</v>
      </c>
      <c r="C3649" t="s">
        <v>16</v>
      </c>
      <c r="D3649" t="s">
        <v>22</v>
      </c>
      <c r="E3649" t="s">
        <v>18</v>
      </c>
      <c r="F3649" t="s">
        <v>1162</v>
      </c>
      <c r="G3649">
        <v>843242156</v>
      </c>
      <c r="H3649" s="1">
        <v>41159</v>
      </c>
      <c r="I3649">
        <v>2948</v>
      </c>
      <c r="J3649">
        <v>255.28</v>
      </c>
      <c r="K3649">
        <v>159.41999999999999</v>
      </c>
      <c r="L3649">
        <v>752565.44</v>
      </c>
      <c r="M3649">
        <v>469970.16</v>
      </c>
      <c r="N3649">
        <v>282595.28000000003</v>
      </c>
    </row>
    <row r="3650" spans="1:14" x14ac:dyDescent="0.25">
      <c r="A3650" t="s">
        <v>29</v>
      </c>
      <c r="B3650" t="s">
        <v>323</v>
      </c>
      <c r="C3650" t="s">
        <v>88</v>
      </c>
      <c r="D3650" t="s">
        <v>22</v>
      </c>
      <c r="E3650" t="s">
        <v>18</v>
      </c>
      <c r="F3650" t="s">
        <v>600</v>
      </c>
      <c r="G3650">
        <v>440092408</v>
      </c>
      <c r="H3650" t="s">
        <v>1137</v>
      </c>
      <c r="I3650">
        <v>1978</v>
      </c>
      <c r="J3650">
        <v>9.33</v>
      </c>
      <c r="K3650">
        <v>6.92</v>
      </c>
      <c r="L3650">
        <v>18454.740000000002</v>
      </c>
      <c r="M3650">
        <v>13687.76</v>
      </c>
      <c r="N3650">
        <v>4766.9799999999996</v>
      </c>
    </row>
    <row r="3651" spans="1:14" x14ac:dyDescent="0.25">
      <c r="A3651" t="s">
        <v>51</v>
      </c>
      <c r="B3651" t="s">
        <v>182</v>
      </c>
      <c r="C3651" t="s">
        <v>44</v>
      </c>
      <c r="D3651" t="s">
        <v>17</v>
      </c>
      <c r="E3651" t="s">
        <v>23</v>
      </c>
      <c r="F3651" t="s">
        <v>535</v>
      </c>
      <c r="G3651">
        <v>660924899</v>
      </c>
      <c r="H3651" t="s">
        <v>450</v>
      </c>
      <c r="I3651">
        <v>1220</v>
      </c>
      <c r="J3651">
        <v>109.28</v>
      </c>
      <c r="K3651">
        <v>35.840000000000003</v>
      </c>
      <c r="L3651">
        <v>133321.60000000001</v>
      </c>
      <c r="M3651">
        <v>43724.800000000003</v>
      </c>
      <c r="N3651">
        <v>89596.800000000003</v>
      </c>
    </row>
    <row r="3652" spans="1:14" x14ac:dyDescent="0.25">
      <c r="A3652" t="s">
        <v>29</v>
      </c>
      <c r="B3652" t="s">
        <v>494</v>
      </c>
      <c r="C3652" t="s">
        <v>16</v>
      </c>
      <c r="D3652" t="s">
        <v>17</v>
      </c>
      <c r="E3652" t="s">
        <v>23</v>
      </c>
      <c r="F3652" t="s">
        <v>402</v>
      </c>
      <c r="G3652">
        <v>841725957</v>
      </c>
      <c r="H3652" s="1">
        <v>41487</v>
      </c>
      <c r="I3652">
        <v>4271</v>
      </c>
      <c r="J3652">
        <v>255.28</v>
      </c>
      <c r="K3652">
        <v>159.41999999999999</v>
      </c>
      <c r="L3652">
        <v>1090300.8799999999</v>
      </c>
      <c r="M3652">
        <v>680882.82</v>
      </c>
      <c r="N3652">
        <v>409418.06</v>
      </c>
    </row>
    <row r="3653" spans="1:14" x14ac:dyDescent="0.25">
      <c r="A3653" t="s">
        <v>51</v>
      </c>
      <c r="B3653" t="s">
        <v>260</v>
      </c>
      <c r="C3653" t="s">
        <v>44</v>
      </c>
      <c r="D3653" t="s">
        <v>17</v>
      </c>
      <c r="E3653" t="s">
        <v>45</v>
      </c>
      <c r="F3653" t="s">
        <v>996</v>
      </c>
      <c r="G3653">
        <v>388794410</v>
      </c>
      <c r="H3653" t="s">
        <v>1774</v>
      </c>
      <c r="I3653">
        <v>1761</v>
      </c>
      <c r="J3653">
        <v>109.28</v>
      </c>
      <c r="K3653">
        <v>35.840000000000003</v>
      </c>
      <c r="L3653">
        <v>192442.08</v>
      </c>
      <c r="M3653">
        <v>63114.239999999998</v>
      </c>
      <c r="N3653">
        <v>129327.84</v>
      </c>
    </row>
    <row r="3654" spans="1:14" x14ac:dyDescent="0.25">
      <c r="A3654" t="s">
        <v>51</v>
      </c>
      <c r="B3654" t="s">
        <v>192</v>
      </c>
      <c r="C3654" t="s">
        <v>69</v>
      </c>
      <c r="D3654" t="s">
        <v>22</v>
      </c>
      <c r="E3654" t="s">
        <v>23</v>
      </c>
      <c r="F3654" s="1">
        <v>40640</v>
      </c>
      <c r="G3654">
        <v>128741586</v>
      </c>
      <c r="H3654" t="s">
        <v>699</v>
      </c>
      <c r="I3654">
        <v>6351</v>
      </c>
      <c r="J3654">
        <v>421.89</v>
      </c>
      <c r="K3654">
        <v>364.69</v>
      </c>
      <c r="L3654">
        <v>2679423.39</v>
      </c>
      <c r="M3654">
        <v>2316146.19</v>
      </c>
      <c r="N3654">
        <v>363277.2</v>
      </c>
    </row>
    <row r="3655" spans="1:14" x14ac:dyDescent="0.25">
      <c r="A3655" t="s">
        <v>29</v>
      </c>
      <c r="B3655" t="s">
        <v>323</v>
      </c>
      <c r="C3655" t="s">
        <v>21</v>
      </c>
      <c r="D3655" t="s">
        <v>22</v>
      </c>
      <c r="E3655" t="s">
        <v>32</v>
      </c>
      <c r="F3655" s="1">
        <v>40885</v>
      </c>
      <c r="G3655">
        <v>958491313</v>
      </c>
      <c r="H3655" t="s">
        <v>735</v>
      </c>
      <c r="I3655">
        <v>7734</v>
      </c>
      <c r="J3655">
        <v>152.58000000000001</v>
      </c>
      <c r="K3655">
        <v>97.44</v>
      </c>
      <c r="L3655">
        <v>1180053.72</v>
      </c>
      <c r="M3655">
        <v>753600.96</v>
      </c>
      <c r="N3655">
        <v>426452.76</v>
      </c>
    </row>
    <row r="3656" spans="1:14" x14ac:dyDescent="0.25">
      <c r="A3656" t="s">
        <v>38</v>
      </c>
      <c r="B3656" t="s">
        <v>177</v>
      </c>
      <c r="C3656" t="s">
        <v>16</v>
      </c>
      <c r="D3656" t="s">
        <v>17</v>
      </c>
      <c r="E3656" t="s">
        <v>45</v>
      </c>
      <c r="F3656" s="1">
        <v>41915</v>
      </c>
      <c r="G3656">
        <v>695279920</v>
      </c>
      <c r="H3656" t="s">
        <v>1448</v>
      </c>
      <c r="I3656">
        <v>7634</v>
      </c>
      <c r="J3656">
        <v>255.28</v>
      </c>
      <c r="K3656">
        <v>159.41999999999999</v>
      </c>
      <c r="L3656">
        <v>1948807.52</v>
      </c>
      <c r="M3656">
        <v>1217012.28</v>
      </c>
      <c r="N3656">
        <v>731795.24</v>
      </c>
    </row>
    <row r="3657" spans="1:14" x14ac:dyDescent="0.25">
      <c r="A3657" t="s">
        <v>29</v>
      </c>
      <c r="B3657" t="s">
        <v>315</v>
      </c>
      <c r="C3657" t="s">
        <v>69</v>
      </c>
      <c r="D3657" t="s">
        <v>17</v>
      </c>
      <c r="E3657" t="s">
        <v>45</v>
      </c>
      <c r="F3657" s="1">
        <v>42374</v>
      </c>
      <c r="G3657">
        <v>826656234</v>
      </c>
      <c r="H3657" s="1">
        <v>42374</v>
      </c>
      <c r="I3657">
        <v>4805</v>
      </c>
      <c r="J3657">
        <v>421.89</v>
      </c>
      <c r="K3657">
        <v>364.69</v>
      </c>
      <c r="L3657">
        <v>2027181.45</v>
      </c>
      <c r="M3657">
        <v>1752335.45</v>
      </c>
      <c r="N3657">
        <v>274846</v>
      </c>
    </row>
    <row r="3658" spans="1:14" x14ac:dyDescent="0.25">
      <c r="A3658" t="s">
        <v>25</v>
      </c>
      <c r="B3658" t="s">
        <v>196</v>
      </c>
      <c r="C3658" t="s">
        <v>55</v>
      </c>
      <c r="D3658" t="s">
        <v>22</v>
      </c>
      <c r="E3658" t="s">
        <v>18</v>
      </c>
      <c r="F3658" s="1">
        <v>42677</v>
      </c>
      <c r="G3658">
        <v>660481584</v>
      </c>
      <c r="H3658" t="s">
        <v>1775</v>
      </c>
      <c r="I3658">
        <v>33</v>
      </c>
      <c r="J3658">
        <v>651.21</v>
      </c>
      <c r="K3658">
        <v>524.96</v>
      </c>
      <c r="L3658">
        <v>21489.93</v>
      </c>
      <c r="M3658">
        <v>17323.68</v>
      </c>
      <c r="N3658">
        <v>4166.25</v>
      </c>
    </row>
    <row r="3659" spans="1:14" x14ac:dyDescent="0.25">
      <c r="A3659" t="s">
        <v>42</v>
      </c>
      <c r="B3659" t="s">
        <v>107</v>
      </c>
      <c r="C3659" t="s">
        <v>31</v>
      </c>
      <c r="D3659" t="s">
        <v>22</v>
      </c>
      <c r="E3659" t="s">
        <v>32</v>
      </c>
      <c r="F3659" s="1">
        <v>42684</v>
      </c>
      <c r="G3659">
        <v>474929797</v>
      </c>
      <c r="H3659" t="s">
        <v>797</v>
      </c>
      <c r="I3659">
        <v>1136</v>
      </c>
      <c r="J3659">
        <v>205.7</v>
      </c>
      <c r="K3659">
        <v>117.11</v>
      </c>
      <c r="L3659">
        <v>233675.2</v>
      </c>
      <c r="M3659">
        <v>133036.96</v>
      </c>
      <c r="N3659">
        <v>100638.24</v>
      </c>
    </row>
    <row r="3660" spans="1:14" x14ac:dyDescent="0.25">
      <c r="A3660" t="s">
        <v>25</v>
      </c>
      <c r="B3660" t="s">
        <v>339</v>
      </c>
      <c r="C3660" t="s">
        <v>55</v>
      </c>
      <c r="D3660" t="s">
        <v>22</v>
      </c>
      <c r="E3660" t="s">
        <v>45</v>
      </c>
      <c r="F3660" s="1">
        <v>41706</v>
      </c>
      <c r="G3660">
        <v>168487203</v>
      </c>
      <c r="H3660" t="s">
        <v>341</v>
      </c>
      <c r="I3660">
        <v>7962</v>
      </c>
      <c r="J3660">
        <v>651.21</v>
      </c>
      <c r="K3660">
        <v>524.96</v>
      </c>
      <c r="L3660">
        <v>5184934.0199999996</v>
      </c>
      <c r="M3660">
        <v>4179731.52</v>
      </c>
      <c r="N3660">
        <v>1005202.5</v>
      </c>
    </row>
    <row r="3661" spans="1:14" x14ac:dyDescent="0.25">
      <c r="A3661" t="s">
        <v>25</v>
      </c>
      <c r="B3661" t="s">
        <v>185</v>
      </c>
      <c r="C3661" t="s">
        <v>69</v>
      </c>
      <c r="D3661" t="s">
        <v>17</v>
      </c>
      <c r="E3661" t="s">
        <v>18</v>
      </c>
      <c r="F3661" t="s">
        <v>379</v>
      </c>
      <c r="G3661">
        <v>609952628</v>
      </c>
      <c r="H3661" t="s">
        <v>1514</v>
      </c>
      <c r="I3661">
        <v>7392</v>
      </c>
      <c r="J3661">
        <v>421.89</v>
      </c>
      <c r="K3661">
        <v>364.69</v>
      </c>
      <c r="L3661">
        <v>3118610.88</v>
      </c>
      <c r="M3661">
        <v>2695788.48</v>
      </c>
      <c r="N3661">
        <v>422822.40000000002</v>
      </c>
    </row>
    <row r="3662" spans="1:14" x14ac:dyDescent="0.25">
      <c r="A3662" t="s">
        <v>14</v>
      </c>
      <c r="B3662" t="s">
        <v>208</v>
      </c>
      <c r="C3662" t="s">
        <v>88</v>
      </c>
      <c r="D3662" t="s">
        <v>17</v>
      </c>
      <c r="E3662" t="s">
        <v>18</v>
      </c>
      <c r="F3662" t="s">
        <v>1415</v>
      </c>
      <c r="G3662">
        <v>488437402</v>
      </c>
      <c r="H3662" s="1">
        <v>42350</v>
      </c>
      <c r="I3662">
        <v>8336</v>
      </c>
      <c r="J3662">
        <v>9.33</v>
      </c>
      <c r="K3662">
        <v>6.92</v>
      </c>
      <c r="L3662">
        <v>77774.880000000005</v>
      </c>
      <c r="M3662">
        <v>57685.120000000003</v>
      </c>
      <c r="N3662">
        <v>20089.759999999998</v>
      </c>
    </row>
    <row r="3663" spans="1:14" x14ac:dyDescent="0.25">
      <c r="A3663" t="s">
        <v>14</v>
      </c>
      <c r="B3663" t="s">
        <v>208</v>
      </c>
      <c r="C3663" t="s">
        <v>131</v>
      </c>
      <c r="D3663" t="s">
        <v>22</v>
      </c>
      <c r="E3663" t="s">
        <v>45</v>
      </c>
      <c r="F3663" t="s">
        <v>824</v>
      </c>
      <c r="G3663">
        <v>363365352</v>
      </c>
      <c r="H3663" s="1">
        <v>41641</v>
      </c>
      <c r="I3663">
        <v>6737</v>
      </c>
      <c r="J3663">
        <v>668.27</v>
      </c>
      <c r="K3663">
        <v>502.54</v>
      </c>
      <c r="L3663">
        <v>4502134.99</v>
      </c>
      <c r="M3663">
        <v>3385611.98</v>
      </c>
      <c r="N3663">
        <v>1116523.01</v>
      </c>
    </row>
    <row r="3664" spans="1:14" x14ac:dyDescent="0.25">
      <c r="A3664" t="s">
        <v>38</v>
      </c>
      <c r="B3664" t="s">
        <v>329</v>
      </c>
      <c r="C3664" t="s">
        <v>88</v>
      </c>
      <c r="D3664" t="s">
        <v>22</v>
      </c>
      <c r="E3664" t="s">
        <v>23</v>
      </c>
      <c r="F3664" t="s">
        <v>1573</v>
      </c>
      <c r="G3664">
        <v>414472806</v>
      </c>
      <c r="H3664" t="s">
        <v>1776</v>
      </c>
      <c r="I3664">
        <v>569</v>
      </c>
      <c r="J3664">
        <v>9.33</v>
      </c>
      <c r="K3664">
        <v>6.92</v>
      </c>
      <c r="L3664">
        <v>5308.77</v>
      </c>
      <c r="M3664">
        <v>3937.48</v>
      </c>
      <c r="N3664">
        <v>1371.29</v>
      </c>
    </row>
    <row r="3665" spans="1:14" x14ac:dyDescent="0.25">
      <c r="A3665" t="s">
        <v>25</v>
      </c>
      <c r="B3665" t="s">
        <v>569</v>
      </c>
      <c r="C3665" t="s">
        <v>16</v>
      </c>
      <c r="D3665" t="s">
        <v>22</v>
      </c>
      <c r="E3665" t="s">
        <v>45</v>
      </c>
      <c r="F3665" t="s">
        <v>698</v>
      </c>
      <c r="G3665">
        <v>891808593</v>
      </c>
      <c r="H3665" s="1">
        <v>41219</v>
      </c>
      <c r="I3665">
        <v>4835</v>
      </c>
      <c r="J3665">
        <v>255.28</v>
      </c>
      <c r="K3665">
        <v>159.41999999999999</v>
      </c>
      <c r="L3665">
        <v>1234278.8</v>
      </c>
      <c r="M3665">
        <v>770795.7</v>
      </c>
      <c r="N3665">
        <v>463483.1</v>
      </c>
    </row>
    <row r="3666" spans="1:14" x14ac:dyDescent="0.25">
      <c r="A3666" t="s">
        <v>25</v>
      </c>
      <c r="B3666" t="s">
        <v>142</v>
      </c>
      <c r="C3666" t="s">
        <v>88</v>
      </c>
      <c r="D3666" t="s">
        <v>17</v>
      </c>
      <c r="E3666" t="s">
        <v>32</v>
      </c>
      <c r="F3666" s="1">
        <v>43015</v>
      </c>
      <c r="G3666">
        <v>765734040</v>
      </c>
      <c r="H3666" s="1">
        <v>42833</v>
      </c>
      <c r="I3666">
        <v>6574</v>
      </c>
      <c r="J3666">
        <v>9.33</v>
      </c>
      <c r="K3666">
        <v>6.92</v>
      </c>
      <c r="L3666">
        <v>61335.42</v>
      </c>
      <c r="M3666">
        <v>45492.08</v>
      </c>
      <c r="N3666">
        <v>15843.34</v>
      </c>
    </row>
    <row r="3667" spans="1:14" x14ac:dyDescent="0.25">
      <c r="A3667" t="s">
        <v>14</v>
      </c>
      <c r="B3667" t="s">
        <v>383</v>
      </c>
      <c r="C3667" t="s">
        <v>44</v>
      </c>
      <c r="D3667" t="s">
        <v>17</v>
      </c>
      <c r="E3667" t="s">
        <v>45</v>
      </c>
      <c r="F3667" s="1">
        <v>40391</v>
      </c>
      <c r="G3667">
        <v>876922976</v>
      </c>
      <c r="H3667" t="s">
        <v>1644</v>
      </c>
      <c r="I3667">
        <v>9851</v>
      </c>
      <c r="J3667">
        <v>109.28</v>
      </c>
      <c r="K3667">
        <v>35.840000000000003</v>
      </c>
      <c r="L3667">
        <v>1076517.28</v>
      </c>
      <c r="M3667">
        <v>353059.84000000003</v>
      </c>
      <c r="N3667">
        <v>723457.44</v>
      </c>
    </row>
    <row r="3668" spans="1:14" x14ac:dyDescent="0.25">
      <c r="A3668" t="s">
        <v>42</v>
      </c>
      <c r="B3668" t="s">
        <v>103</v>
      </c>
      <c r="C3668" t="s">
        <v>27</v>
      </c>
      <c r="D3668" t="s">
        <v>17</v>
      </c>
      <c r="E3668" t="s">
        <v>32</v>
      </c>
      <c r="F3668" t="s">
        <v>700</v>
      </c>
      <c r="G3668">
        <v>786361730</v>
      </c>
      <c r="H3668" s="1">
        <v>40239</v>
      </c>
      <c r="I3668">
        <v>765</v>
      </c>
      <c r="J3668">
        <v>47.45</v>
      </c>
      <c r="K3668">
        <v>31.79</v>
      </c>
      <c r="L3668">
        <v>36299.25</v>
      </c>
      <c r="M3668">
        <v>24319.35</v>
      </c>
      <c r="N3668">
        <v>11979.9</v>
      </c>
    </row>
    <row r="3669" spans="1:14" x14ac:dyDescent="0.25">
      <c r="A3669" t="s">
        <v>25</v>
      </c>
      <c r="B3669" t="s">
        <v>142</v>
      </c>
      <c r="C3669" t="s">
        <v>31</v>
      </c>
      <c r="D3669" t="s">
        <v>22</v>
      </c>
      <c r="E3669" t="s">
        <v>32</v>
      </c>
      <c r="F3669" t="s">
        <v>1718</v>
      </c>
      <c r="G3669">
        <v>125349128</v>
      </c>
      <c r="H3669" s="1">
        <v>41066</v>
      </c>
      <c r="I3669">
        <v>2447</v>
      </c>
      <c r="J3669">
        <v>205.7</v>
      </c>
      <c r="K3669">
        <v>117.11</v>
      </c>
      <c r="L3669">
        <v>503347.9</v>
      </c>
      <c r="M3669">
        <v>286568.17</v>
      </c>
      <c r="N3669">
        <v>216779.73</v>
      </c>
    </row>
    <row r="3670" spans="1:14" x14ac:dyDescent="0.25">
      <c r="A3670" t="s">
        <v>14</v>
      </c>
      <c r="B3670" t="s">
        <v>383</v>
      </c>
      <c r="C3670" t="s">
        <v>40</v>
      </c>
      <c r="D3670" t="s">
        <v>17</v>
      </c>
      <c r="E3670" t="s">
        <v>18</v>
      </c>
      <c r="F3670" s="1">
        <v>40918</v>
      </c>
      <c r="G3670">
        <v>845496499</v>
      </c>
      <c r="H3670" s="1">
        <v>40950</v>
      </c>
      <c r="I3670">
        <v>58</v>
      </c>
      <c r="J3670">
        <v>81.73</v>
      </c>
      <c r="K3670">
        <v>56.67</v>
      </c>
      <c r="L3670">
        <v>4740.34</v>
      </c>
      <c r="M3670">
        <v>3286.86</v>
      </c>
      <c r="N3670">
        <v>1453.48</v>
      </c>
    </row>
    <row r="3671" spans="1:14" x14ac:dyDescent="0.25">
      <c r="A3671" t="s">
        <v>38</v>
      </c>
      <c r="B3671" t="s">
        <v>430</v>
      </c>
      <c r="C3671" t="s">
        <v>131</v>
      </c>
      <c r="D3671" t="s">
        <v>22</v>
      </c>
      <c r="E3671" t="s">
        <v>32</v>
      </c>
      <c r="F3671" t="s">
        <v>800</v>
      </c>
      <c r="G3671">
        <v>468727672</v>
      </c>
      <c r="H3671" s="1">
        <v>40645</v>
      </c>
      <c r="I3671">
        <v>5789</v>
      </c>
      <c r="J3671">
        <v>668.27</v>
      </c>
      <c r="K3671">
        <v>502.54</v>
      </c>
      <c r="L3671">
        <v>3868615.03</v>
      </c>
      <c r="M3671">
        <v>2909204.06</v>
      </c>
      <c r="N3671">
        <v>959410.97</v>
      </c>
    </row>
    <row r="3672" spans="1:14" x14ac:dyDescent="0.25">
      <c r="A3672" t="s">
        <v>38</v>
      </c>
      <c r="B3672" t="s">
        <v>68</v>
      </c>
      <c r="C3672" t="s">
        <v>55</v>
      </c>
      <c r="D3672" t="s">
        <v>22</v>
      </c>
      <c r="E3672" t="s">
        <v>45</v>
      </c>
      <c r="F3672" t="s">
        <v>340</v>
      </c>
      <c r="G3672">
        <v>637278974</v>
      </c>
      <c r="H3672" t="s">
        <v>832</v>
      </c>
      <c r="I3672">
        <v>3865</v>
      </c>
      <c r="J3672">
        <v>651.21</v>
      </c>
      <c r="K3672">
        <v>524.96</v>
      </c>
      <c r="L3672">
        <v>2516926.65</v>
      </c>
      <c r="M3672">
        <v>2028970.4</v>
      </c>
      <c r="N3672">
        <v>487956.25</v>
      </c>
    </row>
    <row r="3673" spans="1:14" x14ac:dyDescent="0.25">
      <c r="A3673" t="s">
        <v>51</v>
      </c>
      <c r="B3673" t="s">
        <v>542</v>
      </c>
      <c r="C3673" t="s">
        <v>31</v>
      </c>
      <c r="D3673" t="s">
        <v>17</v>
      </c>
      <c r="E3673" t="s">
        <v>18</v>
      </c>
      <c r="F3673" t="s">
        <v>508</v>
      </c>
      <c r="G3673">
        <v>363699233</v>
      </c>
      <c r="H3673" t="s">
        <v>163</v>
      </c>
      <c r="I3673">
        <v>5540</v>
      </c>
      <c r="J3673">
        <v>205.7</v>
      </c>
      <c r="K3673">
        <v>117.11</v>
      </c>
      <c r="L3673">
        <v>1139578</v>
      </c>
      <c r="M3673">
        <v>648789.4</v>
      </c>
      <c r="N3673">
        <v>490788.6</v>
      </c>
    </row>
    <row r="3674" spans="1:14" x14ac:dyDescent="0.25">
      <c r="A3674" t="s">
        <v>38</v>
      </c>
      <c r="B3674" t="s">
        <v>117</v>
      </c>
      <c r="C3674" t="s">
        <v>55</v>
      </c>
      <c r="D3674" t="s">
        <v>17</v>
      </c>
      <c r="E3674" t="s">
        <v>18</v>
      </c>
      <c r="F3674" s="1">
        <v>42614</v>
      </c>
      <c r="G3674">
        <v>980849778</v>
      </c>
      <c r="H3674" t="s">
        <v>1521</v>
      </c>
      <c r="I3674">
        <v>4101</v>
      </c>
      <c r="J3674">
        <v>651.21</v>
      </c>
      <c r="K3674">
        <v>524.96</v>
      </c>
      <c r="L3674">
        <v>2670612.21</v>
      </c>
      <c r="M3674">
        <v>2152860.96</v>
      </c>
      <c r="N3674">
        <v>517751.25</v>
      </c>
    </row>
    <row r="3675" spans="1:14" x14ac:dyDescent="0.25">
      <c r="A3675" t="s">
        <v>51</v>
      </c>
      <c r="B3675" t="s">
        <v>299</v>
      </c>
      <c r="C3675" t="s">
        <v>40</v>
      </c>
      <c r="D3675" t="s">
        <v>22</v>
      </c>
      <c r="E3675" t="s">
        <v>32</v>
      </c>
      <c r="F3675" t="s">
        <v>1777</v>
      </c>
      <c r="G3675">
        <v>291904437</v>
      </c>
      <c r="H3675" s="1">
        <v>40850</v>
      </c>
      <c r="I3675">
        <v>9865</v>
      </c>
      <c r="J3675">
        <v>81.73</v>
      </c>
      <c r="K3675">
        <v>56.67</v>
      </c>
      <c r="L3675">
        <v>806266.45</v>
      </c>
      <c r="M3675">
        <v>559049.55000000005</v>
      </c>
      <c r="N3675">
        <v>247216.9</v>
      </c>
    </row>
    <row r="3676" spans="1:14" x14ac:dyDescent="0.25">
      <c r="A3676" t="s">
        <v>38</v>
      </c>
      <c r="B3676" t="s">
        <v>58</v>
      </c>
      <c r="C3676" t="s">
        <v>59</v>
      </c>
      <c r="D3676" t="s">
        <v>17</v>
      </c>
      <c r="E3676" t="s">
        <v>32</v>
      </c>
      <c r="F3676" s="1">
        <v>42557</v>
      </c>
      <c r="G3676">
        <v>220349538</v>
      </c>
      <c r="H3676" t="s">
        <v>733</v>
      </c>
      <c r="I3676">
        <v>5180</v>
      </c>
      <c r="J3676">
        <v>437.2</v>
      </c>
      <c r="K3676">
        <v>263.33</v>
      </c>
      <c r="L3676">
        <v>2264696</v>
      </c>
      <c r="M3676">
        <v>1364049.4</v>
      </c>
      <c r="N3676">
        <v>900646.6</v>
      </c>
    </row>
    <row r="3677" spans="1:14" x14ac:dyDescent="0.25">
      <c r="A3677" t="s">
        <v>29</v>
      </c>
      <c r="B3677" t="s">
        <v>619</v>
      </c>
      <c r="C3677" t="s">
        <v>59</v>
      </c>
      <c r="D3677" t="s">
        <v>22</v>
      </c>
      <c r="E3677" t="s">
        <v>23</v>
      </c>
      <c r="F3677" s="1">
        <v>41221</v>
      </c>
      <c r="G3677">
        <v>959983909</v>
      </c>
      <c r="H3677" s="1">
        <v>41099</v>
      </c>
      <c r="I3677">
        <v>9426</v>
      </c>
      <c r="J3677">
        <v>437.2</v>
      </c>
      <c r="K3677">
        <v>263.33</v>
      </c>
      <c r="L3677">
        <v>4121047.2</v>
      </c>
      <c r="M3677">
        <v>2482148.58</v>
      </c>
      <c r="N3677">
        <v>1638898.62</v>
      </c>
    </row>
    <row r="3678" spans="1:14" x14ac:dyDescent="0.25">
      <c r="A3678" t="s">
        <v>42</v>
      </c>
      <c r="B3678" t="s">
        <v>146</v>
      </c>
      <c r="C3678" t="s">
        <v>31</v>
      </c>
      <c r="D3678" t="s">
        <v>17</v>
      </c>
      <c r="E3678" t="s">
        <v>23</v>
      </c>
      <c r="F3678" t="s">
        <v>607</v>
      </c>
      <c r="G3678">
        <v>524918878</v>
      </c>
      <c r="H3678" s="1">
        <v>40884</v>
      </c>
      <c r="I3678">
        <v>4016</v>
      </c>
      <c r="J3678">
        <v>205.7</v>
      </c>
      <c r="K3678">
        <v>117.11</v>
      </c>
      <c r="L3678">
        <v>826091.2</v>
      </c>
      <c r="M3678">
        <v>470313.76</v>
      </c>
      <c r="N3678">
        <v>355777.44</v>
      </c>
    </row>
    <row r="3679" spans="1:14" x14ac:dyDescent="0.25">
      <c r="A3679" t="s">
        <v>29</v>
      </c>
      <c r="B3679" t="s">
        <v>585</v>
      </c>
      <c r="C3679" t="s">
        <v>131</v>
      </c>
      <c r="D3679" t="s">
        <v>22</v>
      </c>
      <c r="E3679" t="s">
        <v>45</v>
      </c>
      <c r="F3679" t="s">
        <v>693</v>
      </c>
      <c r="G3679">
        <v>599578273</v>
      </c>
      <c r="H3679" t="s">
        <v>399</v>
      </c>
      <c r="I3679">
        <v>7390</v>
      </c>
      <c r="J3679">
        <v>668.27</v>
      </c>
      <c r="K3679">
        <v>502.54</v>
      </c>
      <c r="L3679">
        <v>4938515.3</v>
      </c>
      <c r="M3679">
        <v>3713770.6</v>
      </c>
      <c r="N3679">
        <v>1224744.7</v>
      </c>
    </row>
    <row r="3680" spans="1:14" x14ac:dyDescent="0.25">
      <c r="A3680" t="s">
        <v>25</v>
      </c>
      <c r="B3680" t="s">
        <v>172</v>
      </c>
      <c r="C3680" t="s">
        <v>113</v>
      </c>
      <c r="D3680" t="s">
        <v>22</v>
      </c>
      <c r="E3680" t="s">
        <v>45</v>
      </c>
      <c r="F3680" s="1">
        <v>43072</v>
      </c>
      <c r="G3680">
        <v>688698422</v>
      </c>
      <c r="H3680" s="1">
        <v>42739</v>
      </c>
      <c r="I3680">
        <v>22</v>
      </c>
      <c r="J3680">
        <v>154.06</v>
      </c>
      <c r="K3680">
        <v>90.93</v>
      </c>
      <c r="L3680">
        <v>3389.32</v>
      </c>
      <c r="M3680">
        <v>2000.46</v>
      </c>
      <c r="N3680">
        <v>1388.86</v>
      </c>
    </row>
    <row r="3681" spans="1:14" x14ac:dyDescent="0.25">
      <c r="A3681" t="s">
        <v>25</v>
      </c>
      <c r="B3681" t="s">
        <v>418</v>
      </c>
      <c r="C3681" t="s">
        <v>131</v>
      </c>
      <c r="D3681" t="s">
        <v>17</v>
      </c>
      <c r="E3681" t="s">
        <v>32</v>
      </c>
      <c r="F3681" t="s">
        <v>1652</v>
      </c>
      <c r="G3681">
        <v>367328155</v>
      </c>
      <c r="H3681" t="s">
        <v>1028</v>
      </c>
      <c r="I3681">
        <v>9419</v>
      </c>
      <c r="J3681">
        <v>668.27</v>
      </c>
      <c r="K3681">
        <v>502.54</v>
      </c>
      <c r="L3681">
        <v>6294435.1299999999</v>
      </c>
      <c r="M3681">
        <v>4733424.26</v>
      </c>
      <c r="N3681">
        <v>1561010.87</v>
      </c>
    </row>
    <row r="3682" spans="1:14" x14ac:dyDescent="0.25">
      <c r="A3682" t="s">
        <v>29</v>
      </c>
      <c r="B3682" t="s">
        <v>30</v>
      </c>
      <c r="C3682" t="s">
        <v>21</v>
      </c>
      <c r="D3682" t="s">
        <v>17</v>
      </c>
      <c r="E3682" t="s">
        <v>32</v>
      </c>
      <c r="F3682" s="1">
        <v>41282</v>
      </c>
      <c r="G3682">
        <v>630828797</v>
      </c>
      <c r="H3682" s="1">
        <v>41402</v>
      </c>
      <c r="I3682">
        <v>5114</v>
      </c>
      <c r="J3682">
        <v>152.58000000000001</v>
      </c>
      <c r="K3682">
        <v>97.44</v>
      </c>
      <c r="L3682">
        <v>780294.12</v>
      </c>
      <c r="M3682">
        <v>498308.16</v>
      </c>
      <c r="N3682">
        <v>281985.96000000002</v>
      </c>
    </row>
    <row r="3683" spans="1:14" x14ac:dyDescent="0.25">
      <c r="A3683" t="s">
        <v>38</v>
      </c>
      <c r="B3683" t="s">
        <v>288</v>
      </c>
      <c r="C3683" t="s">
        <v>88</v>
      </c>
      <c r="D3683" t="s">
        <v>17</v>
      </c>
      <c r="E3683" t="s">
        <v>45</v>
      </c>
      <c r="F3683" s="1">
        <v>41947</v>
      </c>
      <c r="G3683">
        <v>744874179</v>
      </c>
      <c r="H3683" s="1">
        <v>41947</v>
      </c>
      <c r="I3683">
        <v>3677</v>
      </c>
      <c r="J3683">
        <v>9.33</v>
      </c>
      <c r="K3683">
        <v>6.92</v>
      </c>
      <c r="L3683">
        <v>34306.410000000003</v>
      </c>
      <c r="M3683">
        <v>25444.84</v>
      </c>
      <c r="N3683">
        <v>8861.57</v>
      </c>
    </row>
    <row r="3684" spans="1:14" x14ac:dyDescent="0.25">
      <c r="A3684" t="s">
        <v>25</v>
      </c>
      <c r="B3684" t="s">
        <v>140</v>
      </c>
      <c r="C3684" t="s">
        <v>31</v>
      </c>
      <c r="D3684" t="s">
        <v>22</v>
      </c>
      <c r="E3684" t="s">
        <v>32</v>
      </c>
      <c r="F3684" t="s">
        <v>520</v>
      </c>
      <c r="G3684">
        <v>495450627</v>
      </c>
      <c r="H3684" t="s">
        <v>193</v>
      </c>
      <c r="I3684">
        <v>3705</v>
      </c>
      <c r="J3684">
        <v>205.7</v>
      </c>
      <c r="K3684">
        <v>117.11</v>
      </c>
      <c r="L3684">
        <v>762118.5</v>
      </c>
      <c r="M3684">
        <v>433892.55</v>
      </c>
      <c r="N3684">
        <v>328225.95</v>
      </c>
    </row>
    <row r="3685" spans="1:14" x14ac:dyDescent="0.25">
      <c r="A3685" t="s">
        <v>25</v>
      </c>
      <c r="B3685" t="s">
        <v>609</v>
      </c>
      <c r="C3685" t="s">
        <v>40</v>
      </c>
      <c r="D3685" t="s">
        <v>17</v>
      </c>
      <c r="E3685" t="s">
        <v>18</v>
      </c>
      <c r="F3685" t="s">
        <v>1716</v>
      </c>
      <c r="G3685">
        <v>638856971</v>
      </c>
      <c r="H3685" t="s">
        <v>1473</v>
      </c>
      <c r="I3685">
        <v>829</v>
      </c>
      <c r="J3685">
        <v>81.73</v>
      </c>
      <c r="K3685">
        <v>56.67</v>
      </c>
      <c r="L3685">
        <v>67754.17</v>
      </c>
      <c r="M3685">
        <v>46979.43</v>
      </c>
      <c r="N3685">
        <v>20774.740000000002</v>
      </c>
    </row>
    <row r="3686" spans="1:14" x14ac:dyDescent="0.25">
      <c r="A3686" t="s">
        <v>42</v>
      </c>
      <c r="B3686" t="s">
        <v>290</v>
      </c>
      <c r="C3686" t="s">
        <v>131</v>
      </c>
      <c r="D3686" t="s">
        <v>17</v>
      </c>
      <c r="E3686" t="s">
        <v>45</v>
      </c>
      <c r="F3686" s="1">
        <v>41883</v>
      </c>
      <c r="G3686">
        <v>651704537</v>
      </c>
      <c r="H3686" t="s">
        <v>474</v>
      </c>
      <c r="I3686">
        <v>2710</v>
      </c>
      <c r="J3686">
        <v>668.27</v>
      </c>
      <c r="K3686">
        <v>502.54</v>
      </c>
      <c r="L3686">
        <v>1811011.7</v>
      </c>
      <c r="M3686">
        <v>1361883.4</v>
      </c>
      <c r="N3686">
        <v>449128.3</v>
      </c>
    </row>
    <row r="3687" spans="1:14" x14ac:dyDescent="0.25">
      <c r="A3687" t="s">
        <v>14</v>
      </c>
      <c r="B3687" t="s">
        <v>154</v>
      </c>
      <c r="C3687" t="s">
        <v>69</v>
      </c>
      <c r="D3687" t="s">
        <v>22</v>
      </c>
      <c r="E3687" t="s">
        <v>23</v>
      </c>
      <c r="F3687" t="s">
        <v>475</v>
      </c>
      <c r="G3687">
        <v>980917155</v>
      </c>
      <c r="H3687" s="1">
        <v>42593</v>
      </c>
      <c r="I3687">
        <v>4039</v>
      </c>
      <c r="J3687">
        <v>421.89</v>
      </c>
      <c r="K3687">
        <v>364.69</v>
      </c>
      <c r="L3687">
        <v>1704013.71</v>
      </c>
      <c r="M3687">
        <v>1472982.91</v>
      </c>
      <c r="N3687">
        <v>231030.8</v>
      </c>
    </row>
    <row r="3688" spans="1:14" x14ac:dyDescent="0.25">
      <c r="A3688" t="s">
        <v>38</v>
      </c>
      <c r="B3688" t="s">
        <v>177</v>
      </c>
      <c r="C3688" t="s">
        <v>131</v>
      </c>
      <c r="D3688" t="s">
        <v>22</v>
      </c>
      <c r="E3688" t="s">
        <v>23</v>
      </c>
      <c r="F3688" t="s">
        <v>1266</v>
      </c>
      <c r="G3688">
        <v>793731153</v>
      </c>
      <c r="H3688" s="1">
        <v>40518</v>
      </c>
      <c r="I3688">
        <v>1541</v>
      </c>
      <c r="J3688">
        <v>668.27</v>
      </c>
      <c r="K3688">
        <v>502.54</v>
      </c>
      <c r="L3688">
        <v>1029804.07</v>
      </c>
      <c r="M3688">
        <v>774414.14</v>
      </c>
      <c r="N3688">
        <v>255389.93</v>
      </c>
    </row>
    <row r="3689" spans="1:14" x14ac:dyDescent="0.25">
      <c r="A3689" t="s">
        <v>38</v>
      </c>
      <c r="B3689" t="s">
        <v>117</v>
      </c>
      <c r="C3689" t="s">
        <v>113</v>
      </c>
      <c r="D3689" t="s">
        <v>17</v>
      </c>
      <c r="E3689" t="s">
        <v>18</v>
      </c>
      <c r="F3689" t="s">
        <v>358</v>
      </c>
      <c r="G3689">
        <v>227695357</v>
      </c>
      <c r="H3689" t="s">
        <v>359</v>
      </c>
      <c r="I3689">
        <v>8971</v>
      </c>
      <c r="J3689">
        <v>154.06</v>
      </c>
      <c r="K3689">
        <v>90.93</v>
      </c>
      <c r="L3689">
        <v>1382072.26</v>
      </c>
      <c r="M3689">
        <v>815733.03</v>
      </c>
      <c r="N3689">
        <v>566339.23</v>
      </c>
    </row>
    <row r="3690" spans="1:14" x14ac:dyDescent="0.25">
      <c r="A3690" t="s">
        <v>38</v>
      </c>
      <c r="B3690" t="s">
        <v>187</v>
      </c>
      <c r="C3690" t="s">
        <v>16</v>
      </c>
      <c r="D3690" t="s">
        <v>22</v>
      </c>
      <c r="E3690" t="s">
        <v>23</v>
      </c>
      <c r="F3690" s="1">
        <v>41031</v>
      </c>
      <c r="G3690">
        <v>840671098</v>
      </c>
      <c r="H3690" t="s">
        <v>1587</v>
      </c>
      <c r="I3690">
        <v>2114</v>
      </c>
      <c r="J3690">
        <v>255.28</v>
      </c>
      <c r="K3690">
        <v>159.41999999999999</v>
      </c>
      <c r="L3690">
        <v>539661.92000000004</v>
      </c>
      <c r="M3690">
        <v>337013.88</v>
      </c>
      <c r="N3690">
        <v>202648.04</v>
      </c>
    </row>
    <row r="3691" spans="1:14" x14ac:dyDescent="0.25">
      <c r="A3691" t="s">
        <v>51</v>
      </c>
      <c r="B3691" t="s">
        <v>250</v>
      </c>
      <c r="C3691" t="s">
        <v>40</v>
      </c>
      <c r="D3691" t="s">
        <v>17</v>
      </c>
      <c r="E3691" t="s">
        <v>18</v>
      </c>
      <c r="F3691" s="1">
        <v>41437</v>
      </c>
      <c r="G3691">
        <v>660832202</v>
      </c>
      <c r="H3691" t="s">
        <v>996</v>
      </c>
      <c r="I3691">
        <v>3789</v>
      </c>
      <c r="J3691">
        <v>81.73</v>
      </c>
      <c r="K3691">
        <v>56.67</v>
      </c>
      <c r="L3691">
        <v>309674.96999999997</v>
      </c>
      <c r="M3691">
        <v>214722.63</v>
      </c>
      <c r="N3691">
        <v>94952.34</v>
      </c>
    </row>
    <row r="3692" spans="1:14" x14ac:dyDescent="0.25">
      <c r="A3692" t="s">
        <v>25</v>
      </c>
      <c r="B3692" t="s">
        <v>569</v>
      </c>
      <c r="C3692" t="s">
        <v>113</v>
      </c>
      <c r="D3692" t="s">
        <v>22</v>
      </c>
      <c r="E3692" t="s">
        <v>18</v>
      </c>
      <c r="F3692" s="1">
        <v>42375</v>
      </c>
      <c r="G3692">
        <v>936664998</v>
      </c>
      <c r="H3692" s="1">
        <v>42497</v>
      </c>
      <c r="I3692">
        <v>8843</v>
      </c>
      <c r="J3692">
        <v>154.06</v>
      </c>
      <c r="K3692">
        <v>90.93</v>
      </c>
      <c r="L3692">
        <v>1362352.58</v>
      </c>
      <c r="M3692">
        <v>804093.99</v>
      </c>
      <c r="N3692">
        <v>558258.59</v>
      </c>
    </row>
    <row r="3693" spans="1:14" x14ac:dyDescent="0.25">
      <c r="A3693" t="s">
        <v>14</v>
      </c>
      <c r="B3693" t="s">
        <v>627</v>
      </c>
      <c r="C3693" t="s">
        <v>31</v>
      </c>
      <c r="D3693" t="s">
        <v>17</v>
      </c>
      <c r="E3693" t="s">
        <v>18</v>
      </c>
      <c r="F3693" t="s">
        <v>1778</v>
      </c>
      <c r="G3693">
        <v>286968314</v>
      </c>
      <c r="H3693" t="s">
        <v>1536</v>
      </c>
      <c r="I3693">
        <v>9156</v>
      </c>
      <c r="J3693">
        <v>205.7</v>
      </c>
      <c r="K3693">
        <v>117.11</v>
      </c>
      <c r="L3693">
        <v>1883389.2</v>
      </c>
      <c r="M3693">
        <v>1072259.1599999999</v>
      </c>
      <c r="N3693">
        <v>811130.04</v>
      </c>
    </row>
    <row r="3694" spans="1:14" x14ac:dyDescent="0.25">
      <c r="A3694" t="s">
        <v>42</v>
      </c>
      <c r="B3694" t="s">
        <v>630</v>
      </c>
      <c r="C3694" t="s">
        <v>16</v>
      </c>
      <c r="D3694" t="s">
        <v>17</v>
      </c>
      <c r="E3694" t="s">
        <v>18</v>
      </c>
      <c r="F3694" s="1">
        <v>41679</v>
      </c>
      <c r="G3694">
        <v>550853478</v>
      </c>
      <c r="H3694" t="s">
        <v>1050</v>
      </c>
      <c r="I3694">
        <v>8640</v>
      </c>
      <c r="J3694">
        <v>255.28</v>
      </c>
      <c r="K3694">
        <v>159.41999999999999</v>
      </c>
      <c r="L3694">
        <v>2205619.2000000002</v>
      </c>
      <c r="M3694">
        <v>1377388.8</v>
      </c>
      <c r="N3694">
        <v>828230.4</v>
      </c>
    </row>
    <row r="3695" spans="1:14" x14ac:dyDescent="0.25">
      <c r="A3695" t="s">
        <v>51</v>
      </c>
      <c r="B3695" t="s">
        <v>274</v>
      </c>
      <c r="C3695" t="s">
        <v>44</v>
      </c>
      <c r="D3695" t="s">
        <v>22</v>
      </c>
      <c r="E3695" t="s">
        <v>18</v>
      </c>
      <c r="F3695" t="s">
        <v>1687</v>
      </c>
      <c r="G3695">
        <v>937744319</v>
      </c>
      <c r="H3695" t="s">
        <v>1719</v>
      </c>
      <c r="I3695">
        <v>8238</v>
      </c>
      <c r="J3695">
        <v>109.28</v>
      </c>
      <c r="K3695">
        <v>35.840000000000003</v>
      </c>
      <c r="L3695">
        <v>900248.64</v>
      </c>
      <c r="M3695">
        <v>295249.91999999998</v>
      </c>
      <c r="N3695">
        <v>604998.72</v>
      </c>
    </row>
    <row r="3696" spans="1:14" x14ac:dyDescent="0.25">
      <c r="A3696" t="s">
        <v>14</v>
      </c>
      <c r="B3696" t="s">
        <v>370</v>
      </c>
      <c r="C3696" t="s">
        <v>88</v>
      </c>
      <c r="D3696" t="s">
        <v>22</v>
      </c>
      <c r="E3696" t="s">
        <v>23</v>
      </c>
      <c r="F3696" t="s">
        <v>865</v>
      </c>
      <c r="G3696">
        <v>277377164</v>
      </c>
      <c r="H3696" s="1">
        <v>42190</v>
      </c>
      <c r="I3696">
        <v>922</v>
      </c>
      <c r="J3696">
        <v>9.33</v>
      </c>
      <c r="K3696">
        <v>6.92</v>
      </c>
      <c r="L3696">
        <v>8602.26</v>
      </c>
      <c r="M3696">
        <v>6380.24</v>
      </c>
      <c r="N3696">
        <v>2222.02</v>
      </c>
    </row>
    <row r="3697" spans="1:14" x14ac:dyDescent="0.25">
      <c r="A3697" t="s">
        <v>51</v>
      </c>
      <c r="B3697" t="s">
        <v>593</v>
      </c>
      <c r="C3697" t="s">
        <v>16</v>
      </c>
      <c r="D3697" t="s">
        <v>17</v>
      </c>
      <c r="E3697" t="s">
        <v>23</v>
      </c>
      <c r="F3697" t="s">
        <v>1101</v>
      </c>
      <c r="G3697">
        <v>169800841</v>
      </c>
      <c r="H3697" t="s">
        <v>1536</v>
      </c>
      <c r="I3697">
        <v>6697</v>
      </c>
      <c r="J3697">
        <v>255.28</v>
      </c>
      <c r="K3697">
        <v>159.41999999999999</v>
      </c>
      <c r="L3697">
        <v>1709610.16</v>
      </c>
      <c r="M3697">
        <v>1067635.74</v>
      </c>
      <c r="N3697">
        <v>641974.42000000004</v>
      </c>
    </row>
    <row r="3698" spans="1:14" x14ac:dyDescent="0.25">
      <c r="A3698" t="s">
        <v>51</v>
      </c>
      <c r="B3698" t="s">
        <v>129</v>
      </c>
      <c r="C3698" t="s">
        <v>27</v>
      </c>
      <c r="D3698" t="s">
        <v>17</v>
      </c>
      <c r="E3698" t="s">
        <v>32</v>
      </c>
      <c r="F3698" t="s">
        <v>1779</v>
      </c>
      <c r="G3698">
        <v>935376679</v>
      </c>
      <c r="H3698" t="s">
        <v>741</v>
      </c>
      <c r="I3698">
        <v>7600</v>
      </c>
      <c r="J3698">
        <v>47.45</v>
      </c>
      <c r="K3698">
        <v>31.79</v>
      </c>
      <c r="L3698">
        <v>360620</v>
      </c>
      <c r="M3698">
        <v>241604</v>
      </c>
      <c r="N3698">
        <v>119016</v>
      </c>
    </row>
    <row r="3699" spans="1:14" x14ac:dyDescent="0.25">
      <c r="A3699" t="s">
        <v>14</v>
      </c>
      <c r="B3699" t="s">
        <v>370</v>
      </c>
      <c r="C3699" t="s">
        <v>59</v>
      </c>
      <c r="D3699" t="s">
        <v>22</v>
      </c>
      <c r="E3699" t="s">
        <v>45</v>
      </c>
      <c r="F3699" s="1">
        <v>40767</v>
      </c>
      <c r="G3699">
        <v>264778506</v>
      </c>
      <c r="H3699" t="s">
        <v>362</v>
      </c>
      <c r="I3699">
        <v>2699</v>
      </c>
      <c r="J3699">
        <v>437.2</v>
      </c>
      <c r="K3699">
        <v>263.33</v>
      </c>
      <c r="L3699">
        <v>1180002.8</v>
      </c>
      <c r="M3699">
        <v>710727.67</v>
      </c>
      <c r="N3699">
        <v>469275.13</v>
      </c>
    </row>
    <row r="3700" spans="1:14" x14ac:dyDescent="0.25">
      <c r="A3700" t="s">
        <v>29</v>
      </c>
      <c r="B3700" t="s">
        <v>440</v>
      </c>
      <c r="C3700" t="s">
        <v>131</v>
      </c>
      <c r="D3700" t="s">
        <v>22</v>
      </c>
      <c r="E3700" t="s">
        <v>32</v>
      </c>
      <c r="F3700" t="s">
        <v>1780</v>
      </c>
      <c r="G3700">
        <v>868992650</v>
      </c>
      <c r="H3700" s="1">
        <v>41405</v>
      </c>
      <c r="I3700">
        <v>3091</v>
      </c>
      <c r="J3700">
        <v>668.27</v>
      </c>
      <c r="K3700">
        <v>502.54</v>
      </c>
      <c r="L3700">
        <v>2065622.57</v>
      </c>
      <c r="M3700">
        <v>1553351.14</v>
      </c>
      <c r="N3700">
        <v>512271.43</v>
      </c>
    </row>
    <row r="3701" spans="1:14" x14ac:dyDescent="0.25">
      <c r="A3701" t="s">
        <v>38</v>
      </c>
      <c r="B3701" t="s">
        <v>388</v>
      </c>
      <c r="C3701" t="s">
        <v>113</v>
      </c>
      <c r="D3701" t="s">
        <v>22</v>
      </c>
      <c r="E3701" t="s">
        <v>45</v>
      </c>
      <c r="F3701" t="s">
        <v>1600</v>
      </c>
      <c r="G3701">
        <v>129317939</v>
      </c>
      <c r="H3701" t="s">
        <v>1342</v>
      </c>
      <c r="I3701">
        <v>6907</v>
      </c>
      <c r="J3701">
        <v>154.06</v>
      </c>
      <c r="K3701">
        <v>90.93</v>
      </c>
      <c r="L3701">
        <v>1064092.42</v>
      </c>
      <c r="M3701">
        <v>628053.51</v>
      </c>
      <c r="N3701">
        <v>436038.91</v>
      </c>
    </row>
    <row r="3702" spans="1:14" x14ac:dyDescent="0.25">
      <c r="A3702" t="s">
        <v>29</v>
      </c>
      <c r="B3702" t="s">
        <v>35</v>
      </c>
      <c r="C3702" t="s">
        <v>27</v>
      </c>
      <c r="D3702" t="s">
        <v>17</v>
      </c>
      <c r="E3702" t="s">
        <v>45</v>
      </c>
      <c r="F3702" t="s">
        <v>1676</v>
      </c>
      <c r="G3702">
        <v>447365701</v>
      </c>
      <c r="H3702" s="1">
        <v>42343</v>
      </c>
      <c r="I3702">
        <v>4307</v>
      </c>
      <c r="J3702">
        <v>47.45</v>
      </c>
      <c r="K3702">
        <v>31.79</v>
      </c>
      <c r="L3702">
        <v>204367.15</v>
      </c>
      <c r="M3702">
        <v>136919.53</v>
      </c>
      <c r="N3702">
        <v>67447.62</v>
      </c>
    </row>
    <row r="3703" spans="1:14" x14ac:dyDescent="0.25">
      <c r="A3703" t="s">
        <v>25</v>
      </c>
      <c r="B3703" t="s">
        <v>140</v>
      </c>
      <c r="C3703" t="s">
        <v>59</v>
      </c>
      <c r="D3703" t="s">
        <v>22</v>
      </c>
      <c r="E3703" t="s">
        <v>23</v>
      </c>
      <c r="F3703" t="s">
        <v>291</v>
      </c>
      <c r="G3703">
        <v>695059764</v>
      </c>
      <c r="H3703" t="s">
        <v>553</v>
      </c>
      <c r="I3703">
        <v>2485</v>
      </c>
      <c r="J3703">
        <v>437.2</v>
      </c>
      <c r="K3703">
        <v>263.33</v>
      </c>
      <c r="L3703">
        <v>1086442</v>
      </c>
      <c r="M3703">
        <v>654375.05000000005</v>
      </c>
      <c r="N3703">
        <v>432066.95</v>
      </c>
    </row>
    <row r="3704" spans="1:14" x14ac:dyDescent="0.25">
      <c r="A3704" t="s">
        <v>29</v>
      </c>
      <c r="B3704" t="s">
        <v>199</v>
      </c>
      <c r="C3704" t="s">
        <v>44</v>
      </c>
      <c r="D3704" t="s">
        <v>22</v>
      </c>
      <c r="E3704" t="s">
        <v>45</v>
      </c>
      <c r="F3704" s="1">
        <v>40851</v>
      </c>
      <c r="G3704">
        <v>264636456</v>
      </c>
      <c r="H3704" t="s">
        <v>1061</v>
      </c>
      <c r="I3704">
        <v>663</v>
      </c>
      <c r="J3704">
        <v>109.28</v>
      </c>
      <c r="K3704">
        <v>35.840000000000003</v>
      </c>
      <c r="L3704">
        <v>72452.639999999999</v>
      </c>
      <c r="M3704">
        <v>23761.919999999998</v>
      </c>
      <c r="N3704">
        <v>48690.720000000001</v>
      </c>
    </row>
    <row r="3705" spans="1:14" x14ac:dyDescent="0.25">
      <c r="A3705" t="s">
        <v>38</v>
      </c>
      <c r="B3705" t="s">
        <v>68</v>
      </c>
      <c r="C3705" t="s">
        <v>113</v>
      </c>
      <c r="D3705" t="s">
        <v>17</v>
      </c>
      <c r="E3705" t="s">
        <v>18</v>
      </c>
      <c r="F3705" t="s">
        <v>1137</v>
      </c>
      <c r="G3705">
        <v>418644607</v>
      </c>
      <c r="H3705" t="s">
        <v>788</v>
      </c>
      <c r="I3705">
        <v>5097</v>
      </c>
      <c r="J3705">
        <v>154.06</v>
      </c>
      <c r="K3705">
        <v>90.93</v>
      </c>
      <c r="L3705">
        <v>785243.82</v>
      </c>
      <c r="M3705">
        <v>463470.21</v>
      </c>
      <c r="N3705">
        <v>321773.61</v>
      </c>
    </row>
    <row r="3706" spans="1:14" x14ac:dyDescent="0.25">
      <c r="A3706" t="s">
        <v>38</v>
      </c>
      <c r="B3706" t="s">
        <v>451</v>
      </c>
      <c r="C3706" t="s">
        <v>59</v>
      </c>
      <c r="D3706" t="s">
        <v>22</v>
      </c>
      <c r="E3706" t="s">
        <v>32</v>
      </c>
      <c r="F3706" t="s">
        <v>666</v>
      </c>
      <c r="G3706">
        <v>239945542</v>
      </c>
      <c r="H3706" t="s">
        <v>1108</v>
      </c>
      <c r="I3706">
        <v>4073</v>
      </c>
      <c r="J3706">
        <v>437.2</v>
      </c>
      <c r="K3706">
        <v>263.33</v>
      </c>
      <c r="L3706">
        <v>1780715.6</v>
      </c>
      <c r="M3706">
        <v>1072543.0900000001</v>
      </c>
      <c r="N3706">
        <v>708172.51</v>
      </c>
    </row>
    <row r="3707" spans="1:14" x14ac:dyDescent="0.25">
      <c r="A3707" t="s">
        <v>25</v>
      </c>
      <c r="B3707" t="s">
        <v>609</v>
      </c>
      <c r="C3707" t="s">
        <v>27</v>
      </c>
      <c r="D3707" t="s">
        <v>17</v>
      </c>
      <c r="E3707" t="s">
        <v>45</v>
      </c>
      <c r="F3707" s="1">
        <v>40393</v>
      </c>
      <c r="G3707">
        <v>681713092</v>
      </c>
      <c r="H3707" t="s">
        <v>961</v>
      </c>
      <c r="I3707">
        <v>2908</v>
      </c>
      <c r="J3707">
        <v>47.45</v>
      </c>
      <c r="K3707">
        <v>31.79</v>
      </c>
      <c r="L3707">
        <v>137984.6</v>
      </c>
      <c r="M3707">
        <v>92445.32</v>
      </c>
      <c r="N3707">
        <v>45539.28</v>
      </c>
    </row>
    <row r="3708" spans="1:14" x14ac:dyDescent="0.25">
      <c r="A3708" t="s">
        <v>38</v>
      </c>
      <c r="B3708" t="s">
        <v>329</v>
      </c>
      <c r="C3708" t="s">
        <v>21</v>
      </c>
      <c r="D3708" t="s">
        <v>22</v>
      </c>
      <c r="E3708" t="s">
        <v>45</v>
      </c>
      <c r="F3708" t="s">
        <v>506</v>
      </c>
      <c r="G3708">
        <v>517433583</v>
      </c>
      <c r="H3708" t="s">
        <v>890</v>
      </c>
      <c r="I3708">
        <v>8951</v>
      </c>
      <c r="J3708">
        <v>152.58000000000001</v>
      </c>
      <c r="K3708">
        <v>97.44</v>
      </c>
      <c r="L3708">
        <v>1365743.58</v>
      </c>
      <c r="M3708">
        <v>872185.44</v>
      </c>
      <c r="N3708">
        <v>493558.14</v>
      </c>
    </row>
    <row r="3709" spans="1:14" x14ac:dyDescent="0.25">
      <c r="A3709" t="s">
        <v>38</v>
      </c>
      <c r="B3709" t="s">
        <v>105</v>
      </c>
      <c r="C3709" t="s">
        <v>59</v>
      </c>
      <c r="D3709" t="s">
        <v>22</v>
      </c>
      <c r="E3709" t="s">
        <v>45</v>
      </c>
      <c r="F3709" s="1">
        <v>42502</v>
      </c>
      <c r="G3709">
        <v>390905845</v>
      </c>
      <c r="H3709" t="s">
        <v>406</v>
      </c>
      <c r="I3709">
        <v>6581</v>
      </c>
      <c r="J3709">
        <v>437.2</v>
      </c>
      <c r="K3709">
        <v>263.33</v>
      </c>
      <c r="L3709">
        <v>2877213.2</v>
      </c>
      <c r="M3709">
        <v>1732974.73</v>
      </c>
      <c r="N3709">
        <v>1144238.47</v>
      </c>
    </row>
    <row r="3710" spans="1:14" x14ac:dyDescent="0.25">
      <c r="A3710" t="s">
        <v>51</v>
      </c>
      <c r="B3710" t="s">
        <v>877</v>
      </c>
      <c r="C3710" t="s">
        <v>16</v>
      </c>
      <c r="D3710" t="s">
        <v>22</v>
      </c>
      <c r="E3710" t="s">
        <v>32</v>
      </c>
      <c r="F3710" t="s">
        <v>1781</v>
      </c>
      <c r="G3710">
        <v>566241204</v>
      </c>
      <c r="H3710" t="s">
        <v>33</v>
      </c>
      <c r="I3710">
        <v>2210</v>
      </c>
      <c r="J3710">
        <v>255.28</v>
      </c>
      <c r="K3710">
        <v>159.41999999999999</v>
      </c>
      <c r="L3710">
        <v>564168.80000000005</v>
      </c>
      <c r="M3710">
        <v>352318.2</v>
      </c>
      <c r="N3710">
        <v>211850.6</v>
      </c>
    </row>
    <row r="3711" spans="1:14" x14ac:dyDescent="0.25">
      <c r="A3711" t="s">
        <v>29</v>
      </c>
      <c r="B3711" t="s">
        <v>393</v>
      </c>
      <c r="C3711" t="s">
        <v>131</v>
      </c>
      <c r="D3711" t="s">
        <v>17</v>
      </c>
      <c r="E3711" t="s">
        <v>18</v>
      </c>
      <c r="F3711" t="s">
        <v>1393</v>
      </c>
      <c r="G3711">
        <v>477863490</v>
      </c>
      <c r="H3711" t="s">
        <v>865</v>
      </c>
      <c r="I3711">
        <v>9281</v>
      </c>
      <c r="J3711">
        <v>668.27</v>
      </c>
      <c r="K3711">
        <v>502.54</v>
      </c>
      <c r="L3711">
        <v>6202213.8700000001</v>
      </c>
      <c r="M3711">
        <v>4664073.74</v>
      </c>
      <c r="N3711">
        <v>1538140.13</v>
      </c>
    </row>
    <row r="3712" spans="1:14" x14ac:dyDescent="0.25">
      <c r="A3712" t="s">
        <v>51</v>
      </c>
      <c r="B3712" t="s">
        <v>100</v>
      </c>
      <c r="C3712" t="s">
        <v>16</v>
      </c>
      <c r="D3712" t="s">
        <v>22</v>
      </c>
      <c r="E3712" t="s">
        <v>18</v>
      </c>
      <c r="F3712" t="s">
        <v>507</v>
      </c>
      <c r="G3712">
        <v>980509030</v>
      </c>
      <c r="H3712" t="s">
        <v>1782</v>
      </c>
      <c r="I3712">
        <v>3266</v>
      </c>
      <c r="J3712">
        <v>255.28</v>
      </c>
      <c r="K3712">
        <v>159.41999999999999</v>
      </c>
      <c r="L3712">
        <v>833744.48</v>
      </c>
      <c r="M3712">
        <v>520665.72</v>
      </c>
      <c r="N3712">
        <v>313078.76</v>
      </c>
    </row>
    <row r="3713" spans="1:14" x14ac:dyDescent="0.25">
      <c r="A3713" t="s">
        <v>51</v>
      </c>
      <c r="B3713" t="s">
        <v>575</v>
      </c>
      <c r="C3713" t="s">
        <v>31</v>
      </c>
      <c r="D3713" t="s">
        <v>22</v>
      </c>
      <c r="E3713" t="s">
        <v>23</v>
      </c>
      <c r="F3713" t="s">
        <v>1203</v>
      </c>
      <c r="G3713">
        <v>299226653</v>
      </c>
      <c r="H3713" t="s">
        <v>869</v>
      </c>
      <c r="I3713">
        <v>6671</v>
      </c>
      <c r="J3713">
        <v>205.7</v>
      </c>
      <c r="K3713">
        <v>117.11</v>
      </c>
      <c r="L3713">
        <v>1372224.7</v>
      </c>
      <c r="M3713">
        <v>781240.81</v>
      </c>
      <c r="N3713">
        <v>590983.89</v>
      </c>
    </row>
    <row r="3714" spans="1:14" x14ac:dyDescent="0.25">
      <c r="A3714" t="s">
        <v>51</v>
      </c>
      <c r="B3714" t="s">
        <v>575</v>
      </c>
      <c r="C3714" t="s">
        <v>40</v>
      </c>
      <c r="D3714" t="s">
        <v>22</v>
      </c>
      <c r="E3714" t="s">
        <v>45</v>
      </c>
      <c r="F3714" t="s">
        <v>852</v>
      </c>
      <c r="G3714">
        <v>779377686</v>
      </c>
      <c r="H3714" s="1">
        <v>42951</v>
      </c>
      <c r="I3714">
        <v>4032</v>
      </c>
      <c r="J3714">
        <v>81.73</v>
      </c>
      <c r="K3714">
        <v>56.67</v>
      </c>
      <c r="L3714">
        <v>329535.35999999999</v>
      </c>
      <c r="M3714">
        <v>228493.44</v>
      </c>
      <c r="N3714">
        <v>101041.92</v>
      </c>
    </row>
    <row r="3715" spans="1:14" x14ac:dyDescent="0.25">
      <c r="A3715" t="s">
        <v>51</v>
      </c>
      <c r="B3715" t="s">
        <v>274</v>
      </c>
      <c r="C3715" t="s">
        <v>40</v>
      </c>
      <c r="D3715" t="s">
        <v>22</v>
      </c>
      <c r="E3715" t="s">
        <v>45</v>
      </c>
      <c r="F3715" t="s">
        <v>333</v>
      </c>
      <c r="G3715">
        <v>336635959</v>
      </c>
      <c r="H3715" s="1">
        <v>40217</v>
      </c>
      <c r="I3715">
        <v>6916</v>
      </c>
      <c r="J3715">
        <v>81.73</v>
      </c>
      <c r="K3715">
        <v>56.67</v>
      </c>
      <c r="L3715">
        <v>565244.68000000005</v>
      </c>
      <c r="M3715">
        <v>391929.72</v>
      </c>
      <c r="N3715">
        <v>173314.96</v>
      </c>
    </row>
    <row r="3716" spans="1:14" x14ac:dyDescent="0.25">
      <c r="A3716" t="s">
        <v>38</v>
      </c>
      <c r="B3716" t="s">
        <v>58</v>
      </c>
      <c r="C3716" t="s">
        <v>69</v>
      </c>
      <c r="D3716" t="s">
        <v>17</v>
      </c>
      <c r="E3716" t="s">
        <v>32</v>
      </c>
      <c r="F3716" t="s">
        <v>1232</v>
      </c>
      <c r="G3716">
        <v>106987798</v>
      </c>
      <c r="H3716" t="s">
        <v>1783</v>
      </c>
      <c r="I3716">
        <v>8922</v>
      </c>
      <c r="J3716">
        <v>421.89</v>
      </c>
      <c r="K3716">
        <v>364.69</v>
      </c>
      <c r="L3716">
        <v>3764102.58</v>
      </c>
      <c r="M3716">
        <v>3253764.18</v>
      </c>
      <c r="N3716">
        <v>510338.4</v>
      </c>
    </row>
    <row r="3717" spans="1:14" x14ac:dyDescent="0.25">
      <c r="A3717" t="s">
        <v>29</v>
      </c>
      <c r="B3717" t="s">
        <v>485</v>
      </c>
      <c r="C3717" t="s">
        <v>88</v>
      </c>
      <c r="D3717" t="s">
        <v>22</v>
      </c>
      <c r="E3717" t="s">
        <v>18</v>
      </c>
      <c r="F3717" t="s">
        <v>1256</v>
      </c>
      <c r="G3717">
        <v>396732032</v>
      </c>
      <c r="H3717" t="s">
        <v>1399</v>
      </c>
      <c r="I3717">
        <v>679</v>
      </c>
      <c r="J3717">
        <v>9.33</v>
      </c>
      <c r="K3717">
        <v>6.92</v>
      </c>
      <c r="L3717">
        <v>6335.07</v>
      </c>
      <c r="M3717">
        <v>4698.68</v>
      </c>
      <c r="N3717">
        <v>1636.39</v>
      </c>
    </row>
    <row r="3718" spans="1:14" x14ac:dyDescent="0.25">
      <c r="A3718" t="s">
        <v>42</v>
      </c>
      <c r="B3718" t="s">
        <v>107</v>
      </c>
      <c r="C3718" t="s">
        <v>59</v>
      </c>
      <c r="D3718" t="s">
        <v>22</v>
      </c>
      <c r="E3718" t="s">
        <v>32</v>
      </c>
      <c r="F3718" t="s">
        <v>1218</v>
      </c>
      <c r="G3718">
        <v>232479989</v>
      </c>
      <c r="H3718" s="1">
        <v>42378</v>
      </c>
      <c r="I3718">
        <v>4850</v>
      </c>
      <c r="J3718">
        <v>437.2</v>
      </c>
      <c r="K3718">
        <v>263.33</v>
      </c>
      <c r="L3718">
        <v>2120420</v>
      </c>
      <c r="M3718">
        <v>1277150.5</v>
      </c>
      <c r="N3718">
        <v>843269.5</v>
      </c>
    </row>
    <row r="3719" spans="1:14" x14ac:dyDescent="0.25">
      <c r="A3719" t="s">
        <v>25</v>
      </c>
      <c r="B3719" t="s">
        <v>303</v>
      </c>
      <c r="C3719" t="s">
        <v>27</v>
      </c>
      <c r="D3719" t="s">
        <v>22</v>
      </c>
      <c r="E3719" t="s">
        <v>45</v>
      </c>
      <c r="F3719" t="s">
        <v>742</v>
      </c>
      <c r="G3719">
        <v>511155498</v>
      </c>
      <c r="H3719" s="1">
        <v>40279</v>
      </c>
      <c r="I3719">
        <v>1126</v>
      </c>
      <c r="J3719">
        <v>47.45</v>
      </c>
      <c r="K3719">
        <v>31.79</v>
      </c>
      <c r="L3719">
        <v>53428.7</v>
      </c>
      <c r="M3719">
        <v>35795.54</v>
      </c>
      <c r="N3719">
        <v>17633.16</v>
      </c>
    </row>
    <row r="3720" spans="1:14" x14ac:dyDescent="0.25">
      <c r="A3720" t="s">
        <v>42</v>
      </c>
      <c r="B3720" t="s">
        <v>146</v>
      </c>
      <c r="C3720" t="s">
        <v>131</v>
      </c>
      <c r="D3720" t="s">
        <v>17</v>
      </c>
      <c r="E3720" t="s">
        <v>45</v>
      </c>
      <c r="F3720" t="s">
        <v>1774</v>
      </c>
      <c r="G3720">
        <v>849994885</v>
      </c>
      <c r="H3720" t="s">
        <v>143</v>
      </c>
      <c r="I3720">
        <v>1230</v>
      </c>
      <c r="J3720">
        <v>668.27</v>
      </c>
      <c r="K3720">
        <v>502.54</v>
      </c>
      <c r="L3720">
        <v>821972.1</v>
      </c>
      <c r="M3720">
        <v>618124.19999999995</v>
      </c>
      <c r="N3720">
        <v>203847.9</v>
      </c>
    </row>
    <row r="3721" spans="1:14" x14ac:dyDescent="0.25">
      <c r="A3721" t="s">
        <v>51</v>
      </c>
      <c r="B3721" t="s">
        <v>424</v>
      </c>
      <c r="C3721" t="s">
        <v>16</v>
      </c>
      <c r="D3721" t="s">
        <v>22</v>
      </c>
      <c r="E3721" t="s">
        <v>23</v>
      </c>
      <c r="F3721" s="1">
        <v>42375</v>
      </c>
      <c r="G3721">
        <v>936546981</v>
      </c>
      <c r="H3721" s="1">
        <v>42649</v>
      </c>
      <c r="I3721">
        <v>3919</v>
      </c>
      <c r="J3721">
        <v>255.28</v>
      </c>
      <c r="K3721">
        <v>159.41999999999999</v>
      </c>
      <c r="L3721">
        <v>1000442.32</v>
      </c>
      <c r="M3721">
        <v>624766.98</v>
      </c>
      <c r="N3721">
        <v>375675.34</v>
      </c>
    </row>
    <row r="3722" spans="1:14" x14ac:dyDescent="0.25">
      <c r="A3722" t="s">
        <v>14</v>
      </c>
      <c r="B3722" t="s">
        <v>213</v>
      </c>
      <c r="C3722" t="s">
        <v>27</v>
      </c>
      <c r="D3722" t="s">
        <v>17</v>
      </c>
      <c r="E3722" t="s">
        <v>23</v>
      </c>
      <c r="F3722" s="1">
        <v>42317</v>
      </c>
      <c r="G3722">
        <v>978673112</v>
      </c>
      <c r="H3722" t="s">
        <v>914</v>
      </c>
      <c r="I3722">
        <v>9977</v>
      </c>
      <c r="J3722">
        <v>47.45</v>
      </c>
      <c r="K3722">
        <v>31.79</v>
      </c>
      <c r="L3722">
        <v>473408.65</v>
      </c>
      <c r="M3722">
        <v>317168.83</v>
      </c>
      <c r="N3722">
        <v>156239.82</v>
      </c>
    </row>
    <row r="3723" spans="1:14" x14ac:dyDescent="0.25">
      <c r="A3723" t="s">
        <v>51</v>
      </c>
      <c r="B3723" t="s">
        <v>398</v>
      </c>
      <c r="C3723" t="s">
        <v>21</v>
      </c>
      <c r="D3723" t="s">
        <v>22</v>
      </c>
      <c r="E3723" t="s">
        <v>23</v>
      </c>
      <c r="F3723" t="s">
        <v>1784</v>
      </c>
      <c r="G3723">
        <v>354547107</v>
      </c>
      <c r="H3723" s="1">
        <v>42037</v>
      </c>
      <c r="I3723">
        <v>7223</v>
      </c>
      <c r="J3723">
        <v>152.58000000000001</v>
      </c>
      <c r="K3723">
        <v>97.44</v>
      </c>
      <c r="L3723">
        <v>1102085.3400000001</v>
      </c>
      <c r="M3723">
        <v>703809.12</v>
      </c>
      <c r="N3723">
        <v>398276.22</v>
      </c>
    </row>
    <row r="3724" spans="1:14" x14ac:dyDescent="0.25">
      <c r="A3724" t="s">
        <v>25</v>
      </c>
      <c r="B3724" t="s">
        <v>418</v>
      </c>
      <c r="C3724" t="s">
        <v>40</v>
      </c>
      <c r="D3724" t="s">
        <v>17</v>
      </c>
      <c r="E3724" t="s">
        <v>45</v>
      </c>
      <c r="F3724" t="s">
        <v>1740</v>
      </c>
      <c r="G3724">
        <v>762655293</v>
      </c>
      <c r="H3724" s="1">
        <v>40493</v>
      </c>
      <c r="I3724">
        <v>5504</v>
      </c>
      <c r="J3724">
        <v>81.73</v>
      </c>
      <c r="K3724">
        <v>56.67</v>
      </c>
      <c r="L3724">
        <v>449841.91999999998</v>
      </c>
      <c r="M3724">
        <v>311911.67999999999</v>
      </c>
      <c r="N3724">
        <v>137930.23999999999</v>
      </c>
    </row>
    <row r="3725" spans="1:14" x14ac:dyDescent="0.25">
      <c r="A3725" t="s">
        <v>42</v>
      </c>
      <c r="B3725" t="s">
        <v>90</v>
      </c>
      <c r="C3725" t="s">
        <v>55</v>
      </c>
      <c r="D3725" t="s">
        <v>22</v>
      </c>
      <c r="E3725" t="s">
        <v>45</v>
      </c>
      <c r="F3725" s="1">
        <v>41244</v>
      </c>
      <c r="G3725">
        <v>371796500</v>
      </c>
      <c r="H3725" t="s">
        <v>207</v>
      </c>
      <c r="I3725">
        <v>1701</v>
      </c>
      <c r="J3725">
        <v>651.21</v>
      </c>
      <c r="K3725">
        <v>524.96</v>
      </c>
      <c r="L3725">
        <v>1107708.21</v>
      </c>
      <c r="M3725">
        <v>892956.96</v>
      </c>
      <c r="N3725">
        <v>214751.25</v>
      </c>
    </row>
    <row r="3726" spans="1:14" x14ac:dyDescent="0.25">
      <c r="A3726" t="s">
        <v>29</v>
      </c>
      <c r="B3726" t="s">
        <v>199</v>
      </c>
      <c r="C3726" t="s">
        <v>31</v>
      </c>
      <c r="D3726" t="s">
        <v>22</v>
      </c>
      <c r="E3726" t="s">
        <v>23</v>
      </c>
      <c r="F3726" t="s">
        <v>1404</v>
      </c>
      <c r="G3726">
        <v>571082055</v>
      </c>
      <c r="H3726" t="s">
        <v>1624</v>
      </c>
      <c r="I3726">
        <v>4726</v>
      </c>
      <c r="J3726">
        <v>205.7</v>
      </c>
      <c r="K3726">
        <v>117.11</v>
      </c>
      <c r="L3726">
        <v>972138.2</v>
      </c>
      <c r="M3726">
        <v>553461.86</v>
      </c>
      <c r="N3726">
        <v>418676.34</v>
      </c>
    </row>
    <row r="3727" spans="1:14" x14ac:dyDescent="0.25">
      <c r="A3727" t="s">
        <v>25</v>
      </c>
      <c r="B3727" t="s">
        <v>752</v>
      </c>
      <c r="C3727" t="s">
        <v>40</v>
      </c>
      <c r="D3727" t="s">
        <v>22</v>
      </c>
      <c r="E3727" t="s">
        <v>32</v>
      </c>
      <c r="F3727" t="s">
        <v>1502</v>
      </c>
      <c r="G3727">
        <v>119935786</v>
      </c>
      <c r="H3727" t="s">
        <v>1597</v>
      </c>
      <c r="I3727">
        <v>519</v>
      </c>
      <c r="J3727">
        <v>81.73</v>
      </c>
      <c r="K3727">
        <v>56.67</v>
      </c>
      <c r="L3727">
        <v>42417.87</v>
      </c>
      <c r="M3727">
        <v>29411.73</v>
      </c>
      <c r="N3727">
        <v>13006.14</v>
      </c>
    </row>
    <row r="3728" spans="1:14" x14ac:dyDescent="0.25">
      <c r="A3728" t="s">
        <v>51</v>
      </c>
      <c r="B3728" t="s">
        <v>420</v>
      </c>
      <c r="C3728" t="s">
        <v>40</v>
      </c>
      <c r="D3728" t="s">
        <v>22</v>
      </c>
      <c r="E3728" t="s">
        <v>45</v>
      </c>
      <c r="F3728" s="1">
        <v>42798</v>
      </c>
      <c r="G3728">
        <v>998094022</v>
      </c>
      <c r="H3728" t="s">
        <v>838</v>
      </c>
      <c r="I3728">
        <v>7056</v>
      </c>
      <c r="J3728">
        <v>81.73</v>
      </c>
      <c r="K3728">
        <v>56.67</v>
      </c>
      <c r="L3728">
        <v>576686.88</v>
      </c>
      <c r="M3728">
        <v>399863.52</v>
      </c>
      <c r="N3728">
        <v>176823.36</v>
      </c>
    </row>
    <row r="3729" spans="1:14" x14ac:dyDescent="0.25">
      <c r="A3729" t="s">
        <v>25</v>
      </c>
      <c r="B3729" t="s">
        <v>26</v>
      </c>
      <c r="C3729" t="s">
        <v>21</v>
      </c>
      <c r="D3729" t="s">
        <v>17</v>
      </c>
      <c r="E3729" t="s">
        <v>18</v>
      </c>
      <c r="F3729" t="s">
        <v>618</v>
      </c>
      <c r="G3729">
        <v>755605590</v>
      </c>
      <c r="H3729" s="1">
        <v>40491</v>
      </c>
      <c r="I3729">
        <v>9340</v>
      </c>
      <c r="J3729">
        <v>152.58000000000001</v>
      </c>
      <c r="K3729">
        <v>97.44</v>
      </c>
      <c r="L3729">
        <v>1425097.2</v>
      </c>
      <c r="M3729">
        <v>910089.6</v>
      </c>
      <c r="N3729">
        <v>515007.6</v>
      </c>
    </row>
    <row r="3730" spans="1:14" x14ac:dyDescent="0.25">
      <c r="A3730" t="s">
        <v>51</v>
      </c>
      <c r="B3730" t="s">
        <v>231</v>
      </c>
      <c r="C3730" t="s">
        <v>27</v>
      </c>
      <c r="D3730" t="s">
        <v>22</v>
      </c>
      <c r="E3730" t="s">
        <v>23</v>
      </c>
      <c r="F3730" t="s">
        <v>381</v>
      </c>
      <c r="G3730">
        <v>162831819</v>
      </c>
      <c r="H3730" s="1">
        <v>42768</v>
      </c>
      <c r="I3730">
        <v>4408</v>
      </c>
      <c r="J3730">
        <v>47.45</v>
      </c>
      <c r="K3730">
        <v>31.79</v>
      </c>
      <c r="L3730">
        <v>209159.6</v>
      </c>
      <c r="M3730">
        <v>140130.32</v>
      </c>
      <c r="N3730">
        <v>69029.279999999999</v>
      </c>
    </row>
    <row r="3731" spans="1:14" x14ac:dyDescent="0.25">
      <c r="A3731" t="s">
        <v>42</v>
      </c>
      <c r="B3731" t="s">
        <v>290</v>
      </c>
      <c r="C3731" t="s">
        <v>55</v>
      </c>
      <c r="D3731" t="s">
        <v>22</v>
      </c>
      <c r="E3731" t="s">
        <v>45</v>
      </c>
      <c r="F3731" s="1">
        <v>40362</v>
      </c>
      <c r="G3731">
        <v>960446536</v>
      </c>
      <c r="H3731" t="s">
        <v>696</v>
      </c>
      <c r="I3731">
        <v>6328</v>
      </c>
      <c r="J3731">
        <v>651.21</v>
      </c>
      <c r="K3731">
        <v>524.96</v>
      </c>
      <c r="L3731">
        <v>4120856.88</v>
      </c>
      <c r="M3731">
        <v>3321946.88</v>
      </c>
      <c r="N3731">
        <v>798910</v>
      </c>
    </row>
    <row r="3732" spans="1:14" x14ac:dyDescent="0.25">
      <c r="A3732" t="s">
        <v>51</v>
      </c>
      <c r="B3732" t="s">
        <v>164</v>
      </c>
      <c r="C3732" t="s">
        <v>44</v>
      </c>
      <c r="D3732" t="s">
        <v>22</v>
      </c>
      <c r="E3732" t="s">
        <v>32</v>
      </c>
      <c r="F3732" s="1">
        <v>40453</v>
      </c>
      <c r="G3732">
        <v>909436070</v>
      </c>
      <c r="H3732" t="s">
        <v>787</v>
      </c>
      <c r="I3732">
        <v>1198</v>
      </c>
      <c r="J3732">
        <v>109.28</v>
      </c>
      <c r="K3732">
        <v>35.840000000000003</v>
      </c>
      <c r="L3732">
        <v>130917.44</v>
      </c>
      <c r="M3732">
        <v>42936.32</v>
      </c>
      <c r="N3732">
        <v>87981.119999999995</v>
      </c>
    </row>
    <row r="3733" spans="1:14" x14ac:dyDescent="0.25">
      <c r="A3733" t="s">
        <v>29</v>
      </c>
      <c r="B3733" t="s">
        <v>338</v>
      </c>
      <c r="C3733" t="s">
        <v>55</v>
      </c>
      <c r="D3733" t="s">
        <v>17</v>
      </c>
      <c r="E3733" t="s">
        <v>32</v>
      </c>
      <c r="F3733" s="1">
        <v>40824</v>
      </c>
      <c r="G3733">
        <v>541099250</v>
      </c>
      <c r="H3733" s="1">
        <v>40703</v>
      </c>
      <c r="I3733">
        <v>2147</v>
      </c>
      <c r="J3733">
        <v>651.21</v>
      </c>
      <c r="K3733">
        <v>524.96</v>
      </c>
      <c r="L3733">
        <v>1398147.87</v>
      </c>
      <c r="M3733">
        <v>1127089.1200000001</v>
      </c>
      <c r="N3733">
        <v>271058.75</v>
      </c>
    </row>
    <row r="3734" spans="1:14" x14ac:dyDescent="0.25">
      <c r="A3734" t="s">
        <v>25</v>
      </c>
      <c r="B3734" t="s">
        <v>386</v>
      </c>
      <c r="C3734" t="s">
        <v>69</v>
      </c>
      <c r="D3734" t="s">
        <v>17</v>
      </c>
      <c r="E3734" t="s">
        <v>18</v>
      </c>
      <c r="F3734" t="s">
        <v>1707</v>
      </c>
      <c r="G3734">
        <v>907047402</v>
      </c>
      <c r="H3734" s="1">
        <v>40186</v>
      </c>
      <c r="I3734">
        <v>4338</v>
      </c>
      <c r="J3734">
        <v>421.89</v>
      </c>
      <c r="K3734">
        <v>364.69</v>
      </c>
      <c r="L3734">
        <v>1830158.82</v>
      </c>
      <c r="M3734">
        <v>1582025.22</v>
      </c>
      <c r="N3734">
        <v>248133.6</v>
      </c>
    </row>
    <row r="3735" spans="1:14" x14ac:dyDescent="0.25">
      <c r="A3735" t="s">
        <v>51</v>
      </c>
      <c r="B3735" t="s">
        <v>223</v>
      </c>
      <c r="C3735" t="s">
        <v>69</v>
      </c>
      <c r="D3735" t="s">
        <v>17</v>
      </c>
      <c r="E3735" t="s">
        <v>23</v>
      </c>
      <c r="F3735" s="1">
        <v>41831</v>
      </c>
      <c r="G3735">
        <v>429204356</v>
      </c>
      <c r="H3735" t="s">
        <v>807</v>
      </c>
      <c r="I3735">
        <v>9962</v>
      </c>
      <c r="J3735">
        <v>421.89</v>
      </c>
      <c r="K3735">
        <v>364.69</v>
      </c>
      <c r="L3735">
        <v>4202868.18</v>
      </c>
      <c r="M3735">
        <v>3633041.78</v>
      </c>
      <c r="N3735">
        <v>569826.4</v>
      </c>
    </row>
    <row r="3736" spans="1:14" x14ac:dyDescent="0.25">
      <c r="A3736" t="s">
        <v>51</v>
      </c>
      <c r="B3736" t="s">
        <v>260</v>
      </c>
      <c r="C3736" t="s">
        <v>55</v>
      </c>
      <c r="D3736" t="s">
        <v>22</v>
      </c>
      <c r="E3736" t="s">
        <v>32</v>
      </c>
      <c r="F3736" t="s">
        <v>368</v>
      </c>
      <c r="G3736">
        <v>749806439</v>
      </c>
      <c r="H3736" s="1">
        <v>40581</v>
      </c>
      <c r="I3736">
        <v>3243</v>
      </c>
      <c r="J3736">
        <v>651.21</v>
      </c>
      <c r="K3736">
        <v>524.96</v>
      </c>
      <c r="L3736">
        <v>2111874.0299999998</v>
      </c>
      <c r="M3736">
        <v>1702445.28</v>
      </c>
      <c r="N3736">
        <v>409428.75</v>
      </c>
    </row>
    <row r="3737" spans="1:14" x14ac:dyDescent="0.25">
      <c r="A3737" t="s">
        <v>51</v>
      </c>
      <c r="B3737" t="s">
        <v>192</v>
      </c>
      <c r="C3737" t="s">
        <v>113</v>
      </c>
      <c r="D3737" t="s">
        <v>17</v>
      </c>
      <c r="E3737" t="s">
        <v>23</v>
      </c>
      <c r="F3737" t="s">
        <v>1618</v>
      </c>
      <c r="G3737">
        <v>881402480</v>
      </c>
      <c r="H3737" s="1">
        <v>41823</v>
      </c>
      <c r="I3737">
        <v>5435</v>
      </c>
      <c r="J3737">
        <v>154.06</v>
      </c>
      <c r="K3737">
        <v>90.93</v>
      </c>
      <c r="L3737">
        <v>837316.1</v>
      </c>
      <c r="M3737">
        <v>494204.55</v>
      </c>
      <c r="N3737">
        <v>343111.55</v>
      </c>
    </row>
    <row r="3738" spans="1:14" x14ac:dyDescent="0.25">
      <c r="A3738" t="s">
        <v>29</v>
      </c>
      <c r="B3738" t="s">
        <v>159</v>
      </c>
      <c r="C3738" t="s">
        <v>88</v>
      </c>
      <c r="D3738" t="s">
        <v>22</v>
      </c>
      <c r="E3738" t="s">
        <v>45</v>
      </c>
      <c r="F3738" t="s">
        <v>1261</v>
      </c>
      <c r="G3738">
        <v>356853806</v>
      </c>
      <c r="H3738" t="s">
        <v>874</v>
      </c>
      <c r="I3738">
        <v>9826</v>
      </c>
      <c r="J3738">
        <v>9.33</v>
      </c>
      <c r="K3738">
        <v>6.92</v>
      </c>
      <c r="L3738">
        <v>91676.58</v>
      </c>
      <c r="M3738">
        <v>67995.92</v>
      </c>
      <c r="N3738">
        <v>23680.66</v>
      </c>
    </row>
    <row r="3739" spans="1:14" x14ac:dyDescent="0.25">
      <c r="A3739" t="s">
        <v>42</v>
      </c>
      <c r="B3739" t="s">
        <v>476</v>
      </c>
      <c r="C3739" t="s">
        <v>31</v>
      </c>
      <c r="D3739" t="s">
        <v>17</v>
      </c>
      <c r="E3739" t="s">
        <v>32</v>
      </c>
      <c r="F3739" s="1">
        <v>41581</v>
      </c>
      <c r="G3739">
        <v>579334247</v>
      </c>
      <c r="H3739" t="s">
        <v>1345</v>
      </c>
      <c r="I3739">
        <v>6733</v>
      </c>
      <c r="J3739">
        <v>205.7</v>
      </c>
      <c r="K3739">
        <v>117.11</v>
      </c>
      <c r="L3739">
        <v>1384978.1</v>
      </c>
      <c r="M3739">
        <v>788501.63</v>
      </c>
      <c r="N3739">
        <v>596476.47</v>
      </c>
    </row>
    <row r="3740" spans="1:14" x14ac:dyDescent="0.25">
      <c r="A3740" t="s">
        <v>42</v>
      </c>
      <c r="B3740" t="s">
        <v>146</v>
      </c>
      <c r="C3740" t="s">
        <v>44</v>
      </c>
      <c r="D3740" t="s">
        <v>22</v>
      </c>
      <c r="E3740" t="s">
        <v>23</v>
      </c>
      <c r="F3740" s="1">
        <v>40978</v>
      </c>
      <c r="G3740">
        <v>772330129</v>
      </c>
      <c r="H3740" s="1">
        <v>41162</v>
      </c>
      <c r="I3740">
        <v>8503</v>
      </c>
      <c r="J3740">
        <v>109.28</v>
      </c>
      <c r="K3740">
        <v>35.840000000000003</v>
      </c>
      <c r="L3740">
        <v>929207.84</v>
      </c>
      <c r="M3740">
        <v>304747.52000000002</v>
      </c>
      <c r="N3740">
        <v>624460.31999999995</v>
      </c>
    </row>
    <row r="3741" spans="1:14" x14ac:dyDescent="0.25">
      <c r="A3741" t="s">
        <v>51</v>
      </c>
      <c r="B3741" t="s">
        <v>664</v>
      </c>
      <c r="C3741" t="s">
        <v>27</v>
      </c>
      <c r="D3741" t="s">
        <v>22</v>
      </c>
      <c r="E3741" t="s">
        <v>18</v>
      </c>
      <c r="F3741" s="1">
        <v>40210</v>
      </c>
      <c r="G3741">
        <v>229640281</v>
      </c>
      <c r="H3741" t="s">
        <v>1785</v>
      </c>
      <c r="I3741">
        <v>4517</v>
      </c>
      <c r="J3741">
        <v>47.45</v>
      </c>
      <c r="K3741">
        <v>31.79</v>
      </c>
      <c r="L3741">
        <v>214331.65</v>
      </c>
      <c r="M3741">
        <v>143595.43</v>
      </c>
      <c r="N3741">
        <v>70736.22</v>
      </c>
    </row>
    <row r="3742" spans="1:14" x14ac:dyDescent="0.25">
      <c r="A3742" t="s">
        <v>38</v>
      </c>
      <c r="B3742" t="s">
        <v>288</v>
      </c>
      <c r="C3742" t="s">
        <v>88</v>
      </c>
      <c r="D3742" t="s">
        <v>22</v>
      </c>
      <c r="E3742" t="s">
        <v>32</v>
      </c>
      <c r="F3742" t="s">
        <v>1786</v>
      </c>
      <c r="G3742">
        <v>565376031</v>
      </c>
      <c r="H3742" t="s">
        <v>1435</v>
      </c>
      <c r="I3742">
        <v>6186</v>
      </c>
      <c r="J3742">
        <v>9.33</v>
      </c>
      <c r="K3742">
        <v>6.92</v>
      </c>
      <c r="L3742">
        <v>57715.38</v>
      </c>
      <c r="M3742">
        <v>42807.12</v>
      </c>
      <c r="N3742">
        <v>14908.26</v>
      </c>
    </row>
    <row r="3743" spans="1:14" x14ac:dyDescent="0.25">
      <c r="A3743" t="s">
        <v>38</v>
      </c>
      <c r="B3743" t="s">
        <v>346</v>
      </c>
      <c r="C3743" t="s">
        <v>55</v>
      </c>
      <c r="D3743" t="s">
        <v>22</v>
      </c>
      <c r="E3743" t="s">
        <v>18</v>
      </c>
      <c r="F3743" t="s">
        <v>1108</v>
      </c>
      <c r="G3743">
        <v>763961207</v>
      </c>
      <c r="H3743" t="s">
        <v>1653</v>
      </c>
      <c r="I3743">
        <v>1953</v>
      </c>
      <c r="J3743">
        <v>651.21</v>
      </c>
      <c r="K3743">
        <v>524.96</v>
      </c>
      <c r="L3743">
        <v>1271813.1299999999</v>
      </c>
      <c r="M3743">
        <v>1025246.88</v>
      </c>
      <c r="N3743">
        <v>246566.25</v>
      </c>
    </row>
    <row r="3744" spans="1:14" x14ac:dyDescent="0.25">
      <c r="A3744" t="s">
        <v>51</v>
      </c>
      <c r="B3744" t="s">
        <v>305</v>
      </c>
      <c r="C3744" t="s">
        <v>27</v>
      </c>
      <c r="D3744" t="s">
        <v>22</v>
      </c>
      <c r="E3744" t="s">
        <v>32</v>
      </c>
      <c r="F3744" t="s">
        <v>1348</v>
      </c>
      <c r="G3744">
        <v>330132138</v>
      </c>
      <c r="H3744" t="s">
        <v>1787</v>
      </c>
      <c r="I3744">
        <v>2291</v>
      </c>
      <c r="J3744">
        <v>47.45</v>
      </c>
      <c r="K3744">
        <v>31.79</v>
      </c>
      <c r="L3744">
        <v>108707.95</v>
      </c>
      <c r="M3744">
        <v>72830.89</v>
      </c>
      <c r="N3744">
        <v>35877.06</v>
      </c>
    </row>
    <row r="3745" spans="1:14" x14ac:dyDescent="0.25">
      <c r="A3745" t="s">
        <v>25</v>
      </c>
      <c r="B3745" t="s">
        <v>266</v>
      </c>
      <c r="C3745" t="s">
        <v>88</v>
      </c>
      <c r="D3745" t="s">
        <v>22</v>
      </c>
      <c r="E3745" t="s">
        <v>32</v>
      </c>
      <c r="F3745" s="1">
        <v>41616</v>
      </c>
      <c r="G3745">
        <v>638937652</v>
      </c>
      <c r="H3745" s="1">
        <v>41434</v>
      </c>
      <c r="I3745">
        <v>4705</v>
      </c>
      <c r="J3745">
        <v>9.33</v>
      </c>
      <c r="K3745">
        <v>6.92</v>
      </c>
      <c r="L3745">
        <v>43897.65</v>
      </c>
      <c r="M3745">
        <v>32558.6</v>
      </c>
      <c r="N3745">
        <v>11339.05</v>
      </c>
    </row>
    <row r="3746" spans="1:14" x14ac:dyDescent="0.25">
      <c r="A3746" t="s">
        <v>38</v>
      </c>
      <c r="B3746" t="s">
        <v>1268</v>
      </c>
      <c r="C3746" t="s">
        <v>44</v>
      </c>
      <c r="D3746" t="s">
        <v>17</v>
      </c>
      <c r="E3746" t="s">
        <v>45</v>
      </c>
      <c r="F3746" s="1">
        <v>41429</v>
      </c>
      <c r="G3746">
        <v>885739076</v>
      </c>
      <c r="H3746" t="s">
        <v>792</v>
      </c>
      <c r="I3746">
        <v>8730</v>
      </c>
      <c r="J3746">
        <v>109.28</v>
      </c>
      <c r="K3746">
        <v>35.840000000000003</v>
      </c>
      <c r="L3746">
        <v>954014.4</v>
      </c>
      <c r="M3746">
        <v>312883.20000000001</v>
      </c>
      <c r="N3746">
        <v>641131.19999999995</v>
      </c>
    </row>
    <row r="3747" spans="1:14" x14ac:dyDescent="0.25">
      <c r="A3747" t="s">
        <v>51</v>
      </c>
      <c r="B3747" t="s">
        <v>169</v>
      </c>
      <c r="C3747" t="s">
        <v>131</v>
      </c>
      <c r="D3747" t="s">
        <v>22</v>
      </c>
      <c r="E3747" t="s">
        <v>45</v>
      </c>
      <c r="F3747" s="1">
        <v>40400</v>
      </c>
      <c r="G3747">
        <v>336210238</v>
      </c>
      <c r="H3747" t="s">
        <v>41</v>
      </c>
      <c r="I3747">
        <v>936</v>
      </c>
      <c r="J3747">
        <v>668.27</v>
      </c>
      <c r="K3747">
        <v>502.54</v>
      </c>
      <c r="L3747">
        <v>625500.72</v>
      </c>
      <c r="M3747">
        <v>470377.44</v>
      </c>
      <c r="N3747">
        <v>155123.28</v>
      </c>
    </row>
    <row r="3748" spans="1:14" x14ac:dyDescent="0.25">
      <c r="A3748" t="s">
        <v>51</v>
      </c>
      <c r="B3748" t="s">
        <v>502</v>
      </c>
      <c r="C3748" t="s">
        <v>88</v>
      </c>
      <c r="D3748" t="s">
        <v>17</v>
      </c>
      <c r="E3748" t="s">
        <v>23</v>
      </c>
      <c r="F3748" t="s">
        <v>597</v>
      </c>
      <c r="G3748">
        <v>576337468</v>
      </c>
      <c r="H3748" t="s">
        <v>1665</v>
      </c>
      <c r="I3748">
        <v>9919</v>
      </c>
      <c r="J3748">
        <v>9.33</v>
      </c>
      <c r="K3748">
        <v>6.92</v>
      </c>
      <c r="L3748">
        <v>92544.27</v>
      </c>
      <c r="M3748">
        <v>68639.48</v>
      </c>
      <c r="N3748">
        <v>23904.79</v>
      </c>
    </row>
    <row r="3749" spans="1:14" x14ac:dyDescent="0.25">
      <c r="A3749" t="s">
        <v>38</v>
      </c>
      <c r="B3749" t="s">
        <v>83</v>
      </c>
      <c r="C3749" t="s">
        <v>131</v>
      </c>
      <c r="D3749" t="s">
        <v>22</v>
      </c>
      <c r="E3749" t="s">
        <v>45</v>
      </c>
      <c r="F3749" s="1">
        <v>42652</v>
      </c>
      <c r="G3749">
        <v>562419593</v>
      </c>
      <c r="H3749" t="s">
        <v>221</v>
      </c>
      <c r="I3749">
        <v>1311</v>
      </c>
      <c r="J3749">
        <v>668.27</v>
      </c>
      <c r="K3749">
        <v>502.54</v>
      </c>
      <c r="L3749">
        <v>876101.97</v>
      </c>
      <c r="M3749">
        <v>658829.93999999994</v>
      </c>
      <c r="N3749">
        <v>217272.03</v>
      </c>
    </row>
    <row r="3750" spans="1:14" x14ac:dyDescent="0.25">
      <c r="A3750" t="s">
        <v>14</v>
      </c>
      <c r="B3750" t="s">
        <v>372</v>
      </c>
      <c r="C3750" t="s">
        <v>27</v>
      </c>
      <c r="D3750" t="s">
        <v>22</v>
      </c>
      <c r="E3750" t="s">
        <v>32</v>
      </c>
      <c r="F3750" s="1">
        <v>40613</v>
      </c>
      <c r="G3750">
        <v>671067941</v>
      </c>
      <c r="H3750" t="s">
        <v>203</v>
      </c>
      <c r="I3750">
        <v>2771</v>
      </c>
      <c r="J3750">
        <v>47.45</v>
      </c>
      <c r="K3750">
        <v>31.79</v>
      </c>
      <c r="L3750">
        <v>131483.95000000001</v>
      </c>
      <c r="M3750">
        <v>88090.09</v>
      </c>
      <c r="N3750">
        <v>43393.86</v>
      </c>
    </row>
    <row r="3751" spans="1:14" x14ac:dyDescent="0.25">
      <c r="A3751" t="s">
        <v>25</v>
      </c>
      <c r="B3751" t="s">
        <v>418</v>
      </c>
      <c r="C3751" t="s">
        <v>31</v>
      </c>
      <c r="D3751" t="s">
        <v>22</v>
      </c>
      <c r="E3751" t="s">
        <v>45</v>
      </c>
      <c r="F3751" t="s">
        <v>1196</v>
      </c>
      <c r="G3751">
        <v>449206340</v>
      </c>
      <c r="H3751" s="1">
        <v>42433</v>
      </c>
      <c r="I3751">
        <v>8993</v>
      </c>
      <c r="J3751">
        <v>205.7</v>
      </c>
      <c r="K3751">
        <v>117.11</v>
      </c>
      <c r="L3751">
        <v>1849860.1</v>
      </c>
      <c r="M3751">
        <v>1053170.23</v>
      </c>
      <c r="N3751">
        <v>796689.87</v>
      </c>
    </row>
    <row r="3752" spans="1:14" x14ac:dyDescent="0.25">
      <c r="A3752" t="s">
        <v>25</v>
      </c>
      <c r="B3752" t="s">
        <v>752</v>
      </c>
      <c r="C3752" t="s">
        <v>27</v>
      </c>
      <c r="D3752" t="s">
        <v>17</v>
      </c>
      <c r="E3752" t="s">
        <v>32</v>
      </c>
      <c r="F3752" s="1">
        <v>40458</v>
      </c>
      <c r="G3752">
        <v>864071118</v>
      </c>
      <c r="H3752" t="s">
        <v>184</v>
      </c>
      <c r="I3752">
        <v>6700</v>
      </c>
      <c r="J3752">
        <v>47.45</v>
      </c>
      <c r="K3752">
        <v>31.79</v>
      </c>
      <c r="L3752">
        <v>317915</v>
      </c>
      <c r="M3752">
        <v>212993</v>
      </c>
      <c r="N3752">
        <v>104922</v>
      </c>
    </row>
    <row r="3753" spans="1:14" x14ac:dyDescent="0.25">
      <c r="A3753" t="s">
        <v>25</v>
      </c>
      <c r="B3753" t="s">
        <v>185</v>
      </c>
      <c r="C3753" t="s">
        <v>55</v>
      </c>
      <c r="D3753" t="s">
        <v>17</v>
      </c>
      <c r="E3753" t="s">
        <v>23</v>
      </c>
      <c r="F3753" t="s">
        <v>1173</v>
      </c>
      <c r="G3753">
        <v>253211104</v>
      </c>
      <c r="H3753" t="s">
        <v>587</v>
      </c>
      <c r="I3753">
        <v>9648</v>
      </c>
      <c r="J3753">
        <v>651.21</v>
      </c>
      <c r="K3753">
        <v>524.96</v>
      </c>
      <c r="L3753">
        <v>6282874.0800000001</v>
      </c>
      <c r="M3753">
        <v>5064814.08</v>
      </c>
      <c r="N3753">
        <v>1218060</v>
      </c>
    </row>
    <row r="3754" spans="1:14" x14ac:dyDescent="0.25">
      <c r="A3754" t="s">
        <v>51</v>
      </c>
      <c r="B3754" t="s">
        <v>182</v>
      </c>
      <c r="C3754" t="s">
        <v>31</v>
      </c>
      <c r="D3754" t="s">
        <v>22</v>
      </c>
      <c r="E3754" t="s">
        <v>45</v>
      </c>
      <c r="F3754" s="1">
        <v>40585</v>
      </c>
      <c r="G3754">
        <v>174487626</v>
      </c>
      <c r="H3754" s="1">
        <v>40888</v>
      </c>
      <c r="I3754">
        <v>3621</v>
      </c>
      <c r="J3754">
        <v>205.7</v>
      </c>
      <c r="K3754">
        <v>117.11</v>
      </c>
      <c r="L3754">
        <v>744839.7</v>
      </c>
      <c r="M3754">
        <v>424055.31</v>
      </c>
      <c r="N3754">
        <v>320784.39</v>
      </c>
    </row>
    <row r="3755" spans="1:14" x14ac:dyDescent="0.25">
      <c r="A3755" t="s">
        <v>29</v>
      </c>
      <c r="B3755" t="s">
        <v>467</v>
      </c>
      <c r="C3755" t="s">
        <v>27</v>
      </c>
      <c r="D3755" t="s">
        <v>17</v>
      </c>
      <c r="E3755" t="s">
        <v>45</v>
      </c>
      <c r="F3755" t="s">
        <v>534</v>
      </c>
      <c r="G3755">
        <v>456074512</v>
      </c>
      <c r="H3755" t="s">
        <v>1788</v>
      </c>
      <c r="I3755">
        <v>1438</v>
      </c>
      <c r="J3755">
        <v>47.45</v>
      </c>
      <c r="K3755">
        <v>31.79</v>
      </c>
      <c r="L3755">
        <v>68233.100000000006</v>
      </c>
      <c r="M3755">
        <v>45714.02</v>
      </c>
      <c r="N3755">
        <v>22519.08</v>
      </c>
    </row>
    <row r="3756" spans="1:14" x14ac:dyDescent="0.25">
      <c r="A3756" t="s">
        <v>42</v>
      </c>
      <c r="B3756" t="s">
        <v>150</v>
      </c>
      <c r="C3756" t="s">
        <v>59</v>
      </c>
      <c r="D3756" t="s">
        <v>17</v>
      </c>
      <c r="E3756" t="s">
        <v>23</v>
      </c>
      <c r="F3756" s="1">
        <v>41163</v>
      </c>
      <c r="G3756">
        <v>546458089</v>
      </c>
      <c r="H3756" s="1">
        <v>41011</v>
      </c>
      <c r="I3756">
        <v>7947</v>
      </c>
      <c r="J3756">
        <v>437.2</v>
      </c>
      <c r="K3756">
        <v>263.33</v>
      </c>
      <c r="L3756">
        <v>3474428.4</v>
      </c>
      <c r="M3756">
        <v>2092683.51</v>
      </c>
      <c r="N3756">
        <v>1381744.89</v>
      </c>
    </row>
    <row r="3757" spans="1:14" x14ac:dyDescent="0.25">
      <c r="A3757" t="s">
        <v>14</v>
      </c>
      <c r="B3757" t="s">
        <v>66</v>
      </c>
      <c r="C3757" t="s">
        <v>40</v>
      </c>
      <c r="D3757" t="s">
        <v>22</v>
      </c>
      <c r="E3757" t="s">
        <v>32</v>
      </c>
      <c r="F3757" s="1">
        <v>40309</v>
      </c>
      <c r="G3757">
        <v>864437186</v>
      </c>
      <c r="H3757" t="s">
        <v>1615</v>
      </c>
      <c r="I3757">
        <v>5028</v>
      </c>
      <c r="J3757">
        <v>81.73</v>
      </c>
      <c r="K3757">
        <v>56.67</v>
      </c>
      <c r="L3757">
        <v>410938.44</v>
      </c>
      <c r="M3757">
        <v>284936.76</v>
      </c>
      <c r="N3757">
        <v>126001.68</v>
      </c>
    </row>
    <row r="3758" spans="1:14" x14ac:dyDescent="0.25">
      <c r="A3758" t="s">
        <v>42</v>
      </c>
      <c r="B3758" t="s">
        <v>174</v>
      </c>
      <c r="C3758" t="s">
        <v>55</v>
      </c>
      <c r="D3758" t="s">
        <v>22</v>
      </c>
      <c r="E3758" t="s">
        <v>32</v>
      </c>
      <c r="F3758" t="s">
        <v>1687</v>
      </c>
      <c r="G3758">
        <v>549123132</v>
      </c>
      <c r="H3758" t="s">
        <v>1485</v>
      </c>
      <c r="I3758">
        <v>6592</v>
      </c>
      <c r="J3758">
        <v>651.21</v>
      </c>
      <c r="K3758">
        <v>524.96</v>
      </c>
      <c r="L3758">
        <v>4292776.32</v>
      </c>
      <c r="M3758">
        <v>3460536.3199999998</v>
      </c>
      <c r="N3758">
        <v>832240</v>
      </c>
    </row>
    <row r="3759" spans="1:14" x14ac:dyDescent="0.25">
      <c r="A3759" t="s">
        <v>25</v>
      </c>
      <c r="B3759" t="s">
        <v>140</v>
      </c>
      <c r="C3759" t="s">
        <v>88</v>
      </c>
      <c r="D3759" t="s">
        <v>17</v>
      </c>
      <c r="E3759" t="s">
        <v>18</v>
      </c>
      <c r="F3759" s="1">
        <v>41558</v>
      </c>
      <c r="G3759">
        <v>609939754</v>
      </c>
      <c r="H3759" t="s">
        <v>1328</v>
      </c>
      <c r="I3759">
        <v>3582</v>
      </c>
      <c r="J3759">
        <v>9.33</v>
      </c>
      <c r="K3759">
        <v>6.92</v>
      </c>
      <c r="L3759">
        <v>33420.06</v>
      </c>
      <c r="M3759">
        <v>24787.439999999999</v>
      </c>
      <c r="N3759">
        <v>8632.6200000000008</v>
      </c>
    </row>
    <row r="3760" spans="1:14" x14ac:dyDescent="0.25">
      <c r="A3760" t="s">
        <v>51</v>
      </c>
      <c r="B3760" t="s">
        <v>129</v>
      </c>
      <c r="C3760" t="s">
        <v>59</v>
      </c>
      <c r="D3760" t="s">
        <v>17</v>
      </c>
      <c r="E3760" t="s">
        <v>23</v>
      </c>
      <c r="F3760" s="1">
        <v>40704</v>
      </c>
      <c r="G3760">
        <v>776623380</v>
      </c>
      <c r="H3760" t="s">
        <v>602</v>
      </c>
      <c r="I3760">
        <v>8971</v>
      </c>
      <c r="J3760">
        <v>437.2</v>
      </c>
      <c r="K3760">
        <v>263.33</v>
      </c>
      <c r="L3760">
        <v>3922121.2</v>
      </c>
      <c r="M3760">
        <v>2362333.4300000002</v>
      </c>
      <c r="N3760">
        <v>1559787.77</v>
      </c>
    </row>
    <row r="3761" spans="1:14" x14ac:dyDescent="0.25">
      <c r="A3761" t="s">
        <v>29</v>
      </c>
      <c r="B3761" t="s">
        <v>494</v>
      </c>
      <c r="C3761" t="s">
        <v>55</v>
      </c>
      <c r="D3761" t="s">
        <v>22</v>
      </c>
      <c r="E3761" t="s">
        <v>32</v>
      </c>
      <c r="F3761" t="s">
        <v>1789</v>
      </c>
      <c r="G3761">
        <v>849222838</v>
      </c>
      <c r="H3761" t="s">
        <v>1694</v>
      </c>
      <c r="I3761">
        <v>2764</v>
      </c>
      <c r="J3761">
        <v>651.21</v>
      </c>
      <c r="K3761">
        <v>524.96</v>
      </c>
      <c r="L3761">
        <v>1799944.44</v>
      </c>
      <c r="M3761">
        <v>1450989.44</v>
      </c>
      <c r="N3761">
        <v>348955</v>
      </c>
    </row>
    <row r="3762" spans="1:14" x14ac:dyDescent="0.25">
      <c r="A3762" t="s">
        <v>51</v>
      </c>
      <c r="B3762" t="s">
        <v>593</v>
      </c>
      <c r="C3762" t="s">
        <v>59</v>
      </c>
      <c r="D3762" t="s">
        <v>22</v>
      </c>
      <c r="E3762" t="s">
        <v>18</v>
      </c>
      <c r="F3762" s="1">
        <v>41368</v>
      </c>
      <c r="G3762">
        <v>248099458</v>
      </c>
      <c r="H3762" s="1">
        <v>41398</v>
      </c>
      <c r="I3762">
        <v>6998</v>
      </c>
      <c r="J3762">
        <v>437.2</v>
      </c>
      <c r="K3762">
        <v>263.33</v>
      </c>
      <c r="L3762">
        <v>3059525.6</v>
      </c>
      <c r="M3762">
        <v>1842783.34</v>
      </c>
      <c r="N3762">
        <v>1216742.26</v>
      </c>
    </row>
    <row r="3763" spans="1:14" x14ac:dyDescent="0.25">
      <c r="A3763" t="s">
        <v>14</v>
      </c>
      <c r="B3763" t="s">
        <v>208</v>
      </c>
      <c r="C3763" t="s">
        <v>55</v>
      </c>
      <c r="D3763" t="s">
        <v>22</v>
      </c>
      <c r="E3763" t="s">
        <v>23</v>
      </c>
      <c r="F3763" s="1">
        <v>40913</v>
      </c>
      <c r="G3763">
        <v>263927066</v>
      </c>
      <c r="H3763" t="s">
        <v>1790</v>
      </c>
      <c r="I3763">
        <v>739</v>
      </c>
      <c r="J3763">
        <v>651.21</v>
      </c>
      <c r="K3763">
        <v>524.96</v>
      </c>
      <c r="L3763">
        <v>481244.19</v>
      </c>
      <c r="M3763">
        <v>387945.44</v>
      </c>
      <c r="N3763">
        <v>93298.75</v>
      </c>
    </row>
    <row r="3764" spans="1:14" x14ac:dyDescent="0.25">
      <c r="A3764" t="s">
        <v>25</v>
      </c>
      <c r="B3764" t="s">
        <v>363</v>
      </c>
      <c r="C3764" t="s">
        <v>31</v>
      </c>
      <c r="D3764" t="s">
        <v>22</v>
      </c>
      <c r="E3764" t="s">
        <v>18</v>
      </c>
      <c r="F3764" s="1">
        <v>41792</v>
      </c>
      <c r="G3764">
        <v>907691991</v>
      </c>
      <c r="H3764" s="1">
        <v>41885</v>
      </c>
      <c r="I3764">
        <v>5086</v>
      </c>
      <c r="J3764">
        <v>205.7</v>
      </c>
      <c r="K3764">
        <v>117.11</v>
      </c>
      <c r="L3764">
        <v>1046190.2</v>
      </c>
      <c r="M3764">
        <v>595621.46</v>
      </c>
      <c r="N3764">
        <v>450568.74</v>
      </c>
    </row>
    <row r="3765" spans="1:14" x14ac:dyDescent="0.25">
      <c r="A3765" t="s">
        <v>25</v>
      </c>
      <c r="B3765" t="s">
        <v>785</v>
      </c>
      <c r="C3765" t="s">
        <v>88</v>
      </c>
      <c r="D3765" t="s">
        <v>22</v>
      </c>
      <c r="E3765" t="s">
        <v>23</v>
      </c>
      <c r="F3765" t="s">
        <v>1629</v>
      </c>
      <c r="G3765">
        <v>460693061</v>
      </c>
      <c r="H3765" t="s">
        <v>1501</v>
      </c>
      <c r="I3765">
        <v>8169</v>
      </c>
      <c r="J3765">
        <v>9.33</v>
      </c>
      <c r="K3765">
        <v>6.92</v>
      </c>
      <c r="L3765">
        <v>76216.77</v>
      </c>
      <c r="M3765">
        <v>56529.48</v>
      </c>
      <c r="N3765">
        <v>19687.29</v>
      </c>
    </row>
    <row r="3766" spans="1:14" x14ac:dyDescent="0.25">
      <c r="A3766" t="s">
        <v>25</v>
      </c>
      <c r="B3766" t="s">
        <v>119</v>
      </c>
      <c r="C3766" t="s">
        <v>55</v>
      </c>
      <c r="D3766" t="s">
        <v>22</v>
      </c>
      <c r="E3766" t="s">
        <v>45</v>
      </c>
      <c r="F3766" s="1">
        <v>41398</v>
      </c>
      <c r="G3766">
        <v>424541604</v>
      </c>
      <c r="H3766" t="s">
        <v>60</v>
      </c>
      <c r="I3766">
        <v>150</v>
      </c>
      <c r="J3766">
        <v>651.21</v>
      </c>
      <c r="K3766">
        <v>524.96</v>
      </c>
      <c r="L3766">
        <v>97681.5</v>
      </c>
      <c r="M3766">
        <v>78744</v>
      </c>
      <c r="N3766">
        <v>18937.5</v>
      </c>
    </row>
    <row r="3767" spans="1:14" x14ac:dyDescent="0.25">
      <c r="A3767" t="s">
        <v>25</v>
      </c>
      <c r="B3767" t="s">
        <v>26</v>
      </c>
      <c r="C3767" t="s">
        <v>131</v>
      </c>
      <c r="D3767" t="s">
        <v>17</v>
      </c>
      <c r="E3767" t="s">
        <v>32</v>
      </c>
      <c r="F3767" t="s">
        <v>1515</v>
      </c>
      <c r="G3767">
        <v>571161448</v>
      </c>
      <c r="H3767" t="s">
        <v>1103</v>
      </c>
      <c r="I3767">
        <v>8220</v>
      </c>
      <c r="J3767">
        <v>668.27</v>
      </c>
      <c r="K3767">
        <v>502.54</v>
      </c>
      <c r="L3767">
        <v>5493179.4000000004</v>
      </c>
      <c r="M3767">
        <v>4130878.8</v>
      </c>
      <c r="N3767">
        <v>1362300.6</v>
      </c>
    </row>
    <row r="3768" spans="1:14" x14ac:dyDescent="0.25">
      <c r="A3768" t="s">
        <v>38</v>
      </c>
      <c r="B3768" t="s">
        <v>49</v>
      </c>
      <c r="C3768" t="s">
        <v>113</v>
      </c>
      <c r="D3768" t="s">
        <v>17</v>
      </c>
      <c r="E3768" t="s">
        <v>18</v>
      </c>
      <c r="F3768" s="1">
        <v>40641</v>
      </c>
      <c r="G3768">
        <v>292788922</v>
      </c>
      <c r="H3768" s="1">
        <v>40764</v>
      </c>
      <c r="I3768">
        <v>1603</v>
      </c>
      <c r="J3768">
        <v>154.06</v>
      </c>
      <c r="K3768">
        <v>90.93</v>
      </c>
      <c r="L3768">
        <v>246958.18</v>
      </c>
      <c r="M3768">
        <v>145760.79</v>
      </c>
      <c r="N3768">
        <v>101197.39</v>
      </c>
    </row>
    <row r="3769" spans="1:14" x14ac:dyDescent="0.25">
      <c r="A3769" t="s">
        <v>51</v>
      </c>
      <c r="B3769" t="s">
        <v>151</v>
      </c>
      <c r="C3769" t="s">
        <v>59</v>
      </c>
      <c r="D3769" t="s">
        <v>17</v>
      </c>
      <c r="E3769" t="s">
        <v>32</v>
      </c>
      <c r="F3769" s="1">
        <v>41765</v>
      </c>
      <c r="G3769">
        <v>851972854</v>
      </c>
      <c r="H3769" s="1">
        <v>41918</v>
      </c>
      <c r="I3769">
        <v>6555</v>
      </c>
      <c r="J3769">
        <v>437.2</v>
      </c>
      <c r="K3769">
        <v>263.33</v>
      </c>
      <c r="L3769">
        <v>2865846</v>
      </c>
      <c r="M3769">
        <v>1726128.15</v>
      </c>
      <c r="N3769">
        <v>1139717.8500000001</v>
      </c>
    </row>
    <row r="3770" spans="1:14" x14ac:dyDescent="0.25">
      <c r="A3770" t="s">
        <v>14</v>
      </c>
      <c r="B3770" t="s">
        <v>98</v>
      </c>
      <c r="C3770" t="s">
        <v>40</v>
      </c>
      <c r="D3770" t="s">
        <v>22</v>
      </c>
      <c r="E3770" t="s">
        <v>23</v>
      </c>
      <c r="F3770" s="1">
        <v>40674</v>
      </c>
      <c r="G3770">
        <v>431574571</v>
      </c>
      <c r="H3770" t="s">
        <v>720</v>
      </c>
      <c r="I3770">
        <v>1361</v>
      </c>
      <c r="J3770">
        <v>81.73</v>
      </c>
      <c r="K3770">
        <v>56.67</v>
      </c>
      <c r="L3770">
        <v>111234.53</v>
      </c>
      <c r="M3770">
        <v>77127.87</v>
      </c>
      <c r="N3770">
        <v>34106.660000000003</v>
      </c>
    </row>
    <row r="3771" spans="1:14" x14ac:dyDescent="0.25">
      <c r="A3771" t="s">
        <v>51</v>
      </c>
      <c r="B3771" t="s">
        <v>301</v>
      </c>
      <c r="C3771" t="s">
        <v>31</v>
      </c>
      <c r="D3771" t="s">
        <v>22</v>
      </c>
      <c r="E3771" t="s">
        <v>23</v>
      </c>
      <c r="F3771" t="s">
        <v>1692</v>
      </c>
      <c r="G3771">
        <v>884767901</v>
      </c>
      <c r="H3771" t="s">
        <v>1728</v>
      </c>
      <c r="I3771">
        <v>1338</v>
      </c>
      <c r="J3771">
        <v>205.7</v>
      </c>
      <c r="K3771">
        <v>117.11</v>
      </c>
      <c r="L3771">
        <v>275226.59999999998</v>
      </c>
      <c r="M3771">
        <v>156693.18</v>
      </c>
      <c r="N3771">
        <v>118533.42</v>
      </c>
    </row>
    <row r="3772" spans="1:14" x14ac:dyDescent="0.25">
      <c r="A3772" t="s">
        <v>25</v>
      </c>
      <c r="B3772" t="s">
        <v>172</v>
      </c>
      <c r="C3772" t="s">
        <v>27</v>
      </c>
      <c r="D3772" t="s">
        <v>17</v>
      </c>
      <c r="E3772" t="s">
        <v>45</v>
      </c>
      <c r="F3772" s="1">
        <v>40635</v>
      </c>
      <c r="G3772">
        <v>985039174</v>
      </c>
      <c r="H3772" s="1">
        <v>40819</v>
      </c>
      <c r="I3772">
        <v>3836</v>
      </c>
      <c r="J3772">
        <v>47.45</v>
      </c>
      <c r="K3772">
        <v>31.79</v>
      </c>
      <c r="L3772">
        <v>182018.2</v>
      </c>
      <c r="M3772">
        <v>121946.44</v>
      </c>
      <c r="N3772">
        <v>60071.76</v>
      </c>
    </row>
    <row r="3773" spans="1:14" x14ac:dyDescent="0.25">
      <c r="A3773" t="s">
        <v>14</v>
      </c>
      <c r="B3773" t="s">
        <v>432</v>
      </c>
      <c r="C3773" t="s">
        <v>55</v>
      </c>
      <c r="D3773" t="s">
        <v>22</v>
      </c>
      <c r="E3773" t="s">
        <v>18</v>
      </c>
      <c r="F3773" t="s">
        <v>954</v>
      </c>
      <c r="G3773">
        <v>476187217</v>
      </c>
      <c r="H3773" t="s">
        <v>171</v>
      </c>
      <c r="I3773">
        <v>3234</v>
      </c>
      <c r="J3773">
        <v>651.21</v>
      </c>
      <c r="K3773">
        <v>524.96</v>
      </c>
      <c r="L3773">
        <v>2106013.14</v>
      </c>
      <c r="M3773">
        <v>1697720.64</v>
      </c>
      <c r="N3773">
        <v>408292.5</v>
      </c>
    </row>
    <row r="3774" spans="1:14" x14ac:dyDescent="0.25">
      <c r="A3774" t="s">
        <v>25</v>
      </c>
      <c r="B3774" t="s">
        <v>752</v>
      </c>
      <c r="C3774" t="s">
        <v>44</v>
      </c>
      <c r="D3774" t="s">
        <v>17</v>
      </c>
      <c r="E3774" t="s">
        <v>45</v>
      </c>
      <c r="F3774" t="s">
        <v>1672</v>
      </c>
      <c r="G3774">
        <v>522323358</v>
      </c>
      <c r="H3774" t="s">
        <v>318</v>
      </c>
      <c r="I3774">
        <v>5944</v>
      </c>
      <c r="J3774">
        <v>109.28</v>
      </c>
      <c r="K3774">
        <v>35.840000000000003</v>
      </c>
      <c r="L3774">
        <v>649560.31999999995</v>
      </c>
      <c r="M3774">
        <v>213032.95999999999</v>
      </c>
      <c r="N3774">
        <v>436527.35999999999</v>
      </c>
    </row>
    <row r="3775" spans="1:14" x14ac:dyDescent="0.25">
      <c r="A3775" t="s">
        <v>51</v>
      </c>
      <c r="B3775" t="s">
        <v>250</v>
      </c>
      <c r="C3775" t="s">
        <v>16</v>
      </c>
      <c r="D3775" t="s">
        <v>17</v>
      </c>
      <c r="E3775" t="s">
        <v>45</v>
      </c>
      <c r="F3775" s="1">
        <v>41010</v>
      </c>
      <c r="G3775">
        <v>557871425</v>
      </c>
      <c r="H3775" t="s">
        <v>918</v>
      </c>
      <c r="I3775">
        <v>5407</v>
      </c>
      <c r="J3775">
        <v>255.28</v>
      </c>
      <c r="K3775">
        <v>159.41999999999999</v>
      </c>
      <c r="L3775">
        <v>1380298.96</v>
      </c>
      <c r="M3775">
        <v>861983.94</v>
      </c>
      <c r="N3775">
        <v>518315.02</v>
      </c>
    </row>
    <row r="3776" spans="1:14" x14ac:dyDescent="0.25">
      <c r="A3776" t="s">
        <v>51</v>
      </c>
      <c r="B3776" t="s">
        <v>414</v>
      </c>
      <c r="C3776" t="s">
        <v>59</v>
      </c>
      <c r="D3776" t="s">
        <v>17</v>
      </c>
      <c r="E3776" t="s">
        <v>18</v>
      </c>
      <c r="F3776" t="s">
        <v>1048</v>
      </c>
      <c r="G3776">
        <v>537567746</v>
      </c>
      <c r="H3776" t="s">
        <v>1744</v>
      </c>
      <c r="I3776">
        <v>7097</v>
      </c>
      <c r="J3776">
        <v>437.2</v>
      </c>
      <c r="K3776">
        <v>263.33</v>
      </c>
      <c r="L3776">
        <v>3102808.4</v>
      </c>
      <c r="M3776">
        <v>1868853.01</v>
      </c>
      <c r="N3776">
        <v>1233955.3899999999</v>
      </c>
    </row>
    <row r="3777" spans="1:14" x14ac:dyDescent="0.25">
      <c r="A3777" t="s">
        <v>25</v>
      </c>
      <c r="B3777" t="s">
        <v>201</v>
      </c>
      <c r="C3777" t="s">
        <v>113</v>
      </c>
      <c r="D3777" t="s">
        <v>22</v>
      </c>
      <c r="E3777" t="s">
        <v>18</v>
      </c>
      <c r="F3777" s="1">
        <v>42500</v>
      </c>
      <c r="G3777">
        <v>486461150</v>
      </c>
      <c r="H3777" t="s">
        <v>222</v>
      </c>
      <c r="I3777">
        <v>3519</v>
      </c>
      <c r="J3777">
        <v>154.06</v>
      </c>
      <c r="K3777">
        <v>90.93</v>
      </c>
      <c r="L3777">
        <v>542137.14</v>
      </c>
      <c r="M3777">
        <v>319982.67</v>
      </c>
      <c r="N3777">
        <v>222154.47</v>
      </c>
    </row>
    <row r="3778" spans="1:14" x14ac:dyDescent="0.25">
      <c r="A3778" t="s">
        <v>25</v>
      </c>
      <c r="B3778" t="s">
        <v>239</v>
      </c>
      <c r="C3778" t="s">
        <v>59</v>
      </c>
      <c r="D3778" t="s">
        <v>17</v>
      </c>
      <c r="E3778" t="s">
        <v>18</v>
      </c>
      <c r="F3778" t="s">
        <v>1400</v>
      </c>
      <c r="G3778">
        <v>949912965</v>
      </c>
      <c r="H3778" s="1">
        <v>42889</v>
      </c>
      <c r="I3778">
        <v>9210</v>
      </c>
      <c r="J3778">
        <v>437.2</v>
      </c>
      <c r="K3778">
        <v>263.33</v>
      </c>
      <c r="L3778">
        <v>4026612</v>
      </c>
      <c r="M3778">
        <v>2425269.2999999998</v>
      </c>
      <c r="N3778">
        <v>1601342.7</v>
      </c>
    </row>
    <row r="3779" spans="1:14" x14ac:dyDescent="0.25">
      <c r="A3779" t="s">
        <v>29</v>
      </c>
      <c r="B3779" t="s">
        <v>338</v>
      </c>
      <c r="C3779" t="s">
        <v>40</v>
      </c>
      <c r="D3779" t="s">
        <v>22</v>
      </c>
      <c r="E3779" t="s">
        <v>23</v>
      </c>
      <c r="F3779" t="s">
        <v>1791</v>
      </c>
      <c r="G3779">
        <v>743597018</v>
      </c>
      <c r="H3779" t="s">
        <v>1227</v>
      </c>
      <c r="I3779">
        <v>5737</v>
      </c>
      <c r="J3779">
        <v>81.73</v>
      </c>
      <c r="K3779">
        <v>56.67</v>
      </c>
      <c r="L3779">
        <v>468885.01</v>
      </c>
      <c r="M3779">
        <v>325115.78999999998</v>
      </c>
      <c r="N3779">
        <v>143769.22</v>
      </c>
    </row>
    <row r="3780" spans="1:14" x14ac:dyDescent="0.25">
      <c r="A3780" t="s">
        <v>25</v>
      </c>
      <c r="B3780" t="s">
        <v>418</v>
      </c>
      <c r="C3780" t="s">
        <v>88</v>
      </c>
      <c r="D3780" t="s">
        <v>17</v>
      </c>
      <c r="E3780" t="s">
        <v>32</v>
      </c>
      <c r="F3780" t="s">
        <v>1556</v>
      </c>
      <c r="G3780">
        <v>103499639</v>
      </c>
      <c r="H3780" s="1">
        <v>41431</v>
      </c>
      <c r="I3780">
        <v>6698</v>
      </c>
      <c r="J3780">
        <v>9.33</v>
      </c>
      <c r="K3780">
        <v>6.92</v>
      </c>
      <c r="L3780">
        <v>62492.34</v>
      </c>
      <c r="M3780">
        <v>46350.16</v>
      </c>
      <c r="N3780">
        <v>16142.18</v>
      </c>
    </row>
    <row r="3781" spans="1:14" x14ac:dyDescent="0.25">
      <c r="A3781" t="s">
        <v>14</v>
      </c>
      <c r="B3781" t="s">
        <v>213</v>
      </c>
      <c r="C3781" t="s">
        <v>27</v>
      </c>
      <c r="D3781" t="s">
        <v>22</v>
      </c>
      <c r="E3781" t="s">
        <v>23</v>
      </c>
      <c r="F3781" s="1">
        <v>40978</v>
      </c>
      <c r="G3781">
        <v>235919654</v>
      </c>
      <c r="H3781" t="s">
        <v>1792</v>
      </c>
      <c r="I3781">
        <v>2723</v>
      </c>
      <c r="J3781">
        <v>47.45</v>
      </c>
      <c r="K3781">
        <v>31.79</v>
      </c>
      <c r="L3781">
        <v>129206.35</v>
      </c>
      <c r="M3781">
        <v>86564.17</v>
      </c>
      <c r="N3781">
        <v>42642.18</v>
      </c>
    </row>
    <row r="3782" spans="1:14" x14ac:dyDescent="0.25">
      <c r="A3782" t="s">
        <v>29</v>
      </c>
      <c r="B3782" t="s">
        <v>585</v>
      </c>
      <c r="C3782" t="s">
        <v>16</v>
      </c>
      <c r="D3782" t="s">
        <v>17</v>
      </c>
      <c r="E3782" t="s">
        <v>23</v>
      </c>
      <c r="F3782" t="s">
        <v>834</v>
      </c>
      <c r="G3782">
        <v>167468392</v>
      </c>
      <c r="H3782" t="s">
        <v>1141</v>
      </c>
      <c r="I3782">
        <v>6474</v>
      </c>
      <c r="J3782">
        <v>255.28</v>
      </c>
      <c r="K3782">
        <v>159.41999999999999</v>
      </c>
      <c r="L3782">
        <v>1652682.72</v>
      </c>
      <c r="M3782">
        <v>1032085.08</v>
      </c>
      <c r="N3782">
        <v>620597.64</v>
      </c>
    </row>
    <row r="3783" spans="1:14" x14ac:dyDescent="0.25">
      <c r="A3783" t="s">
        <v>14</v>
      </c>
      <c r="B3783" t="s">
        <v>357</v>
      </c>
      <c r="C3783" t="s">
        <v>31</v>
      </c>
      <c r="D3783" t="s">
        <v>17</v>
      </c>
      <c r="E3783" t="s">
        <v>23</v>
      </c>
      <c r="F3783" s="1">
        <v>40214</v>
      </c>
      <c r="G3783">
        <v>795069682</v>
      </c>
      <c r="H3783" t="s">
        <v>1771</v>
      </c>
      <c r="I3783">
        <v>7642</v>
      </c>
      <c r="J3783">
        <v>205.7</v>
      </c>
      <c r="K3783">
        <v>117.11</v>
      </c>
      <c r="L3783">
        <v>1571959.4</v>
      </c>
      <c r="M3783">
        <v>894954.62</v>
      </c>
      <c r="N3783">
        <v>677004.78</v>
      </c>
    </row>
    <row r="3784" spans="1:14" x14ac:dyDescent="0.25">
      <c r="A3784" t="s">
        <v>51</v>
      </c>
      <c r="B3784" t="s">
        <v>575</v>
      </c>
      <c r="C3784" t="s">
        <v>69</v>
      </c>
      <c r="D3784" t="s">
        <v>22</v>
      </c>
      <c r="E3784" t="s">
        <v>32</v>
      </c>
      <c r="F3784" s="1">
        <v>41647</v>
      </c>
      <c r="G3784">
        <v>835959851</v>
      </c>
      <c r="H3784" t="s">
        <v>1147</v>
      </c>
      <c r="I3784">
        <v>7952</v>
      </c>
      <c r="J3784">
        <v>421.89</v>
      </c>
      <c r="K3784">
        <v>364.69</v>
      </c>
      <c r="L3784">
        <v>3354869.28</v>
      </c>
      <c r="M3784">
        <v>2900014.88</v>
      </c>
      <c r="N3784">
        <v>454854.40000000002</v>
      </c>
    </row>
    <row r="3785" spans="1:14" x14ac:dyDescent="0.25">
      <c r="A3785" t="s">
        <v>25</v>
      </c>
      <c r="B3785" t="s">
        <v>569</v>
      </c>
      <c r="C3785" t="s">
        <v>40</v>
      </c>
      <c r="D3785" t="s">
        <v>22</v>
      </c>
      <c r="E3785" t="s">
        <v>23</v>
      </c>
      <c r="F3785" t="s">
        <v>1399</v>
      </c>
      <c r="G3785">
        <v>877687728</v>
      </c>
      <c r="H3785" s="1">
        <v>42918</v>
      </c>
      <c r="I3785">
        <v>6158</v>
      </c>
      <c r="J3785">
        <v>81.73</v>
      </c>
      <c r="K3785">
        <v>56.67</v>
      </c>
      <c r="L3785">
        <v>503293.34</v>
      </c>
      <c r="M3785">
        <v>348973.86</v>
      </c>
      <c r="N3785">
        <v>154319.48000000001</v>
      </c>
    </row>
    <row r="3786" spans="1:14" x14ac:dyDescent="0.25">
      <c r="A3786" t="s">
        <v>51</v>
      </c>
      <c r="B3786" t="s">
        <v>487</v>
      </c>
      <c r="C3786" t="s">
        <v>40</v>
      </c>
      <c r="D3786" t="s">
        <v>17</v>
      </c>
      <c r="E3786" t="s">
        <v>32</v>
      </c>
      <c r="F3786" s="1">
        <v>42044</v>
      </c>
      <c r="G3786">
        <v>228114640</v>
      </c>
      <c r="H3786" t="s">
        <v>874</v>
      </c>
      <c r="I3786">
        <v>3046</v>
      </c>
      <c r="J3786">
        <v>81.73</v>
      </c>
      <c r="K3786">
        <v>56.67</v>
      </c>
      <c r="L3786">
        <v>248949.58</v>
      </c>
      <c r="M3786">
        <v>172616.82</v>
      </c>
      <c r="N3786">
        <v>76332.759999999995</v>
      </c>
    </row>
    <row r="3787" spans="1:14" x14ac:dyDescent="0.25">
      <c r="A3787" t="s">
        <v>14</v>
      </c>
      <c r="B3787" t="s">
        <v>94</v>
      </c>
      <c r="C3787" t="s">
        <v>44</v>
      </c>
      <c r="D3787" t="s">
        <v>22</v>
      </c>
      <c r="E3787" t="s">
        <v>18</v>
      </c>
      <c r="F3787" s="1">
        <v>41283</v>
      </c>
      <c r="G3787">
        <v>965414416</v>
      </c>
      <c r="H3787" t="s">
        <v>1376</v>
      </c>
      <c r="I3787">
        <v>6434</v>
      </c>
      <c r="J3787">
        <v>109.28</v>
      </c>
      <c r="K3787">
        <v>35.840000000000003</v>
      </c>
      <c r="L3787">
        <v>703107.52</v>
      </c>
      <c r="M3787">
        <v>230594.56</v>
      </c>
      <c r="N3787">
        <v>472512.96</v>
      </c>
    </row>
    <row r="3788" spans="1:14" x14ac:dyDescent="0.25">
      <c r="A3788" t="s">
        <v>25</v>
      </c>
      <c r="B3788" t="s">
        <v>462</v>
      </c>
      <c r="C3788" t="s">
        <v>16</v>
      </c>
      <c r="D3788" t="s">
        <v>22</v>
      </c>
      <c r="E3788" t="s">
        <v>45</v>
      </c>
      <c r="F3788" t="s">
        <v>289</v>
      </c>
      <c r="G3788">
        <v>288073384</v>
      </c>
      <c r="H3788" t="s">
        <v>1212</v>
      </c>
      <c r="I3788">
        <v>6171</v>
      </c>
      <c r="J3788">
        <v>255.28</v>
      </c>
      <c r="K3788">
        <v>159.41999999999999</v>
      </c>
      <c r="L3788">
        <v>1575332.88</v>
      </c>
      <c r="M3788">
        <v>983780.82</v>
      </c>
      <c r="N3788">
        <v>591552.06000000006</v>
      </c>
    </row>
    <row r="3789" spans="1:14" x14ac:dyDescent="0.25">
      <c r="A3789" t="s">
        <v>14</v>
      </c>
      <c r="B3789" t="s">
        <v>432</v>
      </c>
      <c r="C3789" t="s">
        <v>69</v>
      </c>
      <c r="D3789" t="s">
        <v>17</v>
      </c>
      <c r="E3789" t="s">
        <v>45</v>
      </c>
      <c r="F3789" t="s">
        <v>1309</v>
      </c>
      <c r="G3789">
        <v>864890372</v>
      </c>
      <c r="H3789" t="s">
        <v>992</v>
      </c>
      <c r="I3789">
        <v>9136</v>
      </c>
      <c r="J3789">
        <v>421.89</v>
      </c>
      <c r="K3789">
        <v>364.69</v>
      </c>
      <c r="L3789">
        <v>3854387.04</v>
      </c>
      <c r="M3789">
        <v>3331807.84</v>
      </c>
      <c r="N3789">
        <v>522579.20000000001</v>
      </c>
    </row>
    <row r="3790" spans="1:14" x14ac:dyDescent="0.25">
      <c r="A3790" t="s">
        <v>14</v>
      </c>
      <c r="B3790" t="s">
        <v>370</v>
      </c>
      <c r="C3790" t="s">
        <v>31</v>
      </c>
      <c r="D3790" t="s">
        <v>22</v>
      </c>
      <c r="E3790" t="s">
        <v>32</v>
      </c>
      <c r="F3790" t="s">
        <v>1566</v>
      </c>
      <c r="G3790">
        <v>484976708</v>
      </c>
      <c r="H3790" t="s">
        <v>1252</v>
      </c>
      <c r="I3790">
        <v>4240</v>
      </c>
      <c r="J3790">
        <v>205.7</v>
      </c>
      <c r="K3790">
        <v>117.11</v>
      </c>
      <c r="L3790">
        <v>872168</v>
      </c>
      <c r="M3790">
        <v>496546.4</v>
      </c>
      <c r="N3790">
        <v>375621.6</v>
      </c>
    </row>
    <row r="3791" spans="1:14" x14ac:dyDescent="0.25">
      <c r="A3791" t="s">
        <v>25</v>
      </c>
      <c r="B3791" t="s">
        <v>201</v>
      </c>
      <c r="C3791" t="s">
        <v>131</v>
      </c>
      <c r="D3791" t="s">
        <v>17</v>
      </c>
      <c r="E3791" t="s">
        <v>45</v>
      </c>
      <c r="F3791" s="1">
        <v>42437</v>
      </c>
      <c r="G3791">
        <v>607756221</v>
      </c>
      <c r="H3791" s="1">
        <v>42682</v>
      </c>
      <c r="I3791">
        <v>7426</v>
      </c>
      <c r="J3791">
        <v>668.27</v>
      </c>
      <c r="K3791">
        <v>502.54</v>
      </c>
      <c r="L3791">
        <v>4962573.0199999996</v>
      </c>
      <c r="M3791">
        <v>3731862.04</v>
      </c>
      <c r="N3791">
        <v>1230710.98</v>
      </c>
    </row>
    <row r="3792" spans="1:14" x14ac:dyDescent="0.25">
      <c r="A3792" t="s">
        <v>14</v>
      </c>
      <c r="B3792" t="s">
        <v>15</v>
      </c>
      <c r="C3792" t="s">
        <v>16</v>
      </c>
      <c r="D3792" t="s">
        <v>17</v>
      </c>
      <c r="E3792" t="s">
        <v>23</v>
      </c>
      <c r="F3792" t="s">
        <v>824</v>
      </c>
      <c r="G3792">
        <v>512965238</v>
      </c>
      <c r="H3792" s="1">
        <v>41821</v>
      </c>
      <c r="I3792">
        <v>6668</v>
      </c>
      <c r="J3792">
        <v>255.28</v>
      </c>
      <c r="K3792">
        <v>159.41999999999999</v>
      </c>
      <c r="L3792">
        <v>1702207.04</v>
      </c>
      <c r="M3792">
        <v>1063012.56</v>
      </c>
      <c r="N3792">
        <v>639194.48</v>
      </c>
    </row>
    <row r="3793" spans="1:14" x14ac:dyDescent="0.25">
      <c r="A3793" t="s">
        <v>38</v>
      </c>
      <c r="B3793" t="s">
        <v>346</v>
      </c>
      <c r="C3793" t="s">
        <v>21</v>
      </c>
      <c r="D3793" t="s">
        <v>17</v>
      </c>
      <c r="E3793" t="s">
        <v>23</v>
      </c>
      <c r="F3793" t="s">
        <v>1256</v>
      </c>
      <c r="G3793">
        <v>450652587</v>
      </c>
      <c r="H3793" t="s">
        <v>127</v>
      </c>
      <c r="I3793">
        <v>6970</v>
      </c>
      <c r="J3793">
        <v>152.58000000000001</v>
      </c>
      <c r="K3793">
        <v>97.44</v>
      </c>
      <c r="L3793">
        <v>1063482.6000000001</v>
      </c>
      <c r="M3793">
        <v>679156.8</v>
      </c>
      <c r="N3793">
        <v>384325.8</v>
      </c>
    </row>
    <row r="3794" spans="1:14" x14ac:dyDescent="0.25">
      <c r="A3794" t="s">
        <v>25</v>
      </c>
      <c r="B3794" t="s">
        <v>229</v>
      </c>
      <c r="C3794" t="s">
        <v>131</v>
      </c>
      <c r="D3794" t="s">
        <v>17</v>
      </c>
      <c r="E3794" t="s">
        <v>45</v>
      </c>
      <c r="F3794" t="s">
        <v>1778</v>
      </c>
      <c r="G3794">
        <v>291179597</v>
      </c>
      <c r="H3794" t="s">
        <v>1331</v>
      </c>
      <c r="I3794">
        <v>5368</v>
      </c>
      <c r="J3794">
        <v>668.27</v>
      </c>
      <c r="K3794">
        <v>502.54</v>
      </c>
      <c r="L3794">
        <v>3587273.36</v>
      </c>
      <c r="M3794">
        <v>2697634.72</v>
      </c>
      <c r="N3794">
        <v>889638.64</v>
      </c>
    </row>
    <row r="3795" spans="1:14" x14ac:dyDescent="0.25">
      <c r="A3795" t="s">
        <v>25</v>
      </c>
      <c r="B3795" t="s">
        <v>142</v>
      </c>
      <c r="C3795" t="s">
        <v>88</v>
      </c>
      <c r="D3795" t="s">
        <v>17</v>
      </c>
      <c r="E3795" t="s">
        <v>32</v>
      </c>
      <c r="F3795" t="s">
        <v>436</v>
      </c>
      <c r="G3795">
        <v>875220096</v>
      </c>
      <c r="H3795" s="1">
        <v>40340</v>
      </c>
      <c r="I3795">
        <v>5930</v>
      </c>
      <c r="J3795">
        <v>9.33</v>
      </c>
      <c r="K3795">
        <v>6.92</v>
      </c>
      <c r="L3795">
        <v>55326.9</v>
      </c>
      <c r="M3795">
        <v>41035.599999999999</v>
      </c>
      <c r="N3795">
        <v>14291.3</v>
      </c>
    </row>
    <row r="3796" spans="1:14" x14ac:dyDescent="0.25">
      <c r="A3796" t="s">
        <v>51</v>
      </c>
      <c r="B3796" t="s">
        <v>182</v>
      </c>
      <c r="C3796" t="s">
        <v>44</v>
      </c>
      <c r="D3796" t="s">
        <v>22</v>
      </c>
      <c r="E3796" t="s">
        <v>45</v>
      </c>
      <c r="F3796" t="s">
        <v>358</v>
      </c>
      <c r="G3796">
        <v>863760411</v>
      </c>
      <c r="H3796" t="s">
        <v>237</v>
      </c>
      <c r="I3796">
        <v>4755</v>
      </c>
      <c r="J3796">
        <v>109.28</v>
      </c>
      <c r="K3796">
        <v>35.840000000000003</v>
      </c>
      <c r="L3796">
        <v>519626.4</v>
      </c>
      <c r="M3796">
        <v>170419.20000000001</v>
      </c>
      <c r="N3796">
        <v>349207.2</v>
      </c>
    </row>
    <row r="3797" spans="1:14" x14ac:dyDescent="0.25">
      <c r="A3797" t="s">
        <v>51</v>
      </c>
      <c r="B3797" t="s">
        <v>420</v>
      </c>
      <c r="C3797" t="s">
        <v>21</v>
      </c>
      <c r="D3797" t="s">
        <v>22</v>
      </c>
      <c r="E3797" t="s">
        <v>45</v>
      </c>
      <c r="F3797" t="s">
        <v>942</v>
      </c>
      <c r="G3797">
        <v>788099372</v>
      </c>
      <c r="H3797" s="1">
        <v>40668</v>
      </c>
      <c r="I3797">
        <v>4972</v>
      </c>
      <c r="J3797">
        <v>152.58000000000001</v>
      </c>
      <c r="K3797">
        <v>97.44</v>
      </c>
      <c r="L3797">
        <v>758627.76</v>
      </c>
      <c r="M3797">
        <v>484471.68</v>
      </c>
      <c r="N3797">
        <v>274156.08</v>
      </c>
    </row>
    <row r="3798" spans="1:14" x14ac:dyDescent="0.25">
      <c r="A3798" t="s">
        <v>25</v>
      </c>
      <c r="B3798" t="s">
        <v>462</v>
      </c>
      <c r="C3798" t="s">
        <v>131</v>
      </c>
      <c r="D3798" t="s">
        <v>22</v>
      </c>
      <c r="E3798" t="s">
        <v>23</v>
      </c>
      <c r="F3798" s="1">
        <v>42677</v>
      </c>
      <c r="G3798">
        <v>799848306</v>
      </c>
      <c r="H3798" t="s">
        <v>1240</v>
      </c>
      <c r="I3798">
        <v>1743</v>
      </c>
      <c r="J3798">
        <v>668.27</v>
      </c>
      <c r="K3798">
        <v>502.54</v>
      </c>
      <c r="L3798">
        <v>1164794.6100000001</v>
      </c>
      <c r="M3798">
        <v>875927.22</v>
      </c>
      <c r="N3798">
        <v>288867.39</v>
      </c>
    </row>
    <row r="3799" spans="1:14" x14ac:dyDescent="0.25">
      <c r="A3799" t="s">
        <v>38</v>
      </c>
      <c r="B3799" t="s">
        <v>117</v>
      </c>
      <c r="C3799" t="s">
        <v>69</v>
      </c>
      <c r="D3799" t="s">
        <v>17</v>
      </c>
      <c r="E3799" t="s">
        <v>18</v>
      </c>
      <c r="F3799" s="1">
        <v>40522</v>
      </c>
      <c r="G3799">
        <v>220931041</v>
      </c>
      <c r="H3799" t="s">
        <v>1180</v>
      </c>
      <c r="I3799">
        <v>7259</v>
      </c>
      <c r="J3799">
        <v>421.89</v>
      </c>
      <c r="K3799">
        <v>364.69</v>
      </c>
      <c r="L3799">
        <v>3062499.51</v>
      </c>
      <c r="M3799">
        <v>2647284.71</v>
      </c>
      <c r="N3799">
        <v>415214.8</v>
      </c>
    </row>
    <row r="3800" spans="1:14" x14ac:dyDescent="0.25">
      <c r="A3800" t="s">
        <v>25</v>
      </c>
      <c r="B3800" t="s">
        <v>26</v>
      </c>
      <c r="C3800" t="s">
        <v>69</v>
      </c>
      <c r="D3800" t="s">
        <v>22</v>
      </c>
      <c r="E3800" t="s">
        <v>18</v>
      </c>
      <c r="F3800" s="1">
        <v>40675</v>
      </c>
      <c r="G3800">
        <v>693583905</v>
      </c>
      <c r="H3800" s="1">
        <v>41061</v>
      </c>
      <c r="I3800">
        <v>5745</v>
      </c>
      <c r="J3800">
        <v>421.89</v>
      </c>
      <c r="K3800">
        <v>364.69</v>
      </c>
      <c r="L3800">
        <v>2423758.0499999998</v>
      </c>
      <c r="M3800">
        <v>2095144.05</v>
      </c>
      <c r="N3800">
        <v>328614</v>
      </c>
    </row>
    <row r="3801" spans="1:14" x14ac:dyDescent="0.25">
      <c r="A3801" t="s">
        <v>51</v>
      </c>
      <c r="B3801" t="s">
        <v>420</v>
      </c>
      <c r="C3801" t="s">
        <v>44</v>
      </c>
      <c r="D3801" t="s">
        <v>17</v>
      </c>
      <c r="E3801" t="s">
        <v>23</v>
      </c>
      <c r="F3801" t="s">
        <v>1793</v>
      </c>
      <c r="G3801">
        <v>330355727</v>
      </c>
      <c r="H3801" t="s">
        <v>1794</v>
      </c>
      <c r="I3801">
        <v>8456</v>
      </c>
      <c r="J3801">
        <v>109.28</v>
      </c>
      <c r="K3801">
        <v>35.840000000000003</v>
      </c>
      <c r="L3801">
        <v>924071.68</v>
      </c>
      <c r="M3801">
        <v>303063.03999999998</v>
      </c>
      <c r="N3801">
        <v>621008.64000000001</v>
      </c>
    </row>
    <row r="3802" spans="1:14" x14ac:dyDescent="0.25">
      <c r="A3802" t="s">
        <v>42</v>
      </c>
      <c r="B3802" t="s">
        <v>361</v>
      </c>
      <c r="C3802" t="s">
        <v>59</v>
      </c>
      <c r="D3802" t="s">
        <v>22</v>
      </c>
      <c r="E3802" t="s">
        <v>45</v>
      </c>
      <c r="F3802" t="s">
        <v>1440</v>
      </c>
      <c r="G3802">
        <v>464107835</v>
      </c>
      <c r="H3802" t="s">
        <v>1105</v>
      </c>
      <c r="I3802">
        <v>8677</v>
      </c>
      <c r="J3802">
        <v>437.2</v>
      </c>
      <c r="K3802">
        <v>263.33</v>
      </c>
      <c r="L3802">
        <v>3793584.4</v>
      </c>
      <c r="M3802">
        <v>2284914.41</v>
      </c>
      <c r="N3802">
        <v>1508669.99</v>
      </c>
    </row>
    <row r="3803" spans="1:14" x14ac:dyDescent="0.25">
      <c r="A3803" t="s">
        <v>29</v>
      </c>
      <c r="B3803" t="s">
        <v>206</v>
      </c>
      <c r="C3803" t="s">
        <v>21</v>
      </c>
      <c r="D3803" t="s">
        <v>22</v>
      </c>
      <c r="E3803" t="s">
        <v>23</v>
      </c>
      <c r="F3803" s="1">
        <v>42348</v>
      </c>
      <c r="G3803">
        <v>698014056</v>
      </c>
      <c r="H3803" s="1">
        <v>42196</v>
      </c>
      <c r="I3803">
        <v>6726</v>
      </c>
      <c r="J3803">
        <v>152.58000000000001</v>
      </c>
      <c r="K3803">
        <v>97.44</v>
      </c>
      <c r="L3803">
        <v>1026253.08</v>
      </c>
      <c r="M3803">
        <v>655381.43999999994</v>
      </c>
      <c r="N3803">
        <v>370871.64</v>
      </c>
    </row>
    <row r="3804" spans="1:14" x14ac:dyDescent="0.25">
      <c r="A3804" t="s">
        <v>51</v>
      </c>
      <c r="B3804" t="s">
        <v>398</v>
      </c>
      <c r="C3804" t="s">
        <v>55</v>
      </c>
      <c r="D3804" t="s">
        <v>22</v>
      </c>
      <c r="E3804" t="s">
        <v>32</v>
      </c>
      <c r="F3804" t="s">
        <v>503</v>
      </c>
      <c r="G3804">
        <v>255560719</v>
      </c>
      <c r="H3804" s="1">
        <v>42858</v>
      </c>
      <c r="I3804">
        <v>4951</v>
      </c>
      <c r="J3804">
        <v>651.21</v>
      </c>
      <c r="K3804">
        <v>524.96</v>
      </c>
      <c r="L3804">
        <v>3224140.71</v>
      </c>
      <c r="M3804">
        <v>2599076.96</v>
      </c>
      <c r="N3804">
        <v>625063.75</v>
      </c>
    </row>
    <row r="3805" spans="1:14" x14ac:dyDescent="0.25">
      <c r="A3805" t="s">
        <v>14</v>
      </c>
      <c r="B3805" t="s">
        <v>20</v>
      </c>
      <c r="C3805" t="s">
        <v>44</v>
      </c>
      <c r="D3805" t="s">
        <v>17</v>
      </c>
      <c r="E3805" t="s">
        <v>45</v>
      </c>
      <c r="F3805" s="1">
        <v>42344</v>
      </c>
      <c r="G3805">
        <v>230546653</v>
      </c>
      <c r="H3805" t="s">
        <v>1099</v>
      </c>
      <c r="I3805">
        <v>2733</v>
      </c>
      <c r="J3805">
        <v>109.28</v>
      </c>
      <c r="K3805">
        <v>35.840000000000003</v>
      </c>
      <c r="L3805">
        <v>298662.24</v>
      </c>
      <c r="M3805">
        <v>97950.720000000001</v>
      </c>
      <c r="N3805">
        <v>200711.52</v>
      </c>
    </row>
    <row r="3806" spans="1:14" x14ac:dyDescent="0.25">
      <c r="A3806" t="s">
        <v>25</v>
      </c>
      <c r="B3806" t="s">
        <v>434</v>
      </c>
      <c r="C3806" t="s">
        <v>69</v>
      </c>
      <c r="D3806" t="s">
        <v>17</v>
      </c>
      <c r="E3806" t="s">
        <v>23</v>
      </c>
      <c r="F3806" t="s">
        <v>931</v>
      </c>
      <c r="G3806">
        <v>437083184</v>
      </c>
      <c r="H3806" t="s">
        <v>820</v>
      </c>
      <c r="I3806">
        <v>1482</v>
      </c>
      <c r="J3806">
        <v>421.89</v>
      </c>
      <c r="K3806">
        <v>364.69</v>
      </c>
      <c r="L3806">
        <v>625240.98</v>
      </c>
      <c r="M3806">
        <v>540470.57999999996</v>
      </c>
      <c r="N3806">
        <v>84770.4</v>
      </c>
    </row>
    <row r="3807" spans="1:14" x14ac:dyDescent="0.25">
      <c r="A3807" t="s">
        <v>25</v>
      </c>
      <c r="B3807" t="s">
        <v>458</v>
      </c>
      <c r="C3807" t="s">
        <v>113</v>
      </c>
      <c r="D3807" t="s">
        <v>22</v>
      </c>
      <c r="E3807" t="s">
        <v>23</v>
      </c>
      <c r="F3807" s="1">
        <v>43015</v>
      </c>
      <c r="G3807">
        <v>759594142</v>
      </c>
      <c r="H3807" s="1">
        <v>43076</v>
      </c>
      <c r="I3807">
        <v>9641</v>
      </c>
      <c r="J3807">
        <v>154.06</v>
      </c>
      <c r="K3807">
        <v>90.93</v>
      </c>
      <c r="L3807">
        <v>1485292.46</v>
      </c>
      <c r="M3807">
        <v>876656.13</v>
      </c>
      <c r="N3807">
        <v>608636.32999999996</v>
      </c>
    </row>
    <row r="3808" spans="1:14" x14ac:dyDescent="0.25">
      <c r="A3808" t="s">
        <v>25</v>
      </c>
      <c r="B3808" t="s">
        <v>303</v>
      </c>
      <c r="C3808" t="s">
        <v>131</v>
      </c>
      <c r="D3808" t="s">
        <v>17</v>
      </c>
      <c r="E3808" t="s">
        <v>32</v>
      </c>
      <c r="F3808" t="s">
        <v>1456</v>
      </c>
      <c r="G3808">
        <v>702815854</v>
      </c>
      <c r="H3808" s="1">
        <v>40335</v>
      </c>
      <c r="I3808">
        <v>7684</v>
      </c>
      <c r="J3808">
        <v>668.27</v>
      </c>
      <c r="K3808">
        <v>502.54</v>
      </c>
      <c r="L3808">
        <v>5134986.68</v>
      </c>
      <c r="M3808">
        <v>3861517.36</v>
      </c>
      <c r="N3808">
        <v>1273469.32</v>
      </c>
    </row>
    <row r="3809" spans="1:14" x14ac:dyDescent="0.25">
      <c r="A3809" t="s">
        <v>14</v>
      </c>
      <c r="B3809" t="s">
        <v>226</v>
      </c>
      <c r="C3809" t="s">
        <v>31</v>
      </c>
      <c r="D3809" t="s">
        <v>22</v>
      </c>
      <c r="E3809" t="s">
        <v>45</v>
      </c>
      <c r="F3809" t="s">
        <v>1712</v>
      </c>
      <c r="G3809">
        <v>741797149</v>
      </c>
      <c r="H3809" s="1">
        <v>42434</v>
      </c>
      <c r="I3809">
        <v>3116</v>
      </c>
      <c r="J3809">
        <v>205.7</v>
      </c>
      <c r="K3809">
        <v>117.11</v>
      </c>
      <c r="L3809">
        <v>640961.19999999995</v>
      </c>
      <c r="M3809">
        <v>364914.76</v>
      </c>
      <c r="N3809">
        <v>276046.44</v>
      </c>
    </row>
    <row r="3810" spans="1:14" x14ac:dyDescent="0.25">
      <c r="A3810" t="s">
        <v>25</v>
      </c>
      <c r="B3810" t="s">
        <v>434</v>
      </c>
      <c r="C3810" t="s">
        <v>21</v>
      </c>
      <c r="D3810" t="s">
        <v>17</v>
      </c>
      <c r="E3810" t="s">
        <v>23</v>
      </c>
      <c r="F3810" s="1">
        <v>41280</v>
      </c>
      <c r="G3810">
        <v>971899354</v>
      </c>
      <c r="H3810" s="1">
        <v>41280</v>
      </c>
      <c r="I3810">
        <v>5471</v>
      </c>
      <c r="J3810">
        <v>152.58000000000001</v>
      </c>
      <c r="K3810">
        <v>97.44</v>
      </c>
      <c r="L3810">
        <v>834765.18</v>
      </c>
      <c r="M3810">
        <v>533094.24</v>
      </c>
      <c r="N3810">
        <v>301670.94</v>
      </c>
    </row>
    <row r="3811" spans="1:14" x14ac:dyDescent="0.25">
      <c r="A3811" t="s">
        <v>14</v>
      </c>
      <c r="B3811" t="s">
        <v>64</v>
      </c>
      <c r="C3811" t="s">
        <v>113</v>
      </c>
      <c r="D3811" t="s">
        <v>17</v>
      </c>
      <c r="E3811" t="s">
        <v>18</v>
      </c>
      <c r="F3811" t="s">
        <v>1107</v>
      </c>
      <c r="G3811">
        <v>658796298</v>
      </c>
      <c r="H3811" s="1">
        <v>42252</v>
      </c>
      <c r="I3811">
        <v>1319</v>
      </c>
      <c r="J3811">
        <v>154.06</v>
      </c>
      <c r="K3811">
        <v>90.93</v>
      </c>
      <c r="L3811">
        <v>203205.14</v>
      </c>
      <c r="M3811">
        <v>119936.67</v>
      </c>
      <c r="N3811">
        <v>83268.47</v>
      </c>
    </row>
    <row r="3812" spans="1:14" x14ac:dyDescent="0.25">
      <c r="A3812" t="s">
        <v>14</v>
      </c>
      <c r="B3812" t="s">
        <v>213</v>
      </c>
      <c r="C3812" t="s">
        <v>40</v>
      </c>
      <c r="D3812" t="s">
        <v>17</v>
      </c>
      <c r="E3812" t="s">
        <v>32</v>
      </c>
      <c r="F3812" s="1">
        <v>41403</v>
      </c>
      <c r="G3812">
        <v>488474309</v>
      </c>
      <c r="H3812" t="s">
        <v>465</v>
      </c>
      <c r="I3812">
        <v>9258</v>
      </c>
      <c r="J3812">
        <v>81.73</v>
      </c>
      <c r="K3812">
        <v>56.67</v>
      </c>
      <c r="L3812">
        <v>756656.34</v>
      </c>
      <c r="M3812">
        <v>524650.86</v>
      </c>
      <c r="N3812">
        <v>232005.48</v>
      </c>
    </row>
    <row r="3813" spans="1:14" x14ac:dyDescent="0.25">
      <c r="A3813" t="s">
        <v>38</v>
      </c>
      <c r="B3813" t="s">
        <v>288</v>
      </c>
      <c r="C3813" t="s">
        <v>16</v>
      </c>
      <c r="D3813" t="s">
        <v>22</v>
      </c>
      <c r="E3813" t="s">
        <v>32</v>
      </c>
      <c r="F3813" t="s">
        <v>518</v>
      </c>
      <c r="G3813">
        <v>317232215</v>
      </c>
      <c r="H3813" t="s">
        <v>1795</v>
      </c>
      <c r="I3813">
        <v>4917</v>
      </c>
      <c r="J3813">
        <v>255.28</v>
      </c>
      <c r="K3813">
        <v>159.41999999999999</v>
      </c>
      <c r="L3813">
        <v>1255211.76</v>
      </c>
      <c r="M3813">
        <v>783868.14</v>
      </c>
      <c r="N3813">
        <v>471343.62</v>
      </c>
    </row>
    <row r="3814" spans="1:14" x14ac:dyDescent="0.25">
      <c r="A3814" t="s">
        <v>25</v>
      </c>
      <c r="B3814" t="s">
        <v>26</v>
      </c>
      <c r="C3814" t="s">
        <v>55</v>
      </c>
      <c r="D3814" t="s">
        <v>17</v>
      </c>
      <c r="E3814" t="s">
        <v>18</v>
      </c>
      <c r="F3814" t="s">
        <v>1068</v>
      </c>
      <c r="G3814">
        <v>521681344</v>
      </c>
      <c r="H3814" s="1">
        <v>40241</v>
      </c>
      <c r="I3814">
        <v>5957</v>
      </c>
      <c r="J3814">
        <v>651.21</v>
      </c>
      <c r="K3814">
        <v>524.96</v>
      </c>
      <c r="L3814">
        <v>3879257.97</v>
      </c>
      <c r="M3814">
        <v>3127186.72</v>
      </c>
      <c r="N3814">
        <v>752071.25</v>
      </c>
    </row>
    <row r="3815" spans="1:14" x14ac:dyDescent="0.25">
      <c r="A3815" t="s">
        <v>38</v>
      </c>
      <c r="B3815" t="s">
        <v>177</v>
      </c>
      <c r="C3815" t="s">
        <v>27</v>
      </c>
      <c r="D3815" t="s">
        <v>17</v>
      </c>
      <c r="E3815" t="s">
        <v>32</v>
      </c>
      <c r="F3815" t="s">
        <v>1701</v>
      </c>
      <c r="G3815">
        <v>648745524</v>
      </c>
      <c r="H3815" t="s">
        <v>477</v>
      </c>
      <c r="I3815">
        <v>7072</v>
      </c>
      <c r="J3815">
        <v>47.45</v>
      </c>
      <c r="K3815">
        <v>31.79</v>
      </c>
      <c r="L3815">
        <v>335566.4</v>
      </c>
      <c r="M3815">
        <v>224818.88</v>
      </c>
      <c r="N3815">
        <v>110747.52</v>
      </c>
    </row>
    <row r="3816" spans="1:14" x14ac:dyDescent="0.25">
      <c r="A3816" t="s">
        <v>51</v>
      </c>
      <c r="B3816" t="s">
        <v>210</v>
      </c>
      <c r="C3816" t="s">
        <v>113</v>
      </c>
      <c r="D3816" t="s">
        <v>22</v>
      </c>
      <c r="E3816" t="s">
        <v>23</v>
      </c>
      <c r="F3816" s="1">
        <v>40850</v>
      </c>
      <c r="G3816">
        <v>765661084</v>
      </c>
      <c r="H3816" s="1">
        <v>40880</v>
      </c>
      <c r="I3816">
        <v>4984</v>
      </c>
      <c r="J3816">
        <v>154.06</v>
      </c>
      <c r="K3816">
        <v>90.93</v>
      </c>
      <c r="L3816">
        <v>767835.04</v>
      </c>
      <c r="M3816">
        <v>453195.12</v>
      </c>
      <c r="N3816">
        <v>314639.92</v>
      </c>
    </row>
    <row r="3817" spans="1:14" x14ac:dyDescent="0.25">
      <c r="A3817" t="s">
        <v>51</v>
      </c>
      <c r="B3817" t="s">
        <v>100</v>
      </c>
      <c r="C3817" t="s">
        <v>131</v>
      </c>
      <c r="D3817" t="s">
        <v>17</v>
      </c>
      <c r="E3817" t="s">
        <v>32</v>
      </c>
      <c r="F3817" s="1">
        <v>40612</v>
      </c>
      <c r="G3817">
        <v>109976851</v>
      </c>
      <c r="H3817" t="s">
        <v>1116</v>
      </c>
      <c r="I3817">
        <v>3449</v>
      </c>
      <c r="J3817">
        <v>668.27</v>
      </c>
      <c r="K3817">
        <v>502.54</v>
      </c>
      <c r="L3817">
        <v>2304863.23</v>
      </c>
      <c r="M3817">
        <v>1733260.46</v>
      </c>
      <c r="N3817">
        <v>571602.77</v>
      </c>
    </row>
    <row r="3818" spans="1:14" x14ac:dyDescent="0.25">
      <c r="A3818" t="s">
        <v>25</v>
      </c>
      <c r="B3818" t="s">
        <v>533</v>
      </c>
      <c r="C3818" t="s">
        <v>55</v>
      </c>
      <c r="D3818" t="s">
        <v>22</v>
      </c>
      <c r="E3818" t="s">
        <v>32</v>
      </c>
      <c r="F3818" t="s">
        <v>1135</v>
      </c>
      <c r="G3818">
        <v>239554154</v>
      </c>
      <c r="H3818" t="s">
        <v>1417</v>
      </c>
      <c r="I3818">
        <v>8253</v>
      </c>
      <c r="J3818">
        <v>651.21</v>
      </c>
      <c r="K3818">
        <v>524.96</v>
      </c>
      <c r="L3818">
        <v>5374436.1299999999</v>
      </c>
      <c r="M3818">
        <v>4332494.88</v>
      </c>
      <c r="N3818">
        <v>1041941.25</v>
      </c>
    </row>
    <row r="3819" spans="1:14" x14ac:dyDescent="0.25">
      <c r="A3819" t="s">
        <v>25</v>
      </c>
      <c r="B3819" t="s">
        <v>363</v>
      </c>
      <c r="C3819" t="s">
        <v>55</v>
      </c>
      <c r="D3819" t="s">
        <v>17</v>
      </c>
      <c r="E3819" t="s">
        <v>18</v>
      </c>
      <c r="F3819" t="s">
        <v>1316</v>
      </c>
      <c r="G3819">
        <v>982566821</v>
      </c>
      <c r="H3819" s="1">
        <v>40669</v>
      </c>
      <c r="I3819">
        <v>2212</v>
      </c>
      <c r="J3819">
        <v>651.21</v>
      </c>
      <c r="K3819">
        <v>524.96</v>
      </c>
      <c r="L3819">
        <v>1440476.52</v>
      </c>
      <c r="M3819">
        <v>1161211.52</v>
      </c>
      <c r="N3819">
        <v>279265</v>
      </c>
    </row>
    <row r="3820" spans="1:14" x14ac:dyDescent="0.25">
      <c r="A3820" t="s">
        <v>25</v>
      </c>
      <c r="B3820" t="s">
        <v>234</v>
      </c>
      <c r="C3820" t="s">
        <v>59</v>
      </c>
      <c r="D3820" t="s">
        <v>17</v>
      </c>
      <c r="E3820" t="s">
        <v>23</v>
      </c>
      <c r="F3820" s="1">
        <v>42860</v>
      </c>
      <c r="G3820">
        <v>887501180</v>
      </c>
      <c r="H3820" t="s">
        <v>1039</v>
      </c>
      <c r="I3820">
        <v>176</v>
      </c>
      <c r="J3820">
        <v>437.2</v>
      </c>
      <c r="K3820">
        <v>263.33</v>
      </c>
      <c r="L3820">
        <v>76947.199999999997</v>
      </c>
      <c r="M3820">
        <v>46346.080000000002</v>
      </c>
      <c r="N3820">
        <v>30601.119999999999</v>
      </c>
    </row>
    <row r="3821" spans="1:14" x14ac:dyDescent="0.25">
      <c r="A3821" t="s">
        <v>51</v>
      </c>
      <c r="B3821" t="s">
        <v>575</v>
      </c>
      <c r="C3821" t="s">
        <v>88</v>
      </c>
      <c r="D3821" t="s">
        <v>17</v>
      </c>
      <c r="E3821" t="s">
        <v>18</v>
      </c>
      <c r="F3821" t="s">
        <v>929</v>
      </c>
      <c r="G3821">
        <v>373156058</v>
      </c>
      <c r="H3821" s="1">
        <v>41038</v>
      </c>
      <c r="I3821">
        <v>4025</v>
      </c>
      <c r="J3821">
        <v>9.33</v>
      </c>
      <c r="K3821">
        <v>6.92</v>
      </c>
      <c r="L3821">
        <v>37553.25</v>
      </c>
      <c r="M3821">
        <v>27853</v>
      </c>
      <c r="N3821">
        <v>9700.25</v>
      </c>
    </row>
    <row r="3822" spans="1:14" x14ac:dyDescent="0.25">
      <c r="A3822" t="s">
        <v>29</v>
      </c>
      <c r="B3822" t="s">
        <v>121</v>
      </c>
      <c r="C3822" t="s">
        <v>16</v>
      </c>
      <c r="D3822" t="s">
        <v>17</v>
      </c>
      <c r="E3822" t="s">
        <v>45</v>
      </c>
      <c r="F3822" t="s">
        <v>641</v>
      </c>
      <c r="G3822">
        <v>378642785</v>
      </c>
      <c r="H3822" s="1">
        <v>40817</v>
      </c>
      <c r="I3822">
        <v>7669</v>
      </c>
      <c r="J3822">
        <v>255.28</v>
      </c>
      <c r="K3822">
        <v>159.41999999999999</v>
      </c>
      <c r="L3822">
        <v>1957742.32</v>
      </c>
      <c r="M3822">
        <v>1222591.98</v>
      </c>
      <c r="N3822">
        <v>735150.34</v>
      </c>
    </row>
    <row r="3823" spans="1:14" x14ac:dyDescent="0.25">
      <c r="A3823" t="s">
        <v>51</v>
      </c>
      <c r="B3823" t="s">
        <v>276</v>
      </c>
      <c r="C3823" t="s">
        <v>16</v>
      </c>
      <c r="D3823" t="s">
        <v>17</v>
      </c>
      <c r="E3823" t="s">
        <v>23</v>
      </c>
      <c r="F3823" t="s">
        <v>1789</v>
      </c>
      <c r="G3823">
        <v>113385188</v>
      </c>
      <c r="H3823" t="s">
        <v>1287</v>
      </c>
      <c r="I3823">
        <v>2052</v>
      </c>
      <c r="J3823">
        <v>255.28</v>
      </c>
      <c r="K3823">
        <v>159.41999999999999</v>
      </c>
      <c r="L3823">
        <v>523834.56</v>
      </c>
      <c r="M3823">
        <v>327129.84000000003</v>
      </c>
      <c r="N3823">
        <v>196704.72</v>
      </c>
    </row>
    <row r="3824" spans="1:14" x14ac:dyDescent="0.25">
      <c r="A3824" t="s">
        <v>29</v>
      </c>
      <c r="B3824" t="s">
        <v>159</v>
      </c>
      <c r="C3824" t="s">
        <v>59</v>
      </c>
      <c r="D3824" t="s">
        <v>22</v>
      </c>
      <c r="E3824" t="s">
        <v>45</v>
      </c>
      <c r="F3824" s="1">
        <v>42678</v>
      </c>
      <c r="G3824">
        <v>207119596</v>
      </c>
      <c r="H3824" t="s">
        <v>1595</v>
      </c>
      <c r="I3824">
        <v>146</v>
      </c>
      <c r="J3824">
        <v>437.2</v>
      </c>
      <c r="K3824">
        <v>263.33</v>
      </c>
      <c r="L3824">
        <v>63831.199999999997</v>
      </c>
      <c r="M3824">
        <v>38446.18</v>
      </c>
      <c r="N3824">
        <v>25385.02</v>
      </c>
    </row>
    <row r="3825" spans="1:14" x14ac:dyDescent="0.25">
      <c r="A3825" t="s">
        <v>14</v>
      </c>
      <c r="B3825" t="s">
        <v>835</v>
      </c>
      <c r="C3825" t="s">
        <v>31</v>
      </c>
      <c r="D3825" t="s">
        <v>22</v>
      </c>
      <c r="E3825" t="s">
        <v>23</v>
      </c>
      <c r="F3825" s="1">
        <v>41951</v>
      </c>
      <c r="G3825">
        <v>459894835</v>
      </c>
      <c r="H3825" s="1">
        <v>41768</v>
      </c>
      <c r="I3825">
        <v>1957</v>
      </c>
      <c r="J3825">
        <v>205.7</v>
      </c>
      <c r="K3825">
        <v>117.11</v>
      </c>
      <c r="L3825">
        <v>402554.9</v>
      </c>
      <c r="M3825">
        <v>229184.27</v>
      </c>
      <c r="N3825">
        <v>173370.63</v>
      </c>
    </row>
    <row r="3826" spans="1:14" x14ac:dyDescent="0.25">
      <c r="A3826" t="s">
        <v>51</v>
      </c>
      <c r="B3826" t="s">
        <v>308</v>
      </c>
      <c r="C3826" t="s">
        <v>40</v>
      </c>
      <c r="D3826" t="s">
        <v>17</v>
      </c>
      <c r="E3826" t="s">
        <v>18</v>
      </c>
      <c r="F3826" s="1">
        <v>41615</v>
      </c>
      <c r="G3826">
        <v>292072236</v>
      </c>
      <c r="H3826" s="1">
        <v>41282</v>
      </c>
      <c r="I3826">
        <v>9520</v>
      </c>
      <c r="J3826">
        <v>81.73</v>
      </c>
      <c r="K3826">
        <v>56.67</v>
      </c>
      <c r="L3826">
        <v>778069.6</v>
      </c>
      <c r="M3826">
        <v>539498.4</v>
      </c>
      <c r="N3826">
        <v>238571.2</v>
      </c>
    </row>
    <row r="3827" spans="1:14" x14ac:dyDescent="0.25">
      <c r="A3827" t="s">
        <v>14</v>
      </c>
      <c r="B3827" t="s">
        <v>372</v>
      </c>
      <c r="C3827" t="s">
        <v>21</v>
      </c>
      <c r="D3827" t="s">
        <v>22</v>
      </c>
      <c r="E3827" t="s">
        <v>45</v>
      </c>
      <c r="F3827" t="s">
        <v>675</v>
      </c>
      <c r="G3827">
        <v>994325625</v>
      </c>
      <c r="H3827" t="s">
        <v>104</v>
      </c>
      <c r="I3827">
        <v>1904</v>
      </c>
      <c r="J3827">
        <v>152.58000000000001</v>
      </c>
      <c r="K3827">
        <v>97.44</v>
      </c>
      <c r="L3827">
        <v>290512.32</v>
      </c>
      <c r="M3827">
        <v>185525.76000000001</v>
      </c>
      <c r="N3827">
        <v>104986.56</v>
      </c>
    </row>
    <row r="3828" spans="1:14" x14ac:dyDescent="0.25">
      <c r="A3828" t="s">
        <v>51</v>
      </c>
      <c r="B3828" t="s">
        <v>578</v>
      </c>
      <c r="C3828" t="s">
        <v>44</v>
      </c>
      <c r="D3828" t="s">
        <v>22</v>
      </c>
      <c r="E3828" t="s">
        <v>18</v>
      </c>
      <c r="F3828" s="1">
        <v>41954</v>
      </c>
      <c r="G3828">
        <v>777641332</v>
      </c>
      <c r="H3828" s="1">
        <v>41924</v>
      </c>
      <c r="I3828">
        <v>206</v>
      </c>
      <c r="J3828">
        <v>109.28</v>
      </c>
      <c r="K3828">
        <v>35.840000000000003</v>
      </c>
      <c r="L3828">
        <v>22511.68</v>
      </c>
      <c r="M3828">
        <v>7383.04</v>
      </c>
      <c r="N3828">
        <v>15128.64</v>
      </c>
    </row>
    <row r="3829" spans="1:14" x14ac:dyDescent="0.25">
      <c r="A3829" t="s">
        <v>14</v>
      </c>
      <c r="B3829" t="s">
        <v>208</v>
      </c>
      <c r="C3829" t="s">
        <v>113</v>
      </c>
      <c r="D3829" t="s">
        <v>22</v>
      </c>
      <c r="E3829" t="s">
        <v>45</v>
      </c>
      <c r="F3829" s="1">
        <v>42887</v>
      </c>
      <c r="G3829">
        <v>623318183</v>
      </c>
      <c r="H3829" s="1">
        <v>42796</v>
      </c>
      <c r="I3829">
        <v>2557</v>
      </c>
      <c r="J3829">
        <v>154.06</v>
      </c>
      <c r="K3829">
        <v>90.93</v>
      </c>
      <c r="L3829">
        <v>393931.42</v>
      </c>
      <c r="M3829">
        <v>232508.01</v>
      </c>
      <c r="N3829">
        <v>161423.41</v>
      </c>
    </row>
    <row r="3830" spans="1:14" x14ac:dyDescent="0.25">
      <c r="A3830" t="s">
        <v>42</v>
      </c>
      <c r="B3830" t="s">
        <v>150</v>
      </c>
      <c r="C3830" t="s">
        <v>59</v>
      </c>
      <c r="D3830" t="s">
        <v>17</v>
      </c>
      <c r="E3830" t="s">
        <v>45</v>
      </c>
      <c r="F3830" s="1">
        <v>40552</v>
      </c>
      <c r="G3830">
        <v>232967507</v>
      </c>
      <c r="H3830" s="1">
        <v>40552</v>
      </c>
      <c r="I3830">
        <v>9117</v>
      </c>
      <c r="J3830">
        <v>437.2</v>
      </c>
      <c r="K3830">
        <v>263.33</v>
      </c>
      <c r="L3830">
        <v>3985952.4</v>
      </c>
      <c r="M3830">
        <v>2400779.61</v>
      </c>
      <c r="N3830">
        <v>1585172.79</v>
      </c>
    </row>
    <row r="3831" spans="1:14" x14ac:dyDescent="0.25">
      <c r="A3831" t="s">
        <v>25</v>
      </c>
      <c r="B3831" t="s">
        <v>458</v>
      </c>
      <c r="C3831" t="s">
        <v>88</v>
      </c>
      <c r="D3831" t="s">
        <v>17</v>
      </c>
      <c r="E3831" t="s">
        <v>45</v>
      </c>
      <c r="F3831" t="s">
        <v>436</v>
      </c>
      <c r="G3831">
        <v>278513133</v>
      </c>
      <c r="H3831" s="1">
        <v>40309</v>
      </c>
      <c r="I3831">
        <v>7080</v>
      </c>
      <c r="J3831">
        <v>9.33</v>
      </c>
      <c r="K3831">
        <v>6.92</v>
      </c>
      <c r="L3831">
        <v>66056.399999999994</v>
      </c>
      <c r="M3831">
        <v>48993.599999999999</v>
      </c>
      <c r="N3831">
        <v>17062.8</v>
      </c>
    </row>
    <row r="3832" spans="1:14" x14ac:dyDescent="0.25">
      <c r="A3832" t="s">
        <v>25</v>
      </c>
      <c r="B3832" t="s">
        <v>374</v>
      </c>
      <c r="C3832" t="s">
        <v>16</v>
      </c>
      <c r="D3832" t="s">
        <v>22</v>
      </c>
      <c r="E3832" t="s">
        <v>32</v>
      </c>
      <c r="F3832" t="s">
        <v>1718</v>
      </c>
      <c r="G3832">
        <v>152191388</v>
      </c>
      <c r="H3832" t="s">
        <v>523</v>
      </c>
      <c r="I3832">
        <v>5669</v>
      </c>
      <c r="J3832">
        <v>255.28</v>
      </c>
      <c r="K3832">
        <v>159.41999999999999</v>
      </c>
      <c r="L3832">
        <v>1447182.32</v>
      </c>
      <c r="M3832">
        <v>903751.98</v>
      </c>
      <c r="N3832">
        <v>543430.34</v>
      </c>
    </row>
    <row r="3833" spans="1:14" x14ac:dyDescent="0.25">
      <c r="A3833" t="s">
        <v>38</v>
      </c>
      <c r="B3833" t="s">
        <v>105</v>
      </c>
      <c r="C3833" t="s">
        <v>59</v>
      </c>
      <c r="D3833" t="s">
        <v>17</v>
      </c>
      <c r="E3833" t="s">
        <v>45</v>
      </c>
      <c r="F3833" t="s">
        <v>1274</v>
      </c>
      <c r="G3833">
        <v>216551101</v>
      </c>
      <c r="H3833" t="s">
        <v>1433</v>
      </c>
      <c r="I3833">
        <v>1138</v>
      </c>
      <c r="J3833">
        <v>437.2</v>
      </c>
      <c r="K3833">
        <v>263.33</v>
      </c>
      <c r="L3833">
        <v>497533.6</v>
      </c>
      <c r="M3833">
        <v>299669.53999999998</v>
      </c>
      <c r="N3833">
        <v>197864.06</v>
      </c>
    </row>
    <row r="3834" spans="1:14" x14ac:dyDescent="0.25">
      <c r="A3834" t="s">
        <v>29</v>
      </c>
      <c r="B3834" t="s">
        <v>545</v>
      </c>
      <c r="C3834" t="s">
        <v>59</v>
      </c>
      <c r="D3834" t="s">
        <v>22</v>
      </c>
      <c r="E3834" t="s">
        <v>32</v>
      </c>
      <c r="F3834" s="1">
        <v>41032</v>
      </c>
      <c r="G3834">
        <v>454453599</v>
      </c>
      <c r="H3834" t="s">
        <v>1083</v>
      </c>
      <c r="I3834">
        <v>1774</v>
      </c>
      <c r="J3834">
        <v>437.2</v>
      </c>
      <c r="K3834">
        <v>263.33</v>
      </c>
      <c r="L3834">
        <v>775592.8</v>
      </c>
      <c r="M3834">
        <v>467147.42</v>
      </c>
      <c r="N3834">
        <v>308445.38</v>
      </c>
    </row>
    <row r="3835" spans="1:14" x14ac:dyDescent="0.25">
      <c r="A3835" t="s">
        <v>77</v>
      </c>
      <c r="B3835" t="s">
        <v>320</v>
      </c>
      <c r="C3835" t="s">
        <v>55</v>
      </c>
      <c r="D3835" t="s">
        <v>22</v>
      </c>
      <c r="E3835" t="s">
        <v>23</v>
      </c>
      <c r="F3835" s="1">
        <v>42282</v>
      </c>
      <c r="G3835">
        <v>919072711</v>
      </c>
      <c r="H3835" s="1">
        <v>42191</v>
      </c>
      <c r="I3835">
        <v>2894</v>
      </c>
      <c r="J3835">
        <v>651.21</v>
      </c>
      <c r="K3835">
        <v>524.96</v>
      </c>
      <c r="L3835">
        <v>1884601.74</v>
      </c>
      <c r="M3835">
        <v>1519234.24</v>
      </c>
      <c r="N3835">
        <v>365367.5</v>
      </c>
    </row>
    <row r="3836" spans="1:14" x14ac:dyDescent="0.25">
      <c r="A3836" t="s">
        <v>51</v>
      </c>
      <c r="B3836" t="s">
        <v>575</v>
      </c>
      <c r="C3836" t="s">
        <v>59</v>
      </c>
      <c r="D3836" t="s">
        <v>17</v>
      </c>
      <c r="E3836" t="s">
        <v>18</v>
      </c>
      <c r="F3836" t="s">
        <v>936</v>
      </c>
      <c r="G3836">
        <v>383894765</v>
      </c>
      <c r="H3836" t="s">
        <v>1287</v>
      </c>
      <c r="I3836">
        <v>1847</v>
      </c>
      <c r="J3836">
        <v>437.2</v>
      </c>
      <c r="K3836">
        <v>263.33</v>
      </c>
      <c r="L3836">
        <v>807508.4</v>
      </c>
      <c r="M3836">
        <v>486370.51</v>
      </c>
      <c r="N3836">
        <v>321137.89</v>
      </c>
    </row>
    <row r="3837" spans="1:14" x14ac:dyDescent="0.25">
      <c r="A3837" t="s">
        <v>42</v>
      </c>
      <c r="B3837" t="s">
        <v>552</v>
      </c>
      <c r="C3837" t="s">
        <v>27</v>
      </c>
      <c r="D3837" t="s">
        <v>17</v>
      </c>
      <c r="E3837" t="s">
        <v>23</v>
      </c>
      <c r="F3837" t="s">
        <v>1485</v>
      </c>
      <c r="G3837">
        <v>392718589</v>
      </c>
      <c r="H3837" s="1">
        <v>41252</v>
      </c>
      <c r="I3837">
        <v>3012</v>
      </c>
      <c r="J3837">
        <v>47.45</v>
      </c>
      <c r="K3837">
        <v>31.79</v>
      </c>
      <c r="L3837">
        <v>142919.4</v>
      </c>
      <c r="M3837">
        <v>95751.48</v>
      </c>
      <c r="N3837">
        <v>47167.92</v>
      </c>
    </row>
    <row r="3838" spans="1:14" x14ac:dyDescent="0.25">
      <c r="A3838" t="s">
        <v>25</v>
      </c>
      <c r="B3838" t="s">
        <v>556</v>
      </c>
      <c r="C3838" t="s">
        <v>40</v>
      </c>
      <c r="D3838" t="s">
        <v>22</v>
      </c>
      <c r="E3838" t="s">
        <v>23</v>
      </c>
      <c r="F3838" s="1">
        <v>41764</v>
      </c>
      <c r="G3838">
        <v>309655511</v>
      </c>
      <c r="H3838" t="s">
        <v>450</v>
      </c>
      <c r="I3838">
        <v>2802</v>
      </c>
      <c r="J3838">
        <v>81.73</v>
      </c>
      <c r="K3838">
        <v>56.67</v>
      </c>
      <c r="L3838">
        <v>229007.46</v>
      </c>
      <c r="M3838">
        <v>158789.34</v>
      </c>
      <c r="N3838">
        <v>70218.12</v>
      </c>
    </row>
    <row r="3839" spans="1:14" x14ac:dyDescent="0.25">
      <c r="A3839" t="s">
        <v>25</v>
      </c>
      <c r="B3839" t="s">
        <v>112</v>
      </c>
      <c r="C3839" t="s">
        <v>69</v>
      </c>
      <c r="D3839" t="s">
        <v>22</v>
      </c>
      <c r="E3839" t="s">
        <v>18</v>
      </c>
      <c r="F3839" t="s">
        <v>349</v>
      </c>
      <c r="G3839">
        <v>469129359</v>
      </c>
      <c r="H3839" t="s">
        <v>528</v>
      </c>
      <c r="I3839">
        <v>4657</v>
      </c>
      <c r="J3839">
        <v>421.89</v>
      </c>
      <c r="K3839">
        <v>364.69</v>
      </c>
      <c r="L3839">
        <v>1964741.73</v>
      </c>
      <c r="M3839">
        <v>1698361.33</v>
      </c>
      <c r="N3839">
        <v>266380.40000000002</v>
      </c>
    </row>
    <row r="3840" spans="1:14" x14ac:dyDescent="0.25">
      <c r="A3840" t="s">
        <v>51</v>
      </c>
      <c r="B3840" t="s">
        <v>398</v>
      </c>
      <c r="C3840" t="s">
        <v>69</v>
      </c>
      <c r="D3840" t="s">
        <v>22</v>
      </c>
      <c r="E3840" t="s">
        <v>45</v>
      </c>
      <c r="F3840" t="s">
        <v>1598</v>
      </c>
      <c r="G3840">
        <v>825876462</v>
      </c>
      <c r="H3840" t="s">
        <v>167</v>
      </c>
      <c r="I3840">
        <v>4053</v>
      </c>
      <c r="J3840">
        <v>421.89</v>
      </c>
      <c r="K3840">
        <v>364.69</v>
      </c>
      <c r="L3840">
        <v>1709920.17</v>
      </c>
      <c r="M3840">
        <v>1478088.57</v>
      </c>
      <c r="N3840">
        <v>231831.6</v>
      </c>
    </row>
    <row r="3841" spans="1:14" x14ac:dyDescent="0.25">
      <c r="A3841" t="s">
        <v>29</v>
      </c>
      <c r="B3841" t="s">
        <v>585</v>
      </c>
      <c r="C3841" t="s">
        <v>44</v>
      </c>
      <c r="D3841" t="s">
        <v>22</v>
      </c>
      <c r="E3841" t="s">
        <v>18</v>
      </c>
      <c r="F3841" t="s">
        <v>871</v>
      </c>
      <c r="G3841">
        <v>504945647</v>
      </c>
      <c r="H3841" s="1">
        <v>40970</v>
      </c>
      <c r="I3841">
        <v>3493</v>
      </c>
      <c r="J3841">
        <v>109.28</v>
      </c>
      <c r="K3841">
        <v>35.840000000000003</v>
      </c>
      <c r="L3841">
        <v>381715.04</v>
      </c>
      <c r="M3841">
        <v>125189.12</v>
      </c>
      <c r="N3841">
        <v>256525.92</v>
      </c>
    </row>
    <row r="3842" spans="1:14" x14ac:dyDescent="0.25">
      <c r="A3842" t="s">
        <v>25</v>
      </c>
      <c r="B3842" t="s">
        <v>284</v>
      </c>
      <c r="C3842" t="s">
        <v>21</v>
      </c>
      <c r="D3842" t="s">
        <v>17</v>
      </c>
      <c r="E3842" t="s">
        <v>32</v>
      </c>
      <c r="F3842" t="s">
        <v>1796</v>
      </c>
      <c r="G3842">
        <v>951698243</v>
      </c>
      <c r="H3842" s="1">
        <v>42801</v>
      </c>
      <c r="I3842">
        <v>7514</v>
      </c>
      <c r="J3842">
        <v>152.58000000000001</v>
      </c>
      <c r="K3842">
        <v>97.44</v>
      </c>
      <c r="L3842">
        <v>1146486.1200000001</v>
      </c>
      <c r="M3842">
        <v>732164.16</v>
      </c>
      <c r="N3842">
        <v>414321.96</v>
      </c>
    </row>
    <row r="3843" spans="1:14" x14ac:dyDescent="0.25">
      <c r="A3843" t="s">
        <v>25</v>
      </c>
      <c r="B3843" t="s">
        <v>242</v>
      </c>
      <c r="C3843" t="s">
        <v>21</v>
      </c>
      <c r="D3843" t="s">
        <v>17</v>
      </c>
      <c r="E3843" t="s">
        <v>32</v>
      </c>
      <c r="F3843" t="s">
        <v>362</v>
      </c>
      <c r="G3843">
        <v>981808078</v>
      </c>
      <c r="H3843" t="s">
        <v>1668</v>
      </c>
      <c r="I3843">
        <v>7683</v>
      </c>
      <c r="J3843">
        <v>152.58000000000001</v>
      </c>
      <c r="K3843">
        <v>97.44</v>
      </c>
      <c r="L3843">
        <v>1172272.1399999999</v>
      </c>
      <c r="M3843">
        <v>748631.52</v>
      </c>
      <c r="N3843">
        <v>423640.62</v>
      </c>
    </row>
    <row r="3844" spans="1:14" x14ac:dyDescent="0.25">
      <c r="A3844" t="s">
        <v>77</v>
      </c>
      <c r="B3844" t="s">
        <v>320</v>
      </c>
      <c r="C3844" t="s">
        <v>88</v>
      </c>
      <c r="D3844" t="s">
        <v>17</v>
      </c>
      <c r="E3844" t="s">
        <v>45</v>
      </c>
      <c r="F3844" s="1">
        <v>41793</v>
      </c>
      <c r="G3844">
        <v>831261479</v>
      </c>
      <c r="H3844" s="1">
        <v>41854</v>
      </c>
      <c r="I3844">
        <v>7599</v>
      </c>
      <c r="J3844">
        <v>9.33</v>
      </c>
      <c r="K3844">
        <v>6.92</v>
      </c>
      <c r="L3844">
        <v>70898.67</v>
      </c>
      <c r="M3844">
        <v>52585.08</v>
      </c>
      <c r="N3844">
        <v>18313.59</v>
      </c>
    </row>
    <row r="3845" spans="1:14" x14ac:dyDescent="0.25">
      <c r="A3845" t="s">
        <v>29</v>
      </c>
      <c r="B3845" t="s">
        <v>586</v>
      </c>
      <c r="C3845" t="s">
        <v>21</v>
      </c>
      <c r="D3845" t="s">
        <v>22</v>
      </c>
      <c r="E3845" t="s">
        <v>23</v>
      </c>
      <c r="F3845" s="1">
        <v>42559</v>
      </c>
      <c r="G3845">
        <v>806357276</v>
      </c>
      <c r="H3845" t="s">
        <v>1384</v>
      </c>
      <c r="I3845">
        <v>7892</v>
      </c>
      <c r="J3845">
        <v>152.58000000000001</v>
      </c>
      <c r="K3845">
        <v>97.44</v>
      </c>
      <c r="L3845">
        <v>1204161.3600000001</v>
      </c>
      <c r="M3845">
        <v>768996.48</v>
      </c>
      <c r="N3845">
        <v>435164.88</v>
      </c>
    </row>
    <row r="3846" spans="1:14" x14ac:dyDescent="0.25">
      <c r="A3846" t="s">
        <v>25</v>
      </c>
      <c r="B3846" t="s">
        <v>252</v>
      </c>
      <c r="C3846" t="s">
        <v>31</v>
      </c>
      <c r="D3846" t="s">
        <v>17</v>
      </c>
      <c r="E3846" t="s">
        <v>18</v>
      </c>
      <c r="F3846" t="s">
        <v>885</v>
      </c>
      <c r="G3846">
        <v>833706796</v>
      </c>
      <c r="H3846" s="1">
        <v>41337</v>
      </c>
      <c r="I3846">
        <v>1223</v>
      </c>
      <c r="J3846">
        <v>205.7</v>
      </c>
      <c r="K3846">
        <v>117.11</v>
      </c>
      <c r="L3846">
        <v>251571.1</v>
      </c>
      <c r="M3846">
        <v>143225.53</v>
      </c>
      <c r="N3846">
        <v>108345.57</v>
      </c>
    </row>
    <row r="3847" spans="1:14" x14ac:dyDescent="0.25">
      <c r="A3847" t="s">
        <v>42</v>
      </c>
      <c r="B3847" t="s">
        <v>290</v>
      </c>
      <c r="C3847" t="s">
        <v>69</v>
      </c>
      <c r="D3847" t="s">
        <v>22</v>
      </c>
      <c r="E3847" t="s">
        <v>23</v>
      </c>
      <c r="F3847" t="s">
        <v>1797</v>
      </c>
      <c r="G3847">
        <v>910233867</v>
      </c>
      <c r="H3847" t="s">
        <v>1033</v>
      </c>
      <c r="I3847">
        <v>7283</v>
      </c>
      <c r="J3847">
        <v>421.89</v>
      </c>
      <c r="K3847">
        <v>364.69</v>
      </c>
      <c r="L3847">
        <v>3072624.87</v>
      </c>
      <c r="M3847">
        <v>2656037.27</v>
      </c>
      <c r="N3847">
        <v>416587.6</v>
      </c>
    </row>
    <row r="3848" spans="1:14" x14ac:dyDescent="0.25">
      <c r="A3848" t="s">
        <v>14</v>
      </c>
      <c r="B3848" t="s">
        <v>81</v>
      </c>
      <c r="C3848" t="s">
        <v>69</v>
      </c>
      <c r="D3848" t="s">
        <v>22</v>
      </c>
      <c r="E3848" t="s">
        <v>18</v>
      </c>
      <c r="F3848" t="s">
        <v>977</v>
      </c>
      <c r="G3848">
        <v>653174817</v>
      </c>
      <c r="H3848" s="1">
        <v>42043</v>
      </c>
      <c r="I3848">
        <v>7798</v>
      </c>
      <c r="J3848">
        <v>421.89</v>
      </c>
      <c r="K3848">
        <v>364.69</v>
      </c>
      <c r="L3848">
        <v>3289898.22</v>
      </c>
      <c r="M3848">
        <v>2843852.62</v>
      </c>
      <c r="N3848">
        <v>446045.6</v>
      </c>
    </row>
    <row r="3849" spans="1:14" x14ac:dyDescent="0.25">
      <c r="A3849" t="s">
        <v>25</v>
      </c>
      <c r="B3849" t="s">
        <v>556</v>
      </c>
      <c r="C3849" t="s">
        <v>55</v>
      </c>
      <c r="D3849" t="s">
        <v>17</v>
      </c>
      <c r="E3849" t="s">
        <v>45</v>
      </c>
      <c r="F3849" s="1">
        <v>40427</v>
      </c>
      <c r="G3849">
        <v>650078475</v>
      </c>
      <c r="H3849" t="s">
        <v>637</v>
      </c>
      <c r="I3849">
        <v>1522</v>
      </c>
      <c r="J3849">
        <v>651.21</v>
      </c>
      <c r="K3849">
        <v>524.96</v>
      </c>
      <c r="L3849">
        <v>991141.62</v>
      </c>
      <c r="M3849">
        <v>798989.12</v>
      </c>
      <c r="N3849">
        <v>192152.5</v>
      </c>
    </row>
    <row r="3850" spans="1:14" x14ac:dyDescent="0.25">
      <c r="A3850" t="s">
        <v>51</v>
      </c>
      <c r="B3850" t="s">
        <v>420</v>
      </c>
      <c r="C3850" t="s">
        <v>55</v>
      </c>
      <c r="D3850" t="s">
        <v>17</v>
      </c>
      <c r="E3850" t="s">
        <v>32</v>
      </c>
      <c r="F3850" t="s">
        <v>1017</v>
      </c>
      <c r="G3850">
        <v>208806169</v>
      </c>
      <c r="H3850" t="s">
        <v>313</v>
      </c>
      <c r="I3850">
        <v>9240</v>
      </c>
      <c r="J3850">
        <v>651.21</v>
      </c>
      <c r="K3850">
        <v>524.96</v>
      </c>
      <c r="L3850">
        <v>6017180.4000000004</v>
      </c>
      <c r="M3850">
        <v>4850630.4000000004</v>
      </c>
      <c r="N3850">
        <v>1166550</v>
      </c>
    </row>
    <row r="3851" spans="1:14" x14ac:dyDescent="0.25">
      <c r="A3851" t="s">
        <v>25</v>
      </c>
      <c r="B3851" t="s">
        <v>434</v>
      </c>
      <c r="C3851" t="s">
        <v>21</v>
      </c>
      <c r="D3851" t="s">
        <v>22</v>
      </c>
      <c r="E3851" t="s">
        <v>45</v>
      </c>
      <c r="F3851" t="s">
        <v>1795</v>
      </c>
      <c r="G3851">
        <v>507531726</v>
      </c>
      <c r="H3851" s="1">
        <v>41224</v>
      </c>
      <c r="I3851">
        <v>8771</v>
      </c>
      <c r="J3851">
        <v>152.58000000000001</v>
      </c>
      <c r="K3851">
        <v>97.44</v>
      </c>
      <c r="L3851">
        <v>1338279.18</v>
      </c>
      <c r="M3851">
        <v>854646.24</v>
      </c>
      <c r="N3851">
        <v>483632.94</v>
      </c>
    </row>
    <row r="3852" spans="1:14" x14ac:dyDescent="0.25">
      <c r="A3852" t="s">
        <v>25</v>
      </c>
      <c r="B3852" t="s">
        <v>172</v>
      </c>
      <c r="C3852" t="s">
        <v>40</v>
      </c>
      <c r="D3852" t="s">
        <v>17</v>
      </c>
      <c r="E3852" t="s">
        <v>23</v>
      </c>
      <c r="F3852" s="1">
        <v>41185</v>
      </c>
      <c r="G3852">
        <v>544741475</v>
      </c>
      <c r="H3852" t="s">
        <v>994</v>
      </c>
      <c r="I3852">
        <v>9963</v>
      </c>
      <c r="J3852">
        <v>81.73</v>
      </c>
      <c r="K3852">
        <v>56.67</v>
      </c>
      <c r="L3852">
        <v>814275.99</v>
      </c>
      <c r="M3852">
        <v>564603.21</v>
      </c>
      <c r="N3852">
        <v>249672.78</v>
      </c>
    </row>
    <row r="3853" spans="1:14" x14ac:dyDescent="0.25">
      <c r="A3853" t="s">
        <v>38</v>
      </c>
      <c r="B3853" t="s">
        <v>58</v>
      </c>
      <c r="C3853" t="s">
        <v>44</v>
      </c>
      <c r="D3853" t="s">
        <v>17</v>
      </c>
      <c r="E3853" t="s">
        <v>18</v>
      </c>
      <c r="F3853" t="s">
        <v>1511</v>
      </c>
      <c r="G3853">
        <v>289234244</v>
      </c>
      <c r="H3853" t="s">
        <v>1261</v>
      </c>
      <c r="I3853">
        <v>9695</v>
      </c>
      <c r="J3853">
        <v>109.28</v>
      </c>
      <c r="K3853">
        <v>35.840000000000003</v>
      </c>
      <c r="L3853">
        <v>1059469.6000000001</v>
      </c>
      <c r="M3853">
        <v>347468.79999999999</v>
      </c>
      <c r="N3853">
        <v>712000.8</v>
      </c>
    </row>
    <row r="3854" spans="1:14" x14ac:dyDescent="0.25">
      <c r="A3854" t="s">
        <v>38</v>
      </c>
      <c r="B3854" t="s">
        <v>54</v>
      </c>
      <c r="C3854" t="s">
        <v>88</v>
      </c>
      <c r="D3854" t="s">
        <v>17</v>
      </c>
      <c r="E3854" t="s">
        <v>23</v>
      </c>
      <c r="F3854" t="s">
        <v>888</v>
      </c>
      <c r="G3854">
        <v>230121362</v>
      </c>
      <c r="H3854" s="1">
        <v>40334</v>
      </c>
      <c r="I3854">
        <v>6880</v>
      </c>
      <c r="J3854">
        <v>9.33</v>
      </c>
      <c r="K3854">
        <v>6.92</v>
      </c>
      <c r="L3854">
        <v>64190.400000000001</v>
      </c>
      <c r="M3854">
        <v>47609.599999999999</v>
      </c>
      <c r="N3854">
        <v>16580.8</v>
      </c>
    </row>
    <row r="3855" spans="1:14" x14ac:dyDescent="0.25">
      <c r="A3855" t="s">
        <v>25</v>
      </c>
      <c r="B3855" t="s">
        <v>469</v>
      </c>
      <c r="C3855" t="s">
        <v>16</v>
      </c>
      <c r="D3855" t="s">
        <v>17</v>
      </c>
      <c r="E3855" t="s">
        <v>45</v>
      </c>
      <c r="F3855" t="s">
        <v>1070</v>
      </c>
      <c r="G3855">
        <v>926826655</v>
      </c>
      <c r="H3855" t="s">
        <v>1269</v>
      </c>
      <c r="I3855">
        <v>7458</v>
      </c>
      <c r="J3855">
        <v>255.28</v>
      </c>
      <c r="K3855">
        <v>159.41999999999999</v>
      </c>
      <c r="L3855">
        <v>1903878.24</v>
      </c>
      <c r="M3855">
        <v>1188954.3600000001</v>
      </c>
      <c r="N3855">
        <v>714923.88</v>
      </c>
    </row>
    <row r="3856" spans="1:14" x14ac:dyDescent="0.25">
      <c r="A3856" t="s">
        <v>25</v>
      </c>
      <c r="B3856" t="s">
        <v>26</v>
      </c>
      <c r="C3856" t="s">
        <v>131</v>
      </c>
      <c r="D3856" t="s">
        <v>17</v>
      </c>
      <c r="E3856" t="s">
        <v>32</v>
      </c>
      <c r="F3856" t="s">
        <v>941</v>
      </c>
      <c r="G3856">
        <v>759086453</v>
      </c>
      <c r="H3856" t="s">
        <v>1798</v>
      </c>
      <c r="I3856">
        <v>9405</v>
      </c>
      <c r="J3856">
        <v>668.27</v>
      </c>
      <c r="K3856">
        <v>502.54</v>
      </c>
      <c r="L3856">
        <v>6285079.3499999996</v>
      </c>
      <c r="M3856">
        <v>4726388.7</v>
      </c>
      <c r="N3856">
        <v>1558690.65</v>
      </c>
    </row>
    <row r="3857" spans="1:14" x14ac:dyDescent="0.25">
      <c r="A3857" t="s">
        <v>38</v>
      </c>
      <c r="B3857" t="s">
        <v>190</v>
      </c>
      <c r="C3857" t="s">
        <v>31</v>
      </c>
      <c r="D3857" t="s">
        <v>17</v>
      </c>
      <c r="E3857" t="s">
        <v>32</v>
      </c>
      <c r="F3857" t="s">
        <v>1630</v>
      </c>
      <c r="G3857">
        <v>876949584</v>
      </c>
      <c r="H3857" t="s">
        <v>1293</v>
      </c>
      <c r="I3857">
        <v>7725</v>
      </c>
      <c r="J3857">
        <v>205.7</v>
      </c>
      <c r="K3857">
        <v>117.11</v>
      </c>
      <c r="L3857">
        <v>1589032.5</v>
      </c>
      <c r="M3857">
        <v>904674.75</v>
      </c>
      <c r="N3857">
        <v>684357.75</v>
      </c>
    </row>
    <row r="3858" spans="1:14" x14ac:dyDescent="0.25">
      <c r="A3858" t="s">
        <v>42</v>
      </c>
      <c r="B3858" t="s">
        <v>476</v>
      </c>
      <c r="C3858" t="s">
        <v>44</v>
      </c>
      <c r="D3858" t="s">
        <v>22</v>
      </c>
      <c r="E3858" t="s">
        <v>23</v>
      </c>
      <c r="F3858" t="s">
        <v>1312</v>
      </c>
      <c r="G3858">
        <v>250777375</v>
      </c>
      <c r="H3858" s="1">
        <v>40212</v>
      </c>
      <c r="I3858">
        <v>9453</v>
      </c>
      <c r="J3858">
        <v>109.28</v>
      </c>
      <c r="K3858">
        <v>35.840000000000003</v>
      </c>
      <c r="L3858">
        <v>1033023.84</v>
      </c>
      <c r="M3858">
        <v>338795.52000000002</v>
      </c>
      <c r="N3858">
        <v>694228.32</v>
      </c>
    </row>
    <row r="3859" spans="1:14" x14ac:dyDescent="0.25">
      <c r="A3859" t="s">
        <v>29</v>
      </c>
      <c r="B3859" t="s">
        <v>440</v>
      </c>
      <c r="C3859" t="s">
        <v>88</v>
      </c>
      <c r="D3859" t="s">
        <v>22</v>
      </c>
      <c r="E3859" t="s">
        <v>18</v>
      </c>
      <c r="F3859" s="1">
        <v>40614</v>
      </c>
      <c r="G3859">
        <v>621243655</v>
      </c>
      <c r="H3859" s="1">
        <v>40969</v>
      </c>
      <c r="I3859">
        <v>8658</v>
      </c>
      <c r="J3859">
        <v>9.33</v>
      </c>
      <c r="K3859">
        <v>6.92</v>
      </c>
      <c r="L3859">
        <v>80779.14</v>
      </c>
      <c r="M3859">
        <v>59913.36</v>
      </c>
      <c r="N3859">
        <v>20865.78</v>
      </c>
    </row>
    <row r="3860" spans="1:14" x14ac:dyDescent="0.25">
      <c r="A3860" t="s">
        <v>51</v>
      </c>
      <c r="B3860" t="s">
        <v>151</v>
      </c>
      <c r="C3860" t="s">
        <v>16</v>
      </c>
      <c r="D3860" t="s">
        <v>22</v>
      </c>
      <c r="E3860" t="s">
        <v>23</v>
      </c>
      <c r="F3860" t="s">
        <v>1743</v>
      </c>
      <c r="G3860">
        <v>649334752</v>
      </c>
      <c r="H3860" s="1">
        <v>40583</v>
      </c>
      <c r="I3860">
        <v>1438</v>
      </c>
      <c r="J3860">
        <v>255.28</v>
      </c>
      <c r="K3860">
        <v>159.41999999999999</v>
      </c>
      <c r="L3860">
        <v>367092.64</v>
      </c>
      <c r="M3860">
        <v>229245.96</v>
      </c>
      <c r="N3860">
        <v>137846.68</v>
      </c>
    </row>
    <row r="3861" spans="1:14" x14ac:dyDescent="0.25">
      <c r="A3861" t="s">
        <v>14</v>
      </c>
      <c r="B3861" t="s">
        <v>372</v>
      </c>
      <c r="C3861" t="s">
        <v>69</v>
      </c>
      <c r="D3861" t="s">
        <v>17</v>
      </c>
      <c r="E3861" t="s">
        <v>23</v>
      </c>
      <c r="F3861" t="s">
        <v>1616</v>
      </c>
      <c r="G3861">
        <v>866349494</v>
      </c>
      <c r="H3861" t="s">
        <v>1274</v>
      </c>
      <c r="I3861">
        <v>922</v>
      </c>
      <c r="J3861">
        <v>421.89</v>
      </c>
      <c r="K3861">
        <v>364.69</v>
      </c>
      <c r="L3861">
        <v>388982.58</v>
      </c>
      <c r="M3861">
        <v>336244.18</v>
      </c>
      <c r="N3861">
        <v>52738.400000000001</v>
      </c>
    </row>
    <row r="3862" spans="1:14" x14ac:dyDescent="0.25">
      <c r="A3862" t="s">
        <v>25</v>
      </c>
      <c r="B3862" t="s">
        <v>497</v>
      </c>
      <c r="C3862" t="s">
        <v>16</v>
      </c>
      <c r="D3862" t="s">
        <v>22</v>
      </c>
      <c r="E3862" t="s">
        <v>23</v>
      </c>
      <c r="F3862" s="1">
        <v>41650</v>
      </c>
      <c r="G3862">
        <v>523899209</v>
      </c>
      <c r="H3862" t="s">
        <v>1799</v>
      </c>
      <c r="I3862">
        <v>2273</v>
      </c>
      <c r="J3862">
        <v>255.28</v>
      </c>
      <c r="K3862">
        <v>159.41999999999999</v>
      </c>
      <c r="L3862">
        <v>580251.43999999994</v>
      </c>
      <c r="M3862">
        <v>362361.66</v>
      </c>
      <c r="N3862">
        <v>217889.78</v>
      </c>
    </row>
    <row r="3863" spans="1:14" x14ac:dyDescent="0.25">
      <c r="A3863" t="s">
        <v>51</v>
      </c>
      <c r="B3863" t="s">
        <v>305</v>
      </c>
      <c r="C3863" t="s">
        <v>44</v>
      </c>
      <c r="D3863" t="s">
        <v>17</v>
      </c>
      <c r="E3863" t="s">
        <v>18</v>
      </c>
      <c r="F3863" s="1">
        <v>41739</v>
      </c>
      <c r="G3863">
        <v>743907725</v>
      </c>
      <c r="H3863" t="s">
        <v>1558</v>
      </c>
      <c r="I3863">
        <v>7682</v>
      </c>
      <c r="J3863">
        <v>109.28</v>
      </c>
      <c r="K3863">
        <v>35.840000000000003</v>
      </c>
      <c r="L3863">
        <v>839488.96</v>
      </c>
      <c r="M3863">
        <v>275322.88</v>
      </c>
      <c r="N3863">
        <v>564166.07999999996</v>
      </c>
    </row>
    <row r="3864" spans="1:14" x14ac:dyDescent="0.25">
      <c r="A3864" t="s">
        <v>42</v>
      </c>
      <c r="B3864" t="s">
        <v>174</v>
      </c>
      <c r="C3864" t="s">
        <v>21</v>
      </c>
      <c r="D3864" t="s">
        <v>22</v>
      </c>
      <c r="E3864" t="s">
        <v>18</v>
      </c>
      <c r="F3864" t="s">
        <v>1783</v>
      </c>
      <c r="G3864">
        <v>468611371</v>
      </c>
      <c r="H3864" t="s">
        <v>873</v>
      </c>
      <c r="I3864">
        <v>1373</v>
      </c>
      <c r="J3864">
        <v>152.58000000000001</v>
      </c>
      <c r="K3864">
        <v>97.44</v>
      </c>
      <c r="L3864">
        <v>209492.34</v>
      </c>
      <c r="M3864">
        <v>133785.12</v>
      </c>
      <c r="N3864">
        <v>75707.22</v>
      </c>
    </row>
    <row r="3865" spans="1:14" x14ac:dyDescent="0.25">
      <c r="A3865" t="s">
        <v>42</v>
      </c>
      <c r="B3865" t="s">
        <v>146</v>
      </c>
      <c r="C3865" t="s">
        <v>55</v>
      </c>
      <c r="D3865" t="s">
        <v>17</v>
      </c>
      <c r="E3865" t="s">
        <v>45</v>
      </c>
      <c r="F3865" t="s">
        <v>548</v>
      </c>
      <c r="G3865">
        <v>510558974</v>
      </c>
      <c r="H3865" t="s">
        <v>524</v>
      </c>
      <c r="I3865">
        <v>4601</v>
      </c>
      <c r="J3865">
        <v>651.21</v>
      </c>
      <c r="K3865">
        <v>524.96</v>
      </c>
      <c r="L3865">
        <v>2996217.21</v>
      </c>
      <c r="M3865">
        <v>2415340.96</v>
      </c>
      <c r="N3865">
        <v>580876.25</v>
      </c>
    </row>
    <row r="3866" spans="1:14" x14ac:dyDescent="0.25">
      <c r="A3866" t="s">
        <v>51</v>
      </c>
      <c r="B3866" t="s">
        <v>638</v>
      </c>
      <c r="C3866" t="s">
        <v>113</v>
      </c>
      <c r="D3866" t="s">
        <v>17</v>
      </c>
      <c r="E3866" t="s">
        <v>32</v>
      </c>
      <c r="F3866" t="s">
        <v>726</v>
      </c>
      <c r="G3866">
        <v>402611863</v>
      </c>
      <c r="H3866" s="1">
        <v>42618</v>
      </c>
      <c r="I3866">
        <v>652</v>
      </c>
      <c r="J3866">
        <v>154.06</v>
      </c>
      <c r="K3866">
        <v>90.93</v>
      </c>
      <c r="L3866">
        <v>100447.12</v>
      </c>
      <c r="M3866">
        <v>59286.36</v>
      </c>
      <c r="N3866">
        <v>41160.76</v>
      </c>
    </row>
    <row r="3867" spans="1:14" x14ac:dyDescent="0.25">
      <c r="A3867" t="s">
        <v>25</v>
      </c>
      <c r="B3867" t="s">
        <v>374</v>
      </c>
      <c r="C3867" t="s">
        <v>44</v>
      </c>
      <c r="D3867" t="s">
        <v>17</v>
      </c>
      <c r="E3867" t="s">
        <v>18</v>
      </c>
      <c r="F3867" s="1">
        <v>40728</v>
      </c>
      <c r="G3867">
        <v>647943866</v>
      </c>
      <c r="H3867" t="s">
        <v>340</v>
      </c>
      <c r="I3867">
        <v>9843</v>
      </c>
      <c r="J3867">
        <v>109.28</v>
      </c>
      <c r="K3867">
        <v>35.840000000000003</v>
      </c>
      <c r="L3867">
        <v>1075643.04</v>
      </c>
      <c r="M3867">
        <v>352773.12</v>
      </c>
      <c r="N3867">
        <v>722869.92</v>
      </c>
    </row>
    <row r="3868" spans="1:14" x14ac:dyDescent="0.25">
      <c r="A3868" t="s">
        <v>14</v>
      </c>
      <c r="B3868" t="s">
        <v>835</v>
      </c>
      <c r="C3868" t="s">
        <v>88</v>
      </c>
      <c r="D3868" t="s">
        <v>17</v>
      </c>
      <c r="E3868" t="s">
        <v>18</v>
      </c>
      <c r="F3868" t="s">
        <v>1077</v>
      </c>
      <c r="G3868">
        <v>470041310</v>
      </c>
      <c r="H3868" s="1">
        <v>41645</v>
      </c>
      <c r="I3868">
        <v>4524</v>
      </c>
      <c r="J3868">
        <v>9.33</v>
      </c>
      <c r="K3868">
        <v>6.92</v>
      </c>
      <c r="L3868">
        <v>42208.92</v>
      </c>
      <c r="M3868">
        <v>31306.080000000002</v>
      </c>
      <c r="N3868">
        <v>10902.84</v>
      </c>
    </row>
    <row r="3869" spans="1:14" x14ac:dyDescent="0.25">
      <c r="A3869" t="s">
        <v>77</v>
      </c>
      <c r="B3869" t="s">
        <v>78</v>
      </c>
      <c r="C3869" t="s">
        <v>21</v>
      </c>
      <c r="D3869" t="s">
        <v>22</v>
      </c>
      <c r="E3869" t="s">
        <v>18</v>
      </c>
      <c r="F3869" t="s">
        <v>48</v>
      </c>
      <c r="G3869">
        <v>962703025</v>
      </c>
      <c r="H3869" t="s">
        <v>1021</v>
      </c>
      <c r="I3869">
        <v>4073</v>
      </c>
      <c r="J3869">
        <v>152.58000000000001</v>
      </c>
      <c r="K3869">
        <v>97.44</v>
      </c>
      <c r="L3869">
        <v>621458.34</v>
      </c>
      <c r="M3869">
        <v>396873.12</v>
      </c>
      <c r="N3869">
        <v>224585.22</v>
      </c>
    </row>
    <row r="3870" spans="1:14" x14ac:dyDescent="0.25">
      <c r="A3870" t="s">
        <v>51</v>
      </c>
      <c r="B3870" t="s">
        <v>301</v>
      </c>
      <c r="C3870" t="s">
        <v>16</v>
      </c>
      <c r="D3870" t="s">
        <v>22</v>
      </c>
      <c r="E3870" t="s">
        <v>18</v>
      </c>
      <c r="F3870" s="1">
        <v>41315</v>
      </c>
      <c r="G3870">
        <v>140040338</v>
      </c>
      <c r="H3870" s="1">
        <v>41527</v>
      </c>
      <c r="I3870">
        <v>9903</v>
      </c>
      <c r="J3870">
        <v>255.28</v>
      </c>
      <c r="K3870">
        <v>159.41999999999999</v>
      </c>
      <c r="L3870">
        <v>2528037.84</v>
      </c>
      <c r="M3870">
        <v>1578736.26</v>
      </c>
      <c r="N3870">
        <v>949301.58</v>
      </c>
    </row>
    <row r="3871" spans="1:14" x14ac:dyDescent="0.25">
      <c r="A3871" t="s">
        <v>51</v>
      </c>
      <c r="B3871" t="s">
        <v>487</v>
      </c>
      <c r="C3871" t="s">
        <v>69</v>
      </c>
      <c r="D3871" t="s">
        <v>17</v>
      </c>
      <c r="E3871" t="s">
        <v>32</v>
      </c>
      <c r="F3871" t="s">
        <v>1800</v>
      </c>
      <c r="G3871">
        <v>586477077</v>
      </c>
      <c r="H3871" t="s">
        <v>1323</v>
      </c>
      <c r="I3871">
        <v>455</v>
      </c>
      <c r="J3871">
        <v>421.89</v>
      </c>
      <c r="K3871">
        <v>364.69</v>
      </c>
      <c r="L3871">
        <v>191959.95</v>
      </c>
      <c r="M3871">
        <v>165933.95000000001</v>
      </c>
      <c r="N3871">
        <v>26026</v>
      </c>
    </row>
    <row r="3872" spans="1:14" x14ac:dyDescent="0.25">
      <c r="A3872" t="s">
        <v>51</v>
      </c>
      <c r="B3872" t="s">
        <v>166</v>
      </c>
      <c r="C3872" t="s">
        <v>131</v>
      </c>
      <c r="D3872" t="s">
        <v>22</v>
      </c>
      <c r="E3872" t="s">
        <v>23</v>
      </c>
      <c r="F3872" t="s">
        <v>1742</v>
      </c>
      <c r="G3872">
        <v>906749570</v>
      </c>
      <c r="H3872" s="1">
        <v>42342</v>
      </c>
      <c r="I3872">
        <v>6203</v>
      </c>
      <c r="J3872">
        <v>668.27</v>
      </c>
      <c r="K3872">
        <v>502.54</v>
      </c>
      <c r="L3872">
        <v>4145278.81</v>
      </c>
      <c r="M3872">
        <v>3117255.62</v>
      </c>
      <c r="N3872">
        <v>1028023.19</v>
      </c>
    </row>
    <row r="3873" spans="1:14" x14ac:dyDescent="0.25">
      <c r="A3873" t="s">
        <v>51</v>
      </c>
      <c r="B3873" t="s">
        <v>164</v>
      </c>
      <c r="C3873" t="s">
        <v>59</v>
      </c>
      <c r="D3873" t="s">
        <v>22</v>
      </c>
      <c r="E3873" t="s">
        <v>32</v>
      </c>
      <c r="F3873" s="1">
        <v>40826</v>
      </c>
      <c r="G3873">
        <v>675906646</v>
      </c>
      <c r="H3873" s="1">
        <v>40554</v>
      </c>
      <c r="I3873">
        <v>4651</v>
      </c>
      <c r="J3873">
        <v>437.2</v>
      </c>
      <c r="K3873">
        <v>263.33</v>
      </c>
      <c r="L3873">
        <v>2033417.2</v>
      </c>
      <c r="M3873">
        <v>1224747.83</v>
      </c>
      <c r="N3873">
        <v>808669.37</v>
      </c>
    </row>
    <row r="3874" spans="1:14" x14ac:dyDescent="0.25">
      <c r="A3874" t="s">
        <v>51</v>
      </c>
      <c r="B3874" t="s">
        <v>350</v>
      </c>
      <c r="C3874" t="s">
        <v>59</v>
      </c>
      <c r="D3874" t="s">
        <v>17</v>
      </c>
      <c r="E3874" t="s">
        <v>23</v>
      </c>
      <c r="F3874" t="s">
        <v>887</v>
      </c>
      <c r="G3874">
        <v>889309632</v>
      </c>
      <c r="H3874" t="s">
        <v>1207</v>
      </c>
      <c r="I3874">
        <v>5337</v>
      </c>
      <c r="J3874">
        <v>437.2</v>
      </c>
      <c r="K3874">
        <v>263.33</v>
      </c>
      <c r="L3874">
        <v>2333336.4</v>
      </c>
      <c r="M3874">
        <v>1405392.21</v>
      </c>
      <c r="N3874">
        <v>927944.19</v>
      </c>
    </row>
    <row r="3875" spans="1:14" x14ac:dyDescent="0.25">
      <c r="A3875" t="s">
        <v>25</v>
      </c>
      <c r="B3875" t="s">
        <v>752</v>
      </c>
      <c r="C3875" t="s">
        <v>31</v>
      </c>
      <c r="D3875" t="s">
        <v>22</v>
      </c>
      <c r="E3875" t="s">
        <v>23</v>
      </c>
      <c r="F3875" t="s">
        <v>521</v>
      </c>
      <c r="G3875">
        <v>812632358</v>
      </c>
      <c r="H3875" t="s">
        <v>227</v>
      </c>
      <c r="I3875">
        <v>4828</v>
      </c>
      <c r="J3875">
        <v>205.7</v>
      </c>
      <c r="K3875">
        <v>117.11</v>
      </c>
      <c r="L3875">
        <v>993119.6</v>
      </c>
      <c r="M3875">
        <v>565407.07999999996</v>
      </c>
      <c r="N3875">
        <v>427712.52</v>
      </c>
    </row>
    <row r="3876" spans="1:14" x14ac:dyDescent="0.25">
      <c r="A3876" t="s">
        <v>25</v>
      </c>
      <c r="B3876" t="s">
        <v>609</v>
      </c>
      <c r="C3876" t="s">
        <v>59</v>
      </c>
      <c r="D3876" t="s">
        <v>17</v>
      </c>
      <c r="E3876" t="s">
        <v>32</v>
      </c>
      <c r="F3876" t="s">
        <v>750</v>
      </c>
      <c r="G3876">
        <v>231861150</v>
      </c>
      <c r="H3876" s="1">
        <v>41650</v>
      </c>
      <c r="I3876">
        <v>1722</v>
      </c>
      <c r="J3876">
        <v>437.2</v>
      </c>
      <c r="K3876">
        <v>263.33</v>
      </c>
      <c r="L3876">
        <v>752858.4</v>
      </c>
      <c r="M3876">
        <v>453454.26</v>
      </c>
      <c r="N3876">
        <v>299404.14</v>
      </c>
    </row>
    <row r="3877" spans="1:14" x14ac:dyDescent="0.25">
      <c r="A3877" t="s">
        <v>38</v>
      </c>
      <c r="B3877" t="s">
        <v>156</v>
      </c>
      <c r="C3877" t="s">
        <v>55</v>
      </c>
      <c r="D3877" t="s">
        <v>17</v>
      </c>
      <c r="E3877" t="s">
        <v>45</v>
      </c>
      <c r="F3877" t="s">
        <v>866</v>
      </c>
      <c r="G3877">
        <v>803294837</v>
      </c>
      <c r="H3877" t="s">
        <v>991</v>
      </c>
      <c r="I3877">
        <v>1648</v>
      </c>
      <c r="J3877">
        <v>651.21</v>
      </c>
      <c r="K3877">
        <v>524.96</v>
      </c>
      <c r="L3877">
        <v>1073194.08</v>
      </c>
      <c r="M3877">
        <v>865134.07999999996</v>
      </c>
      <c r="N3877">
        <v>208060</v>
      </c>
    </row>
    <row r="3878" spans="1:14" x14ac:dyDescent="0.25">
      <c r="A3878" t="s">
        <v>29</v>
      </c>
      <c r="B3878" t="s">
        <v>199</v>
      </c>
      <c r="C3878" t="s">
        <v>16</v>
      </c>
      <c r="D3878" t="s">
        <v>17</v>
      </c>
      <c r="E3878" t="s">
        <v>32</v>
      </c>
      <c r="F3878" t="s">
        <v>444</v>
      </c>
      <c r="G3878">
        <v>203544747</v>
      </c>
      <c r="H3878" t="s">
        <v>1667</v>
      </c>
      <c r="I3878">
        <v>2269</v>
      </c>
      <c r="J3878">
        <v>255.28</v>
      </c>
      <c r="K3878">
        <v>159.41999999999999</v>
      </c>
      <c r="L3878">
        <v>579230.31999999995</v>
      </c>
      <c r="M3878">
        <v>361723.98</v>
      </c>
      <c r="N3878">
        <v>217506.34</v>
      </c>
    </row>
    <row r="3879" spans="1:14" x14ac:dyDescent="0.25">
      <c r="A3879" t="s">
        <v>29</v>
      </c>
      <c r="B3879" t="s">
        <v>124</v>
      </c>
      <c r="C3879" t="s">
        <v>27</v>
      </c>
      <c r="D3879" t="s">
        <v>17</v>
      </c>
      <c r="E3879" t="s">
        <v>18</v>
      </c>
      <c r="F3879" t="s">
        <v>773</v>
      </c>
      <c r="G3879">
        <v>679534709</v>
      </c>
      <c r="H3879" t="s">
        <v>1775</v>
      </c>
      <c r="I3879">
        <v>8276</v>
      </c>
      <c r="J3879">
        <v>47.45</v>
      </c>
      <c r="K3879">
        <v>31.79</v>
      </c>
      <c r="L3879">
        <v>392696.2</v>
      </c>
      <c r="M3879">
        <v>263094.03999999998</v>
      </c>
      <c r="N3879">
        <v>129602.16</v>
      </c>
    </row>
    <row r="3880" spans="1:14" x14ac:dyDescent="0.25">
      <c r="A3880" t="s">
        <v>38</v>
      </c>
      <c r="B3880" t="s">
        <v>1268</v>
      </c>
      <c r="C3880" t="s">
        <v>27</v>
      </c>
      <c r="D3880" t="s">
        <v>17</v>
      </c>
      <c r="E3880" t="s">
        <v>45</v>
      </c>
      <c r="F3880" s="1">
        <v>40944</v>
      </c>
      <c r="G3880">
        <v>498501050</v>
      </c>
      <c r="H3880" t="s">
        <v>572</v>
      </c>
      <c r="I3880">
        <v>6393</v>
      </c>
      <c r="J3880">
        <v>47.45</v>
      </c>
      <c r="K3880">
        <v>31.79</v>
      </c>
      <c r="L3880">
        <v>303347.84999999998</v>
      </c>
      <c r="M3880">
        <v>203233.47</v>
      </c>
      <c r="N3880">
        <v>100114.38</v>
      </c>
    </row>
    <row r="3881" spans="1:14" x14ac:dyDescent="0.25">
      <c r="A3881" t="s">
        <v>29</v>
      </c>
      <c r="B3881" t="s">
        <v>271</v>
      </c>
      <c r="C3881" t="s">
        <v>31</v>
      </c>
      <c r="D3881" t="s">
        <v>17</v>
      </c>
      <c r="E3881" t="s">
        <v>32</v>
      </c>
      <c r="F3881" s="1">
        <v>41518</v>
      </c>
      <c r="G3881">
        <v>697992599</v>
      </c>
      <c r="H3881" t="s">
        <v>1197</v>
      </c>
      <c r="I3881">
        <v>376</v>
      </c>
      <c r="J3881">
        <v>205.7</v>
      </c>
      <c r="K3881">
        <v>117.11</v>
      </c>
      <c r="L3881">
        <v>77343.199999999997</v>
      </c>
      <c r="M3881">
        <v>44033.36</v>
      </c>
      <c r="N3881">
        <v>33309.839999999997</v>
      </c>
    </row>
    <row r="3882" spans="1:14" x14ac:dyDescent="0.25">
      <c r="A3882" t="s">
        <v>29</v>
      </c>
      <c r="B3882" t="s">
        <v>586</v>
      </c>
      <c r="C3882" t="s">
        <v>21</v>
      </c>
      <c r="D3882" t="s">
        <v>17</v>
      </c>
      <c r="E3882" t="s">
        <v>45</v>
      </c>
      <c r="F3882" t="s">
        <v>881</v>
      </c>
      <c r="G3882">
        <v>135870683</v>
      </c>
      <c r="H3882" t="s">
        <v>1455</v>
      </c>
      <c r="I3882">
        <v>6009</v>
      </c>
      <c r="J3882">
        <v>152.58000000000001</v>
      </c>
      <c r="K3882">
        <v>97.44</v>
      </c>
      <c r="L3882">
        <v>916853.22</v>
      </c>
      <c r="M3882">
        <v>585516.96</v>
      </c>
      <c r="N3882">
        <v>331336.26</v>
      </c>
    </row>
    <row r="3883" spans="1:14" x14ac:dyDescent="0.25">
      <c r="A3883" t="s">
        <v>51</v>
      </c>
      <c r="B3883" t="s">
        <v>305</v>
      </c>
      <c r="C3883" t="s">
        <v>31</v>
      </c>
      <c r="D3883" t="s">
        <v>17</v>
      </c>
      <c r="E3883" t="s">
        <v>23</v>
      </c>
      <c r="F3883" s="1">
        <v>40368</v>
      </c>
      <c r="G3883">
        <v>440309131</v>
      </c>
      <c r="H3883" t="s">
        <v>1224</v>
      </c>
      <c r="I3883">
        <v>6111</v>
      </c>
      <c r="J3883">
        <v>205.7</v>
      </c>
      <c r="K3883">
        <v>117.11</v>
      </c>
      <c r="L3883">
        <v>1257032.7</v>
      </c>
      <c r="M3883">
        <v>715659.21</v>
      </c>
      <c r="N3883">
        <v>541373.49</v>
      </c>
    </row>
    <row r="3884" spans="1:14" x14ac:dyDescent="0.25">
      <c r="A3884" t="s">
        <v>29</v>
      </c>
      <c r="B3884" t="s">
        <v>338</v>
      </c>
      <c r="C3884" t="s">
        <v>113</v>
      </c>
      <c r="D3884" t="s">
        <v>22</v>
      </c>
      <c r="E3884" t="s">
        <v>45</v>
      </c>
      <c r="F3884" t="s">
        <v>399</v>
      </c>
      <c r="G3884">
        <v>159794270</v>
      </c>
      <c r="H3884" s="1">
        <v>41801</v>
      </c>
      <c r="I3884">
        <v>5530</v>
      </c>
      <c r="J3884">
        <v>154.06</v>
      </c>
      <c r="K3884">
        <v>90.93</v>
      </c>
      <c r="L3884">
        <v>851951.8</v>
      </c>
      <c r="M3884">
        <v>502842.9</v>
      </c>
      <c r="N3884">
        <v>349108.9</v>
      </c>
    </row>
    <row r="3885" spans="1:14" x14ac:dyDescent="0.25">
      <c r="A3885" t="s">
        <v>42</v>
      </c>
      <c r="B3885" t="s">
        <v>146</v>
      </c>
      <c r="C3885" t="s">
        <v>31</v>
      </c>
      <c r="D3885" t="s">
        <v>22</v>
      </c>
      <c r="E3885" t="s">
        <v>18</v>
      </c>
      <c r="F3885" s="1">
        <v>41984</v>
      </c>
      <c r="G3885">
        <v>613124930</v>
      </c>
      <c r="H3885" t="s">
        <v>663</v>
      </c>
      <c r="I3885">
        <v>6147</v>
      </c>
      <c r="J3885">
        <v>205.7</v>
      </c>
      <c r="K3885">
        <v>117.11</v>
      </c>
      <c r="L3885">
        <v>1264437.8999999999</v>
      </c>
      <c r="M3885">
        <v>719875.17</v>
      </c>
      <c r="N3885">
        <v>544562.73</v>
      </c>
    </row>
    <row r="3886" spans="1:14" x14ac:dyDescent="0.25">
      <c r="A3886" t="s">
        <v>38</v>
      </c>
      <c r="B3886" t="s">
        <v>83</v>
      </c>
      <c r="C3886" t="s">
        <v>21</v>
      </c>
      <c r="D3886" t="s">
        <v>22</v>
      </c>
      <c r="E3886" t="s">
        <v>23</v>
      </c>
      <c r="F3886" t="s">
        <v>1254</v>
      </c>
      <c r="G3886">
        <v>939412438</v>
      </c>
      <c r="H3886" t="s">
        <v>1288</v>
      </c>
      <c r="I3886">
        <v>1871</v>
      </c>
      <c r="J3886">
        <v>152.58000000000001</v>
      </c>
      <c r="K3886">
        <v>97.44</v>
      </c>
      <c r="L3886">
        <v>285477.18</v>
      </c>
      <c r="M3886">
        <v>182310.24</v>
      </c>
      <c r="N3886">
        <v>103166.94</v>
      </c>
    </row>
    <row r="3887" spans="1:14" x14ac:dyDescent="0.25">
      <c r="A3887" t="s">
        <v>25</v>
      </c>
      <c r="B3887" t="s">
        <v>529</v>
      </c>
      <c r="C3887" t="s">
        <v>21</v>
      </c>
      <c r="D3887" t="s">
        <v>17</v>
      </c>
      <c r="E3887" t="s">
        <v>18</v>
      </c>
      <c r="F3887" s="1">
        <v>40242</v>
      </c>
      <c r="G3887">
        <v>348080623</v>
      </c>
      <c r="H3887" t="s">
        <v>1771</v>
      </c>
      <c r="I3887">
        <v>3646</v>
      </c>
      <c r="J3887">
        <v>152.58000000000001</v>
      </c>
      <c r="K3887">
        <v>97.44</v>
      </c>
      <c r="L3887">
        <v>556306.68000000005</v>
      </c>
      <c r="M3887">
        <v>355266.24</v>
      </c>
      <c r="N3887">
        <v>201040.44</v>
      </c>
    </row>
    <row r="3888" spans="1:14" x14ac:dyDescent="0.25">
      <c r="A3888" t="s">
        <v>25</v>
      </c>
      <c r="B3888" t="s">
        <v>497</v>
      </c>
      <c r="C3888" t="s">
        <v>55</v>
      </c>
      <c r="D3888" t="s">
        <v>17</v>
      </c>
      <c r="E3888" t="s">
        <v>32</v>
      </c>
      <c r="F3888" s="1">
        <v>41587</v>
      </c>
      <c r="G3888">
        <v>368865811</v>
      </c>
      <c r="H3888" t="s">
        <v>1675</v>
      </c>
      <c r="I3888">
        <v>4445</v>
      </c>
      <c r="J3888">
        <v>651.21</v>
      </c>
      <c r="K3888">
        <v>524.96</v>
      </c>
      <c r="L3888">
        <v>2894628.45</v>
      </c>
      <c r="M3888">
        <v>2333447.2000000002</v>
      </c>
      <c r="N3888">
        <v>561181.25</v>
      </c>
    </row>
    <row r="3889" spans="1:14" x14ac:dyDescent="0.25">
      <c r="A3889" t="s">
        <v>29</v>
      </c>
      <c r="B3889" t="s">
        <v>124</v>
      </c>
      <c r="C3889" t="s">
        <v>27</v>
      </c>
      <c r="D3889" t="s">
        <v>17</v>
      </c>
      <c r="E3889" t="s">
        <v>18</v>
      </c>
      <c r="F3889" t="s">
        <v>149</v>
      </c>
      <c r="G3889">
        <v>801816833</v>
      </c>
      <c r="H3889" s="1">
        <v>41701</v>
      </c>
      <c r="I3889">
        <v>4274</v>
      </c>
      <c r="J3889">
        <v>47.45</v>
      </c>
      <c r="K3889">
        <v>31.79</v>
      </c>
      <c r="L3889">
        <v>202801.3</v>
      </c>
      <c r="M3889">
        <v>135870.46</v>
      </c>
      <c r="N3889">
        <v>66930.84</v>
      </c>
    </row>
    <row r="3890" spans="1:14" x14ac:dyDescent="0.25">
      <c r="A3890" t="s">
        <v>51</v>
      </c>
      <c r="B3890" t="s">
        <v>169</v>
      </c>
      <c r="C3890" t="s">
        <v>59</v>
      </c>
      <c r="D3890" t="s">
        <v>22</v>
      </c>
      <c r="E3890" t="s">
        <v>23</v>
      </c>
      <c r="F3890" s="1">
        <v>41916</v>
      </c>
      <c r="G3890">
        <v>167295014</v>
      </c>
      <c r="H3890" t="s">
        <v>1560</v>
      </c>
      <c r="I3890">
        <v>5167</v>
      </c>
      <c r="J3890">
        <v>437.2</v>
      </c>
      <c r="K3890">
        <v>263.33</v>
      </c>
      <c r="L3890">
        <v>2259012.4</v>
      </c>
      <c r="M3890">
        <v>1360626.11</v>
      </c>
      <c r="N3890">
        <v>898386.29</v>
      </c>
    </row>
    <row r="3891" spans="1:14" x14ac:dyDescent="0.25">
      <c r="A3891" t="s">
        <v>51</v>
      </c>
      <c r="B3891" t="s">
        <v>417</v>
      </c>
      <c r="C3891" t="s">
        <v>55</v>
      </c>
      <c r="D3891" t="s">
        <v>22</v>
      </c>
      <c r="E3891" t="s">
        <v>18</v>
      </c>
      <c r="F3891" t="s">
        <v>1531</v>
      </c>
      <c r="G3891">
        <v>655974185</v>
      </c>
      <c r="H3891" t="s">
        <v>1289</v>
      </c>
      <c r="I3891">
        <v>6193</v>
      </c>
      <c r="J3891">
        <v>651.21</v>
      </c>
      <c r="K3891">
        <v>524.96</v>
      </c>
      <c r="L3891">
        <v>4032943.53</v>
      </c>
      <c r="M3891">
        <v>3251077.28</v>
      </c>
      <c r="N3891">
        <v>781866.25</v>
      </c>
    </row>
    <row r="3892" spans="1:14" x14ac:dyDescent="0.25">
      <c r="A3892" t="s">
        <v>25</v>
      </c>
      <c r="B3892" t="s">
        <v>303</v>
      </c>
      <c r="C3892" t="s">
        <v>40</v>
      </c>
      <c r="D3892" t="s">
        <v>17</v>
      </c>
      <c r="E3892" t="s">
        <v>32</v>
      </c>
      <c r="F3892" s="1">
        <v>42462</v>
      </c>
      <c r="G3892">
        <v>478840672</v>
      </c>
      <c r="H3892" s="1">
        <v>42615</v>
      </c>
      <c r="I3892">
        <v>8451</v>
      </c>
      <c r="J3892">
        <v>81.73</v>
      </c>
      <c r="K3892">
        <v>56.67</v>
      </c>
      <c r="L3892">
        <v>690700.23</v>
      </c>
      <c r="M3892">
        <v>478918.17</v>
      </c>
      <c r="N3892">
        <v>211782.06</v>
      </c>
    </row>
    <row r="3893" spans="1:14" x14ac:dyDescent="0.25">
      <c r="A3893" t="s">
        <v>51</v>
      </c>
      <c r="B3893" t="s">
        <v>231</v>
      </c>
      <c r="C3893" t="s">
        <v>40</v>
      </c>
      <c r="D3893" t="s">
        <v>22</v>
      </c>
      <c r="E3893" t="s">
        <v>18</v>
      </c>
      <c r="F3893" s="1">
        <v>42861</v>
      </c>
      <c r="G3893">
        <v>617193305</v>
      </c>
      <c r="H3893" s="1">
        <v>43014</v>
      </c>
      <c r="I3893">
        <v>69</v>
      </c>
      <c r="J3893">
        <v>81.73</v>
      </c>
      <c r="K3893">
        <v>56.67</v>
      </c>
      <c r="L3893">
        <v>5639.37</v>
      </c>
      <c r="M3893">
        <v>3910.23</v>
      </c>
      <c r="N3893">
        <v>1729.14</v>
      </c>
    </row>
    <row r="3894" spans="1:14" x14ac:dyDescent="0.25">
      <c r="A3894" t="s">
        <v>25</v>
      </c>
      <c r="B3894" t="s">
        <v>434</v>
      </c>
      <c r="C3894" t="s">
        <v>31</v>
      </c>
      <c r="D3894" t="s">
        <v>17</v>
      </c>
      <c r="E3894" t="s">
        <v>32</v>
      </c>
      <c r="F3894" t="s">
        <v>1801</v>
      </c>
      <c r="G3894">
        <v>772643411</v>
      </c>
      <c r="H3894" t="s">
        <v>1118</v>
      </c>
      <c r="I3894">
        <v>1210</v>
      </c>
      <c r="J3894">
        <v>205.7</v>
      </c>
      <c r="K3894">
        <v>117.11</v>
      </c>
      <c r="L3894">
        <v>248897</v>
      </c>
      <c r="M3894">
        <v>141703.1</v>
      </c>
      <c r="N3894">
        <v>107193.9</v>
      </c>
    </row>
    <row r="3895" spans="1:14" x14ac:dyDescent="0.25">
      <c r="A3895" t="s">
        <v>14</v>
      </c>
      <c r="B3895" t="s">
        <v>432</v>
      </c>
      <c r="C3895" t="s">
        <v>31</v>
      </c>
      <c r="D3895" t="s">
        <v>22</v>
      </c>
      <c r="E3895" t="s">
        <v>32</v>
      </c>
      <c r="F3895" s="1">
        <v>42309</v>
      </c>
      <c r="G3895">
        <v>717114818</v>
      </c>
      <c r="H3895" t="s">
        <v>805</v>
      </c>
      <c r="I3895">
        <v>9065</v>
      </c>
      <c r="J3895">
        <v>205.7</v>
      </c>
      <c r="K3895">
        <v>117.11</v>
      </c>
      <c r="L3895">
        <v>1864670.5</v>
      </c>
      <c r="M3895">
        <v>1061602.1499999999</v>
      </c>
      <c r="N3895">
        <v>803068.35</v>
      </c>
    </row>
    <row r="3896" spans="1:14" x14ac:dyDescent="0.25">
      <c r="A3896" t="s">
        <v>25</v>
      </c>
      <c r="B3896" t="s">
        <v>218</v>
      </c>
      <c r="C3896" t="s">
        <v>27</v>
      </c>
      <c r="D3896" t="s">
        <v>17</v>
      </c>
      <c r="E3896" t="s">
        <v>18</v>
      </c>
      <c r="F3896" t="s">
        <v>1617</v>
      </c>
      <c r="G3896">
        <v>742843854</v>
      </c>
      <c r="H3896" s="1">
        <v>41373</v>
      </c>
      <c r="I3896">
        <v>2859</v>
      </c>
      <c r="J3896">
        <v>47.45</v>
      </c>
      <c r="K3896">
        <v>31.79</v>
      </c>
      <c r="L3896">
        <v>135659.54999999999</v>
      </c>
      <c r="M3896">
        <v>90887.61</v>
      </c>
      <c r="N3896">
        <v>44771.94</v>
      </c>
    </row>
    <row r="3897" spans="1:14" x14ac:dyDescent="0.25">
      <c r="A3897" t="s">
        <v>51</v>
      </c>
      <c r="B3897" t="s">
        <v>169</v>
      </c>
      <c r="C3897" t="s">
        <v>55</v>
      </c>
      <c r="D3897" t="s">
        <v>22</v>
      </c>
      <c r="E3897" t="s">
        <v>23</v>
      </c>
      <c r="F3897" t="s">
        <v>1704</v>
      </c>
      <c r="G3897">
        <v>312379348</v>
      </c>
      <c r="H3897" s="1">
        <v>42685</v>
      </c>
      <c r="I3897">
        <v>8846</v>
      </c>
      <c r="J3897">
        <v>651.21</v>
      </c>
      <c r="K3897">
        <v>524.96</v>
      </c>
      <c r="L3897">
        <v>5760603.6600000001</v>
      </c>
      <c r="M3897">
        <v>4643796.16</v>
      </c>
      <c r="N3897">
        <v>1116807.5</v>
      </c>
    </row>
    <row r="3898" spans="1:14" x14ac:dyDescent="0.25">
      <c r="A3898" t="s">
        <v>25</v>
      </c>
      <c r="B3898" t="s">
        <v>204</v>
      </c>
      <c r="C3898" t="s">
        <v>27</v>
      </c>
      <c r="D3898" t="s">
        <v>22</v>
      </c>
      <c r="E3898" t="s">
        <v>23</v>
      </c>
      <c r="F3898" t="s">
        <v>1057</v>
      </c>
      <c r="G3898">
        <v>308582627</v>
      </c>
      <c r="H3898" s="1">
        <v>41519</v>
      </c>
      <c r="I3898">
        <v>5312</v>
      </c>
      <c r="J3898">
        <v>47.45</v>
      </c>
      <c r="K3898">
        <v>31.79</v>
      </c>
      <c r="L3898">
        <v>252054.39999999999</v>
      </c>
      <c r="M3898">
        <v>168868.48000000001</v>
      </c>
      <c r="N3898">
        <v>83185.919999999998</v>
      </c>
    </row>
    <row r="3899" spans="1:14" x14ac:dyDescent="0.25">
      <c r="A3899" t="s">
        <v>38</v>
      </c>
      <c r="B3899" t="s">
        <v>451</v>
      </c>
      <c r="C3899" t="s">
        <v>27</v>
      </c>
      <c r="D3899" t="s">
        <v>17</v>
      </c>
      <c r="E3899" t="s">
        <v>45</v>
      </c>
      <c r="F3899" t="s">
        <v>1777</v>
      </c>
      <c r="G3899">
        <v>784627521</v>
      </c>
      <c r="H3899" t="s">
        <v>470</v>
      </c>
      <c r="I3899">
        <v>7574</v>
      </c>
      <c r="J3899">
        <v>47.45</v>
      </c>
      <c r="K3899">
        <v>31.79</v>
      </c>
      <c r="L3899">
        <v>359386.3</v>
      </c>
      <c r="M3899">
        <v>240777.46</v>
      </c>
      <c r="N3899">
        <v>118608.84</v>
      </c>
    </row>
    <row r="3900" spans="1:14" x14ac:dyDescent="0.25">
      <c r="A3900" t="s">
        <v>29</v>
      </c>
      <c r="B3900" t="s">
        <v>153</v>
      </c>
      <c r="C3900" t="s">
        <v>131</v>
      </c>
      <c r="D3900" t="s">
        <v>22</v>
      </c>
      <c r="E3900" t="s">
        <v>23</v>
      </c>
      <c r="F3900" t="s">
        <v>675</v>
      </c>
      <c r="G3900">
        <v>514000356</v>
      </c>
      <c r="H3900" t="s">
        <v>1345</v>
      </c>
      <c r="I3900">
        <v>2982</v>
      </c>
      <c r="J3900">
        <v>668.27</v>
      </c>
      <c r="K3900">
        <v>502.54</v>
      </c>
      <c r="L3900">
        <v>1992781.14</v>
      </c>
      <c r="M3900">
        <v>1498574.28</v>
      </c>
      <c r="N3900">
        <v>494206.86</v>
      </c>
    </row>
    <row r="3901" spans="1:14" x14ac:dyDescent="0.25">
      <c r="A3901" t="s">
        <v>25</v>
      </c>
      <c r="B3901" t="s">
        <v>201</v>
      </c>
      <c r="C3901" t="s">
        <v>40</v>
      </c>
      <c r="D3901" t="s">
        <v>17</v>
      </c>
      <c r="E3901" t="s">
        <v>32</v>
      </c>
      <c r="F3901" t="s">
        <v>1402</v>
      </c>
      <c r="G3901">
        <v>140499961</v>
      </c>
      <c r="H3901" t="s">
        <v>1461</v>
      </c>
      <c r="I3901">
        <v>5915</v>
      </c>
      <c r="J3901">
        <v>81.73</v>
      </c>
      <c r="K3901">
        <v>56.67</v>
      </c>
      <c r="L3901">
        <v>483432.95</v>
      </c>
      <c r="M3901">
        <v>335203.05</v>
      </c>
      <c r="N3901">
        <v>148229.9</v>
      </c>
    </row>
    <row r="3902" spans="1:14" x14ac:dyDescent="0.25">
      <c r="A3902" t="s">
        <v>38</v>
      </c>
      <c r="B3902" t="s">
        <v>346</v>
      </c>
      <c r="C3902" t="s">
        <v>131</v>
      </c>
      <c r="D3902" t="s">
        <v>22</v>
      </c>
      <c r="E3902" t="s">
        <v>45</v>
      </c>
      <c r="F3902" t="s">
        <v>225</v>
      </c>
      <c r="G3902">
        <v>828237664</v>
      </c>
      <c r="H3902" t="s">
        <v>879</v>
      </c>
      <c r="I3902">
        <v>2785</v>
      </c>
      <c r="J3902">
        <v>668.27</v>
      </c>
      <c r="K3902">
        <v>502.54</v>
      </c>
      <c r="L3902">
        <v>1861131.95</v>
      </c>
      <c r="M3902">
        <v>1399573.9</v>
      </c>
      <c r="N3902">
        <v>461558.05</v>
      </c>
    </row>
    <row r="3903" spans="1:14" x14ac:dyDescent="0.25">
      <c r="A3903" t="s">
        <v>38</v>
      </c>
      <c r="B3903" t="s">
        <v>329</v>
      </c>
      <c r="C3903" t="s">
        <v>88</v>
      </c>
      <c r="D3903" t="s">
        <v>22</v>
      </c>
      <c r="E3903" t="s">
        <v>23</v>
      </c>
      <c r="F3903" t="s">
        <v>498</v>
      </c>
      <c r="G3903">
        <v>211637294</v>
      </c>
      <c r="H3903" t="s">
        <v>1685</v>
      </c>
      <c r="I3903">
        <v>7033</v>
      </c>
      <c r="J3903">
        <v>9.33</v>
      </c>
      <c r="K3903">
        <v>6.92</v>
      </c>
      <c r="L3903">
        <v>65617.89</v>
      </c>
      <c r="M3903">
        <v>48668.36</v>
      </c>
      <c r="N3903">
        <v>16949.53</v>
      </c>
    </row>
    <row r="3904" spans="1:14" x14ac:dyDescent="0.25">
      <c r="A3904" t="s">
        <v>51</v>
      </c>
      <c r="B3904" t="s">
        <v>664</v>
      </c>
      <c r="C3904" t="s">
        <v>31</v>
      </c>
      <c r="D3904" t="s">
        <v>17</v>
      </c>
      <c r="E3904" t="s">
        <v>23</v>
      </c>
      <c r="F3904" t="s">
        <v>786</v>
      </c>
      <c r="G3904">
        <v>945435178</v>
      </c>
      <c r="H3904" t="s">
        <v>985</v>
      </c>
      <c r="I3904">
        <v>4134</v>
      </c>
      <c r="J3904">
        <v>205.7</v>
      </c>
      <c r="K3904">
        <v>117.11</v>
      </c>
      <c r="L3904">
        <v>850363.8</v>
      </c>
      <c r="M3904">
        <v>484132.74</v>
      </c>
      <c r="N3904">
        <v>366231.06</v>
      </c>
    </row>
    <row r="3905" spans="1:14" x14ac:dyDescent="0.25">
      <c r="A3905" t="s">
        <v>51</v>
      </c>
      <c r="B3905" t="s">
        <v>542</v>
      </c>
      <c r="C3905" t="s">
        <v>113</v>
      </c>
      <c r="D3905" t="s">
        <v>22</v>
      </c>
      <c r="E3905" t="s">
        <v>32</v>
      </c>
      <c r="F3905" t="s">
        <v>1721</v>
      </c>
      <c r="G3905">
        <v>354680144</v>
      </c>
      <c r="H3905" s="1">
        <v>42222</v>
      </c>
      <c r="I3905">
        <v>6591</v>
      </c>
      <c r="J3905">
        <v>154.06</v>
      </c>
      <c r="K3905">
        <v>90.93</v>
      </c>
      <c r="L3905">
        <v>1015409.46</v>
      </c>
      <c r="M3905">
        <v>599319.63</v>
      </c>
      <c r="N3905">
        <v>416089.83</v>
      </c>
    </row>
    <row r="3906" spans="1:14" x14ac:dyDescent="0.25">
      <c r="A3906" t="s">
        <v>29</v>
      </c>
      <c r="B3906" t="s">
        <v>338</v>
      </c>
      <c r="C3906" t="s">
        <v>44</v>
      </c>
      <c r="D3906" t="s">
        <v>17</v>
      </c>
      <c r="E3906" t="s">
        <v>18</v>
      </c>
      <c r="F3906" t="s">
        <v>1708</v>
      </c>
      <c r="G3906">
        <v>784733521</v>
      </c>
      <c r="H3906" t="s">
        <v>1614</v>
      </c>
      <c r="I3906">
        <v>8942</v>
      </c>
      <c r="J3906">
        <v>109.28</v>
      </c>
      <c r="K3906">
        <v>35.840000000000003</v>
      </c>
      <c r="L3906">
        <v>977181.76</v>
      </c>
      <c r="M3906">
        <v>320481.28000000003</v>
      </c>
      <c r="N3906">
        <v>656700.48</v>
      </c>
    </row>
    <row r="3907" spans="1:14" x14ac:dyDescent="0.25">
      <c r="A3907" t="s">
        <v>51</v>
      </c>
      <c r="B3907" t="s">
        <v>593</v>
      </c>
      <c r="C3907" t="s">
        <v>88</v>
      </c>
      <c r="D3907" t="s">
        <v>22</v>
      </c>
      <c r="E3907" t="s">
        <v>23</v>
      </c>
      <c r="F3907" t="s">
        <v>858</v>
      </c>
      <c r="G3907">
        <v>151269137</v>
      </c>
      <c r="H3907" t="s">
        <v>839</v>
      </c>
      <c r="I3907">
        <v>2754</v>
      </c>
      <c r="J3907">
        <v>9.33</v>
      </c>
      <c r="K3907">
        <v>6.92</v>
      </c>
      <c r="L3907">
        <v>25694.82</v>
      </c>
      <c r="M3907">
        <v>19057.68</v>
      </c>
      <c r="N3907">
        <v>6637.14</v>
      </c>
    </row>
    <row r="3908" spans="1:14" x14ac:dyDescent="0.25">
      <c r="A3908" t="s">
        <v>51</v>
      </c>
      <c r="B3908" t="s">
        <v>295</v>
      </c>
      <c r="C3908" t="s">
        <v>113</v>
      </c>
      <c r="D3908" t="s">
        <v>22</v>
      </c>
      <c r="E3908" t="s">
        <v>32</v>
      </c>
      <c r="F3908" t="s">
        <v>1504</v>
      </c>
      <c r="G3908">
        <v>490273320</v>
      </c>
      <c r="H3908" t="s">
        <v>957</v>
      </c>
      <c r="I3908">
        <v>1625</v>
      </c>
      <c r="J3908">
        <v>154.06</v>
      </c>
      <c r="K3908">
        <v>90.93</v>
      </c>
      <c r="L3908">
        <v>250347.5</v>
      </c>
      <c r="M3908">
        <v>147761.25</v>
      </c>
      <c r="N3908">
        <v>102586.25</v>
      </c>
    </row>
    <row r="3909" spans="1:14" x14ac:dyDescent="0.25">
      <c r="A3909" t="s">
        <v>14</v>
      </c>
      <c r="B3909" t="s">
        <v>66</v>
      </c>
      <c r="C3909" t="s">
        <v>27</v>
      </c>
      <c r="D3909" t="s">
        <v>22</v>
      </c>
      <c r="E3909" t="s">
        <v>45</v>
      </c>
      <c r="F3909" s="1">
        <v>41430</v>
      </c>
      <c r="G3909">
        <v>308044898</v>
      </c>
      <c r="H3909" s="1">
        <v>41460</v>
      </c>
      <c r="I3909">
        <v>6186</v>
      </c>
      <c r="J3909">
        <v>47.45</v>
      </c>
      <c r="K3909">
        <v>31.79</v>
      </c>
      <c r="L3909">
        <v>293525.7</v>
      </c>
      <c r="M3909">
        <v>196652.94</v>
      </c>
      <c r="N3909">
        <v>96872.76</v>
      </c>
    </row>
    <row r="3910" spans="1:14" x14ac:dyDescent="0.25">
      <c r="A3910" t="s">
        <v>14</v>
      </c>
      <c r="B3910" t="s">
        <v>226</v>
      </c>
      <c r="C3910" t="s">
        <v>88</v>
      </c>
      <c r="D3910" t="s">
        <v>17</v>
      </c>
      <c r="E3910" t="s">
        <v>45</v>
      </c>
      <c r="F3910" t="s">
        <v>111</v>
      </c>
      <c r="G3910">
        <v>431195199</v>
      </c>
      <c r="H3910" t="s">
        <v>111</v>
      </c>
      <c r="I3910">
        <v>9096</v>
      </c>
      <c r="J3910">
        <v>9.33</v>
      </c>
      <c r="K3910">
        <v>6.92</v>
      </c>
      <c r="L3910">
        <v>84865.68</v>
      </c>
      <c r="M3910">
        <v>62944.32</v>
      </c>
      <c r="N3910">
        <v>21921.360000000001</v>
      </c>
    </row>
    <row r="3911" spans="1:14" x14ac:dyDescent="0.25">
      <c r="A3911" t="s">
        <v>25</v>
      </c>
      <c r="B3911" t="s">
        <v>229</v>
      </c>
      <c r="C3911" t="s">
        <v>31</v>
      </c>
      <c r="D3911" t="s">
        <v>17</v>
      </c>
      <c r="E3911" t="s">
        <v>18</v>
      </c>
      <c r="F3911" t="s">
        <v>1627</v>
      </c>
      <c r="G3911">
        <v>856648051</v>
      </c>
      <c r="H3911" t="s">
        <v>1075</v>
      </c>
      <c r="I3911">
        <v>50</v>
      </c>
      <c r="J3911">
        <v>205.7</v>
      </c>
      <c r="K3911">
        <v>117.11</v>
      </c>
      <c r="L3911">
        <v>10285</v>
      </c>
      <c r="M3911">
        <v>5855.5</v>
      </c>
      <c r="N3911">
        <v>4429.5</v>
      </c>
    </row>
    <row r="3912" spans="1:14" x14ac:dyDescent="0.25">
      <c r="A3912" t="s">
        <v>14</v>
      </c>
      <c r="B3912" t="s">
        <v>98</v>
      </c>
      <c r="C3912" t="s">
        <v>131</v>
      </c>
      <c r="D3912" t="s">
        <v>22</v>
      </c>
      <c r="E3912" t="s">
        <v>18</v>
      </c>
      <c r="F3912" t="s">
        <v>1695</v>
      </c>
      <c r="G3912">
        <v>301639783</v>
      </c>
      <c r="H3912" s="1">
        <v>42412</v>
      </c>
      <c r="I3912">
        <v>770</v>
      </c>
      <c r="J3912">
        <v>668.27</v>
      </c>
      <c r="K3912">
        <v>502.54</v>
      </c>
      <c r="L3912">
        <v>514567.9</v>
      </c>
      <c r="M3912">
        <v>386955.8</v>
      </c>
      <c r="N3912">
        <v>127612.1</v>
      </c>
    </row>
    <row r="3913" spans="1:14" x14ac:dyDescent="0.25">
      <c r="A3913" t="s">
        <v>38</v>
      </c>
      <c r="B3913" t="s">
        <v>83</v>
      </c>
      <c r="C3913" t="s">
        <v>55</v>
      </c>
      <c r="D3913" t="s">
        <v>17</v>
      </c>
      <c r="E3913" t="s">
        <v>23</v>
      </c>
      <c r="F3913" s="1">
        <v>40859</v>
      </c>
      <c r="G3913">
        <v>253719222</v>
      </c>
      <c r="H3913" t="s">
        <v>1526</v>
      </c>
      <c r="I3913">
        <v>11</v>
      </c>
      <c r="J3913">
        <v>651.21</v>
      </c>
      <c r="K3913">
        <v>524.96</v>
      </c>
      <c r="L3913">
        <v>7163.31</v>
      </c>
      <c r="M3913">
        <v>5774.56</v>
      </c>
      <c r="N3913">
        <v>1388.75</v>
      </c>
    </row>
    <row r="3914" spans="1:14" x14ac:dyDescent="0.25">
      <c r="A3914" t="s">
        <v>29</v>
      </c>
      <c r="B3914" t="s">
        <v>586</v>
      </c>
      <c r="C3914" t="s">
        <v>69</v>
      </c>
      <c r="D3914" t="s">
        <v>17</v>
      </c>
      <c r="E3914" t="s">
        <v>45</v>
      </c>
      <c r="F3914" t="s">
        <v>784</v>
      </c>
      <c r="G3914">
        <v>920747697</v>
      </c>
      <c r="H3914" t="s">
        <v>1681</v>
      </c>
      <c r="I3914">
        <v>8559</v>
      </c>
      <c r="J3914">
        <v>421.89</v>
      </c>
      <c r="K3914">
        <v>364.69</v>
      </c>
      <c r="L3914">
        <v>3610956.51</v>
      </c>
      <c r="M3914">
        <v>3121381.71</v>
      </c>
      <c r="N3914">
        <v>489574.8</v>
      </c>
    </row>
    <row r="3915" spans="1:14" x14ac:dyDescent="0.25">
      <c r="A3915" t="s">
        <v>25</v>
      </c>
      <c r="B3915" t="s">
        <v>569</v>
      </c>
      <c r="C3915" t="s">
        <v>59</v>
      </c>
      <c r="D3915" t="s">
        <v>22</v>
      </c>
      <c r="E3915" t="s">
        <v>45</v>
      </c>
      <c r="F3915" t="s">
        <v>1162</v>
      </c>
      <c r="G3915">
        <v>780899035</v>
      </c>
      <c r="H3915" t="s">
        <v>1045</v>
      </c>
      <c r="I3915">
        <v>4233</v>
      </c>
      <c r="J3915">
        <v>437.2</v>
      </c>
      <c r="K3915">
        <v>263.33</v>
      </c>
      <c r="L3915">
        <v>1850667.6</v>
      </c>
      <c r="M3915">
        <v>1114675.8899999999</v>
      </c>
      <c r="N3915">
        <v>735991.71</v>
      </c>
    </row>
    <row r="3916" spans="1:14" x14ac:dyDescent="0.25">
      <c r="A3916" t="s">
        <v>14</v>
      </c>
      <c r="B3916" t="s">
        <v>154</v>
      </c>
      <c r="C3916" t="s">
        <v>113</v>
      </c>
      <c r="D3916" t="s">
        <v>22</v>
      </c>
      <c r="E3916" t="s">
        <v>32</v>
      </c>
      <c r="F3916" t="s">
        <v>1642</v>
      </c>
      <c r="G3916">
        <v>632659566</v>
      </c>
      <c r="H3916" t="s">
        <v>1129</v>
      </c>
      <c r="I3916">
        <v>6880</v>
      </c>
      <c r="J3916">
        <v>154.06</v>
      </c>
      <c r="K3916">
        <v>90.93</v>
      </c>
      <c r="L3916">
        <v>1059932.8</v>
      </c>
      <c r="M3916">
        <v>625598.4</v>
      </c>
      <c r="N3916">
        <v>434334.4</v>
      </c>
    </row>
    <row r="3917" spans="1:14" x14ac:dyDescent="0.25">
      <c r="A3917" t="s">
        <v>42</v>
      </c>
      <c r="B3917" t="s">
        <v>107</v>
      </c>
      <c r="C3917" t="s">
        <v>88</v>
      </c>
      <c r="D3917" t="s">
        <v>22</v>
      </c>
      <c r="E3917" t="s">
        <v>45</v>
      </c>
      <c r="F3917" t="s">
        <v>560</v>
      </c>
      <c r="G3917">
        <v>444828116</v>
      </c>
      <c r="H3917" t="s">
        <v>658</v>
      </c>
      <c r="I3917">
        <v>3380</v>
      </c>
      <c r="J3917">
        <v>9.33</v>
      </c>
      <c r="K3917">
        <v>6.92</v>
      </c>
      <c r="L3917">
        <v>31535.4</v>
      </c>
      <c r="M3917">
        <v>23389.599999999999</v>
      </c>
      <c r="N3917">
        <v>8145.8</v>
      </c>
    </row>
    <row r="3918" spans="1:14" x14ac:dyDescent="0.25">
      <c r="A3918" t="s">
        <v>42</v>
      </c>
      <c r="B3918" t="s">
        <v>681</v>
      </c>
      <c r="C3918" t="s">
        <v>131</v>
      </c>
      <c r="D3918" t="s">
        <v>17</v>
      </c>
      <c r="E3918" t="s">
        <v>18</v>
      </c>
      <c r="F3918" t="s">
        <v>1119</v>
      </c>
      <c r="G3918">
        <v>706516015</v>
      </c>
      <c r="H3918" t="s">
        <v>1802</v>
      </c>
      <c r="I3918">
        <v>2644</v>
      </c>
      <c r="J3918">
        <v>668.27</v>
      </c>
      <c r="K3918">
        <v>502.54</v>
      </c>
      <c r="L3918">
        <v>1766905.88</v>
      </c>
      <c r="M3918">
        <v>1328715.76</v>
      </c>
      <c r="N3918">
        <v>438190.12</v>
      </c>
    </row>
    <row r="3919" spans="1:14" x14ac:dyDescent="0.25">
      <c r="A3919" t="s">
        <v>25</v>
      </c>
      <c r="B3919" t="s">
        <v>256</v>
      </c>
      <c r="C3919" t="s">
        <v>69</v>
      </c>
      <c r="D3919" t="s">
        <v>22</v>
      </c>
      <c r="E3919" t="s">
        <v>32</v>
      </c>
      <c r="F3919" t="s">
        <v>1327</v>
      </c>
      <c r="G3919">
        <v>177147090</v>
      </c>
      <c r="H3919" t="s">
        <v>907</v>
      </c>
      <c r="I3919">
        <v>615</v>
      </c>
      <c r="J3919">
        <v>421.89</v>
      </c>
      <c r="K3919">
        <v>364.69</v>
      </c>
      <c r="L3919">
        <v>259462.35</v>
      </c>
      <c r="M3919">
        <v>224284.35</v>
      </c>
      <c r="N3919">
        <v>35178</v>
      </c>
    </row>
    <row r="3920" spans="1:14" x14ac:dyDescent="0.25">
      <c r="A3920" t="s">
        <v>38</v>
      </c>
      <c r="B3920" t="s">
        <v>187</v>
      </c>
      <c r="C3920" t="s">
        <v>69</v>
      </c>
      <c r="D3920" t="s">
        <v>22</v>
      </c>
      <c r="E3920" t="s">
        <v>23</v>
      </c>
      <c r="F3920" t="s">
        <v>709</v>
      </c>
      <c r="G3920">
        <v>836457669</v>
      </c>
      <c r="H3920" s="1">
        <v>42435</v>
      </c>
      <c r="I3920">
        <v>5267</v>
      </c>
      <c r="J3920">
        <v>421.89</v>
      </c>
      <c r="K3920">
        <v>364.69</v>
      </c>
      <c r="L3920">
        <v>2222094.63</v>
      </c>
      <c r="M3920">
        <v>1920822.23</v>
      </c>
      <c r="N3920">
        <v>301272.40000000002</v>
      </c>
    </row>
    <row r="3921" spans="1:14" x14ac:dyDescent="0.25">
      <c r="A3921" t="s">
        <v>38</v>
      </c>
      <c r="B3921" t="s">
        <v>83</v>
      </c>
      <c r="C3921" t="s">
        <v>69</v>
      </c>
      <c r="D3921" t="s">
        <v>17</v>
      </c>
      <c r="E3921" t="s">
        <v>23</v>
      </c>
      <c r="F3921" s="1">
        <v>42015</v>
      </c>
      <c r="G3921">
        <v>234496581</v>
      </c>
      <c r="H3921" t="s">
        <v>1415</v>
      </c>
      <c r="I3921">
        <v>1604</v>
      </c>
      <c r="J3921">
        <v>421.89</v>
      </c>
      <c r="K3921">
        <v>364.69</v>
      </c>
      <c r="L3921">
        <v>676711.56</v>
      </c>
      <c r="M3921">
        <v>584962.76</v>
      </c>
      <c r="N3921">
        <v>91748.800000000003</v>
      </c>
    </row>
    <row r="3922" spans="1:14" x14ac:dyDescent="0.25">
      <c r="A3922" t="s">
        <v>14</v>
      </c>
      <c r="B3922" t="s">
        <v>432</v>
      </c>
      <c r="C3922" t="s">
        <v>27</v>
      </c>
      <c r="D3922" t="s">
        <v>17</v>
      </c>
      <c r="E3922" t="s">
        <v>23</v>
      </c>
      <c r="F3922" t="s">
        <v>1793</v>
      </c>
      <c r="G3922">
        <v>941625154</v>
      </c>
      <c r="H3922" t="s">
        <v>1070</v>
      </c>
      <c r="I3922">
        <v>6663</v>
      </c>
      <c r="J3922">
        <v>47.45</v>
      </c>
      <c r="K3922">
        <v>31.79</v>
      </c>
      <c r="L3922">
        <v>316159.34999999998</v>
      </c>
      <c r="M3922">
        <v>211816.77</v>
      </c>
      <c r="N3922">
        <v>104342.58</v>
      </c>
    </row>
    <row r="3923" spans="1:14" x14ac:dyDescent="0.25">
      <c r="A3923" t="s">
        <v>14</v>
      </c>
      <c r="B3923" t="s">
        <v>81</v>
      </c>
      <c r="C3923" t="s">
        <v>55</v>
      </c>
      <c r="D3923" t="s">
        <v>17</v>
      </c>
      <c r="E3923" t="s">
        <v>18</v>
      </c>
      <c r="F3923" s="1">
        <v>41312</v>
      </c>
      <c r="G3923">
        <v>198517215</v>
      </c>
      <c r="H3923" t="s">
        <v>993</v>
      </c>
      <c r="I3923">
        <v>4510</v>
      </c>
      <c r="J3923">
        <v>651.21</v>
      </c>
      <c r="K3923">
        <v>524.96</v>
      </c>
      <c r="L3923">
        <v>2936957.1</v>
      </c>
      <c r="M3923">
        <v>2367569.6</v>
      </c>
      <c r="N3923">
        <v>569387.5</v>
      </c>
    </row>
    <row r="3924" spans="1:14" x14ac:dyDescent="0.25">
      <c r="A3924" t="s">
        <v>51</v>
      </c>
      <c r="B3924" t="s">
        <v>424</v>
      </c>
      <c r="C3924" t="s">
        <v>55</v>
      </c>
      <c r="D3924" t="s">
        <v>22</v>
      </c>
      <c r="E3924" t="s">
        <v>23</v>
      </c>
      <c r="F3924" s="1">
        <v>41427</v>
      </c>
      <c r="G3924">
        <v>266159093</v>
      </c>
      <c r="H3924" s="1">
        <v>41549</v>
      </c>
      <c r="I3924">
        <v>1245</v>
      </c>
      <c r="J3924">
        <v>651.21</v>
      </c>
      <c r="K3924">
        <v>524.96</v>
      </c>
      <c r="L3924">
        <v>810756.45</v>
      </c>
      <c r="M3924">
        <v>653575.19999999995</v>
      </c>
      <c r="N3924">
        <v>157181.25</v>
      </c>
    </row>
    <row r="3925" spans="1:14" x14ac:dyDescent="0.25">
      <c r="A3925" t="s">
        <v>25</v>
      </c>
      <c r="B3925" t="s">
        <v>211</v>
      </c>
      <c r="C3925" t="s">
        <v>55</v>
      </c>
      <c r="D3925" t="s">
        <v>22</v>
      </c>
      <c r="E3925" t="s">
        <v>23</v>
      </c>
      <c r="F3925" t="s">
        <v>109</v>
      </c>
      <c r="G3925">
        <v>775849616</v>
      </c>
      <c r="H3925" s="1">
        <v>41032</v>
      </c>
      <c r="I3925">
        <v>9997</v>
      </c>
      <c r="J3925">
        <v>651.21</v>
      </c>
      <c r="K3925">
        <v>524.96</v>
      </c>
      <c r="L3925">
        <v>6510146.3700000001</v>
      </c>
      <c r="M3925">
        <v>5248025.12</v>
      </c>
      <c r="N3925">
        <v>1262121.25</v>
      </c>
    </row>
    <row r="3926" spans="1:14" x14ac:dyDescent="0.25">
      <c r="A3926" t="s">
        <v>25</v>
      </c>
      <c r="B3926" t="s">
        <v>458</v>
      </c>
      <c r="C3926" t="s">
        <v>69</v>
      </c>
      <c r="D3926" t="s">
        <v>17</v>
      </c>
      <c r="E3926" t="s">
        <v>23</v>
      </c>
      <c r="F3926" t="s">
        <v>1184</v>
      </c>
      <c r="G3926">
        <v>979200112</v>
      </c>
      <c r="H3926" t="s">
        <v>538</v>
      </c>
      <c r="I3926">
        <v>5928</v>
      </c>
      <c r="J3926">
        <v>421.89</v>
      </c>
      <c r="K3926">
        <v>364.69</v>
      </c>
      <c r="L3926">
        <v>2500963.92</v>
      </c>
      <c r="M3926">
        <v>2161882.3199999998</v>
      </c>
      <c r="N3926">
        <v>339081.6</v>
      </c>
    </row>
    <row r="3927" spans="1:14" x14ac:dyDescent="0.25">
      <c r="A3927" t="s">
        <v>77</v>
      </c>
      <c r="B3927" t="s">
        <v>320</v>
      </c>
      <c r="C3927" t="s">
        <v>59</v>
      </c>
      <c r="D3927" t="s">
        <v>17</v>
      </c>
      <c r="E3927" t="s">
        <v>32</v>
      </c>
      <c r="F3927" t="s">
        <v>989</v>
      </c>
      <c r="G3927">
        <v>198134410</v>
      </c>
      <c r="H3927" t="s">
        <v>28</v>
      </c>
      <c r="I3927">
        <v>1230</v>
      </c>
      <c r="J3927">
        <v>437.2</v>
      </c>
      <c r="K3927">
        <v>263.33</v>
      </c>
      <c r="L3927">
        <v>537756</v>
      </c>
      <c r="M3927">
        <v>323895.90000000002</v>
      </c>
      <c r="N3927">
        <v>213860.1</v>
      </c>
    </row>
    <row r="3928" spans="1:14" x14ac:dyDescent="0.25">
      <c r="A3928" t="s">
        <v>51</v>
      </c>
      <c r="B3928" t="s">
        <v>151</v>
      </c>
      <c r="C3928" t="s">
        <v>113</v>
      </c>
      <c r="D3928" t="s">
        <v>17</v>
      </c>
      <c r="E3928" t="s">
        <v>23</v>
      </c>
      <c r="F3928" t="s">
        <v>939</v>
      </c>
      <c r="G3928">
        <v>974888837</v>
      </c>
      <c r="H3928" t="s">
        <v>620</v>
      </c>
      <c r="I3928">
        <v>126</v>
      </c>
      <c r="J3928">
        <v>154.06</v>
      </c>
      <c r="K3928">
        <v>90.93</v>
      </c>
      <c r="L3928">
        <v>19411.560000000001</v>
      </c>
      <c r="M3928">
        <v>11457.18</v>
      </c>
      <c r="N3928">
        <v>7954.38</v>
      </c>
    </row>
    <row r="3929" spans="1:14" x14ac:dyDescent="0.25">
      <c r="A3929" t="s">
        <v>29</v>
      </c>
      <c r="B3929" t="s">
        <v>585</v>
      </c>
      <c r="C3929" t="s">
        <v>59</v>
      </c>
      <c r="D3929" t="s">
        <v>22</v>
      </c>
      <c r="E3929" t="s">
        <v>32</v>
      </c>
      <c r="F3929" t="s">
        <v>1080</v>
      </c>
      <c r="G3929">
        <v>522012221</v>
      </c>
      <c r="H3929" t="s">
        <v>1780</v>
      </c>
      <c r="I3929">
        <v>3871</v>
      </c>
      <c r="J3929">
        <v>437.2</v>
      </c>
      <c r="K3929">
        <v>263.33</v>
      </c>
      <c r="L3929">
        <v>1692401.2</v>
      </c>
      <c r="M3929">
        <v>1019350.43</v>
      </c>
      <c r="N3929">
        <v>673050.77</v>
      </c>
    </row>
    <row r="3930" spans="1:14" x14ac:dyDescent="0.25">
      <c r="A3930" t="s">
        <v>51</v>
      </c>
      <c r="B3930" t="s">
        <v>638</v>
      </c>
      <c r="C3930" t="s">
        <v>131</v>
      </c>
      <c r="D3930" t="s">
        <v>17</v>
      </c>
      <c r="E3930" t="s">
        <v>18</v>
      </c>
      <c r="F3930" s="1">
        <v>42891</v>
      </c>
      <c r="G3930">
        <v>172365891</v>
      </c>
      <c r="H3930" s="1">
        <v>42984</v>
      </c>
      <c r="I3930">
        <v>5752</v>
      </c>
      <c r="J3930">
        <v>668.27</v>
      </c>
      <c r="K3930">
        <v>502.54</v>
      </c>
      <c r="L3930">
        <v>3843889.04</v>
      </c>
      <c r="M3930">
        <v>2890610.08</v>
      </c>
      <c r="N3930">
        <v>953278.96</v>
      </c>
    </row>
    <row r="3931" spans="1:14" x14ac:dyDescent="0.25">
      <c r="A3931" t="s">
        <v>25</v>
      </c>
      <c r="B3931" t="s">
        <v>603</v>
      </c>
      <c r="C3931" t="s">
        <v>21</v>
      </c>
      <c r="D3931" t="s">
        <v>22</v>
      </c>
      <c r="E3931" t="s">
        <v>18</v>
      </c>
      <c r="F3931" t="s">
        <v>267</v>
      </c>
      <c r="G3931">
        <v>429123675</v>
      </c>
      <c r="H3931" s="1">
        <v>41954</v>
      </c>
      <c r="I3931">
        <v>6086</v>
      </c>
      <c r="J3931">
        <v>152.58000000000001</v>
      </c>
      <c r="K3931">
        <v>97.44</v>
      </c>
      <c r="L3931">
        <v>928601.88</v>
      </c>
      <c r="M3931">
        <v>593019.84</v>
      </c>
      <c r="N3931">
        <v>335582.04</v>
      </c>
    </row>
    <row r="3932" spans="1:14" x14ac:dyDescent="0.25">
      <c r="A3932" t="s">
        <v>25</v>
      </c>
      <c r="B3932" t="s">
        <v>142</v>
      </c>
      <c r="C3932" t="s">
        <v>113</v>
      </c>
      <c r="D3932" t="s">
        <v>22</v>
      </c>
      <c r="E3932" t="s">
        <v>32</v>
      </c>
      <c r="F3932" t="s">
        <v>1653</v>
      </c>
      <c r="G3932">
        <v>515771901</v>
      </c>
      <c r="H3932" t="s">
        <v>1575</v>
      </c>
      <c r="I3932">
        <v>7222</v>
      </c>
      <c r="J3932">
        <v>154.06</v>
      </c>
      <c r="K3932">
        <v>90.93</v>
      </c>
      <c r="L3932">
        <v>1112621.32</v>
      </c>
      <c r="M3932">
        <v>656696.46</v>
      </c>
      <c r="N3932">
        <v>455924.86</v>
      </c>
    </row>
    <row r="3933" spans="1:14" x14ac:dyDescent="0.25">
      <c r="A3933" t="s">
        <v>25</v>
      </c>
      <c r="B3933" t="s">
        <v>196</v>
      </c>
      <c r="C3933" t="s">
        <v>31</v>
      </c>
      <c r="D3933" t="s">
        <v>17</v>
      </c>
      <c r="E3933" t="s">
        <v>23</v>
      </c>
      <c r="F3933" s="1">
        <v>41098</v>
      </c>
      <c r="G3933">
        <v>626109397</v>
      </c>
      <c r="H3933" t="s">
        <v>1646</v>
      </c>
      <c r="I3933">
        <v>8539</v>
      </c>
      <c r="J3933">
        <v>205.7</v>
      </c>
      <c r="K3933">
        <v>117.11</v>
      </c>
      <c r="L3933">
        <v>1756472.3</v>
      </c>
      <c r="M3933">
        <v>1000002.29</v>
      </c>
      <c r="N3933">
        <v>756470.01</v>
      </c>
    </row>
    <row r="3934" spans="1:14" x14ac:dyDescent="0.25">
      <c r="A3934" t="s">
        <v>25</v>
      </c>
      <c r="B3934" t="s">
        <v>26</v>
      </c>
      <c r="C3934" t="s">
        <v>131</v>
      </c>
      <c r="D3934" t="s">
        <v>22</v>
      </c>
      <c r="E3934" t="s">
        <v>45</v>
      </c>
      <c r="F3934" s="1">
        <v>41041</v>
      </c>
      <c r="G3934">
        <v>574247491</v>
      </c>
      <c r="H3934" t="s">
        <v>1366</v>
      </c>
      <c r="I3934">
        <v>1448</v>
      </c>
      <c r="J3934">
        <v>668.27</v>
      </c>
      <c r="K3934">
        <v>502.54</v>
      </c>
      <c r="L3934">
        <v>967654.96</v>
      </c>
      <c r="M3934">
        <v>727677.92</v>
      </c>
      <c r="N3934">
        <v>239977.04</v>
      </c>
    </row>
    <row r="3935" spans="1:14" x14ac:dyDescent="0.25">
      <c r="A3935" t="s">
        <v>42</v>
      </c>
      <c r="B3935" t="s">
        <v>90</v>
      </c>
      <c r="C3935" t="s">
        <v>44</v>
      </c>
      <c r="D3935" t="s">
        <v>17</v>
      </c>
      <c r="E3935" t="s">
        <v>23</v>
      </c>
      <c r="F3935" t="s">
        <v>1803</v>
      </c>
      <c r="G3935">
        <v>244610011</v>
      </c>
      <c r="H3935" t="s">
        <v>1305</v>
      </c>
      <c r="I3935">
        <v>4393</v>
      </c>
      <c r="J3935">
        <v>109.28</v>
      </c>
      <c r="K3935">
        <v>35.840000000000003</v>
      </c>
      <c r="L3935">
        <v>480067.04</v>
      </c>
      <c r="M3935">
        <v>157445.12</v>
      </c>
      <c r="N3935">
        <v>322621.92</v>
      </c>
    </row>
    <row r="3936" spans="1:14" x14ac:dyDescent="0.25">
      <c r="A3936" t="s">
        <v>25</v>
      </c>
      <c r="B3936" t="s">
        <v>185</v>
      </c>
      <c r="C3936" t="s">
        <v>21</v>
      </c>
      <c r="D3936" t="s">
        <v>17</v>
      </c>
      <c r="E3936" t="s">
        <v>18</v>
      </c>
      <c r="F3936" s="1">
        <v>41395</v>
      </c>
      <c r="G3936">
        <v>941933286</v>
      </c>
      <c r="H3936" s="1">
        <v>41488</v>
      </c>
      <c r="I3936">
        <v>7846</v>
      </c>
      <c r="J3936">
        <v>152.58000000000001</v>
      </c>
      <c r="K3936">
        <v>97.44</v>
      </c>
      <c r="L3936">
        <v>1197142.68</v>
      </c>
      <c r="M3936">
        <v>764514.24</v>
      </c>
      <c r="N3936">
        <v>432628.44</v>
      </c>
    </row>
    <row r="3937" spans="1:14" x14ac:dyDescent="0.25">
      <c r="A3937" t="s">
        <v>29</v>
      </c>
      <c r="B3937" t="s">
        <v>271</v>
      </c>
      <c r="C3937" t="s">
        <v>113</v>
      </c>
      <c r="D3937" t="s">
        <v>17</v>
      </c>
      <c r="E3937" t="s">
        <v>32</v>
      </c>
      <c r="F3937" s="1">
        <v>42252</v>
      </c>
      <c r="G3937">
        <v>441266143</v>
      </c>
      <c r="H3937" t="s">
        <v>1804</v>
      </c>
      <c r="I3937">
        <v>9312</v>
      </c>
      <c r="J3937">
        <v>154.06</v>
      </c>
      <c r="K3937">
        <v>90.93</v>
      </c>
      <c r="L3937">
        <v>1434606.72</v>
      </c>
      <c r="M3937">
        <v>846740.16</v>
      </c>
      <c r="N3937">
        <v>587866.56000000006</v>
      </c>
    </row>
    <row r="3938" spans="1:14" x14ac:dyDescent="0.25">
      <c r="A3938" t="s">
        <v>38</v>
      </c>
      <c r="B3938" t="s">
        <v>83</v>
      </c>
      <c r="C3938" t="s">
        <v>131</v>
      </c>
      <c r="D3938" t="s">
        <v>22</v>
      </c>
      <c r="E3938" t="s">
        <v>18</v>
      </c>
      <c r="F3938" t="s">
        <v>651</v>
      </c>
      <c r="G3938">
        <v>637969911</v>
      </c>
      <c r="H3938" s="1">
        <v>42038</v>
      </c>
      <c r="I3938">
        <v>8329</v>
      </c>
      <c r="J3938">
        <v>668.27</v>
      </c>
      <c r="K3938">
        <v>502.54</v>
      </c>
      <c r="L3938">
        <v>5566020.8300000001</v>
      </c>
      <c r="M3938">
        <v>4185655.66</v>
      </c>
      <c r="N3938">
        <v>1380365.17</v>
      </c>
    </row>
    <row r="3939" spans="1:14" x14ac:dyDescent="0.25">
      <c r="A3939" t="s">
        <v>25</v>
      </c>
      <c r="B3939" t="s">
        <v>418</v>
      </c>
      <c r="C3939" t="s">
        <v>31</v>
      </c>
      <c r="D3939" t="s">
        <v>22</v>
      </c>
      <c r="E3939" t="s">
        <v>32</v>
      </c>
      <c r="F3939" t="s">
        <v>1538</v>
      </c>
      <c r="G3939">
        <v>797718417</v>
      </c>
      <c r="H3939" t="s">
        <v>1805</v>
      </c>
      <c r="I3939">
        <v>1462</v>
      </c>
      <c r="J3939">
        <v>205.7</v>
      </c>
      <c r="K3939">
        <v>117.11</v>
      </c>
      <c r="L3939">
        <v>300733.40000000002</v>
      </c>
      <c r="M3939">
        <v>171214.82</v>
      </c>
      <c r="N3939">
        <v>129518.58</v>
      </c>
    </row>
    <row r="3940" spans="1:14" x14ac:dyDescent="0.25">
      <c r="A3940" t="s">
        <v>29</v>
      </c>
      <c r="B3940" t="s">
        <v>199</v>
      </c>
      <c r="C3940" t="s">
        <v>21</v>
      </c>
      <c r="D3940" t="s">
        <v>17</v>
      </c>
      <c r="E3940" t="s">
        <v>45</v>
      </c>
      <c r="F3940" t="s">
        <v>443</v>
      </c>
      <c r="G3940">
        <v>706497991</v>
      </c>
      <c r="H3940" t="s">
        <v>1073</v>
      </c>
      <c r="I3940">
        <v>7310</v>
      </c>
      <c r="J3940">
        <v>152.58000000000001</v>
      </c>
      <c r="K3940">
        <v>97.44</v>
      </c>
      <c r="L3940">
        <v>1115359.8</v>
      </c>
      <c r="M3940">
        <v>712286.4</v>
      </c>
      <c r="N3940">
        <v>403073.4</v>
      </c>
    </row>
    <row r="3941" spans="1:14" x14ac:dyDescent="0.25">
      <c r="A3941" t="s">
        <v>25</v>
      </c>
      <c r="B3941" t="s">
        <v>87</v>
      </c>
      <c r="C3941" t="s">
        <v>31</v>
      </c>
      <c r="D3941" t="s">
        <v>17</v>
      </c>
      <c r="E3941" t="s">
        <v>23</v>
      </c>
      <c r="F3941" t="s">
        <v>48</v>
      </c>
      <c r="G3941">
        <v>220607459</v>
      </c>
      <c r="H3941" t="s">
        <v>1064</v>
      </c>
      <c r="I3941">
        <v>1504</v>
      </c>
      <c r="J3941">
        <v>205.7</v>
      </c>
      <c r="K3941">
        <v>117.11</v>
      </c>
      <c r="L3941">
        <v>309372.79999999999</v>
      </c>
      <c r="M3941">
        <v>176133.44</v>
      </c>
      <c r="N3941">
        <v>133239.35999999999</v>
      </c>
    </row>
    <row r="3942" spans="1:14" x14ac:dyDescent="0.25">
      <c r="A3942" t="s">
        <v>51</v>
      </c>
      <c r="B3942" t="s">
        <v>231</v>
      </c>
      <c r="C3942" t="s">
        <v>21</v>
      </c>
      <c r="D3942" t="s">
        <v>22</v>
      </c>
      <c r="E3942" t="s">
        <v>45</v>
      </c>
      <c r="F3942" t="s">
        <v>936</v>
      </c>
      <c r="G3942">
        <v>616658151</v>
      </c>
      <c r="H3942" t="s">
        <v>1525</v>
      </c>
      <c r="I3942">
        <v>1705</v>
      </c>
      <c r="J3942">
        <v>152.58000000000001</v>
      </c>
      <c r="K3942">
        <v>97.44</v>
      </c>
      <c r="L3942">
        <v>260148.9</v>
      </c>
      <c r="M3942">
        <v>166135.20000000001</v>
      </c>
      <c r="N3942">
        <v>94013.7</v>
      </c>
    </row>
    <row r="3943" spans="1:14" x14ac:dyDescent="0.25">
      <c r="A3943" t="s">
        <v>29</v>
      </c>
      <c r="B3943" t="s">
        <v>545</v>
      </c>
      <c r="C3943" t="s">
        <v>31</v>
      </c>
      <c r="D3943" t="s">
        <v>22</v>
      </c>
      <c r="E3943" t="s">
        <v>18</v>
      </c>
      <c r="F3943" t="s">
        <v>1540</v>
      </c>
      <c r="G3943">
        <v>541573894</v>
      </c>
      <c r="H3943" t="s">
        <v>1257</v>
      </c>
      <c r="I3943">
        <v>2605</v>
      </c>
      <c r="J3943">
        <v>205.7</v>
      </c>
      <c r="K3943">
        <v>117.11</v>
      </c>
      <c r="L3943">
        <v>535848.5</v>
      </c>
      <c r="M3943">
        <v>305071.55</v>
      </c>
      <c r="N3943">
        <v>230776.95</v>
      </c>
    </row>
    <row r="3944" spans="1:14" x14ac:dyDescent="0.25">
      <c r="A3944" t="s">
        <v>51</v>
      </c>
      <c r="B3944" t="s">
        <v>260</v>
      </c>
      <c r="C3944" t="s">
        <v>44</v>
      </c>
      <c r="D3944" t="s">
        <v>22</v>
      </c>
      <c r="E3944" t="s">
        <v>23</v>
      </c>
      <c r="F3944" t="s">
        <v>1184</v>
      </c>
      <c r="G3944">
        <v>962591016</v>
      </c>
      <c r="H3944" s="1">
        <v>41760</v>
      </c>
      <c r="I3944">
        <v>927</v>
      </c>
      <c r="J3944">
        <v>109.28</v>
      </c>
      <c r="K3944">
        <v>35.840000000000003</v>
      </c>
      <c r="L3944">
        <v>101302.56</v>
      </c>
      <c r="M3944">
        <v>33223.68</v>
      </c>
      <c r="N3944">
        <v>68078.880000000005</v>
      </c>
    </row>
    <row r="3945" spans="1:14" x14ac:dyDescent="0.25">
      <c r="A3945" t="s">
        <v>77</v>
      </c>
      <c r="B3945" t="s">
        <v>320</v>
      </c>
      <c r="C3945" t="s">
        <v>131</v>
      </c>
      <c r="D3945" t="s">
        <v>17</v>
      </c>
      <c r="E3945" t="s">
        <v>45</v>
      </c>
      <c r="F3945" s="1">
        <v>41830</v>
      </c>
      <c r="G3945">
        <v>217258346</v>
      </c>
      <c r="H3945" t="s">
        <v>1350</v>
      </c>
      <c r="I3945">
        <v>427</v>
      </c>
      <c r="J3945">
        <v>668.27</v>
      </c>
      <c r="K3945">
        <v>502.54</v>
      </c>
      <c r="L3945">
        <v>285351.28999999998</v>
      </c>
      <c r="M3945">
        <v>214584.58</v>
      </c>
      <c r="N3945">
        <v>70766.710000000006</v>
      </c>
    </row>
    <row r="3946" spans="1:14" x14ac:dyDescent="0.25">
      <c r="A3946" t="s">
        <v>51</v>
      </c>
      <c r="B3946" t="s">
        <v>420</v>
      </c>
      <c r="C3946" t="s">
        <v>69</v>
      </c>
      <c r="D3946" t="s">
        <v>17</v>
      </c>
      <c r="E3946" t="s">
        <v>18</v>
      </c>
      <c r="F3946" t="s">
        <v>1150</v>
      </c>
      <c r="G3946">
        <v>763437211</v>
      </c>
      <c r="H3946" s="1">
        <v>41699</v>
      </c>
      <c r="I3946">
        <v>6891</v>
      </c>
      <c r="J3946">
        <v>421.89</v>
      </c>
      <c r="K3946">
        <v>364.69</v>
      </c>
      <c r="L3946">
        <v>2907243.99</v>
      </c>
      <c r="M3946">
        <v>2513078.79</v>
      </c>
      <c r="N3946">
        <v>394165.2</v>
      </c>
    </row>
    <row r="3947" spans="1:14" x14ac:dyDescent="0.25">
      <c r="A3947" t="s">
        <v>25</v>
      </c>
      <c r="B3947" t="s">
        <v>615</v>
      </c>
      <c r="C3947" t="s">
        <v>16</v>
      </c>
      <c r="D3947" t="s">
        <v>22</v>
      </c>
      <c r="E3947" t="s">
        <v>32</v>
      </c>
      <c r="F3947" t="s">
        <v>1801</v>
      </c>
      <c r="G3947">
        <v>629301440</v>
      </c>
      <c r="H3947" t="s">
        <v>294</v>
      </c>
      <c r="I3947">
        <v>3135</v>
      </c>
      <c r="J3947">
        <v>255.28</v>
      </c>
      <c r="K3947">
        <v>159.41999999999999</v>
      </c>
      <c r="L3947">
        <v>800302.8</v>
      </c>
      <c r="M3947">
        <v>499781.7</v>
      </c>
      <c r="N3947">
        <v>300521.09999999998</v>
      </c>
    </row>
    <row r="3948" spans="1:14" x14ac:dyDescent="0.25">
      <c r="A3948" t="s">
        <v>51</v>
      </c>
      <c r="B3948" t="s">
        <v>295</v>
      </c>
      <c r="C3948" t="s">
        <v>131</v>
      </c>
      <c r="D3948" t="s">
        <v>22</v>
      </c>
      <c r="E3948" t="s">
        <v>32</v>
      </c>
      <c r="F3948" s="1">
        <v>40976</v>
      </c>
      <c r="G3948">
        <v>163337361</v>
      </c>
      <c r="H3948" t="s">
        <v>629</v>
      </c>
      <c r="I3948">
        <v>4010</v>
      </c>
      <c r="J3948">
        <v>668.27</v>
      </c>
      <c r="K3948">
        <v>502.54</v>
      </c>
      <c r="L3948">
        <v>2679762.7000000002</v>
      </c>
      <c r="M3948">
        <v>2015185.4</v>
      </c>
      <c r="N3948">
        <v>664577.30000000005</v>
      </c>
    </row>
    <row r="3949" spans="1:14" x14ac:dyDescent="0.25">
      <c r="A3949" t="s">
        <v>38</v>
      </c>
      <c r="B3949" t="s">
        <v>177</v>
      </c>
      <c r="C3949" t="s">
        <v>59</v>
      </c>
      <c r="D3949" t="s">
        <v>22</v>
      </c>
      <c r="E3949" t="s">
        <v>32</v>
      </c>
      <c r="F3949" s="1">
        <v>40269</v>
      </c>
      <c r="G3949">
        <v>684343802</v>
      </c>
      <c r="H3949" t="s">
        <v>1785</v>
      </c>
      <c r="I3949">
        <v>1394</v>
      </c>
      <c r="J3949">
        <v>437.2</v>
      </c>
      <c r="K3949">
        <v>263.33</v>
      </c>
      <c r="L3949">
        <v>609456.80000000005</v>
      </c>
      <c r="M3949">
        <v>367082.02</v>
      </c>
      <c r="N3949">
        <v>242374.78</v>
      </c>
    </row>
    <row r="3950" spans="1:14" x14ac:dyDescent="0.25">
      <c r="A3950" t="s">
        <v>25</v>
      </c>
      <c r="B3950" t="s">
        <v>458</v>
      </c>
      <c r="C3950" t="s">
        <v>44</v>
      </c>
      <c r="D3950" t="s">
        <v>22</v>
      </c>
      <c r="E3950" t="s">
        <v>45</v>
      </c>
      <c r="F3950" s="1">
        <v>42377</v>
      </c>
      <c r="G3950">
        <v>431432092</v>
      </c>
      <c r="H3950" t="s">
        <v>650</v>
      </c>
      <c r="I3950">
        <v>9198</v>
      </c>
      <c r="J3950">
        <v>109.28</v>
      </c>
      <c r="K3950">
        <v>35.840000000000003</v>
      </c>
      <c r="L3950">
        <v>1005157.44</v>
      </c>
      <c r="M3950">
        <v>329656.32000000001</v>
      </c>
      <c r="N3950">
        <v>675501.12</v>
      </c>
    </row>
    <row r="3951" spans="1:14" x14ac:dyDescent="0.25">
      <c r="A3951" t="s">
        <v>51</v>
      </c>
      <c r="B3951" t="s">
        <v>305</v>
      </c>
      <c r="C3951" t="s">
        <v>16</v>
      </c>
      <c r="D3951" t="s">
        <v>17</v>
      </c>
      <c r="E3951" t="s">
        <v>18</v>
      </c>
      <c r="F3951" t="s">
        <v>1806</v>
      </c>
      <c r="G3951">
        <v>414026057</v>
      </c>
      <c r="H3951" t="s">
        <v>1807</v>
      </c>
      <c r="I3951">
        <v>8366</v>
      </c>
      <c r="J3951">
        <v>255.28</v>
      </c>
      <c r="K3951">
        <v>159.41999999999999</v>
      </c>
      <c r="L3951">
        <v>2135672.48</v>
      </c>
      <c r="M3951">
        <v>1333707.72</v>
      </c>
      <c r="N3951">
        <v>801964.76</v>
      </c>
    </row>
    <row r="3952" spans="1:14" x14ac:dyDescent="0.25">
      <c r="A3952" t="s">
        <v>51</v>
      </c>
      <c r="B3952" t="s">
        <v>424</v>
      </c>
      <c r="C3952" t="s">
        <v>27</v>
      </c>
      <c r="D3952" t="s">
        <v>22</v>
      </c>
      <c r="E3952" t="s">
        <v>18</v>
      </c>
      <c r="F3952" s="1">
        <v>40582</v>
      </c>
      <c r="G3952">
        <v>361862027</v>
      </c>
      <c r="H3952" t="s">
        <v>1666</v>
      </c>
      <c r="I3952">
        <v>1870</v>
      </c>
      <c r="J3952">
        <v>47.45</v>
      </c>
      <c r="K3952">
        <v>31.79</v>
      </c>
      <c r="L3952">
        <v>88731.5</v>
      </c>
      <c r="M3952">
        <v>59447.3</v>
      </c>
      <c r="N3952">
        <v>29284.2</v>
      </c>
    </row>
    <row r="3953" spans="1:14" x14ac:dyDescent="0.25">
      <c r="A3953" t="s">
        <v>14</v>
      </c>
      <c r="B3953" t="s">
        <v>226</v>
      </c>
      <c r="C3953" t="s">
        <v>27</v>
      </c>
      <c r="D3953" t="s">
        <v>17</v>
      </c>
      <c r="E3953" t="s">
        <v>45</v>
      </c>
      <c r="F3953" t="s">
        <v>1184</v>
      </c>
      <c r="G3953">
        <v>974988830</v>
      </c>
      <c r="H3953" t="s">
        <v>786</v>
      </c>
      <c r="I3953">
        <v>9716</v>
      </c>
      <c r="J3953">
        <v>47.45</v>
      </c>
      <c r="K3953">
        <v>31.79</v>
      </c>
      <c r="L3953">
        <v>461024.2</v>
      </c>
      <c r="M3953">
        <v>308871.64</v>
      </c>
      <c r="N3953">
        <v>152152.56</v>
      </c>
    </row>
    <row r="3954" spans="1:14" x14ac:dyDescent="0.25">
      <c r="A3954" t="s">
        <v>29</v>
      </c>
      <c r="B3954" t="s">
        <v>393</v>
      </c>
      <c r="C3954" t="s">
        <v>27</v>
      </c>
      <c r="D3954" t="s">
        <v>17</v>
      </c>
      <c r="E3954" t="s">
        <v>18</v>
      </c>
      <c r="F3954" t="s">
        <v>977</v>
      </c>
      <c r="G3954">
        <v>773767793</v>
      </c>
      <c r="H3954" s="1">
        <v>42346</v>
      </c>
      <c r="I3954">
        <v>3940</v>
      </c>
      <c r="J3954">
        <v>47.45</v>
      </c>
      <c r="K3954">
        <v>31.79</v>
      </c>
      <c r="L3954">
        <v>186953</v>
      </c>
      <c r="M3954">
        <v>125252.6</v>
      </c>
      <c r="N3954">
        <v>61700.4</v>
      </c>
    </row>
    <row r="3955" spans="1:14" x14ac:dyDescent="0.25">
      <c r="A3955" t="s">
        <v>51</v>
      </c>
      <c r="B3955" t="s">
        <v>305</v>
      </c>
      <c r="C3955" t="s">
        <v>88</v>
      </c>
      <c r="D3955" t="s">
        <v>17</v>
      </c>
      <c r="E3955" t="s">
        <v>45</v>
      </c>
      <c r="F3955" s="1">
        <v>42709</v>
      </c>
      <c r="G3955">
        <v>148872745</v>
      </c>
      <c r="H3955" s="1">
        <v>42527</v>
      </c>
      <c r="I3955">
        <v>3608</v>
      </c>
      <c r="J3955">
        <v>9.33</v>
      </c>
      <c r="K3955">
        <v>6.92</v>
      </c>
      <c r="L3955">
        <v>33662.639999999999</v>
      </c>
      <c r="M3955">
        <v>24967.360000000001</v>
      </c>
      <c r="N3955">
        <v>8695.2800000000007</v>
      </c>
    </row>
    <row r="3956" spans="1:14" x14ac:dyDescent="0.25">
      <c r="A3956" t="s">
        <v>51</v>
      </c>
      <c r="B3956" t="s">
        <v>301</v>
      </c>
      <c r="C3956" t="s">
        <v>40</v>
      </c>
      <c r="D3956" t="s">
        <v>17</v>
      </c>
      <c r="E3956" t="s">
        <v>18</v>
      </c>
      <c r="F3956" t="s">
        <v>1808</v>
      </c>
      <c r="G3956">
        <v>911290013</v>
      </c>
      <c r="H3956" s="1">
        <v>40241</v>
      </c>
      <c r="I3956">
        <v>9821</v>
      </c>
      <c r="J3956">
        <v>81.73</v>
      </c>
      <c r="K3956">
        <v>56.67</v>
      </c>
      <c r="L3956">
        <v>802670.33</v>
      </c>
      <c r="M3956">
        <v>556556.06999999995</v>
      </c>
      <c r="N3956">
        <v>246114.26</v>
      </c>
    </row>
    <row r="3957" spans="1:14" x14ac:dyDescent="0.25">
      <c r="A3957" t="s">
        <v>25</v>
      </c>
      <c r="B3957" t="s">
        <v>529</v>
      </c>
      <c r="C3957" t="s">
        <v>16</v>
      </c>
      <c r="D3957" t="s">
        <v>17</v>
      </c>
      <c r="E3957" t="s">
        <v>45</v>
      </c>
      <c r="F3957" t="s">
        <v>743</v>
      </c>
      <c r="G3957">
        <v>442318427</v>
      </c>
      <c r="H3957" s="1">
        <v>40400</v>
      </c>
      <c r="I3957">
        <v>707</v>
      </c>
      <c r="J3957">
        <v>255.28</v>
      </c>
      <c r="K3957">
        <v>159.41999999999999</v>
      </c>
      <c r="L3957">
        <v>180482.96</v>
      </c>
      <c r="M3957">
        <v>112709.94</v>
      </c>
      <c r="N3957">
        <v>67773.02</v>
      </c>
    </row>
    <row r="3958" spans="1:14" x14ac:dyDescent="0.25">
      <c r="A3958" t="s">
        <v>29</v>
      </c>
      <c r="B3958" t="s">
        <v>585</v>
      </c>
      <c r="C3958" t="s">
        <v>88</v>
      </c>
      <c r="D3958" t="s">
        <v>17</v>
      </c>
      <c r="E3958" t="s">
        <v>18</v>
      </c>
      <c r="F3958" t="s">
        <v>1321</v>
      </c>
      <c r="G3958">
        <v>243569314</v>
      </c>
      <c r="H3958" t="s">
        <v>1725</v>
      </c>
      <c r="I3958">
        <v>6428</v>
      </c>
      <c r="J3958">
        <v>9.33</v>
      </c>
      <c r="K3958">
        <v>6.92</v>
      </c>
      <c r="L3958">
        <v>59973.24</v>
      </c>
      <c r="M3958">
        <v>44481.760000000002</v>
      </c>
      <c r="N3958">
        <v>15491.48</v>
      </c>
    </row>
    <row r="3959" spans="1:14" x14ac:dyDescent="0.25">
      <c r="A3959" t="s">
        <v>51</v>
      </c>
      <c r="B3959" t="s">
        <v>367</v>
      </c>
      <c r="C3959" t="s">
        <v>16</v>
      </c>
      <c r="D3959" t="s">
        <v>22</v>
      </c>
      <c r="E3959" t="s">
        <v>18</v>
      </c>
      <c r="F3959" t="s">
        <v>1506</v>
      </c>
      <c r="G3959">
        <v>986966502</v>
      </c>
      <c r="H3959" s="1">
        <v>41156</v>
      </c>
      <c r="I3959">
        <v>4175</v>
      </c>
      <c r="J3959">
        <v>255.28</v>
      </c>
      <c r="K3959">
        <v>159.41999999999999</v>
      </c>
      <c r="L3959">
        <v>1065794</v>
      </c>
      <c r="M3959">
        <v>665578.5</v>
      </c>
      <c r="N3959">
        <v>400215.5</v>
      </c>
    </row>
    <row r="3960" spans="1:14" x14ac:dyDescent="0.25">
      <c r="A3960" t="s">
        <v>51</v>
      </c>
      <c r="B3960" t="s">
        <v>360</v>
      </c>
      <c r="C3960" t="s">
        <v>16</v>
      </c>
      <c r="D3960" t="s">
        <v>22</v>
      </c>
      <c r="E3960" t="s">
        <v>18</v>
      </c>
      <c r="F3960" t="s">
        <v>1422</v>
      </c>
      <c r="G3960">
        <v>264746320</v>
      </c>
      <c r="H3960" s="1">
        <v>42161</v>
      </c>
      <c r="I3960">
        <v>3174</v>
      </c>
      <c r="J3960">
        <v>255.28</v>
      </c>
      <c r="K3960">
        <v>159.41999999999999</v>
      </c>
      <c r="L3960">
        <v>810258.72</v>
      </c>
      <c r="M3960">
        <v>505999.08</v>
      </c>
      <c r="N3960">
        <v>304259.64</v>
      </c>
    </row>
    <row r="3961" spans="1:14" x14ac:dyDescent="0.25">
      <c r="A3961" t="s">
        <v>14</v>
      </c>
      <c r="B3961" t="s">
        <v>835</v>
      </c>
      <c r="C3961" t="s">
        <v>21</v>
      </c>
      <c r="D3961" t="s">
        <v>17</v>
      </c>
      <c r="E3961" t="s">
        <v>45</v>
      </c>
      <c r="F3961" t="s">
        <v>1372</v>
      </c>
      <c r="G3961">
        <v>239457595</v>
      </c>
      <c r="H3961" t="s">
        <v>1011</v>
      </c>
      <c r="I3961">
        <v>9678</v>
      </c>
      <c r="J3961">
        <v>152.58000000000001</v>
      </c>
      <c r="K3961">
        <v>97.44</v>
      </c>
      <c r="L3961">
        <v>1476669.24</v>
      </c>
      <c r="M3961">
        <v>943024.32</v>
      </c>
      <c r="N3961">
        <v>533644.92000000004</v>
      </c>
    </row>
    <row r="3962" spans="1:14" x14ac:dyDescent="0.25">
      <c r="A3962" t="s">
        <v>29</v>
      </c>
      <c r="B3962" t="s">
        <v>545</v>
      </c>
      <c r="C3962" t="s">
        <v>21</v>
      </c>
      <c r="D3962" t="s">
        <v>22</v>
      </c>
      <c r="E3962" t="s">
        <v>45</v>
      </c>
      <c r="F3962" s="1">
        <v>41733</v>
      </c>
      <c r="G3962">
        <v>893961656</v>
      </c>
      <c r="H3962" s="1">
        <v>41644</v>
      </c>
      <c r="I3962">
        <v>1975</v>
      </c>
      <c r="J3962">
        <v>152.58000000000001</v>
      </c>
      <c r="K3962">
        <v>97.44</v>
      </c>
      <c r="L3962">
        <v>301345.5</v>
      </c>
      <c r="M3962">
        <v>192444</v>
      </c>
      <c r="N3962">
        <v>108901.5</v>
      </c>
    </row>
    <row r="3963" spans="1:14" x14ac:dyDescent="0.25">
      <c r="A3963" t="s">
        <v>29</v>
      </c>
      <c r="B3963" t="s">
        <v>30</v>
      </c>
      <c r="C3963" t="s">
        <v>40</v>
      </c>
      <c r="D3963" t="s">
        <v>17</v>
      </c>
      <c r="E3963" t="s">
        <v>32</v>
      </c>
      <c r="F3963" s="1">
        <v>41801</v>
      </c>
      <c r="G3963">
        <v>481432330</v>
      </c>
      <c r="H3963" s="1">
        <v>41893</v>
      </c>
      <c r="I3963">
        <v>5380</v>
      </c>
      <c r="J3963">
        <v>81.73</v>
      </c>
      <c r="K3963">
        <v>56.67</v>
      </c>
      <c r="L3963">
        <v>439707.4</v>
      </c>
      <c r="M3963">
        <v>304884.59999999998</v>
      </c>
      <c r="N3963">
        <v>134822.79999999999</v>
      </c>
    </row>
    <row r="3964" spans="1:14" x14ac:dyDescent="0.25">
      <c r="A3964" t="s">
        <v>14</v>
      </c>
      <c r="B3964" t="s">
        <v>94</v>
      </c>
      <c r="C3964" t="s">
        <v>113</v>
      </c>
      <c r="D3964" t="s">
        <v>22</v>
      </c>
      <c r="E3964" t="s">
        <v>32</v>
      </c>
      <c r="F3964" s="1">
        <v>40758</v>
      </c>
      <c r="G3964">
        <v>475355947</v>
      </c>
      <c r="H3964" t="s">
        <v>1043</v>
      </c>
      <c r="I3964">
        <v>7243</v>
      </c>
      <c r="J3964">
        <v>154.06</v>
      </c>
      <c r="K3964">
        <v>90.93</v>
      </c>
      <c r="L3964">
        <v>1115856.58</v>
      </c>
      <c r="M3964">
        <v>658605.99</v>
      </c>
      <c r="N3964">
        <v>457250.59</v>
      </c>
    </row>
    <row r="3965" spans="1:14" x14ac:dyDescent="0.25">
      <c r="A3965" t="s">
        <v>51</v>
      </c>
      <c r="B3965" t="s">
        <v>502</v>
      </c>
      <c r="C3965" t="s">
        <v>55</v>
      </c>
      <c r="D3965" t="s">
        <v>22</v>
      </c>
      <c r="E3965" t="s">
        <v>23</v>
      </c>
      <c r="F3965" t="s">
        <v>1773</v>
      </c>
      <c r="G3965">
        <v>619531333</v>
      </c>
      <c r="H3965" t="s">
        <v>1456</v>
      </c>
      <c r="I3965">
        <v>1944</v>
      </c>
      <c r="J3965">
        <v>651.21</v>
      </c>
      <c r="K3965">
        <v>524.96</v>
      </c>
      <c r="L3965">
        <v>1265952.24</v>
      </c>
      <c r="M3965">
        <v>1020522.24</v>
      </c>
      <c r="N3965">
        <v>245430</v>
      </c>
    </row>
    <row r="3966" spans="1:14" x14ac:dyDescent="0.25">
      <c r="A3966" t="s">
        <v>38</v>
      </c>
      <c r="B3966" t="s">
        <v>329</v>
      </c>
      <c r="C3966" t="s">
        <v>27</v>
      </c>
      <c r="D3966" t="s">
        <v>22</v>
      </c>
      <c r="E3966" t="s">
        <v>18</v>
      </c>
      <c r="F3966" s="1">
        <v>41191</v>
      </c>
      <c r="G3966">
        <v>278069818</v>
      </c>
      <c r="H3966" s="1">
        <v>41039</v>
      </c>
      <c r="I3966">
        <v>5893</v>
      </c>
      <c r="J3966">
        <v>47.45</v>
      </c>
      <c r="K3966">
        <v>31.79</v>
      </c>
      <c r="L3966">
        <v>279622.84999999998</v>
      </c>
      <c r="M3966">
        <v>187338.47</v>
      </c>
      <c r="N3966">
        <v>92284.38</v>
      </c>
    </row>
    <row r="3967" spans="1:14" x14ac:dyDescent="0.25">
      <c r="A3967" t="s">
        <v>29</v>
      </c>
      <c r="B3967" t="s">
        <v>356</v>
      </c>
      <c r="C3967" t="s">
        <v>31</v>
      </c>
      <c r="D3967" t="s">
        <v>22</v>
      </c>
      <c r="E3967" t="s">
        <v>32</v>
      </c>
      <c r="F3967" s="1">
        <v>42677</v>
      </c>
      <c r="G3967">
        <v>685395228</v>
      </c>
      <c r="H3967" t="s">
        <v>1239</v>
      </c>
      <c r="I3967">
        <v>2534</v>
      </c>
      <c r="J3967">
        <v>205.7</v>
      </c>
      <c r="K3967">
        <v>117.11</v>
      </c>
      <c r="L3967">
        <v>521243.8</v>
      </c>
      <c r="M3967">
        <v>296756.74</v>
      </c>
      <c r="N3967">
        <v>224487.06</v>
      </c>
    </row>
    <row r="3968" spans="1:14" x14ac:dyDescent="0.25">
      <c r="A3968" t="s">
        <v>42</v>
      </c>
      <c r="B3968" t="s">
        <v>107</v>
      </c>
      <c r="C3968" t="s">
        <v>21</v>
      </c>
      <c r="D3968" t="s">
        <v>17</v>
      </c>
      <c r="E3968" t="s">
        <v>45</v>
      </c>
      <c r="F3968" t="s">
        <v>1809</v>
      </c>
      <c r="G3968">
        <v>896243894</v>
      </c>
      <c r="H3968" s="1">
        <v>40970</v>
      </c>
      <c r="I3968">
        <v>7340</v>
      </c>
      <c r="J3968">
        <v>152.58000000000001</v>
      </c>
      <c r="K3968">
        <v>97.44</v>
      </c>
      <c r="L3968">
        <v>1119937.2</v>
      </c>
      <c r="M3968">
        <v>715209.6</v>
      </c>
      <c r="N3968">
        <v>404727.6</v>
      </c>
    </row>
    <row r="3969" spans="1:14" x14ac:dyDescent="0.25">
      <c r="A3969" t="s">
        <v>51</v>
      </c>
      <c r="B3969" t="s">
        <v>115</v>
      </c>
      <c r="C3969" t="s">
        <v>59</v>
      </c>
      <c r="D3969" t="s">
        <v>17</v>
      </c>
      <c r="E3969" t="s">
        <v>18</v>
      </c>
      <c r="F3969" t="s">
        <v>949</v>
      </c>
      <c r="G3969">
        <v>935664641</v>
      </c>
      <c r="H3969" s="1">
        <v>40643</v>
      </c>
      <c r="I3969">
        <v>2815</v>
      </c>
      <c r="J3969">
        <v>437.2</v>
      </c>
      <c r="K3969">
        <v>263.33</v>
      </c>
      <c r="L3969">
        <v>1230718</v>
      </c>
      <c r="M3969">
        <v>741273.95</v>
      </c>
      <c r="N3969">
        <v>489444.05</v>
      </c>
    </row>
    <row r="3970" spans="1:14" x14ac:dyDescent="0.25">
      <c r="A3970" t="s">
        <v>29</v>
      </c>
      <c r="B3970" t="s">
        <v>356</v>
      </c>
      <c r="C3970" t="s">
        <v>21</v>
      </c>
      <c r="D3970" t="s">
        <v>17</v>
      </c>
      <c r="E3970" t="s">
        <v>18</v>
      </c>
      <c r="F3970" t="s">
        <v>1810</v>
      </c>
      <c r="G3970">
        <v>449018800</v>
      </c>
      <c r="H3970" s="1">
        <v>41001</v>
      </c>
      <c r="I3970">
        <v>3496</v>
      </c>
      <c r="J3970">
        <v>152.58000000000001</v>
      </c>
      <c r="K3970">
        <v>97.44</v>
      </c>
      <c r="L3970">
        <v>533419.68000000005</v>
      </c>
      <c r="M3970">
        <v>340650.23999999999</v>
      </c>
      <c r="N3970">
        <v>192769.44</v>
      </c>
    </row>
    <row r="3971" spans="1:14" x14ac:dyDescent="0.25">
      <c r="A3971" t="s">
        <v>38</v>
      </c>
      <c r="B3971" t="s">
        <v>288</v>
      </c>
      <c r="C3971" t="s">
        <v>21</v>
      </c>
      <c r="D3971" t="s">
        <v>22</v>
      </c>
      <c r="E3971" t="s">
        <v>18</v>
      </c>
      <c r="F3971" t="s">
        <v>1405</v>
      </c>
      <c r="G3971">
        <v>951980197</v>
      </c>
      <c r="H3971" s="1">
        <v>42011</v>
      </c>
      <c r="I3971">
        <v>950</v>
      </c>
      <c r="J3971">
        <v>152.58000000000001</v>
      </c>
      <c r="K3971">
        <v>97.44</v>
      </c>
      <c r="L3971">
        <v>144951</v>
      </c>
      <c r="M3971">
        <v>92568</v>
      </c>
      <c r="N3971">
        <v>52383</v>
      </c>
    </row>
    <row r="3972" spans="1:14" x14ac:dyDescent="0.25">
      <c r="A3972" t="s">
        <v>29</v>
      </c>
      <c r="B3972" t="s">
        <v>338</v>
      </c>
      <c r="C3972" t="s">
        <v>131</v>
      </c>
      <c r="D3972" t="s">
        <v>22</v>
      </c>
      <c r="E3972" t="s">
        <v>23</v>
      </c>
      <c r="F3972" s="1">
        <v>42983</v>
      </c>
      <c r="G3972">
        <v>880535161</v>
      </c>
      <c r="H3972" t="s">
        <v>1725</v>
      </c>
      <c r="I3972">
        <v>8776</v>
      </c>
      <c r="J3972">
        <v>668.27</v>
      </c>
      <c r="K3972">
        <v>502.54</v>
      </c>
      <c r="L3972">
        <v>5864737.5199999996</v>
      </c>
      <c r="M3972">
        <v>4410291.04</v>
      </c>
      <c r="N3972">
        <v>1454446.48</v>
      </c>
    </row>
    <row r="3973" spans="1:14" x14ac:dyDescent="0.25">
      <c r="A3973" t="s">
        <v>25</v>
      </c>
      <c r="B3973" t="s">
        <v>72</v>
      </c>
      <c r="C3973" t="s">
        <v>59</v>
      </c>
      <c r="D3973" t="s">
        <v>22</v>
      </c>
      <c r="E3973" t="s">
        <v>32</v>
      </c>
      <c r="F3973" t="s">
        <v>1186</v>
      </c>
      <c r="G3973">
        <v>540982520</v>
      </c>
      <c r="H3973" s="1">
        <v>40187</v>
      </c>
      <c r="I3973">
        <v>7604</v>
      </c>
      <c r="J3973">
        <v>437.2</v>
      </c>
      <c r="K3973">
        <v>263.33</v>
      </c>
      <c r="L3973">
        <v>3324468.8</v>
      </c>
      <c r="M3973">
        <v>2002361.32</v>
      </c>
      <c r="N3973">
        <v>1322107.48</v>
      </c>
    </row>
    <row r="3974" spans="1:14" x14ac:dyDescent="0.25">
      <c r="A3974" t="s">
        <v>42</v>
      </c>
      <c r="B3974" t="s">
        <v>573</v>
      </c>
      <c r="C3974" t="s">
        <v>131</v>
      </c>
      <c r="D3974" t="s">
        <v>17</v>
      </c>
      <c r="E3974" t="s">
        <v>18</v>
      </c>
      <c r="F3974" t="s">
        <v>1252</v>
      </c>
      <c r="G3974">
        <v>759933602</v>
      </c>
      <c r="H3974" s="1">
        <v>40796</v>
      </c>
      <c r="I3974">
        <v>95</v>
      </c>
      <c r="J3974">
        <v>668.27</v>
      </c>
      <c r="K3974">
        <v>502.54</v>
      </c>
      <c r="L3974">
        <v>63485.65</v>
      </c>
      <c r="M3974">
        <v>47741.3</v>
      </c>
      <c r="N3974">
        <v>15744.35</v>
      </c>
    </row>
    <row r="3975" spans="1:14" x14ac:dyDescent="0.25">
      <c r="A3975" t="s">
        <v>51</v>
      </c>
      <c r="B3975" t="s">
        <v>169</v>
      </c>
      <c r="C3975" t="s">
        <v>27</v>
      </c>
      <c r="D3975" t="s">
        <v>22</v>
      </c>
      <c r="E3975" t="s">
        <v>45</v>
      </c>
      <c r="F3975" t="s">
        <v>810</v>
      </c>
      <c r="G3975">
        <v>634312236</v>
      </c>
      <c r="H3975" t="s">
        <v>1444</v>
      </c>
      <c r="I3975">
        <v>5941</v>
      </c>
      <c r="J3975">
        <v>47.45</v>
      </c>
      <c r="K3975">
        <v>31.79</v>
      </c>
      <c r="L3975">
        <v>281900.45</v>
      </c>
      <c r="M3975">
        <v>188864.39</v>
      </c>
      <c r="N3975">
        <v>93036.06</v>
      </c>
    </row>
    <row r="3976" spans="1:14" x14ac:dyDescent="0.25">
      <c r="A3976" t="s">
        <v>14</v>
      </c>
      <c r="B3976" t="s">
        <v>433</v>
      </c>
      <c r="C3976" t="s">
        <v>31</v>
      </c>
      <c r="D3976" t="s">
        <v>22</v>
      </c>
      <c r="E3976" t="s">
        <v>32</v>
      </c>
      <c r="F3976" t="s">
        <v>470</v>
      </c>
      <c r="G3976">
        <v>681354749</v>
      </c>
      <c r="H3976" t="s">
        <v>1402</v>
      </c>
      <c r="I3976">
        <v>6866</v>
      </c>
      <c r="J3976">
        <v>205.7</v>
      </c>
      <c r="K3976">
        <v>117.11</v>
      </c>
      <c r="L3976">
        <v>1412336.2</v>
      </c>
      <c r="M3976">
        <v>804077.26</v>
      </c>
      <c r="N3976">
        <v>608258.93999999994</v>
      </c>
    </row>
    <row r="3977" spans="1:14" x14ac:dyDescent="0.25">
      <c r="A3977" t="s">
        <v>38</v>
      </c>
      <c r="B3977" t="s">
        <v>187</v>
      </c>
      <c r="C3977" t="s">
        <v>131</v>
      </c>
      <c r="D3977" t="s">
        <v>22</v>
      </c>
      <c r="E3977" t="s">
        <v>23</v>
      </c>
      <c r="F3977" s="1">
        <v>41345</v>
      </c>
      <c r="G3977">
        <v>588609969</v>
      </c>
      <c r="H3977" t="s">
        <v>911</v>
      </c>
      <c r="I3977">
        <v>1625</v>
      </c>
      <c r="J3977">
        <v>668.27</v>
      </c>
      <c r="K3977">
        <v>502.54</v>
      </c>
      <c r="L3977">
        <v>1085938.75</v>
      </c>
      <c r="M3977">
        <v>816627.5</v>
      </c>
      <c r="N3977">
        <v>269311.25</v>
      </c>
    </row>
    <row r="3978" spans="1:14" x14ac:dyDescent="0.25">
      <c r="A3978" t="s">
        <v>25</v>
      </c>
      <c r="B3978" t="s">
        <v>533</v>
      </c>
      <c r="C3978" t="s">
        <v>44</v>
      </c>
      <c r="D3978" t="s">
        <v>22</v>
      </c>
      <c r="E3978" t="s">
        <v>23</v>
      </c>
      <c r="F3978" s="1">
        <v>40493</v>
      </c>
      <c r="G3978">
        <v>563939225</v>
      </c>
      <c r="H3978" t="s">
        <v>1464</v>
      </c>
      <c r="I3978">
        <v>1004</v>
      </c>
      <c r="J3978">
        <v>109.28</v>
      </c>
      <c r="K3978">
        <v>35.840000000000003</v>
      </c>
      <c r="L3978">
        <v>109717.12</v>
      </c>
      <c r="M3978">
        <v>35983.360000000001</v>
      </c>
      <c r="N3978">
        <v>73733.759999999995</v>
      </c>
    </row>
    <row r="3979" spans="1:14" x14ac:dyDescent="0.25">
      <c r="A3979" t="s">
        <v>77</v>
      </c>
      <c r="B3979" t="s">
        <v>622</v>
      </c>
      <c r="C3979" t="s">
        <v>131</v>
      </c>
      <c r="D3979" t="s">
        <v>17</v>
      </c>
      <c r="E3979" t="s">
        <v>32</v>
      </c>
      <c r="F3979" t="s">
        <v>1728</v>
      </c>
      <c r="G3979">
        <v>885516345</v>
      </c>
      <c r="H3979" t="s">
        <v>1044</v>
      </c>
      <c r="I3979">
        <v>2819</v>
      </c>
      <c r="J3979">
        <v>668.27</v>
      </c>
      <c r="K3979">
        <v>502.54</v>
      </c>
      <c r="L3979">
        <v>1883853.13</v>
      </c>
      <c r="M3979">
        <v>1416660.26</v>
      </c>
      <c r="N3979">
        <v>467192.87</v>
      </c>
    </row>
    <row r="3980" spans="1:14" x14ac:dyDescent="0.25">
      <c r="A3980" t="s">
        <v>51</v>
      </c>
      <c r="B3980" t="s">
        <v>367</v>
      </c>
      <c r="C3980" t="s">
        <v>113</v>
      </c>
      <c r="D3980" t="s">
        <v>22</v>
      </c>
      <c r="E3980" t="s">
        <v>23</v>
      </c>
      <c r="F3980" t="s">
        <v>106</v>
      </c>
      <c r="G3980">
        <v>551827657</v>
      </c>
      <c r="H3980" t="s">
        <v>1504</v>
      </c>
      <c r="I3980">
        <v>6921</v>
      </c>
      <c r="J3980">
        <v>154.06</v>
      </c>
      <c r="K3980">
        <v>90.93</v>
      </c>
      <c r="L3980">
        <v>1066249.26</v>
      </c>
      <c r="M3980">
        <v>629326.53</v>
      </c>
      <c r="N3980">
        <v>436922.73</v>
      </c>
    </row>
    <row r="3981" spans="1:14" x14ac:dyDescent="0.25">
      <c r="A3981" t="s">
        <v>51</v>
      </c>
      <c r="B3981" t="s">
        <v>250</v>
      </c>
      <c r="C3981" t="s">
        <v>27</v>
      </c>
      <c r="D3981" t="s">
        <v>22</v>
      </c>
      <c r="E3981" t="s">
        <v>45</v>
      </c>
      <c r="F3981" s="1">
        <v>41553</v>
      </c>
      <c r="G3981">
        <v>431671988</v>
      </c>
      <c r="H3981" t="s">
        <v>1361</v>
      </c>
      <c r="I3981">
        <v>189</v>
      </c>
      <c r="J3981">
        <v>47.45</v>
      </c>
      <c r="K3981">
        <v>31.79</v>
      </c>
      <c r="L3981">
        <v>8968.0499999999993</v>
      </c>
      <c r="M3981">
        <v>6008.31</v>
      </c>
      <c r="N3981">
        <v>2959.74</v>
      </c>
    </row>
    <row r="3982" spans="1:14" x14ac:dyDescent="0.25">
      <c r="A3982" t="s">
        <v>51</v>
      </c>
      <c r="B3982" t="s">
        <v>115</v>
      </c>
      <c r="C3982" t="s">
        <v>59</v>
      </c>
      <c r="D3982" t="s">
        <v>17</v>
      </c>
      <c r="E3982" t="s">
        <v>45</v>
      </c>
      <c r="F3982" t="s">
        <v>97</v>
      </c>
      <c r="G3982">
        <v>114160668</v>
      </c>
      <c r="H3982" s="1">
        <v>42527</v>
      </c>
      <c r="I3982">
        <v>1534</v>
      </c>
      <c r="J3982">
        <v>437.2</v>
      </c>
      <c r="K3982">
        <v>263.33</v>
      </c>
      <c r="L3982">
        <v>670664.80000000005</v>
      </c>
      <c r="M3982">
        <v>403948.22</v>
      </c>
      <c r="N3982">
        <v>266716.58</v>
      </c>
    </row>
    <row r="3983" spans="1:14" x14ac:dyDescent="0.25">
      <c r="A3983" t="s">
        <v>77</v>
      </c>
      <c r="B3983" t="s">
        <v>320</v>
      </c>
      <c r="C3983" t="s">
        <v>59</v>
      </c>
      <c r="D3983" t="s">
        <v>22</v>
      </c>
      <c r="E3983" t="s">
        <v>45</v>
      </c>
      <c r="F3983" s="1">
        <v>42467</v>
      </c>
      <c r="G3983">
        <v>158717525</v>
      </c>
      <c r="H3983" t="s">
        <v>1490</v>
      </c>
      <c r="I3983">
        <v>6897</v>
      </c>
      <c r="J3983">
        <v>437.2</v>
      </c>
      <c r="K3983">
        <v>263.33</v>
      </c>
      <c r="L3983">
        <v>3015368.4</v>
      </c>
      <c r="M3983">
        <v>1816187.01</v>
      </c>
      <c r="N3983">
        <v>1199181.3899999999</v>
      </c>
    </row>
    <row r="3984" spans="1:14" x14ac:dyDescent="0.25">
      <c r="A3984" t="s">
        <v>29</v>
      </c>
      <c r="B3984" t="s">
        <v>159</v>
      </c>
      <c r="C3984" t="s">
        <v>40</v>
      </c>
      <c r="D3984" t="s">
        <v>22</v>
      </c>
      <c r="E3984" t="s">
        <v>18</v>
      </c>
      <c r="F3984" t="s">
        <v>1340</v>
      </c>
      <c r="G3984">
        <v>745078885</v>
      </c>
      <c r="H3984" s="1">
        <v>41950</v>
      </c>
      <c r="I3984">
        <v>4254</v>
      </c>
      <c r="J3984">
        <v>81.73</v>
      </c>
      <c r="K3984">
        <v>56.67</v>
      </c>
      <c r="L3984">
        <v>347679.42</v>
      </c>
      <c r="M3984">
        <v>241074.18</v>
      </c>
      <c r="N3984">
        <v>106605.24</v>
      </c>
    </row>
    <row r="3985" spans="1:14" x14ac:dyDescent="0.25">
      <c r="A3985" t="s">
        <v>25</v>
      </c>
      <c r="B3985" t="s">
        <v>72</v>
      </c>
      <c r="C3985" t="s">
        <v>31</v>
      </c>
      <c r="D3985" t="s">
        <v>17</v>
      </c>
      <c r="E3985" t="s">
        <v>45</v>
      </c>
      <c r="F3985" t="s">
        <v>1491</v>
      </c>
      <c r="G3985">
        <v>323293578</v>
      </c>
      <c r="H3985" s="1">
        <v>42402</v>
      </c>
      <c r="I3985">
        <v>8609</v>
      </c>
      <c r="J3985">
        <v>205.7</v>
      </c>
      <c r="K3985">
        <v>117.11</v>
      </c>
      <c r="L3985">
        <v>1770871.3</v>
      </c>
      <c r="M3985">
        <v>1008199.99</v>
      </c>
      <c r="N3985">
        <v>762671.31</v>
      </c>
    </row>
    <row r="3986" spans="1:14" x14ac:dyDescent="0.25">
      <c r="A3986" t="s">
        <v>38</v>
      </c>
      <c r="B3986" t="s">
        <v>54</v>
      </c>
      <c r="C3986" t="s">
        <v>88</v>
      </c>
      <c r="D3986" t="s">
        <v>17</v>
      </c>
      <c r="E3986" t="s">
        <v>18</v>
      </c>
      <c r="F3986" t="s">
        <v>1811</v>
      </c>
      <c r="G3986">
        <v>563722932</v>
      </c>
      <c r="H3986" s="1">
        <v>41160</v>
      </c>
      <c r="I3986">
        <v>6998</v>
      </c>
      <c r="J3986">
        <v>9.33</v>
      </c>
      <c r="K3986">
        <v>6.92</v>
      </c>
      <c r="L3986">
        <v>65291.34</v>
      </c>
      <c r="M3986">
        <v>48426.16</v>
      </c>
      <c r="N3986">
        <v>16865.18</v>
      </c>
    </row>
    <row r="3987" spans="1:14" x14ac:dyDescent="0.25">
      <c r="A3987" t="s">
        <v>25</v>
      </c>
      <c r="B3987" t="s">
        <v>87</v>
      </c>
      <c r="C3987" t="s">
        <v>21</v>
      </c>
      <c r="D3987" t="s">
        <v>17</v>
      </c>
      <c r="E3987" t="s">
        <v>32</v>
      </c>
      <c r="F3987" t="s">
        <v>1484</v>
      </c>
      <c r="G3987">
        <v>507040774</v>
      </c>
      <c r="H3987" t="s">
        <v>1112</v>
      </c>
      <c r="I3987">
        <v>3488</v>
      </c>
      <c r="J3987">
        <v>152.58000000000001</v>
      </c>
      <c r="K3987">
        <v>97.44</v>
      </c>
      <c r="L3987">
        <v>532199.04</v>
      </c>
      <c r="M3987">
        <v>339870.71999999997</v>
      </c>
      <c r="N3987">
        <v>192328.32000000001</v>
      </c>
    </row>
    <row r="3988" spans="1:14" x14ac:dyDescent="0.25">
      <c r="A3988" t="s">
        <v>51</v>
      </c>
      <c r="B3988" t="s">
        <v>129</v>
      </c>
      <c r="C3988" t="s">
        <v>31</v>
      </c>
      <c r="D3988" t="s">
        <v>22</v>
      </c>
      <c r="E3988" t="s">
        <v>45</v>
      </c>
      <c r="F3988" t="s">
        <v>563</v>
      </c>
      <c r="G3988">
        <v>614233434</v>
      </c>
      <c r="H3988" s="1">
        <v>42218</v>
      </c>
      <c r="I3988">
        <v>4178</v>
      </c>
      <c r="J3988">
        <v>205.7</v>
      </c>
      <c r="K3988">
        <v>117.11</v>
      </c>
      <c r="L3988">
        <v>859414.6</v>
      </c>
      <c r="M3988">
        <v>489285.58</v>
      </c>
      <c r="N3988">
        <v>370129.02</v>
      </c>
    </row>
    <row r="3989" spans="1:14" x14ac:dyDescent="0.25">
      <c r="A3989" t="s">
        <v>25</v>
      </c>
      <c r="B3989" t="s">
        <v>462</v>
      </c>
      <c r="C3989" t="s">
        <v>55</v>
      </c>
      <c r="D3989" t="s">
        <v>22</v>
      </c>
      <c r="E3989" t="s">
        <v>18</v>
      </c>
      <c r="F3989" s="1">
        <v>41309</v>
      </c>
      <c r="G3989">
        <v>516599738</v>
      </c>
      <c r="H3989" s="1">
        <v>41522</v>
      </c>
      <c r="I3989">
        <v>2197</v>
      </c>
      <c r="J3989">
        <v>651.21</v>
      </c>
      <c r="K3989">
        <v>524.96</v>
      </c>
      <c r="L3989">
        <v>1430708.37</v>
      </c>
      <c r="M3989">
        <v>1153337.1200000001</v>
      </c>
      <c r="N3989">
        <v>277371.25</v>
      </c>
    </row>
    <row r="3990" spans="1:14" x14ac:dyDescent="0.25">
      <c r="A3990" t="s">
        <v>77</v>
      </c>
      <c r="B3990" t="s">
        <v>622</v>
      </c>
      <c r="C3990" t="s">
        <v>88</v>
      </c>
      <c r="D3990" t="s">
        <v>17</v>
      </c>
      <c r="E3990" t="s">
        <v>18</v>
      </c>
      <c r="F3990" t="s">
        <v>1776</v>
      </c>
      <c r="G3990">
        <v>365751016</v>
      </c>
      <c r="H3990" t="s">
        <v>1235</v>
      </c>
      <c r="I3990">
        <v>2708</v>
      </c>
      <c r="J3990">
        <v>9.33</v>
      </c>
      <c r="K3990">
        <v>6.92</v>
      </c>
      <c r="L3990">
        <v>25265.64</v>
      </c>
      <c r="M3990">
        <v>18739.36</v>
      </c>
      <c r="N3990">
        <v>6526.28</v>
      </c>
    </row>
    <row r="3991" spans="1:14" x14ac:dyDescent="0.25">
      <c r="A3991" t="s">
        <v>25</v>
      </c>
      <c r="B3991" t="s">
        <v>609</v>
      </c>
      <c r="C3991" t="s">
        <v>44</v>
      </c>
      <c r="D3991" t="s">
        <v>17</v>
      </c>
      <c r="E3991" t="s">
        <v>45</v>
      </c>
      <c r="F3991" t="s">
        <v>1136</v>
      </c>
      <c r="G3991">
        <v>383611094</v>
      </c>
      <c r="H3991" t="s">
        <v>1145</v>
      </c>
      <c r="I3991">
        <v>7902</v>
      </c>
      <c r="J3991">
        <v>109.28</v>
      </c>
      <c r="K3991">
        <v>35.840000000000003</v>
      </c>
      <c r="L3991">
        <v>863530.56</v>
      </c>
      <c r="M3991">
        <v>283207.67999999999</v>
      </c>
      <c r="N3991">
        <v>580322.88</v>
      </c>
    </row>
    <row r="3992" spans="1:14" x14ac:dyDescent="0.25">
      <c r="A3992" t="s">
        <v>25</v>
      </c>
      <c r="B3992" t="s">
        <v>142</v>
      </c>
      <c r="C3992" t="s">
        <v>16</v>
      </c>
      <c r="D3992" t="s">
        <v>22</v>
      </c>
      <c r="E3992" t="s">
        <v>18</v>
      </c>
      <c r="F3992" s="1">
        <v>42435</v>
      </c>
      <c r="G3992">
        <v>412416303</v>
      </c>
      <c r="H3992" s="1">
        <v>42680</v>
      </c>
      <c r="I3992">
        <v>2004</v>
      </c>
      <c r="J3992">
        <v>255.28</v>
      </c>
      <c r="K3992">
        <v>159.41999999999999</v>
      </c>
      <c r="L3992">
        <v>511581.12</v>
      </c>
      <c r="M3992">
        <v>319477.68</v>
      </c>
      <c r="N3992">
        <v>192103.44</v>
      </c>
    </row>
    <row r="3993" spans="1:14" x14ac:dyDescent="0.25">
      <c r="A3993" t="s">
        <v>25</v>
      </c>
      <c r="B3993" t="s">
        <v>556</v>
      </c>
      <c r="C3993" t="s">
        <v>59</v>
      </c>
      <c r="D3993" t="s">
        <v>22</v>
      </c>
      <c r="E3993" t="s">
        <v>18</v>
      </c>
      <c r="F3993" t="s">
        <v>673</v>
      </c>
      <c r="G3993">
        <v>364715468</v>
      </c>
      <c r="H3993" t="s">
        <v>1653</v>
      </c>
      <c r="I3993">
        <v>6267</v>
      </c>
      <c r="J3993">
        <v>437.2</v>
      </c>
      <c r="K3993">
        <v>263.33</v>
      </c>
      <c r="L3993">
        <v>2739932.4</v>
      </c>
      <c r="M3993">
        <v>1650289.11</v>
      </c>
      <c r="N3993">
        <v>1089643.29</v>
      </c>
    </row>
    <row r="3994" spans="1:14" x14ac:dyDescent="0.25">
      <c r="A3994" t="s">
        <v>42</v>
      </c>
      <c r="B3994" t="s">
        <v>361</v>
      </c>
      <c r="C3994" t="s">
        <v>88</v>
      </c>
      <c r="D3994" t="s">
        <v>22</v>
      </c>
      <c r="E3994" t="s">
        <v>18</v>
      </c>
      <c r="F3994" t="s">
        <v>1002</v>
      </c>
      <c r="G3994">
        <v>673369920</v>
      </c>
      <c r="H3994" s="1">
        <v>40882</v>
      </c>
      <c r="I3994">
        <v>3978</v>
      </c>
      <c r="J3994">
        <v>9.33</v>
      </c>
      <c r="K3994">
        <v>6.92</v>
      </c>
      <c r="L3994">
        <v>37114.74</v>
      </c>
      <c r="M3994">
        <v>27527.759999999998</v>
      </c>
      <c r="N3994">
        <v>9586.98</v>
      </c>
    </row>
    <row r="3995" spans="1:14" x14ac:dyDescent="0.25">
      <c r="A3995" t="s">
        <v>51</v>
      </c>
      <c r="B3995" t="s">
        <v>164</v>
      </c>
      <c r="C3995" t="s">
        <v>59</v>
      </c>
      <c r="D3995" t="s">
        <v>22</v>
      </c>
      <c r="E3995" t="s">
        <v>32</v>
      </c>
      <c r="F3995" t="s">
        <v>441</v>
      </c>
      <c r="G3995">
        <v>941553485</v>
      </c>
      <c r="H3995" s="1">
        <v>40790</v>
      </c>
      <c r="I3995">
        <v>5454</v>
      </c>
      <c r="J3995">
        <v>437.2</v>
      </c>
      <c r="K3995">
        <v>263.33</v>
      </c>
      <c r="L3995">
        <v>2384488.7999999998</v>
      </c>
      <c r="M3995">
        <v>1436201.82</v>
      </c>
      <c r="N3995">
        <v>948286.98</v>
      </c>
    </row>
    <row r="3996" spans="1:14" x14ac:dyDescent="0.25">
      <c r="A3996" t="s">
        <v>25</v>
      </c>
      <c r="B3996" t="s">
        <v>172</v>
      </c>
      <c r="C3996" t="s">
        <v>40</v>
      </c>
      <c r="D3996" t="s">
        <v>22</v>
      </c>
      <c r="E3996" t="s">
        <v>45</v>
      </c>
      <c r="F3996" s="1">
        <v>40395</v>
      </c>
      <c r="G3996">
        <v>392752492</v>
      </c>
      <c r="H3996" s="1">
        <v>40243</v>
      </c>
      <c r="I3996">
        <v>3045</v>
      </c>
      <c r="J3996">
        <v>81.73</v>
      </c>
      <c r="K3996">
        <v>56.67</v>
      </c>
      <c r="L3996">
        <v>248867.85</v>
      </c>
      <c r="M3996">
        <v>172560.15</v>
      </c>
      <c r="N3996">
        <v>76307.7</v>
      </c>
    </row>
    <row r="3997" spans="1:14" x14ac:dyDescent="0.25">
      <c r="A3997" t="s">
        <v>77</v>
      </c>
      <c r="B3997" t="s">
        <v>320</v>
      </c>
      <c r="C3997" t="s">
        <v>40</v>
      </c>
      <c r="D3997" t="s">
        <v>22</v>
      </c>
      <c r="E3997" t="s">
        <v>32</v>
      </c>
      <c r="F3997" t="s">
        <v>755</v>
      </c>
      <c r="G3997">
        <v>120765769</v>
      </c>
      <c r="H3997" s="1">
        <v>41183</v>
      </c>
      <c r="I3997">
        <v>6130</v>
      </c>
      <c r="J3997">
        <v>81.73</v>
      </c>
      <c r="K3997">
        <v>56.67</v>
      </c>
      <c r="L3997">
        <v>501004.9</v>
      </c>
      <c r="M3997">
        <v>347387.1</v>
      </c>
      <c r="N3997">
        <v>153617.79999999999</v>
      </c>
    </row>
    <row r="3998" spans="1:14" x14ac:dyDescent="0.25">
      <c r="A3998" t="s">
        <v>51</v>
      </c>
      <c r="B3998" t="s">
        <v>210</v>
      </c>
      <c r="C3998" t="s">
        <v>69</v>
      </c>
      <c r="D3998" t="s">
        <v>22</v>
      </c>
      <c r="E3998" t="s">
        <v>45</v>
      </c>
      <c r="F3998" t="s">
        <v>1045</v>
      </c>
      <c r="G3998">
        <v>839704644</v>
      </c>
      <c r="H3998" t="s">
        <v>1255</v>
      </c>
      <c r="I3998">
        <v>6119</v>
      </c>
      <c r="J3998">
        <v>421.89</v>
      </c>
      <c r="K3998">
        <v>364.69</v>
      </c>
      <c r="L3998">
        <v>2581544.91</v>
      </c>
      <c r="M3998">
        <v>2231538.11</v>
      </c>
      <c r="N3998">
        <v>350006.8</v>
      </c>
    </row>
    <row r="3999" spans="1:14" x14ac:dyDescent="0.25">
      <c r="A3999" t="s">
        <v>25</v>
      </c>
      <c r="B3999" t="s">
        <v>343</v>
      </c>
      <c r="C3999" t="s">
        <v>88</v>
      </c>
      <c r="D3999" t="s">
        <v>22</v>
      </c>
      <c r="E3999" t="s">
        <v>45</v>
      </c>
      <c r="F3999" s="1">
        <v>41730</v>
      </c>
      <c r="G3999">
        <v>633992946</v>
      </c>
      <c r="H3999" s="1">
        <v>41791</v>
      </c>
      <c r="I3999">
        <v>1456</v>
      </c>
      <c r="J3999">
        <v>9.33</v>
      </c>
      <c r="K3999">
        <v>6.92</v>
      </c>
      <c r="L3999">
        <v>13584.48</v>
      </c>
      <c r="M3999">
        <v>10075.52</v>
      </c>
      <c r="N3999">
        <v>3508.96</v>
      </c>
    </row>
    <row r="4000" spans="1:14" x14ac:dyDescent="0.25">
      <c r="A4000" t="s">
        <v>29</v>
      </c>
      <c r="B4000" t="s">
        <v>338</v>
      </c>
      <c r="C4000" t="s">
        <v>59</v>
      </c>
      <c r="D4000" t="s">
        <v>17</v>
      </c>
      <c r="E4000" t="s">
        <v>45</v>
      </c>
      <c r="F4000" s="1">
        <v>40667</v>
      </c>
      <c r="G4000">
        <v>808367002</v>
      </c>
      <c r="H4000" s="1">
        <v>40760</v>
      </c>
      <c r="I4000">
        <v>2614</v>
      </c>
      <c r="J4000">
        <v>437.2</v>
      </c>
      <c r="K4000">
        <v>263.33</v>
      </c>
      <c r="L4000">
        <v>1142840.8</v>
      </c>
      <c r="M4000">
        <v>688344.62</v>
      </c>
      <c r="N4000">
        <v>454496.18</v>
      </c>
    </row>
    <row r="4001" spans="1:14" x14ac:dyDescent="0.25">
      <c r="A4001" t="s">
        <v>25</v>
      </c>
      <c r="B4001" t="s">
        <v>142</v>
      </c>
      <c r="C4001" t="s">
        <v>44</v>
      </c>
      <c r="D4001" t="s">
        <v>17</v>
      </c>
      <c r="E4001" t="s">
        <v>23</v>
      </c>
      <c r="F4001" t="s">
        <v>540</v>
      </c>
      <c r="G4001">
        <v>937875640</v>
      </c>
      <c r="H4001" t="s">
        <v>1748</v>
      </c>
      <c r="I4001">
        <v>7098</v>
      </c>
      <c r="J4001">
        <v>109.28</v>
      </c>
      <c r="K4001">
        <v>35.840000000000003</v>
      </c>
      <c r="L4001">
        <v>775669.44</v>
      </c>
      <c r="M4001">
        <v>254392.32000000001</v>
      </c>
      <c r="N4001">
        <v>521277.12</v>
      </c>
    </row>
    <row r="4002" spans="1:14" x14ac:dyDescent="0.25">
      <c r="A4002" t="s">
        <v>14</v>
      </c>
      <c r="B4002" t="s">
        <v>66</v>
      </c>
      <c r="C4002" t="s">
        <v>113</v>
      </c>
      <c r="D4002" t="s">
        <v>22</v>
      </c>
      <c r="E4002" t="s">
        <v>23</v>
      </c>
      <c r="F4002" t="s">
        <v>1384</v>
      </c>
      <c r="G4002">
        <v>217880189</v>
      </c>
      <c r="H4002" t="s">
        <v>1704</v>
      </c>
      <c r="I4002">
        <v>4445</v>
      </c>
      <c r="J4002">
        <v>154.06</v>
      </c>
      <c r="K4002">
        <v>90.93</v>
      </c>
      <c r="L4002">
        <v>684796.7</v>
      </c>
      <c r="M4002">
        <v>404183.85</v>
      </c>
      <c r="N4002">
        <v>280612.84999999998</v>
      </c>
    </row>
    <row r="4003" spans="1:14" x14ac:dyDescent="0.25">
      <c r="A4003" t="s">
        <v>25</v>
      </c>
      <c r="B4003" t="s">
        <v>609</v>
      </c>
      <c r="C4003" t="s">
        <v>113</v>
      </c>
      <c r="D4003" t="s">
        <v>17</v>
      </c>
      <c r="E4003" t="s">
        <v>23</v>
      </c>
      <c r="F4003" s="1">
        <v>42712</v>
      </c>
      <c r="G4003">
        <v>614054477</v>
      </c>
      <c r="H4003" t="s">
        <v>863</v>
      </c>
      <c r="I4003">
        <v>1220</v>
      </c>
      <c r="J4003">
        <v>154.06</v>
      </c>
      <c r="K4003">
        <v>90.93</v>
      </c>
      <c r="L4003">
        <v>187953.2</v>
      </c>
      <c r="M4003">
        <v>110934.6</v>
      </c>
      <c r="N4003">
        <v>77018.600000000006</v>
      </c>
    </row>
    <row r="4004" spans="1:14" x14ac:dyDescent="0.25">
      <c r="A4004" t="s">
        <v>42</v>
      </c>
      <c r="B4004" t="s">
        <v>565</v>
      </c>
      <c r="C4004" t="s">
        <v>44</v>
      </c>
      <c r="D4004" t="s">
        <v>22</v>
      </c>
      <c r="E4004" t="s">
        <v>32</v>
      </c>
      <c r="F4004" t="s">
        <v>1208</v>
      </c>
      <c r="G4004">
        <v>112384831</v>
      </c>
      <c r="H4004" t="s">
        <v>1075</v>
      </c>
      <c r="I4004">
        <v>6024</v>
      </c>
      <c r="J4004">
        <v>109.28</v>
      </c>
      <c r="K4004">
        <v>35.840000000000003</v>
      </c>
      <c r="L4004">
        <v>658302.71999999997</v>
      </c>
      <c r="M4004">
        <v>215900.16</v>
      </c>
      <c r="N4004">
        <v>442402.56</v>
      </c>
    </row>
    <row r="4005" spans="1:14" x14ac:dyDescent="0.25">
      <c r="A4005" t="s">
        <v>25</v>
      </c>
      <c r="B4005" t="s">
        <v>434</v>
      </c>
      <c r="C4005" t="s">
        <v>16</v>
      </c>
      <c r="D4005" t="s">
        <v>22</v>
      </c>
      <c r="E4005" t="s">
        <v>45</v>
      </c>
      <c r="F4005" t="s">
        <v>1402</v>
      </c>
      <c r="G4005">
        <v>369170081</v>
      </c>
      <c r="H4005" s="1">
        <v>40606</v>
      </c>
      <c r="I4005">
        <v>4486</v>
      </c>
      <c r="J4005">
        <v>255.28</v>
      </c>
      <c r="K4005">
        <v>159.41999999999999</v>
      </c>
      <c r="L4005">
        <v>1145186.08</v>
      </c>
      <c r="M4005">
        <v>715158.12</v>
      </c>
      <c r="N4005">
        <v>430027.96</v>
      </c>
    </row>
    <row r="4006" spans="1:14" x14ac:dyDescent="0.25">
      <c r="A4006" t="s">
        <v>51</v>
      </c>
      <c r="B4006" t="s">
        <v>308</v>
      </c>
      <c r="C4006" t="s">
        <v>21</v>
      </c>
      <c r="D4006" t="s">
        <v>22</v>
      </c>
      <c r="E4006" t="s">
        <v>23</v>
      </c>
      <c r="F4006" t="s">
        <v>850</v>
      </c>
      <c r="G4006">
        <v>861021554</v>
      </c>
      <c r="H4006" t="s">
        <v>1610</v>
      </c>
      <c r="I4006">
        <v>4266</v>
      </c>
      <c r="J4006">
        <v>152.58000000000001</v>
      </c>
      <c r="K4006">
        <v>97.44</v>
      </c>
      <c r="L4006">
        <v>650906.28</v>
      </c>
      <c r="M4006">
        <v>415679.04</v>
      </c>
      <c r="N4006">
        <v>235227.24</v>
      </c>
    </row>
    <row r="4007" spans="1:14" x14ac:dyDescent="0.25">
      <c r="A4007" t="s">
        <v>29</v>
      </c>
      <c r="B4007" t="s">
        <v>315</v>
      </c>
      <c r="C4007" t="s">
        <v>69</v>
      </c>
      <c r="D4007" t="s">
        <v>17</v>
      </c>
      <c r="E4007" t="s">
        <v>32</v>
      </c>
      <c r="F4007" s="1">
        <v>40308</v>
      </c>
      <c r="G4007">
        <v>234863078</v>
      </c>
      <c r="H4007" s="1">
        <v>40248</v>
      </c>
      <c r="I4007">
        <v>59</v>
      </c>
      <c r="J4007">
        <v>421.89</v>
      </c>
      <c r="K4007">
        <v>364.69</v>
      </c>
      <c r="L4007">
        <v>24891.51</v>
      </c>
      <c r="M4007">
        <v>21516.71</v>
      </c>
      <c r="N4007">
        <v>3374.8</v>
      </c>
    </row>
    <row r="4008" spans="1:14" x14ac:dyDescent="0.25">
      <c r="A4008" t="s">
        <v>25</v>
      </c>
      <c r="B4008" t="s">
        <v>374</v>
      </c>
      <c r="C4008" t="s">
        <v>44</v>
      </c>
      <c r="D4008" t="s">
        <v>22</v>
      </c>
      <c r="E4008" t="s">
        <v>23</v>
      </c>
      <c r="F4008" t="s">
        <v>855</v>
      </c>
      <c r="G4008">
        <v>357930982</v>
      </c>
      <c r="H4008" s="1">
        <v>42493</v>
      </c>
      <c r="I4008">
        <v>8586</v>
      </c>
      <c r="J4008">
        <v>109.28</v>
      </c>
      <c r="K4008">
        <v>35.840000000000003</v>
      </c>
      <c r="L4008">
        <v>938278.08</v>
      </c>
      <c r="M4008">
        <v>307722.23999999999</v>
      </c>
      <c r="N4008">
        <v>630555.84</v>
      </c>
    </row>
    <row r="4009" spans="1:14" x14ac:dyDescent="0.25">
      <c r="A4009" t="s">
        <v>29</v>
      </c>
      <c r="B4009" t="s">
        <v>440</v>
      </c>
      <c r="C4009" t="s">
        <v>55</v>
      </c>
      <c r="D4009" t="s">
        <v>22</v>
      </c>
      <c r="E4009" t="s">
        <v>32</v>
      </c>
      <c r="F4009" t="s">
        <v>481</v>
      </c>
      <c r="G4009">
        <v>467774093</v>
      </c>
      <c r="H4009" t="s">
        <v>1249</v>
      </c>
      <c r="I4009">
        <v>3604</v>
      </c>
      <c r="J4009">
        <v>651.21</v>
      </c>
      <c r="K4009">
        <v>524.96</v>
      </c>
      <c r="L4009">
        <v>2346960.84</v>
      </c>
      <c r="M4009">
        <v>1891955.84</v>
      </c>
      <c r="N4009">
        <v>455005</v>
      </c>
    </row>
    <row r="4010" spans="1:14" x14ac:dyDescent="0.25">
      <c r="A4010" t="s">
        <v>51</v>
      </c>
      <c r="B4010" t="s">
        <v>487</v>
      </c>
      <c r="C4010" t="s">
        <v>113</v>
      </c>
      <c r="D4010" t="s">
        <v>22</v>
      </c>
      <c r="E4010" t="s">
        <v>32</v>
      </c>
      <c r="F4010" s="1">
        <v>42315</v>
      </c>
      <c r="G4010">
        <v>322253739</v>
      </c>
      <c r="H4010" t="s">
        <v>598</v>
      </c>
      <c r="I4010">
        <v>898</v>
      </c>
      <c r="J4010">
        <v>154.06</v>
      </c>
      <c r="K4010">
        <v>90.93</v>
      </c>
      <c r="L4010">
        <v>138345.88</v>
      </c>
      <c r="M4010">
        <v>81655.14</v>
      </c>
      <c r="N4010">
        <v>56690.74</v>
      </c>
    </row>
    <row r="4011" spans="1:14" x14ac:dyDescent="0.25">
      <c r="A4011" t="s">
        <v>42</v>
      </c>
      <c r="B4011" t="s">
        <v>476</v>
      </c>
      <c r="C4011" t="s">
        <v>31</v>
      </c>
      <c r="D4011" t="s">
        <v>17</v>
      </c>
      <c r="E4011" t="s">
        <v>32</v>
      </c>
      <c r="F4011" t="s">
        <v>1615</v>
      </c>
      <c r="G4011">
        <v>649543750</v>
      </c>
      <c r="H4011" t="s">
        <v>1029</v>
      </c>
      <c r="I4011">
        <v>3285</v>
      </c>
      <c r="J4011">
        <v>205.7</v>
      </c>
      <c r="K4011">
        <v>117.11</v>
      </c>
      <c r="L4011">
        <v>675724.5</v>
      </c>
      <c r="M4011">
        <v>384706.35</v>
      </c>
      <c r="N4011">
        <v>291018.15000000002</v>
      </c>
    </row>
    <row r="4012" spans="1:14" x14ac:dyDescent="0.25">
      <c r="A4012" t="s">
        <v>77</v>
      </c>
      <c r="B4012" t="s">
        <v>78</v>
      </c>
      <c r="C4012" t="s">
        <v>88</v>
      </c>
      <c r="D4012" t="s">
        <v>17</v>
      </c>
      <c r="E4012" t="s">
        <v>18</v>
      </c>
      <c r="F4012" s="1">
        <v>40280</v>
      </c>
      <c r="G4012">
        <v>898130452</v>
      </c>
      <c r="H4012" t="s">
        <v>587</v>
      </c>
      <c r="I4012">
        <v>5614</v>
      </c>
      <c r="J4012">
        <v>9.33</v>
      </c>
      <c r="K4012">
        <v>6.92</v>
      </c>
      <c r="L4012">
        <v>52378.62</v>
      </c>
      <c r="M4012">
        <v>38848.879999999997</v>
      </c>
      <c r="N4012">
        <v>13529.74</v>
      </c>
    </row>
    <row r="4013" spans="1:14" x14ac:dyDescent="0.25">
      <c r="A4013" t="s">
        <v>25</v>
      </c>
      <c r="B4013" t="s">
        <v>185</v>
      </c>
      <c r="C4013" t="s">
        <v>55</v>
      </c>
      <c r="D4013" t="s">
        <v>22</v>
      </c>
      <c r="E4013" t="s">
        <v>18</v>
      </c>
      <c r="F4013" t="s">
        <v>675</v>
      </c>
      <c r="G4013">
        <v>586812674</v>
      </c>
      <c r="H4013" t="s">
        <v>680</v>
      </c>
      <c r="I4013">
        <v>9766</v>
      </c>
      <c r="J4013">
        <v>651.21</v>
      </c>
      <c r="K4013">
        <v>524.96</v>
      </c>
      <c r="L4013">
        <v>6359716.8600000003</v>
      </c>
      <c r="M4013">
        <v>5126759.3600000003</v>
      </c>
      <c r="N4013">
        <v>1232957.5</v>
      </c>
    </row>
    <row r="4014" spans="1:14" x14ac:dyDescent="0.25">
      <c r="A4014" t="s">
        <v>51</v>
      </c>
      <c r="B4014" t="s">
        <v>250</v>
      </c>
      <c r="C4014" t="s">
        <v>27</v>
      </c>
      <c r="D4014" t="s">
        <v>17</v>
      </c>
      <c r="E4014" t="s">
        <v>32</v>
      </c>
      <c r="F4014" s="1">
        <v>42587</v>
      </c>
      <c r="G4014">
        <v>654701745</v>
      </c>
      <c r="H4014" s="1">
        <v>42619</v>
      </c>
      <c r="I4014">
        <v>9650</v>
      </c>
      <c r="J4014">
        <v>47.45</v>
      </c>
      <c r="K4014">
        <v>31.79</v>
      </c>
      <c r="L4014">
        <v>457892.5</v>
      </c>
      <c r="M4014">
        <v>306773.5</v>
      </c>
      <c r="N4014">
        <v>151119</v>
      </c>
    </row>
    <row r="4015" spans="1:14" x14ac:dyDescent="0.25">
      <c r="A4015" t="s">
        <v>25</v>
      </c>
      <c r="B4015" t="s">
        <v>434</v>
      </c>
      <c r="C4015" t="s">
        <v>88</v>
      </c>
      <c r="D4015" t="s">
        <v>17</v>
      </c>
      <c r="E4015" t="s">
        <v>32</v>
      </c>
      <c r="F4015" s="1">
        <v>42678</v>
      </c>
      <c r="G4015">
        <v>311221492</v>
      </c>
      <c r="H4015" s="1">
        <v>42556</v>
      </c>
      <c r="I4015">
        <v>6210</v>
      </c>
      <c r="J4015">
        <v>9.33</v>
      </c>
      <c r="K4015">
        <v>6.92</v>
      </c>
      <c r="L4015">
        <v>57939.3</v>
      </c>
      <c r="M4015">
        <v>42973.2</v>
      </c>
      <c r="N4015">
        <v>14966.1</v>
      </c>
    </row>
    <row r="4016" spans="1:14" x14ac:dyDescent="0.25">
      <c r="A4016" t="s">
        <v>38</v>
      </c>
      <c r="B4016" t="s">
        <v>85</v>
      </c>
      <c r="C4016" t="s">
        <v>69</v>
      </c>
      <c r="D4016" t="s">
        <v>22</v>
      </c>
      <c r="E4016" t="s">
        <v>32</v>
      </c>
      <c r="F4016" s="1">
        <v>42985</v>
      </c>
      <c r="G4016">
        <v>186108243</v>
      </c>
      <c r="H4016" t="s">
        <v>917</v>
      </c>
      <c r="I4016">
        <v>2420</v>
      </c>
      <c r="J4016">
        <v>421.89</v>
      </c>
      <c r="K4016">
        <v>364.69</v>
      </c>
      <c r="L4016">
        <v>1020973.8</v>
      </c>
      <c r="M4016">
        <v>882549.8</v>
      </c>
      <c r="N4016">
        <v>138424</v>
      </c>
    </row>
    <row r="4017" spans="1:14" x14ac:dyDescent="0.25">
      <c r="A4017" t="s">
        <v>38</v>
      </c>
      <c r="B4017" t="s">
        <v>156</v>
      </c>
      <c r="C4017" t="s">
        <v>31</v>
      </c>
      <c r="D4017" t="s">
        <v>22</v>
      </c>
      <c r="E4017" t="s">
        <v>45</v>
      </c>
      <c r="F4017" s="1">
        <v>41703</v>
      </c>
      <c r="G4017">
        <v>979410827</v>
      </c>
      <c r="H4017" t="s">
        <v>450</v>
      </c>
      <c r="I4017">
        <v>8283</v>
      </c>
      <c r="J4017">
        <v>205.7</v>
      </c>
      <c r="K4017">
        <v>117.11</v>
      </c>
      <c r="L4017">
        <v>1703813.1</v>
      </c>
      <c r="M4017">
        <v>970022.13</v>
      </c>
      <c r="N4017">
        <v>733790.97</v>
      </c>
    </row>
    <row r="4018" spans="1:14" x14ac:dyDescent="0.25">
      <c r="A4018" t="s">
        <v>38</v>
      </c>
      <c r="B4018" t="s">
        <v>117</v>
      </c>
      <c r="C4018" t="s">
        <v>27</v>
      </c>
      <c r="D4018" t="s">
        <v>17</v>
      </c>
      <c r="E4018" t="s">
        <v>32</v>
      </c>
      <c r="F4018" s="1">
        <v>42919</v>
      </c>
      <c r="G4018">
        <v>311490571</v>
      </c>
      <c r="H4018" t="s">
        <v>324</v>
      </c>
      <c r="I4018">
        <v>5837</v>
      </c>
      <c r="J4018">
        <v>47.45</v>
      </c>
      <c r="K4018">
        <v>31.79</v>
      </c>
      <c r="L4018">
        <v>276965.65000000002</v>
      </c>
      <c r="M4018">
        <v>185558.23</v>
      </c>
      <c r="N4018">
        <v>91407.42</v>
      </c>
    </row>
    <row r="4019" spans="1:14" x14ac:dyDescent="0.25">
      <c r="A4019" t="s">
        <v>29</v>
      </c>
      <c r="B4019" t="s">
        <v>61</v>
      </c>
      <c r="C4019" t="s">
        <v>88</v>
      </c>
      <c r="D4019" t="s">
        <v>17</v>
      </c>
      <c r="E4019" t="s">
        <v>45</v>
      </c>
      <c r="F4019" t="s">
        <v>1777</v>
      </c>
      <c r="G4019">
        <v>373021304</v>
      </c>
      <c r="H4019" s="1">
        <v>40879</v>
      </c>
      <c r="I4019">
        <v>4148</v>
      </c>
      <c r="J4019">
        <v>9.33</v>
      </c>
      <c r="K4019">
        <v>6.92</v>
      </c>
      <c r="L4019">
        <v>38700.839999999997</v>
      </c>
      <c r="M4019">
        <v>28704.16</v>
      </c>
      <c r="N4019">
        <v>9996.68</v>
      </c>
    </row>
    <row r="4020" spans="1:14" x14ac:dyDescent="0.25">
      <c r="A4020" t="s">
        <v>25</v>
      </c>
      <c r="B4020" t="s">
        <v>434</v>
      </c>
      <c r="C4020" t="s">
        <v>21</v>
      </c>
      <c r="D4020" t="s">
        <v>17</v>
      </c>
      <c r="E4020" t="s">
        <v>18</v>
      </c>
      <c r="F4020" t="s">
        <v>898</v>
      </c>
      <c r="G4020">
        <v>274989354</v>
      </c>
      <c r="H4020" s="1">
        <v>41189</v>
      </c>
      <c r="I4020">
        <v>4316</v>
      </c>
      <c r="J4020">
        <v>152.58000000000001</v>
      </c>
      <c r="K4020">
        <v>97.44</v>
      </c>
      <c r="L4020">
        <v>658535.28</v>
      </c>
      <c r="M4020">
        <v>420551.04</v>
      </c>
      <c r="N4020">
        <v>237984.24</v>
      </c>
    </row>
    <row r="4021" spans="1:14" x14ac:dyDescent="0.25">
      <c r="A4021" t="s">
        <v>51</v>
      </c>
      <c r="B4021" t="s">
        <v>417</v>
      </c>
      <c r="C4021" t="s">
        <v>131</v>
      </c>
      <c r="D4021" t="s">
        <v>22</v>
      </c>
      <c r="E4021" t="s">
        <v>18</v>
      </c>
      <c r="F4021" s="1">
        <v>41031</v>
      </c>
      <c r="G4021">
        <v>998693549</v>
      </c>
      <c r="H4021" t="s">
        <v>793</v>
      </c>
      <c r="I4021">
        <v>4469</v>
      </c>
      <c r="J4021">
        <v>668.27</v>
      </c>
      <c r="K4021">
        <v>502.54</v>
      </c>
      <c r="L4021">
        <v>2986498.63</v>
      </c>
      <c r="M4021">
        <v>2245851.2599999998</v>
      </c>
      <c r="N4021">
        <v>740647.37</v>
      </c>
    </row>
    <row r="4022" spans="1:14" x14ac:dyDescent="0.25">
      <c r="A4022" t="s">
        <v>51</v>
      </c>
      <c r="B4022" t="s">
        <v>52</v>
      </c>
      <c r="C4022" t="s">
        <v>69</v>
      </c>
      <c r="D4022" t="s">
        <v>17</v>
      </c>
      <c r="E4022" t="s">
        <v>32</v>
      </c>
      <c r="F4022" t="s">
        <v>950</v>
      </c>
      <c r="G4022">
        <v>445745217</v>
      </c>
      <c r="H4022" s="1">
        <v>42831</v>
      </c>
      <c r="I4022">
        <v>4770</v>
      </c>
      <c r="J4022">
        <v>421.89</v>
      </c>
      <c r="K4022">
        <v>364.69</v>
      </c>
      <c r="L4022">
        <v>2012415.3</v>
      </c>
      <c r="M4022">
        <v>1739571.3</v>
      </c>
      <c r="N4022">
        <v>272844</v>
      </c>
    </row>
    <row r="4023" spans="1:14" x14ac:dyDescent="0.25">
      <c r="A4023" t="s">
        <v>29</v>
      </c>
      <c r="B4023" t="s">
        <v>121</v>
      </c>
      <c r="C4023" t="s">
        <v>88</v>
      </c>
      <c r="D4023" t="s">
        <v>17</v>
      </c>
      <c r="E4023" t="s">
        <v>32</v>
      </c>
      <c r="F4023" t="s">
        <v>950</v>
      </c>
      <c r="G4023">
        <v>188068187</v>
      </c>
      <c r="H4023" t="s">
        <v>93</v>
      </c>
      <c r="I4023">
        <v>2411</v>
      </c>
      <c r="J4023">
        <v>9.33</v>
      </c>
      <c r="K4023">
        <v>6.92</v>
      </c>
      <c r="L4023">
        <v>22494.63</v>
      </c>
      <c r="M4023">
        <v>16684.12</v>
      </c>
      <c r="N4023">
        <v>5810.51</v>
      </c>
    </row>
    <row r="4024" spans="1:14" x14ac:dyDescent="0.25">
      <c r="A4024" t="s">
        <v>29</v>
      </c>
      <c r="B4024" t="s">
        <v>545</v>
      </c>
      <c r="C4024" t="s">
        <v>88</v>
      </c>
      <c r="D4024" t="s">
        <v>17</v>
      </c>
      <c r="E4024" t="s">
        <v>23</v>
      </c>
      <c r="F4024" s="1">
        <v>40299</v>
      </c>
      <c r="G4024">
        <v>517898786</v>
      </c>
      <c r="H4024" s="1">
        <v>40422</v>
      </c>
      <c r="I4024">
        <v>6614</v>
      </c>
      <c r="J4024">
        <v>9.33</v>
      </c>
      <c r="K4024">
        <v>6.92</v>
      </c>
      <c r="L4024">
        <v>61708.62</v>
      </c>
      <c r="M4024">
        <v>45768.88</v>
      </c>
      <c r="N4024">
        <v>15939.74</v>
      </c>
    </row>
    <row r="4025" spans="1:14" x14ac:dyDescent="0.25">
      <c r="A4025" t="s">
        <v>25</v>
      </c>
      <c r="B4025" t="s">
        <v>252</v>
      </c>
      <c r="C4025" t="s">
        <v>55</v>
      </c>
      <c r="D4025" t="s">
        <v>22</v>
      </c>
      <c r="E4025" t="s">
        <v>32</v>
      </c>
      <c r="F4025" s="1">
        <v>41491</v>
      </c>
      <c r="G4025">
        <v>897785842</v>
      </c>
      <c r="H4025" s="1">
        <v>41613</v>
      </c>
      <c r="I4025">
        <v>3636</v>
      </c>
      <c r="J4025">
        <v>651.21</v>
      </c>
      <c r="K4025">
        <v>524.96</v>
      </c>
      <c r="L4025">
        <v>2367799.56</v>
      </c>
      <c r="M4025">
        <v>1908754.56</v>
      </c>
      <c r="N4025">
        <v>459045</v>
      </c>
    </row>
    <row r="4026" spans="1:14" x14ac:dyDescent="0.25">
      <c r="A4026" t="s">
        <v>14</v>
      </c>
      <c r="B4026" t="s">
        <v>98</v>
      </c>
      <c r="C4026" t="s">
        <v>27</v>
      </c>
      <c r="D4026" t="s">
        <v>17</v>
      </c>
      <c r="E4026" t="s">
        <v>23</v>
      </c>
      <c r="F4026" s="1">
        <v>42430</v>
      </c>
      <c r="G4026">
        <v>410590684</v>
      </c>
      <c r="H4026" s="1">
        <v>42523</v>
      </c>
      <c r="I4026">
        <v>1762</v>
      </c>
      <c r="J4026">
        <v>47.45</v>
      </c>
      <c r="K4026">
        <v>31.79</v>
      </c>
      <c r="L4026">
        <v>83606.899999999994</v>
      </c>
      <c r="M4026">
        <v>56013.98</v>
      </c>
      <c r="N4026">
        <v>27592.92</v>
      </c>
    </row>
    <row r="4027" spans="1:14" x14ac:dyDescent="0.25">
      <c r="A4027" t="s">
        <v>51</v>
      </c>
      <c r="B4027" t="s">
        <v>299</v>
      </c>
      <c r="C4027" t="s">
        <v>69</v>
      </c>
      <c r="D4027" t="s">
        <v>17</v>
      </c>
      <c r="E4027" t="s">
        <v>32</v>
      </c>
      <c r="F4027" s="1">
        <v>40762</v>
      </c>
      <c r="G4027">
        <v>909487140</v>
      </c>
      <c r="H4027" t="s">
        <v>826</v>
      </c>
      <c r="I4027">
        <v>6310</v>
      </c>
      <c r="J4027">
        <v>421.89</v>
      </c>
      <c r="K4027">
        <v>364.69</v>
      </c>
      <c r="L4027">
        <v>2662125.9</v>
      </c>
      <c r="M4027">
        <v>2301193.9</v>
      </c>
      <c r="N4027">
        <v>360932</v>
      </c>
    </row>
    <row r="4028" spans="1:14" x14ac:dyDescent="0.25">
      <c r="A4028" t="s">
        <v>29</v>
      </c>
      <c r="B4028" t="s">
        <v>206</v>
      </c>
      <c r="C4028" t="s">
        <v>59</v>
      </c>
      <c r="D4028" t="s">
        <v>17</v>
      </c>
      <c r="E4028" t="s">
        <v>23</v>
      </c>
      <c r="F4028" t="s">
        <v>1698</v>
      </c>
      <c r="G4028">
        <v>267961537</v>
      </c>
      <c r="H4028" t="s">
        <v>1647</v>
      </c>
      <c r="I4028">
        <v>4628</v>
      </c>
      <c r="J4028">
        <v>437.2</v>
      </c>
      <c r="K4028">
        <v>263.33</v>
      </c>
      <c r="L4028">
        <v>2023361.6</v>
      </c>
      <c r="M4028">
        <v>1218691.24</v>
      </c>
      <c r="N4028">
        <v>804670.36</v>
      </c>
    </row>
    <row r="4029" spans="1:14" x14ac:dyDescent="0.25">
      <c r="A4029" t="s">
        <v>25</v>
      </c>
      <c r="B4029" t="s">
        <v>752</v>
      </c>
      <c r="C4029" t="s">
        <v>69</v>
      </c>
      <c r="D4029" t="s">
        <v>17</v>
      </c>
      <c r="E4029" t="s">
        <v>45</v>
      </c>
      <c r="F4029" t="s">
        <v>325</v>
      </c>
      <c r="G4029">
        <v>929812705</v>
      </c>
      <c r="H4029" t="s">
        <v>1226</v>
      </c>
      <c r="I4029">
        <v>1097</v>
      </c>
      <c r="J4029">
        <v>421.89</v>
      </c>
      <c r="K4029">
        <v>364.69</v>
      </c>
      <c r="L4029">
        <v>462813.33</v>
      </c>
      <c r="M4029">
        <v>400064.93</v>
      </c>
      <c r="N4029">
        <v>62748.4</v>
      </c>
    </row>
    <row r="4030" spans="1:14" x14ac:dyDescent="0.25">
      <c r="A4030" t="s">
        <v>38</v>
      </c>
      <c r="B4030" t="s">
        <v>92</v>
      </c>
      <c r="C4030" t="s">
        <v>55</v>
      </c>
      <c r="D4030" t="s">
        <v>17</v>
      </c>
      <c r="E4030" t="s">
        <v>45</v>
      </c>
      <c r="F4030" t="s">
        <v>667</v>
      </c>
      <c r="G4030">
        <v>459151971</v>
      </c>
      <c r="H4030" t="s">
        <v>1691</v>
      </c>
      <c r="I4030">
        <v>2126</v>
      </c>
      <c r="J4030">
        <v>651.21</v>
      </c>
      <c r="K4030">
        <v>524.96</v>
      </c>
      <c r="L4030">
        <v>1384472.46</v>
      </c>
      <c r="M4030">
        <v>1116064.96</v>
      </c>
      <c r="N4030">
        <v>268407.5</v>
      </c>
    </row>
    <row r="4031" spans="1:14" x14ac:dyDescent="0.25">
      <c r="A4031" t="s">
        <v>42</v>
      </c>
      <c r="B4031" t="s">
        <v>476</v>
      </c>
      <c r="C4031" t="s">
        <v>59</v>
      </c>
      <c r="D4031" t="s">
        <v>22</v>
      </c>
      <c r="E4031" t="s">
        <v>32</v>
      </c>
      <c r="F4031" t="s">
        <v>1572</v>
      </c>
      <c r="G4031">
        <v>990403163</v>
      </c>
      <c r="H4031" t="s">
        <v>536</v>
      </c>
      <c r="I4031">
        <v>1160</v>
      </c>
      <c r="J4031">
        <v>437.2</v>
      </c>
      <c r="K4031">
        <v>263.33</v>
      </c>
      <c r="L4031">
        <v>507152</v>
      </c>
      <c r="M4031">
        <v>305462.8</v>
      </c>
      <c r="N4031">
        <v>201689.2</v>
      </c>
    </row>
    <row r="4032" spans="1:14" x14ac:dyDescent="0.25">
      <c r="A4032" t="s">
        <v>29</v>
      </c>
      <c r="B4032" t="s">
        <v>35</v>
      </c>
      <c r="C4032" t="s">
        <v>44</v>
      </c>
      <c r="D4032" t="s">
        <v>17</v>
      </c>
      <c r="E4032" t="s">
        <v>32</v>
      </c>
      <c r="F4032" t="s">
        <v>1723</v>
      </c>
      <c r="G4032">
        <v>678302609</v>
      </c>
      <c r="H4032" s="1">
        <v>40459</v>
      </c>
      <c r="I4032">
        <v>3670</v>
      </c>
      <c r="J4032">
        <v>109.28</v>
      </c>
      <c r="K4032">
        <v>35.840000000000003</v>
      </c>
      <c r="L4032">
        <v>401057.6</v>
      </c>
      <c r="M4032">
        <v>131532.79999999999</v>
      </c>
      <c r="N4032">
        <v>269524.8</v>
      </c>
    </row>
    <row r="4033" spans="1:14" x14ac:dyDescent="0.25">
      <c r="A4033" t="s">
        <v>14</v>
      </c>
      <c r="B4033" t="s">
        <v>15</v>
      </c>
      <c r="C4033" t="s">
        <v>59</v>
      </c>
      <c r="D4033" t="s">
        <v>17</v>
      </c>
      <c r="E4033" t="s">
        <v>45</v>
      </c>
      <c r="F4033" s="1">
        <v>42106</v>
      </c>
      <c r="G4033">
        <v>447899138</v>
      </c>
      <c r="H4033" s="1">
        <v>42136</v>
      </c>
      <c r="I4033">
        <v>2163</v>
      </c>
      <c r="J4033">
        <v>437.2</v>
      </c>
      <c r="K4033">
        <v>263.33</v>
      </c>
      <c r="L4033">
        <v>945663.6</v>
      </c>
      <c r="M4033">
        <v>569582.79</v>
      </c>
      <c r="N4033">
        <v>376080.81</v>
      </c>
    </row>
    <row r="4034" spans="1:14" x14ac:dyDescent="0.25">
      <c r="A4034" t="s">
        <v>29</v>
      </c>
      <c r="B4034" t="s">
        <v>315</v>
      </c>
      <c r="C4034" t="s">
        <v>31</v>
      </c>
      <c r="D4034" t="s">
        <v>17</v>
      </c>
      <c r="E4034" t="s">
        <v>23</v>
      </c>
      <c r="F4034" t="s">
        <v>1150</v>
      </c>
      <c r="G4034">
        <v>844554078</v>
      </c>
      <c r="H4034" s="1">
        <v>41437</v>
      </c>
      <c r="I4034">
        <v>1174</v>
      </c>
      <c r="J4034">
        <v>205.7</v>
      </c>
      <c r="K4034">
        <v>117.11</v>
      </c>
      <c r="L4034">
        <v>241491.8</v>
      </c>
      <c r="M4034">
        <v>137487.14000000001</v>
      </c>
      <c r="N4034">
        <v>104004.66</v>
      </c>
    </row>
    <row r="4035" spans="1:14" x14ac:dyDescent="0.25">
      <c r="A4035" t="s">
        <v>51</v>
      </c>
      <c r="B4035" t="s">
        <v>115</v>
      </c>
      <c r="C4035" t="s">
        <v>40</v>
      </c>
      <c r="D4035" t="s">
        <v>22</v>
      </c>
      <c r="E4035" t="s">
        <v>45</v>
      </c>
      <c r="F4035" s="1">
        <v>41700</v>
      </c>
      <c r="G4035">
        <v>683941256</v>
      </c>
      <c r="H4035" s="1">
        <v>41793</v>
      </c>
      <c r="I4035">
        <v>2271</v>
      </c>
      <c r="J4035">
        <v>81.73</v>
      </c>
      <c r="K4035">
        <v>56.67</v>
      </c>
      <c r="L4035">
        <v>185608.83</v>
      </c>
      <c r="M4035">
        <v>128697.57</v>
      </c>
      <c r="N4035">
        <v>56911.26</v>
      </c>
    </row>
    <row r="4036" spans="1:14" x14ac:dyDescent="0.25">
      <c r="A4036" t="s">
        <v>25</v>
      </c>
      <c r="B4036" t="s">
        <v>196</v>
      </c>
      <c r="C4036" t="s">
        <v>59</v>
      </c>
      <c r="D4036" t="s">
        <v>17</v>
      </c>
      <c r="E4036" t="s">
        <v>45</v>
      </c>
      <c r="F4036" t="s">
        <v>1809</v>
      </c>
      <c r="G4036">
        <v>202047002</v>
      </c>
      <c r="H4036" s="1">
        <v>41063</v>
      </c>
      <c r="I4036">
        <v>9053</v>
      </c>
      <c r="J4036">
        <v>437.2</v>
      </c>
      <c r="K4036">
        <v>263.33</v>
      </c>
      <c r="L4036">
        <v>3957971.6</v>
      </c>
      <c r="M4036">
        <v>2383926.4900000002</v>
      </c>
      <c r="N4036">
        <v>1574045.11</v>
      </c>
    </row>
    <row r="4037" spans="1:14" x14ac:dyDescent="0.25">
      <c r="A4037" t="s">
        <v>42</v>
      </c>
      <c r="B4037" t="s">
        <v>290</v>
      </c>
      <c r="C4037" t="s">
        <v>40</v>
      </c>
      <c r="D4037" t="s">
        <v>22</v>
      </c>
      <c r="E4037" t="s">
        <v>32</v>
      </c>
      <c r="F4037" t="s">
        <v>1645</v>
      </c>
      <c r="G4037">
        <v>605170142</v>
      </c>
      <c r="H4037" s="1">
        <v>42015</v>
      </c>
      <c r="I4037">
        <v>2148</v>
      </c>
      <c r="J4037">
        <v>81.73</v>
      </c>
      <c r="K4037">
        <v>56.67</v>
      </c>
      <c r="L4037">
        <v>175556.04</v>
      </c>
      <c r="M4037">
        <v>121727.16</v>
      </c>
      <c r="N4037">
        <v>53828.88</v>
      </c>
    </row>
    <row r="4038" spans="1:14" x14ac:dyDescent="0.25">
      <c r="A4038" t="s">
        <v>25</v>
      </c>
      <c r="B4038" t="s">
        <v>339</v>
      </c>
      <c r="C4038" t="s">
        <v>88</v>
      </c>
      <c r="D4038" t="s">
        <v>17</v>
      </c>
      <c r="E4038" t="s">
        <v>32</v>
      </c>
      <c r="F4038" t="s">
        <v>998</v>
      </c>
      <c r="G4038">
        <v>919922006</v>
      </c>
      <c r="H4038" t="s">
        <v>735</v>
      </c>
      <c r="I4038">
        <v>4219</v>
      </c>
      <c r="J4038">
        <v>9.33</v>
      </c>
      <c r="K4038">
        <v>6.92</v>
      </c>
      <c r="L4038">
        <v>39363.269999999997</v>
      </c>
      <c r="M4038">
        <v>29195.48</v>
      </c>
      <c r="N4038">
        <v>10167.790000000001</v>
      </c>
    </row>
    <row r="4039" spans="1:14" x14ac:dyDescent="0.25">
      <c r="A4039" t="s">
        <v>25</v>
      </c>
      <c r="B4039" t="s">
        <v>386</v>
      </c>
      <c r="C4039" t="s">
        <v>27</v>
      </c>
      <c r="D4039" t="s">
        <v>22</v>
      </c>
      <c r="E4039" t="s">
        <v>45</v>
      </c>
      <c r="F4039" t="s">
        <v>1779</v>
      </c>
      <c r="G4039">
        <v>243226420</v>
      </c>
      <c r="H4039" s="1">
        <v>41340</v>
      </c>
      <c r="I4039">
        <v>4958</v>
      </c>
      <c r="J4039">
        <v>47.45</v>
      </c>
      <c r="K4039">
        <v>31.79</v>
      </c>
      <c r="L4039">
        <v>235257.1</v>
      </c>
      <c r="M4039">
        <v>157614.82</v>
      </c>
      <c r="N4039">
        <v>77642.28</v>
      </c>
    </row>
    <row r="4040" spans="1:14" x14ac:dyDescent="0.25">
      <c r="A4040" t="s">
        <v>51</v>
      </c>
      <c r="B4040" t="s">
        <v>848</v>
      </c>
      <c r="C4040" t="s">
        <v>131</v>
      </c>
      <c r="D4040" t="s">
        <v>22</v>
      </c>
      <c r="E4040" t="s">
        <v>18</v>
      </c>
      <c r="F4040" t="s">
        <v>561</v>
      </c>
      <c r="G4040">
        <v>892319715</v>
      </c>
      <c r="H4040" t="s">
        <v>1776</v>
      </c>
      <c r="I4040">
        <v>6088</v>
      </c>
      <c r="J4040">
        <v>668.27</v>
      </c>
      <c r="K4040">
        <v>502.54</v>
      </c>
      <c r="L4040">
        <v>4068427.76</v>
      </c>
      <c r="M4040">
        <v>3059463.52</v>
      </c>
      <c r="N4040">
        <v>1008964.24</v>
      </c>
    </row>
    <row r="4041" spans="1:14" x14ac:dyDescent="0.25">
      <c r="A4041" t="s">
        <v>38</v>
      </c>
      <c r="B4041" t="s">
        <v>177</v>
      </c>
      <c r="C4041" t="s">
        <v>16</v>
      </c>
      <c r="D4041" t="s">
        <v>17</v>
      </c>
      <c r="E4041" t="s">
        <v>45</v>
      </c>
      <c r="F4041" t="s">
        <v>1812</v>
      </c>
      <c r="G4041">
        <v>754750716</v>
      </c>
      <c r="H4041" s="1">
        <v>42588</v>
      </c>
      <c r="I4041">
        <v>6364</v>
      </c>
      <c r="J4041">
        <v>255.28</v>
      </c>
      <c r="K4041">
        <v>159.41999999999999</v>
      </c>
      <c r="L4041">
        <v>1624601.92</v>
      </c>
      <c r="M4041">
        <v>1014548.88</v>
      </c>
      <c r="N4041">
        <v>610053.04</v>
      </c>
    </row>
    <row r="4042" spans="1:14" x14ac:dyDescent="0.25">
      <c r="A4042" t="s">
        <v>51</v>
      </c>
      <c r="B4042" t="s">
        <v>182</v>
      </c>
      <c r="C4042" t="s">
        <v>59</v>
      </c>
      <c r="D4042" t="s">
        <v>17</v>
      </c>
      <c r="E4042" t="s">
        <v>23</v>
      </c>
      <c r="F4042" t="s">
        <v>782</v>
      </c>
      <c r="G4042">
        <v>938380753</v>
      </c>
      <c r="H4042" t="s">
        <v>705</v>
      </c>
      <c r="I4042">
        <v>6573</v>
      </c>
      <c r="J4042">
        <v>437.2</v>
      </c>
      <c r="K4042">
        <v>263.33</v>
      </c>
      <c r="L4042">
        <v>2873715.6</v>
      </c>
      <c r="M4042">
        <v>1730868.09</v>
      </c>
      <c r="N4042">
        <v>1142847.51</v>
      </c>
    </row>
    <row r="4043" spans="1:14" x14ac:dyDescent="0.25">
      <c r="A4043" t="s">
        <v>14</v>
      </c>
      <c r="B4043" t="s">
        <v>64</v>
      </c>
      <c r="C4043" t="s">
        <v>113</v>
      </c>
      <c r="D4043" t="s">
        <v>17</v>
      </c>
      <c r="E4043" t="s">
        <v>18</v>
      </c>
      <c r="F4043" t="s">
        <v>321</v>
      </c>
      <c r="G4043">
        <v>821383655</v>
      </c>
      <c r="H4043" t="s">
        <v>286</v>
      </c>
      <c r="I4043">
        <v>4531</v>
      </c>
      <c r="J4043">
        <v>154.06</v>
      </c>
      <c r="K4043">
        <v>90.93</v>
      </c>
      <c r="L4043">
        <v>698045.86</v>
      </c>
      <c r="M4043">
        <v>412003.83</v>
      </c>
      <c r="N4043">
        <v>286042.03000000003</v>
      </c>
    </row>
    <row r="4044" spans="1:14" x14ac:dyDescent="0.25">
      <c r="A4044" t="s">
        <v>29</v>
      </c>
      <c r="B4044" t="s">
        <v>124</v>
      </c>
      <c r="C4044" t="s">
        <v>55</v>
      </c>
      <c r="D4044" t="s">
        <v>17</v>
      </c>
      <c r="E4044" t="s">
        <v>18</v>
      </c>
      <c r="F4044" t="s">
        <v>649</v>
      </c>
      <c r="G4044">
        <v>302245748</v>
      </c>
      <c r="H4044" t="s">
        <v>1713</v>
      </c>
      <c r="I4044">
        <v>88</v>
      </c>
      <c r="J4044">
        <v>651.21</v>
      </c>
      <c r="K4044">
        <v>524.96</v>
      </c>
      <c r="L4044">
        <v>57306.48</v>
      </c>
      <c r="M4044">
        <v>46196.480000000003</v>
      </c>
      <c r="N4044">
        <v>11110</v>
      </c>
    </row>
    <row r="4045" spans="1:14" x14ac:dyDescent="0.25">
      <c r="A4045" t="s">
        <v>25</v>
      </c>
      <c r="B4045" t="s">
        <v>234</v>
      </c>
      <c r="C4045" t="s">
        <v>44</v>
      </c>
      <c r="D4045" t="s">
        <v>17</v>
      </c>
      <c r="E4045" t="s">
        <v>18</v>
      </c>
      <c r="F4045" t="s">
        <v>222</v>
      </c>
      <c r="G4045">
        <v>249765861</v>
      </c>
      <c r="H4045" t="s">
        <v>1347</v>
      </c>
      <c r="I4045">
        <v>123</v>
      </c>
      <c r="J4045">
        <v>109.28</v>
      </c>
      <c r="K4045">
        <v>35.840000000000003</v>
      </c>
      <c r="L4045">
        <v>13441.44</v>
      </c>
      <c r="M4045">
        <v>4408.32</v>
      </c>
      <c r="N4045">
        <v>9033.1200000000008</v>
      </c>
    </row>
    <row r="4046" spans="1:14" x14ac:dyDescent="0.25">
      <c r="A4046" t="s">
        <v>25</v>
      </c>
      <c r="B4046" t="s">
        <v>752</v>
      </c>
      <c r="C4046" t="s">
        <v>27</v>
      </c>
      <c r="D4046" t="s">
        <v>17</v>
      </c>
      <c r="E4046" t="s">
        <v>45</v>
      </c>
      <c r="F4046" t="s">
        <v>1073</v>
      </c>
      <c r="G4046">
        <v>253055322</v>
      </c>
      <c r="H4046" s="1">
        <v>42710</v>
      </c>
      <c r="I4046">
        <v>3548</v>
      </c>
      <c r="J4046">
        <v>47.45</v>
      </c>
      <c r="K4046">
        <v>31.79</v>
      </c>
      <c r="L4046">
        <v>168352.6</v>
      </c>
      <c r="M4046">
        <v>112790.92</v>
      </c>
      <c r="N4046">
        <v>55561.68</v>
      </c>
    </row>
    <row r="4047" spans="1:14" x14ac:dyDescent="0.25">
      <c r="A4047" t="s">
        <v>51</v>
      </c>
      <c r="B4047" t="s">
        <v>424</v>
      </c>
      <c r="C4047" t="s">
        <v>31</v>
      </c>
      <c r="D4047" t="s">
        <v>17</v>
      </c>
      <c r="E4047" t="s">
        <v>45</v>
      </c>
      <c r="F4047" t="s">
        <v>1718</v>
      </c>
      <c r="G4047">
        <v>871537959</v>
      </c>
      <c r="H4047" s="1">
        <v>41127</v>
      </c>
      <c r="I4047">
        <v>6304</v>
      </c>
      <c r="J4047">
        <v>205.7</v>
      </c>
      <c r="K4047">
        <v>117.11</v>
      </c>
      <c r="L4047">
        <v>1296732.8</v>
      </c>
      <c r="M4047">
        <v>738261.44</v>
      </c>
      <c r="N4047">
        <v>558471.36</v>
      </c>
    </row>
    <row r="4048" spans="1:14" x14ac:dyDescent="0.25">
      <c r="A4048" t="s">
        <v>29</v>
      </c>
      <c r="B4048" t="s">
        <v>545</v>
      </c>
      <c r="C4048" t="s">
        <v>44</v>
      </c>
      <c r="D4048" t="s">
        <v>17</v>
      </c>
      <c r="E4048" t="s">
        <v>45</v>
      </c>
      <c r="F4048" s="1">
        <v>41335</v>
      </c>
      <c r="G4048">
        <v>484950101</v>
      </c>
      <c r="H4048" s="1">
        <v>41458</v>
      </c>
      <c r="I4048">
        <v>6366</v>
      </c>
      <c r="J4048">
        <v>109.28</v>
      </c>
      <c r="K4048">
        <v>35.840000000000003</v>
      </c>
      <c r="L4048">
        <v>695676.48</v>
      </c>
      <c r="M4048">
        <v>228157.44</v>
      </c>
      <c r="N4048">
        <v>467519.04</v>
      </c>
    </row>
    <row r="4049" spans="1:14" x14ac:dyDescent="0.25">
      <c r="A4049" t="s">
        <v>25</v>
      </c>
      <c r="B4049" t="s">
        <v>96</v>
      </c>
      <c r="C4049" t="s">
        <v>27</v>
      </c>
      <c r="D4049" t="s">
        <v>22</v>
      </c>
      <c r="E4049" t="s">
        <v>23</v>
      </c>
      <c r="F4049" s="1">
        <v>42529</v>
      </c>
      <c r="G4049">
        <v>243340575</v>
      </c>
      <c r="H4049" s="1">
        <v>42469</v>
      </c>
      <c r="I4049">
        <v>8739</v>
      </c>
      <c r="J4049">
        <v>47.45</v>
      </c>
      <c r="K4049">
        <v>31.79</v>
      </c>
      <c r="L4049">
        <v>414665.55</v>
      </c>
      <c r="M4049">
        <v>277812.81</v>
      </c>
      <c r="N4049">
        <v>136852.74</v>
      </c>
    </row>
    <row r="4050" spans="1:14" x14ac:dyDescent="0.25">
      <c r="A4050" t="s">
        <v>42</v>
      </c>
      <c r="B4050" t="s">
        <v>103</v>
      </c>
      <c r="C4050" t="s">
        <v>21</v>
      </c>
      <c r="D4050" t="s">
        <v>17</v>
      </c>
      <c r="E4050" t="s">
        <v>45</v>
      </c>
      <c r="F4050" s="1">
        <v>41676</v>
      </c>
      <c r="G4050">
        <v>917070710</v>
      </c>
      <c r="H4050" s="1">
        <v>41949</v>
      </c>
      <c r="I4050">
        <v>457</v>
      </c>
      <c r="J4050">
        <v>152.58000000000001</v>
      </c>
      <c r="K4050">
        <v>97.44</v>
      </c>
      <c r="L4050">
        <v>69729.06</v>
      </c>
      <c r="M4050">
        <v>44530.080000000002</v>
      </c>
      <c r="N4050">
        <v>25198.98</v>
      </c>
    </row>
    <row r="4051" spans="1:14" x14ac:dyDescent="0.25">
      <c r="A4051" t="s">
        <v>29</v>
      </c>
      <c r="B4051" t="s">
        <v>586</v>
      </c>
      <c r="C4051" t="s">
        <v>55</v>
      </c>
      <c r="D4051" t="s">
        <v>17</v>
      </c>
      <c r="E4051" t="s">
        <v>18</v>
      </c>
      <c r="F4051" s="1">
        <v>40305</v>
      </c>
      <c r="G4051">
        <v>646814334</v>
      </c>
      <c r="H4051" s="1">
        <v>40489</v>
      </c>
      <c r="I4051">
        <v>5590</v>
      </c>
      <c r="J4051">
        <v>651.21</v>
      </c>
      <c r="K4051">
        <v>524.96</v>
      </c>
      <c r="L4051">
        <v>3640263.9</v>
      </c>
      <c r="M4051">
        <v>2934526.4</v>
      </c>
      <c r="N4051">
        <v>705737.5</v>
      </c>
    </row>
    <row r="4052" spans="1:14" x14ac:dyDescent="0.25">
      <c r="A4052" t="s">
        <v>42</v>
      </c>
      <c r="B4052" t="s">
        <v>630</v>
      </c>
      <c r="C4052" t="s">
        <v>21</v>
      </c>
      <c r="D4052" t="s">
        <v>17</v>
      </c>
      <c r="E4052" t="s">
        <v>23</v>
      </c>
      <c r="F4052" t="s">
        <v>1796</v>
      </c>
      <c r="G4052">
        <v>793557775</v>
      </c>
      <c r="H4052" s="1">
        <v>42893</v>
      </c>
      <c r="I4052">
        <v>235</v>
      </c>
      <c r="J4052">
        <v>152.58000000000001</v>
      </c>
      <c r="K4052">
        <v>97.44</v>
      </c>
      <c r="L4052">
        <v>35856.300000000003</v>
      </c>
      <c r="M4052">
        <v>22898.400000000001</v>
      </c>
      <c r="N4052">
        <v>12957.9</v>
      </c>
    </row>
    <row r="4053" spans="1:14" x14ac:dyDescent="0.25">
      <c r="A4053" t="s">
        <v>25</v>
      </c>
      <c r="B4053" t="s">
        <v>26</v>
      </c>
      <c r="C4053" t="s">
        <v>131</v>
      </c>
      <c r="D4053" t="s">
        <v>22</v>
      </c>
      <c r="E4053" t="s">
        <v>45</v>
      </c>
      <c r="F4053" s="1">
        <v>41801</v>
      </c>
      <c r="G4053">
        <v>988599860</v>
      </c>
      <c r="H4053" s="1">
        <v>41955</v>
      </c>
      <c r="I4053">
        <v>7522</v>
      </c>
      <c r="J4053">
        <v>668.27</v>
      </c>
      <c r="K4053">
        <v>502.54</v>
      </c>
      <c r="L4053">
        <v>5026726.9400000004</v>
      </c>
      <c r="M4053">
        <v>3780105.88</v>
      </c>
      <c r="N4053">
        <v>1246621.06</v>
      </c>
    </row>
    <row r="4054" spans="1:14" x14ac:dyDescent="0.25">
      <c r="A4054" t="s">
        <v>51</v>
      </c>
      <c r="B4054" t="s">
        <v>398</v>
      </c>
      <c r="C4054" t="s">
        <v>31</v>
      </c>
      <c r="D4054" t="s">
        <v>17</v>
      </c>
      <c r="E4054" t="s">
        <v>45</v>
      </c>
      <c r="F4054" s="1">
        <v>41555</v>
      </c>
      <c r="G4054">
        <v>483551919</v>
      </c>
      <c r="H4054" s="1">
        <v>41586</v>
      </c>
      <c r="I4054">
        <v>2613</v>
      </c>
      <c r="J4054">
        <v>205.7</v>
      </c>
      <c r="K4054">
        <v>117.11</v>
      </c>
      <c r="L4054">
        <v>537494.1</v>
      </c>
      <c r="M4054">
        <v>306008.43</v>
      </c>
      <c r="N4054">
        <v>231485.67</v>
      </c>
    </row>
    <row r="4055" spans="1:14" x14ac:dyDescent="0.25">
      <c r="A4055" t="s">
        <v>29</v>
      </c>
      <c r="B4055" t="s">
        <v>248</v>
      </c>
      <c r="C4055" t="s">
        <v>69</v>
      </c>
      <c r="D4055" t="s">
        <v>17</v>
      </c>
      <c r="E4055" t="s">
        <v>45</v>
      </c>
      <c r="F4055" t="s">
        <v>1465</v>
      </c>
      <c r="G4055">
        <v>400337779</v>
      </c>
      <c r="H4055" t="s">
        <v>138</v>
      </c>
      <c r="I4055">
        <v>7700</v>
      </c>
      <c r="J4055">
        <v>421.89</v>
      </c>
      <c r="K4055">
        <v>364.69</v>
      </c>
      <c r="L4055">
        <v>3248553</v>
      </c>
      <c r="M4055">
        <v>2808113</v>
      </c>
      <c r="N4055">
        <v>440440</v>
      </c>
    </row>
    <row r="4056" spans="1:14" x14ac:dyDescent="0.25">
      <c r="A4056" t="s">
        <v>25</v>
      </c>
      <c r="B4056" t="s">
        <v>252</v>
      </c>
      <c r="C4056" t="s">
        <v>21</v>
      </c>
      <c r="D4056" t="s">
        <v>17</v>
      </c>
      <c r="E4056" t="s">
        <v>18</v>
      </c>
      <c r="F4056" t="s">
        <v>340</v>
      </c>
      <c r="G4056">
        <v>581193768</v>
      </c>
      <c r="H4056" t="s">
        <v>1061</v>
      </c>
      <c r="I4056">
        <v>7006</v>
      </c>
      <c r="J4056">
        <v>152.58000000000001</v>
      </c>
      <c r="K4056">
        <v>97.44</v>
      </c>
      <c r="L4056">
        <v>1068975.48</v>
      </c>
      <c r="M4056">
        <v>682664.64</v>
      </c>
      <c r="N4056">
        <v>386310.84</v>
      </c>
    </row>
    <row r="4057" spans="1:14" x14ac:dyDescent="0.25">
      <c r="A4057" t="s">
        <v>14</v>
      </c>
      <c r="B4057" t="s">
        <v>488</v>
      </c>
      <c r="C4057" t="s">
        <v>55</v>
      </c>
      <c r="D4057" t="s">
        <v>17</v>
      </c>
      <c r="E4057" t="s">
        <v>32</v>
      </c>
      <c r="F4057" t="s">
        <v>67</v>
      </c>
      <c r="G4057">
        <v>938668715</v>
      </c>
      <c r="H4057" s="1">
        <v>40603</v>
      </c>
      <c r="I4057">
        <v>1787</v>
      </c>
      <c r="J4057">
        <v>651.21</v>
      </c>
      <c r="K4057">
        <v>524.96</v>
      </c>
      <c r="L4057">
        <v>1163712.27</v>
      </c>
      <c r="M4057">
        <v>938103.52</v>
      </c>
      <c r="N4057">
        <v>225608.75</v>
      </c>
    </row>
    <row r="4058" spans="1:14" x14ac:dyDescent="0.25">
      <c r="A4058" t="s">
        <v>29</v>
      </c>
      <c r="B4058" t="s">
        <v>159</v>
      </c>
      <c r="C4058" t="s">
        <v>27</v>
      </c>
      <c r="D4058" t="s">
        <v>17</v>
      </c>
      <c r="E4058" t="s">
        <v>32</v>
      </c>
      <c r="F4058" s="1">
        <v>41521</v>
      </c>
      <c r="G4058">
        <v>105623948</v>
      </c>
      <c r="H4058" t="s">
        <v>796</v>
      </c>
      <c r="I4058">
        <v>5328</v>
      </c>
      <c r="J4058">
        <v>47.45</v>
      </c>
      <c r="K4058">
        <v>31.79</v>
      </c>
      <c r="L4058">
        <v>252813.6</v>
      </c>
      <c r="M4058">
        <v>169377.12</v>
      </c>
      <c r="N4058">
        <v>83436.479999999996</v>
      </c>
    </row>
    <row r="4059" spans="1:14" x14ac:dyDescent="0.25">
      <c r="A4059" t="s">
        <v>38</v>
      </c>
      <c r="B4059" t="s">
        <v>39</v>
      </c>
      <c r="C4059" t="s">
        <v>40</v>
      </c>
      <c r="D4059" t="s">
        <v>17</v>
      </c>
      <c r="E4059" t="s">
        <v>45</v>
      </c>
      <c r="F4059" t="s">
        <v>874</v>
      </c>
      <c r="G4059">
        <v>385233294</v>
      </c>
      <c r="H4059" t="s">
        <v>875</v>
      </c>
      <c r="I4059">
        <v>7947</v>
      </c>
      <c r="J4059">
        <v>81.73</v>
      </c>
      <c r="K4059">
        <v>56.67</v>
      </c>
      <c r="L4059">
        <v>649508.31000000006</v>
      </c>
      <c r="M4059">
        <v>450356.49</v>
      </c>
      <c r="N4059">
        <v>199151.82</v>
      </c>
    </row>
    <row r="4060" spans="1:14" x14ac:dyDescent="0.25">
      <c r="A4060" t="s">
        <v>25</v>
      </c>
      <c r="B4060" t="s">
        <v>204</v>
      </c>
      <c r="C4060" t="s">
        <v>31</v>
      </c>
      <c r="D4060" t="s">
        <v>22</v>
      </c>
      <c r="E4060" t="s">
        <v>23</v>
      </c>
      <c r="F4060" s="1">
        <v>42682</v>
      </c>
      <c r="G4060">
        <v>100983083</v>
      </c>
      <c r="H4060" s="1">
        <v>42682</v>
      </c>
      <c r="I4060">
        <v>1993</v>
      </c>
      <c r="J4060">
        <v>205.7</v>
      </c>
      <c r="K4060">
        <v>117.11</v>
      </c>
      <c r="L4060">
        <v>409960.1</v>
      </c>
      <c r="M4060">
        <v>233400.23</v>
      </c>
      <c r="N4060">
        <v>176559.87</v>
      </c>
    </row>
    <row r="4061" spans="1:14" x14ac:dyDescent="0.25">
      <c r="A4061" t="s">
        <v>14</v>
      </c>
      <c r="B4061" t="s">
        <v>64</v>
      </c>
      <c r="C4061" t="s">
        <v>59</v>
      </c>
      <c r="D4061" t="s">
        <v>22</v>
      </c>
      <c r="E4061" t="s">
        <v>32</v>
      </c>
      <c r="F4061" t="s">
        <v>1683</v>
      </c>
      <c r="G4061">
        <v>346672141</v>
      </c>
      <c r="H4061" s="1">
        <v>40612</v>
      </c>
      <c r="I4061">
        <v>6845</v>
      </c>
      <c r="J4061">
        <v>437.2</v>
      </c>
      <c r="K4061">
        <v>263.33</v>
      </c>
      <c r="L4061">
        <v>2992634</v>
      </c>
      <c r="M4061">
        <v>1802493.85</v>
      </c>
      <c r="N4061">
        <v>1190140.1499999999</v>
      </c>
    </row>
    <row r="4062" spans="1:14" x14ac:dyDescent="0.25">
      <c r="A4062" t="s">
        <v>25</v>
      </c>
      <c r="B4062" t="s">
        <v>201</v>
      </c>
      <c r="C4062" t="s">
        <v>40</v>
      </c>
      <c r="D4062" t="s">
        <v>22</v>
      </c>
      <c r="E4062" t="s">
        <v>32</v>
      </c>
      <c r="F4062" t="s">
        <v>1255</v>
      </c>
      <c r="G4062">
        <v>936411798</v>
      </c>
      <c r="H4062" t="s">
        <v>1127</v>
      </c>
      <c r="I4062">
        <v>3915</v>
      </c>
      <c r="J4062">
        <v>81.73</v>
      </c>
      <c r="K4062">
        <v>56.67</v>
      </c>
      <c r="L4062">
        <v>319972.95</v>
      </c>
      <c r="M4062">
        <v>221863.05</v>
      </c>
      <c r="N4062">
        <v>98109.9</v>
      </c>
    </row>
    <row r="4063" spans="1:14" x14ac:dyDescent="0.25">
      <c r="A4063" t="s">
        <v>51</v>
      </c>
      <c r="B4063" t="s">
        <v>129</v>
      </c>
      <c r="C4063" t="s">
        <v>27</v>
      </c>
      <c r="D4063" t="s">
        <v>22</v>
      </c>
      <c r="E4063" t="s">
        <v>45</v>
      </c>
      <c r="F4063" t="s">
        <v>48</v>
      </c>
      <c r="G4063">
        <v>854625880</v>
      </c>
      <c r="H4063" t="s">
        <v>599</v>
      </c>
      <c r="I4063">
        <v>1644</v>
      </c>
      <c r="J4063">
        <v>47.45</v>
      </c>
      <c r="K4063">
        <v>31.79</v>
      </c>
      <c r="L4063">
        <v>78007.8</v>
      </c>
      <c r="M4063">
        <v>52262.76</v>
      </c>
      <c r="N4063">
        <v>25745.040000000001</v>
      </c>
    </row>
    <row r="4064" spans="1:14" x14ac:dyDescent="0.25">
      <c r="A4064" t="s">
        <v>51</v>
      </c>
      <c r="B4064" t="s">
        <v>219</v>
      </c>
      <c r="C4064" t="s">
        <v>131</v>
      </c>
      <c r="D4064" t="s">
        <v>17</v>
      </c>
      <c r="E4064" t="s">
        <v>18</v>
      </c>
      <c r="F4064" t="s">
        <v>404</v>
      </c>
      <c r="G4064">
        <v>506050717</v>
      </c>
      <c r="H4064" t="s">
        <v>1813</v>
      </c>
      <c r="I4064">
        <v>508</v>
      </c>
      <c r="J4064">
        <v>668.27</v>
      </c>
      <c r="K4064">
        <v>502.54</v>
      </c>
      <c r="L4064">
        <v>339481.16</v>
      </c>
      <c r="M4064">
        <v>255290.32</v>
      </c>
      <c r="N4064">
        <v>84190.84</v>
      </c>
    </row>
    <row r="4065" spans="1:14" x14ac:dyDescent="0.25">
      <c r="A4065" t="s">
        <v>51</v>
      </c>
      <c r="B4065" t="s">
        <v>301</v>
      </c>
      <c r="C4065" t="s">
        <v>113</v>
      </c>
      <c r="D4065" t="s">
        <v>17</v>
      </c>
      <c r="E4065" t="s">
        <v>18</v>
      </c>
      <c r="F4065" s="1">
        <v>42587</v>
      </c>
      <c r="G4065">
        <v>365735137</v>
      </c>
      <c r="H4065" s="1">
        <v>42679</v>
      </c>
      <c r="I4065">
        <v>8009</v>
      </c>
      <c r="J4065">
        <v>154.06</v>
      </c>
      <c r="K4065">
        <v>90.93</v>
      </c>
      <c r="L4065">
        <v>1233866.54</v>
      </c>
      <c r="M4065">
        <v>728258.37</v>
      </c>
      <c r="N4065">
        <v>505608.17</v>
      </c>
    </row>
    <row r="4066" spans="1:14" x14ac:dyDescent="0.25">
      <c r="A4066" t="s">
        <v>38</v>
      </c>
      <c r="B4066" t="s">
        <v>187</v>
      </c>
      <c r="C4066" t="s">
        <v>59</v>
      </c>
      <c r="D4066" t="s">
        <v>22</v>
      </c>
      <c r="E4066" t="s">
        <v>45</v>
      </c>
      <c r="F4066" s="1">
        <v>40819</v>
      </c>
      <c r="G4066">
        <v>529040467</v>
      </c>
      <c r="H4066" s="1">
        <v>40820</v>
      </c>
      <c r="I4066">
        <v>3686</v>
      </c>
      <c r="J4066">
        <v>437.2</v>
      </c>
      <c r="K4066">
        <v>263.33</v>
      </c>
      <c r="L4066">
        <v>1611519.2</v>
      </c>
      <c r="M4066">
        <v>970634.38</v>
      </c>
      <c r="N4066">
        <v>640884.81999999995</v>
      </c>
    </row>
    <row r="4067" spans="1:14" x14ac:dyDescent="0.25">
      <c r="A4067" t="s">
        <v>25</v>
      </c>
      <c r="B4067" t="s">
        <v>47</v>
      </c>
      <c r="C4067" t="s">
        <v>131</v>
      </c>
      <c r="D4067" t="s">
        <v>22</v>
      </c>
      <c r="E4067" t="s">
        <v>18</v>
      </c>
      <c r="F4067" t="s">
        <v>1304</v>
      </c>
      <c r="G4067">
        <v>261640536</v>
      </c>
      <c r="H4067" s="1">
        <v>42012</v>
      </c>
      <c r="I4067">
        <v>4104</v>
      </c>
      <c r="J4067">
        <v>668.27</v>
      </c>
      <c r="K4067">
        <v>502.54</v>
      </c>
      <c r="L4067">
        <v>2742580.08</v>
      </c>
      <c r="M4067">
        <v>2062424.16</v>
      </c>
      <c r="N4067">
        <v>680155.92</v>
      </c>
    </row>
    <row r="4068" spans="1:14" x14ac:dyDescent="0.25">
      <c r="A4068" t="s">
        <v>51</v>
      </c>
      <c r="B4068" t="s">
        <v>219</v>
      </c>
      <c r="C4068" t="s">
        <v>21</v>
      </c>
      <c r="D4068" t="s">
        <v>17</v>
      </c>
      <c r="E4068" t="s">
        <v>32</v>
      </c>
      <c r="F4068" t="s">
        <v>796</v>
      </c>
      <c r="G4068">
        <v>249521672</v>
      </c>
      <c r="H4068" s="1">
        <v>41493</v>
      </c>
      <c r="I4068">
        <v>7863</v>
      </c>
      <c r="J4068">
        <v>152.58000000000001</v>
      </c>
      <c r="K4068">
        <v>97.44</v>
      </c>
      <c r="L4068">
        <v>1199736.54</v>
      </c>
      <c r="M4068">
        <v>766170.72</v>
      </c>
      <c r="N4068">
        <v>433565.82</v>
      </c>
    </row>
    <row r="4069" spans="1:14" x14ac:dyDescent="0.25">
      <c r="A4069" t="s">
        <v>51</v>
      </c>
      <c r="B4069" t="s">
        <v>260</v>
      </c>
      <c r="C4069" t="s">
        <v>16</v>
      </c>
      <c r="D4069" t="s">
        <v>22</v>
      </c>
      <c r="E4069" t="s">
        <v>32</v>
      </c>
      <c r="F4069" t="s">
        <v>221</v>
      </c>
      <c r="G4069">
        <v>348982703</v>
      </c>
      <c r="H4069" s="1">
        <v>42411</v>
      </c>
      <c r="I4069">
        <v>592</v>
      </c>
      <c r="J4069">
        <v>255.28</v>
      </c>
      <c r="K4069">
        <v>159.41999999999999</v>
      </c>
      <c r="L4069">
        <v>151125.76000000001</v>
      </c>
      <c r="M4069">
        <v>94376.639999999999</v>
      </c>
      <c r="N4069">
        <v>56749.120000000003</v>
      </c>
    </row>
    <row r="4070" spans="1:14" x14ac:dyDescent="0.25">
      <c r="A4070" t="s">
        <v>51</v>
      </c>
      <c r="B4070" t="s">
        <v>52</v>
      </c>
      <c r="C4070" t="s">
        <v>16</v>
      </c>
      <c r="D4070" t="s">
        <v>17</v>
      </c>
      <c r="E4070" t="s">
        <v>23</v>
      </c>
      <c r="F4070" s="1">
        <v>42102</v>
      </c>
      <c r="G4070">
        <v>936634957</v>
      </c>
      <c r="H4070" s="1">
        <v>42164</v>
      </c>
      <c r="I4070">
        <v>9953</v>
      </c>
      <c r="J4070">
        <v>255.28</v>
      </c>
      <c r="K4070">
        <v>159.41999999999999</v>
      </c>
      <c r="L4070">
        <v>2540801.84</v>
      </c>
      <c r="M4070">
        <v>1586707.26</v>
      </c>
      <c r="N4070">
        <v>954094.58</v>
      </c>
    </row>
    <row r="4071" spans="1:14" x14ac:dyDescent="0.25">
      <c r="A4071" t="s">
        <v>29</v>
      </c>
      <c r="B4071" t="s">
        <v>323</v>
      </c>
      <c r="C4071" t="s">
        <v>31</v>
      </c>
      <c r="D4071" t="s">
        <v>22</v>
      </c>
      <c r="E4071" t="s">
        <v>18</v>
      </c>
      <c r="F4071" t="s">
        <v>1131</v>
      </c>
      <c r="G4071">
        <v>659402263</v>
      </c>
      <c r="H4071" s="1">
        <v>40916</v>
      </c>
      <c r="I4071">
        <v>638</v>
      </c>
      <c r="J4071">
        <v>205.7</v>
      </c>
      <c r="K4071">
        <v>117.11</v>
      </c>
      <c r="L4071">
        <v>131236.6</v>
      </c>
      <c r="M4071">
        <v>74716.179999999993</v>
      </c>
      <c r="N4071">
        <v>56520.42</v>
      </c>
    </row>
    <row r="4072" spans="1:14" x14ac:dyDescent="0.25">
      <c r="A4072" t="s">
        <v>51</v>
      </c>
      <c r="B4072" t="s">
        <v>169</v>
      </c>
      <c r="C4072" t="s">
        <v>27</v>
      </c>
      <c r="D4072" t="s">
        <v>17</v>
      </c>
      <c r="E4072" t="s">
        <v>45</v>
      </c>
      <c r="F4072" t="s">
        <v>1602</v>
      </c>
      <c r="G4072">
        <v>484520947</v>
      </c>
      <c r="H4072" t="s">
        <v>1210</v>
      </c>
      <c r="I4072">
        <v>9370</v>
      </c>
      <c r="J4072">
        <v>47.45</v>
      </c>
      <c r="K4072">
        <v>31.79</v>
      </c>
      <c r="L4072">
        <v>444606.5</v>
      </c>
      <c r="M4072">
        <v>297872.3</v>
      </c>
      <c r="N4072">
        <v>146734.20000000001</v>
      </c>
    </row>
    <row r="4073" spans="1:14" x14ac:dyDescent="0.25">
      <c r="A4073" t="s">
        <v>14</v>
      </c>
      <c r="B4073" t="s">
        <v>94</v>
      </c>
      <c r="C4073" t="s">
        <v>55</v>
      </c>
      <c r="D4073" t="s">
        <v>22</v>
      </c>
      <c r="E4073" t="s">
        <v>32</v>
      </c>
      <c r="F4073" s="1">
        <v>41062</v>
      </c>
      <c r="G4073">
        <v>549539840</v>
      </c>
      <c r="H4073" t="s">
        <v>91</v>
      </c>
      <c r="I4073">
        <v>9905</v>
      </c>
      <c r="J4073">
        <v>651.21</v>
      </c>
      <c r="K4073">
        <v>524.96</v>
      </c>
      <c r="L4073">
        <v>6450235.0499999998</v>
      </c>
      <c r="M4073">
        <v>5199728.8</v>
      </c>
      <c r="N4073">
        <v>1250506.25</v>
      </c>
    </row>
    <row r="4074" spans="1:14" x14ac:dyDescent="0.25">
      <c r="A4074" t="s">
        <v>14</v>
      </c>
      <c r="B4074" t="s">
        <v>213</v>
      </c>
      <c r="C4074" t="s">
        <v>113</v>
      </c>
      <c r="D4074" t="s">
        <v>22</v>
      </c>
      <c r="E4074" t="s">
        <v>18</v>
      </c>
      <c r="F4074" t="s">
        <v>1427</v>
      </c>
      <c r="G4074">
        <v>612320268</v>
      </c>
      <c r="H4074" s="1">
        <v>40453</v>
      </c>
      <c r="I4074">
        <v>8029</v>
      </c>
      <c r="J4074">
        <v>154.06</v>
      </c>
      <c r="K4074">
        <v>90.93</v>
      </c>
      <c r="L4074">
        <v>1236947.74</v>
      </c>
      <c r="M4074">
        <v>730076.97</v>
      </c>
      <c r="N4074">
        <v>506870.77</v>
      </c>
    </row>
    <row r="4075" spans="1:14" x14ac:dyDescent="0.25">
      <c r="A4075" t="s">
        <v>14</v>
      </c>
      <c r="B4075" t="s">
        <v>208</v>
      </c>
      <c r="C4075" t="s">
        <v>113</v>
      </c>
      <c r="D4075" t="s">
        <v>17</v>
      </c>
      <c r="E4075" t="s">
        <v>45</v>
      </c>
      <c r="F4075" s="1">
        <v>40886</v>
      </c>
      <c r="G4075">
        <v>501036059</v>
      </c>
      <c r="H4075" t="s">
        <v>1125</v>
      </c>
      <c r="I4075">
        <v>6559</v>
      </c>
      <c r="J4075">
        <v>154.06</v>
      </c>
      <c r="K4075">
        <v>90.93</v>
      </c>
      <c r="L4075">
        <v>1010479.54</v>
      </c>
      <c r="M4075">
        <v>596409.87</v>
      </c>
      <c r="N4075">
        <v>414069.67</v>
      </c>
    </row>
    <row r="4076" spans="1:14" x14ac:dyDescent="0.25">
      <c r="A4076" t="s">
        <v>25</v>
      </c>
      <c r="B4076" t="s">
        <v>134</v>
      </c>
      <c r="C4076" t="s">
        <v>16</v>
      </c>
      <c r="D4076" t="s">
        <v>22</v>
      </c>
      <c r="E4076" t="s">
        <v>32</v>
      </c>
      <c r="F4076" t="s">
        <v>594</v>
      </c>
      <c r="G4076">
        <v>564173543</v>
      </c>
      <c r="H4076" t="s">
        <v>118</v>
      </c>
      <c r="I4076">
        <v>343</v>
      </c>
      <c r="J4076">
        <v>255.28</v>
      </c>
      <c r="K4076">
        <v>159.41999999999999</v>
      </c>
      <c r="L4076">
        <v>87561.04</v>
      </c>
      <c r="M4076">
        <v>54681.06</v>
      </c>
      <c r="N4076">
        <v>32879.980000000003</v>
      </c>
    </row>
    <row r="4077" spans="1:14" x14ac:dyDescent="0.25">
      <c r="A4077" t="s">
        <v>51</v>
      </c>
      <c r="B4077" t="s">
        <v>578</v>
      </c>
      <c r="C4077" t="s">
        <v>21</v>
      </c>
      <c r="D4077" t="s">
        <v>22</v>
      </c>
      <c r="E4077" t="s">
        <v>18</v>
      </c>
      <c r="F4077" t="s">
        <v>222</v>
      </c>
      <c r="G4077">
        <v>320531547</v>
      </c>
      <c r="H4077" t="s">
        <v>236</v>
      </c>
      <c r="I4077">
        <v>1262</v>
      </c>
      <c r="J4077">
        <v>152.58000000000001</v>
      </c>
      <c r="K4077">
        <v>97.44</v>
      </c>
      <c r="L4077">
        <v>192555.96</v>
      </c>
      <c r="M4077">
        <v>122969.28</v>
      </c>
      <c r="N4077">
        <v>69586.679999999993</v>
      </c>
    </row>
    <row r="4078" spans="1:14" x14ac:dyDescent="0.25">
      <c r="A4078" t="s">
        <v>29</v>
      </c>
      <c r="B4078" t="s">
        <v>467</v>
      </c>
      <c r="C4078" t="s">
        <v>88</v>
      </c>
      <c r="D4078" t="s">
        <v>17</v>
      </c>
      <c r="E4078" t="s">
        <v>18</v>
      </c>
      <c r="F4078" s="1">
        <v>42468</v>
      </c>
      <c r="G4078">
        <v>709221398</v>
      </c>
      <c r="H4078" t="s">
        <v>1704</v>
      </c>
      <c r="I4078">
        <v>3227</v>
      </c>
      <c r="J4078">
        <v>9.33</v>
      </c>
      <c r="K4078">
        <v>6.92</v>
      </c>
      <c r="L4078">
        <v>30107.91</v>
      </c>
      <c r="M4078">
        <v>22330.84</v>
      </c>
      <c r="N4078">
        <v>7777.07</v>
      </c>
    </row>
    <row r="4079" spans="1:14" x14ac:dyDescent="0.25">
      <c r="A4079" t="s">
        <v>38</v>
      </c>
      <c r="B4079" t="s">
        <v>39</v>
      </c>
      <c r="C4079" t="s">
        <v>44</v>
      </c>
      <c r="D4079" t="s">
        <v>22</v>
      </c>
      <c r="E4079" t="s">
        <v>18</v>
      </c>
      <c r="F4079" t="s">
        <v>1658</v>
      </c>
      <c r="G4079">
        <v>939666926</v>
      </c>
      <c r="H4079" s="1">
        <v>41097</v>
      </c>
      <c r="I4079">
        <v>7180</v>
      </c>
      <c r="J4079">
        <v>109.28</v>
      </c>
      <c r="K4079">
        <v>35.840000000000003</v>
      </c>
      <c r="L4079">
        <v>784630.4</v>
      </c>
      <c r="M4079">
        <v>257331.20000000001</v>
      </c>
      <c r="N4079">
        <v>527299.19999999995</v>
      </c>
    </row>
    <row r="4080" spans="1:14" x14ac:dyDescent="0.25">
      <c r="A4080" t="s">
        <v>14</v>
      </c>
      <c r="B4080" t="s">
        <v>370</v>
      </c>
      <c r="C4080" t="s">
        <v>113</v>
      </c>
      <c r="D4080" t="s">
        <v>17</v>
      </c>
      <c r="E4080" t="s">
        <v>45</v>
      </c>
      <c r="F4080" s="1">
        <v>42648</v>
      </c>
      <c r="G4080">
        <v>741604459</v>
      </c>
      <c r="H4080" s="1">
        <v>42709</v>
      </c>
      <c r="I4080">
        <v>6094</v>
      </c>
      <c r="J4080">
        <v>154.06</v>
      </c>
      <c r="K4080">
        <v>90.93</v>
      </c>
      <c r="L4080">
        <v>938841.64</v>
      </c>
      <c r="M4080">
        <v>554127.42000000004</v>
      </c>
      <c r="N4080">
        <v>384714.22</v>
      </c>
    </row>
    <row r="4081" spans="1:14" x14ac:dyDescent="0.25">
      <c r="A4081" t="s">
        <v>51</v>
      </c>
      <c r="B4081" t="s">
        <v>231</v>
      </c>
      <c r="C4081" t="s">
        <v>69</v>
      </c>
      <c r="D4081" t="s">
        <v>22</v>
      </c>
      <c r="E4081" t="s">
        <v>32</v>
      </c>
      <c r="F4081" s="1">
        <v>42311</v>
      </c>
      <c r="G4081">
        <v>815082824</v>
      </c>
      <c r="H4081" s="1">
        <v>42039</v>
      </c>
      <c r="I4081">
        <v>9975</v>
      </c>
      <c r="J4081">
        <v>421.89</v>
      </c>
      <c r="K4081">
        <v>364.69</v>
      </c>
      <c r="L4081">
        <v>4208352.75</v>
      </c>
      <c r="M4081">
        <v>3637782.75</v>
      </c>
      <c r="N4081">
        <v>570570</v>
      </c>
    </row>
    <row r="4082" spans="1:14" x14ac:dyDescent="0.25">
      <c r="A4082" t="s">
        <v>25</v>
      </c>
      <c r="B4082" t="s">
        <v>196</v>
      </c>
      <c r="C4082" t="s">
        <v>31</v>
      </c>
      <c r="D4082" t="s">
        <v>22</v>
      </c>
      <c r="E4082" t="s">
        <v>23</v>
      </c>
      <c r="F4082" s="1">
        <v>40826</v>
      </c>
      <c r="G4082">
        <v>580463349</v>
      </c>
      <c r="H4082" s="1">
        <v>40766</v>
      </c>
      <c r="I4082">
        <v>859</v>
      </c>
      <c r="J4082">
        <v>205.7</v>
      </c>
      <c r="K4082">
        <v>117.11</v>
      </c>
      <c r="L4082">
        <v>176696.3</v>
      </c>
      <c r="M4082">
        <v>100597.49</v>
      </c>
      <c r="N4082">
        <v>76098.81</v>
      </c>
    </row>
    <row r="4083" spans="1:14" x14ac:dyDescent="0.25">
      <c r="A4083" t="s">
        <v>25</v>
      </c>
      <c r="B4083" t="s">
        <v>418</v>
      </c>
      <c r="C4083" t="s">
        <v>55</v>
      </c>
      <c r="D4083" t="s">
        <v>22</v>
      </c>
      <c r="E4083" t="s">
        <v>18</v>
      </c>
      <c r="F4083" s="1">
        <v>41375</v>
      </c>
      <c r="G4083">
        <v>428419864</v>
      </c>
      <c r="H4083" s="1">
        <v>41406</v>
      </c>
      <c r="I4083">
        <v>7813</v>
      </c>
      <c r="J4083">
        <v>651.21</v>
      </c>
      <c r="K4083">
        <v>524.96</v>
      </c>
      <c r="L4083">
        <v>5087903.7300000004</v>
      </c>
      <c r="M4083">
        <v>4101512.48</v>
      </c>
      <c r="N4083">
        <v>986391.25</v>
      </c>
    </row>
    <row r="4084" spans="1:14" x14ac:dyDescent="0.25">
      <c r="A4084" t="s">
        <v>38</v>
      </c>
      <c r="B4084" t="s">
        <v>288</v>
      </c>
      <c r="C4084" t="s">
        <v>59</v>
      </c>
      <c r="D4084" t="s">
        <v>17</v>
      </c>
      <c r="E4084" t="s">
        <v>32</v>
      </c>
      <c r="F4084" t="s">
        <v>378</v>
      </c>
      <c r="G4084">
        <v>369938695</v>
      </c>
      <c r="H4084" t="s">
        <v>803</v>
      </c>
      <c r="I4084">
        <v>1936</v>
      </c>
      <c r="J4084">
        <v>437.2</v>
      </c>
      <c r="K4084">
        <v>263.33</v>
      </c>
      <c r="L4084">
        <v>846419.2</v>
      </c>
      <c r="M4084">
        <v>509806.88</v>
      </c>
      <c r="N4084">
        <v>336612.32</v>
      </c>
    </row>
    <row r="4085" spans="1:14" x14ac:dyDescent="0.25">
      <c r="A4085" t="s">
        <v>38</v>
      </c>
      <c r="B4085" t="s">
        <v>83</v>
      </c>
      <c r="C4085" t="s">
        <v>69</v>
      </c>
      <c r="D4085" t="s">
        <v>22</v>
      </c>
      <c r="E4085" t="s">
        <v>32</v>
      </c>
      <c r="F4085" s="1">
        <v>41406</v>
      </c>
      <c r="G4085">
        <v>486318671</v>
      </c>
      <c r="H4085" s="1">
        <v>41590</v>
      </c>
      <c r="I4085">
        <v>1357</v>
      </c>
      <c r="J4085">
        <v>421.89</v>
      </c>
      <c r="K4085">
        <v>364.69</v>
      </c>
      <c r="L4085">
        <v>572504.73</v>
      </c>
      <c r="M4085">
        <v>494884.33</v>
      </c>
      <c r="N4085">
        <v>77620.399999999994</v>
      </c>
    </row>
    <row r="4086" spans="1:14" x14ac:dyDescent="0.25">
      <c r="A4086" t="s">
        <v>25</v>
      </c>
      <c r="B4086" t="s">
        <v>211</v>
      </c>
      <c r="C4086" t="s">
        <v>16</v>
      </c>
      <c r="D4086" t="s">
        <v>22</v>
      </c>
      <c r="E4086" t="s">
        <v>23</v>
      </c>
      <c r="F4086" s="1">
        <v>40483</v>
      </c>
      <c r="G4086">
        <v>479171121</v>
      </c>
      <c r="H4086" t="s">
        <v>1814</v>
      </c>
      <c r="I4086">
        <v>6238</v>
      </c>
      <c r="J4086">
        <v>255.28</v>
      </c>
      <c r="K4086">
        <v>159.41999999999999</v>
      </c>
      <c r="L4086">
        <v>1592436.64</v>
      </c>
      <c r="M4086">
        <v>994461.96</v>
      </c>
      <c r="N4086">
        <v>597974.68000000005</v>
      </c>
    </row>
    <row r="4087" spans="1:14" x14ac:dyDescent="0.25">
      <c r="A4087" t="s">
        <v>25</v>
      </c>
      <c r="B4087" t="s">
        <v>363</v>
      </c>
      <c r="C4087" t="s">
        <v>40</v>
      </c>
      <c r="D4087" t="s">
        <v>17</v>
      </c>
      <c r="E4087" t="s">
        <v>45</v>
      </c>
      <c r="F4087" t="s">
        <v>1467</v>
      </c>
      <c r="G4087">
        <v>120419871</v>
      </c>
      <c r="H4087" t="s">
        <v>106</v>
      </c>
      <c r="I4087">
        <v>3771</v>
      </c>
      <c r="J4087">
        <v>81.73</v>
      </c>
      <c r="K4087">
        <v>56.67</v>
      </c>
      <c r="L4087">
        <v>308203.83</v>
      </c>
      <c r="M4087">
        <v>213702.57</v>
      </c>
      <c r="N4087">
        <v>94501.26</v>
      </c>
    </row>
    <row r="4088" spans="1:14" x14ac:dyDescent="0.25">
      <c r="A4088" t="s">
        <v>25</v>
      </c>
      <c r="B4088" t="s">
        <v>469</v>
      </c>
      <c r="C4088" t="s">
        <v>44</v>
      </c>
      <c r="D4088" t="s">
        <v>22</v>
      </c>
      <c r="E4088" t="s">
        <v>18</v>
      </c>
      <c r="F4088" s="1">
        <v>41222</v>
      </c>
      <c r="G4088">
        <v>602301251</v>
      </c>
      <c r="H4088" t="s">
        <v>1546</v>
      </c>
      <c r="I4088">
        <v>3180</v>
      </c>
      <c r="J4088">
        <v>109.28</v>
      </c>
      <c r="K4088">
        <v>35.840000000000003</v>
      </c>
      <c r="L4088">
        <v>347510.4</v>
      </c>
      <c r="M4088">
        <v>113971.2</v>
      </c>
      <c r="N4088">
        <v>233539.20000000001</v>
      </c>
    </row>
    <row r="4089" spans="1:14" x14ac:dyDescent="0.25">
      <c r="A4089" t="s">
        <v>29</v>
      </c>
      <c r="B4089" t="s">
        <v>338</v>
      </c>
      <c r="C4089" t="s">
        <v>59</v>
      </c>
      <c r="D4089" t="s">
        <v>17</v>
      </c>
      <c r="E4089" t="s">
        <v>18</v>
      </c>
      <c r="F4089" t="s">
        <v>534</v>
      </c>
      <c r="G4089">
        <v>487364089</v>
      </c>
      <c r="H4089" s="1">
        <v>41006</v>
      </c>
      <c r="I4089">
        <v>719</v>
      </c>
      <c r="J4089">
        <v>437.2</v>
      </c>
      <c r="K4089">
        <v>263.33</v>
      </c>
      <c r="L4089">
        <v>314346.8</v>
      </c>
      <c r="M4089">
        <v>189334.27</v>
      </c>
      <c r="N4089">
        <v>125012.53</v>
      </c>
    </row>
    <row r="4090" spans="1:14" x14ac:dyDescent="0.25">
      <c r="A4090" t="s">
        <v>38</v>
      </c>
      <c r="B4090" t="s">
        <v>451</v>
      </c>
      <c r="C4090" t="s">
        <v>88</v>
      </c>
      <c r="D4090" t="s">
        <v>17</v>
      </c>
      <c r="E4090" t="s">
        <v>23</v>
      </c>
      <c r="F4090" t="s">
        <v>1538</v>
      </c>
      <c r="G4090">
        <v>658469712</v>
      </c>
      <c r="H4090" t="s">
        <v>438</v>
      </c>
      <c r="I4090">
        <v>4675</v>
      </c>
      <c r="J4090">
        <v>9.33</v>
      </c>
      <c r="K4090">
        <v>6.92</v>
      </c>
      <c r="L4090">
        <v>43617.75</v>
      </c>
      <c r="M4090">
        <v>32351</v>
      </c>
      <c r="N4090">
        <v>11266.75</v>
      </c>
    </row>
    <row r="4091" spans="1:14" x14ac:dyDescent="0.25">
      <c r="A4091" t="s">
        <v>51</v>
      </c>
      <c r="B4091" t="s">
        <v>108</v>
      </c>
      <c r="C4091" t="s">
        <v>69</v>
      </c>
      <c r="D4091" t="s">
        <v>17</v>
      </c>
      <c r="E4091" t="s">
        <v>23</v>
      </c>
      <c r="F4091" t="s">
        <v>1449</v>
      </c>
      <c r="G4091">
        <v>268791949</v>
      </c>
      <c r="H4091" s="1">
        <v>42587</v>
      </c>
      <c r="I4091">
        <v>366</v>
      </c>
      <c r="J4091">
        <v>421.89</v>
      </c>
      <c r="K4091">
        <v>364.69</v>
      </c>
      <c r="L4091">
        <v>154411.74</v>
      </c>
      <c r="M4091">
        <v>133476.54</v>
      </c>
      <c r="N4091">
        <v>20935.2</v>
      </c>
    </row>
    <row r="4092" spans="1:14" x14ac:dyDescent="0.25">
      <c r="A4092" t="s">
        <v>14</v>
      </c>
      <c r="B4092" t="s">
        <v>64</v>
      </c>
      <c r="C4092" t="s">
        <v>88</v>
      </c>
      <c r="D4092" t="s">
        <v>17</v>
      </c>
      <c r="E4092" t="s">
        <v>18</v>
      </c>
      <c r="F4092" t="s">
        <v>1398</v>
      </c>
      <c r="G4092">
        <v>791817128</v>
      </c>
      <c r="H4092" s="1">
        <v>42586</v>
      </c>
      <c r="I4092">
        <v>5139</v>
      </c>
      <c r="J4092">
        <v>9.33</v>
      </c>
      <c r="K4092">
        <v>6.92</v>
      </c>
      <c r="L4092">
        <v>47946.87</v>
      </c>
      <c r="M4092">
        <v>35561.879999999997</v>
      </c>
      <c r="N4092">
        <v>12384.99</v>
      </c>
    </row>
    <row r="4093" spans="1:14" x14ac:dyDescent="0.25">
      <c r="A4093" t="s">
        <v>29</v>
      </c>
      <c r="B4093" t="s">
        <v>585</v>
      </c>
      <c r="C4093" t="s">
        <v>131</v>
      </c>
      <c r="D4093" t="s">
        <v>22</v>
      </c>
      <c r="E4093" t="s">
        <v>45</v>
      </c>
      <c r="F4093" t="s">
        <v>1642</v>
      </c>
      <c r="G4093">
        <v>171344077</v>
      </c>
      <c r="H4093" t="s">
        <v>676</v>
      </c>
      <c r="I4093">
        <v>3375</v>
      </c>
      <c r="J4093">
        <v>668.27</v>
      </c>
      <c r="K4093">
        <v>502.54</v>
      </c>
      <c r="L4093">
        <v>2255411.25</v>
      </c>
      <c r="M4093">
        <v>1696072.5</v>
      </c>
      <c r="N4093">
        <v>559338.75</v>
      </c>
    </row>
    <row r="4094" spans="1:14" x14ac:dyDescent="0.25">
      <c r="A4094" t="s">
        <v>25</v>
      </c>
      <c r="B4094" t="s">
        <v>303</v>
      </c>
      <c r="C4094" t="s">
        <v>16</v>
      </c>
      <c r="D4094" t="s">
        <v>17</v>
      </c>
      <c r="E4094" t="s">
        <v>18</v>
      </c>
      <c r="F4094" s="1">
        <v>41164</v>
      </c>
      <c r="G4094">
        <v>471484124</v>
      </c>
      <c r="H4094" t="s">
        <v>968</v>
      </c>
      <c r="I4094">
        <v>1485</v>
      </c>
      <c r="J4094">
        <v>255.28</v>
      </c>
      <c r="K4094">
        <v>159.41999999999999</v>
      </c>
      <c r="L4094">
        <v>379090.8</v>
      </c>
      <c r="M4094">
        <v>236738.7</v>
      </c>
      <c r="N4094">
        <v>142352.1</v>
      </c>
    </row>
    <row r="4095" spans="1:14" x14ac:dyDescent="0.25">
      <c r="A4095" t="s">
        <v>42</v>
      </c>
      <c r="B4095" t="s">
        <v>681</v>
      </c>
      <c r="C4095" t="s">
        <v>55</v>
      </c>
      <c r="D4095" t="s">
        <v>22</v>
      </c>
      <c r="E4095" t="s">
        <v>45</v>
      </c>
      <c r="F4095" t="s">
        <v>461</v>
      </c>
      <c r="G4095">
        <v>226661098</v>
      </c>
      <c r="H4095" s="1">
        <v>42105</v>
      </c>
      <c r="I4095">
        <v>2911</v>
      </c>
      <c r="J4095">
        <v>651.21</v>
      </c>
      <c r="K4095">
        <v>524.96</v>
      </c>
      <c r="L4095">
        <v>1895672.31</v>
      </c>
      <c r="M4095">
        <v>1528158.56</v>
      </c>
      <c r="N4095">
        <v>367513.75</v>
      </c>
    </row>
    <row r="4096" spans="1:14" x14ac:dyDescent="0.25">
      <c r="A4096" t="s">
        <v>25</v>
      </c>
      <c r="B4096" t="s">
        <v>343</v>
      </c>
      <c r="C4096" t="s">
        <v>21</v>
      </c>
      <c r="D4096" t="s">
        <v>22</v>
      </c>
      <c r="E4096" t="s">
        <v>18</v>
      </c>
      <c r="F4096" s="1">
        <v>42737</v>
      </c>
      <c r="G4096">
        <v>291611325</v>
      </c>
      <c r="H4096" s="1">
        <v>43010</v>
      </c>
      <c r="I4096">
        <v>3126</v>
      </c>
      <c r="J4096">
        <v>152.58000000000001</v>
      </c>
      <c r="K4096">
        <v>97.44</v>
      </c>
      <c r="L4096">
        <v>476965.08</v>
      </c>
      <c r="M4096">
        <v>304597.44</v>
      </c>
      <c r="N4096">
        <v>172367.64</v>
      </c>
    </row>
    <row r="4097" spans="1:14" x14ac:dyDescent="0.25">
      <c r="A4097" t="s">
        <v>25</v>
      </c>
      <c r="B4097" t="s">
        <v>239</v>
      </c>
      <c r="C4097" t="s">
        <v>113</v>
      </c>
      <c r="D4097" t="s">
        <v>22</v>
      </c>
      <c r="E4097" t="s">
        <v>18</v>
      </c>
      <c r="F4097" s="1">
        <v>41549</v>
      </c>
      <c r="G4097">
        <v>691383635</v>
      </c>
      <c r="H4097" t="s">
        <v>1443</v>
      </c>
      <c r="I4097">
        <v>4637</v>
      </c>
      <c r="J4097">
        <v>154.06</v>
      </c>
      <c r="K4097">
        <v>90.93</v>
      </c>
      <c r="L4097">
        <v>714376.22</v>
      </c>
      <c r="M4097">
        <v>421642.41</v>
      </c>
      <c r="N4097">
        <v>292733.81</v>
      </c>
    </row>
    <row r="4098" spans="1:14" x14ac:dyDescent="0.25">
      <c r="A4098" t="s">
        <v>29</v>
      </c>
      <c r="B4098" t="s">
        <v>124</v>
      </c>
      <c r="C4098" t="s">
        <v>40</v>
      </c>
      <c r="D4098" t="s">
        <v>22</v>
      </c>
      <c r="E4098" t="s">
        <v>18</v>
      </c>
      <c r="F4098" s="1">
        <v>42463</v>
      </c>
      <c r="G4098">
        <v>171339356</v>
      </c>
      <c r="H4098" s="1">
        <v>42554</v>
      </c>
      <c r="I4098">
        <v>1978</v>
      </c>
      <c r="J4098">
        <v>81.73</v>
      </c>
      <c r="K4098">
        <v>56.67</v>
      </c>
      <c r="L4098">
        <v>161661.94</v>
      </c>
      <c r="M4098">
        <v>112093.26</v>
      </c>
      <c r="N4098">
        <v>49568.68</v>
      </c>
    </row>
    <row r="4099" spans="1:14" x14ac:dyDescent="0.25">
      <c r="A4099" t="s">
        <v>38</v>
      </c>
      <c r="B4099" t="s">
        <v>83</v>
      </c>
      <c r="C4099" t="s">
        <v>40</v>
      </c>
      <c r="D4099" t="s">
        <v>22</v>
      </c>
      <c r="E4099" t="s">
        <v>18</v>
      </c>
      <c r="F4099" s="1">
        <v>41520</v>
      </c>
      <c r="G4099">
        <v>247152316</v>
      </c>
      <c r="H4099" s="1">
        <v>41521</v>
      </c>
      <c r="I4099">
        <v>6717</v>
      </c>
      <c r="J4099">
        <v>81.73</v>
      </c>
      <c r="K4099">
        <v>56.67</v>
      </c>
      <c r="L4099">
        <v>548980.41</v>
      </c>
      <c r="M4099">
        <v>380652.39</v>
      </c>
      <c r="N4099">
        <v>168328.02</v>
      </c>
    </row>
    <row r="4100" spans="1:14" x14ac:dyDescent="0.25">
      <c r="A4100" t="s">
        <v>42</v>
      </c>
      <c r="B4100" t="s">
        <v>630</v>
      </c>
      <c r="C4100" t="s">
        <v>21</v>
      </c>
      <c r="D4100" t="s">
        <v>17</v>
      </c>
      <c r="E4100" t="s">
        <v>32</v>
      </c>
      <c r="F4100" s="1">
        <v>41801</v>
      </c>
      <c r="G4100">
        <v>254808843</v>
      </c>
      <c r="H4100" s="1">
        <v>41923</v>
      </c>
      <c r="I4100">
        <v>2454</v>
      </c>
      <c r="J4100">
        <v>152.58000000000001</v>
      </c>
      <c r="K4100">
        <v>97.44</v>
      </c>
      <c r="L4100">
        <v>374431.32</v>
      </c>
      <c r="M4100">
        <v>239117.76</v>
      </c>
      <c r="N4100">
        <v>135313.56</v>
      </c>
    </row>
    <row r="4101" spans="1:14" x14ac:dyDescent="0.25">
      <c r="A4101" t="s">
        <v>51</v>
      </c>
      <c r="B4101" t="s">
        <v>52</v>
      </c>
      <c r="C4101" t="s">
        <v>59</v>
      </c>
      <c r="D4101" t="s">
        <v>22</v>
      </c>
      <c r="E4101" t="s">
        <v>32</v>
      </c>
      <c r="F4101" t="s">
        <v>473</v>
      </c>
      <c r="G4101">
        <v>500607764</v>
      </c>
      <c r="H4101" t="s">
        <v>719</v>
      </c>
      <c r="I4101">
        <v>9817</v>
      </c>
      <c r="J4101">
        <v>437.2</v>
      </c>
      <c r="K4101">
        <v>263.33</v>
      </c>
      <c r="L4101">
        <v>4291992.4000000004</v>
      </c>
      <c r="M4101">
        <v>2585110.61</v>
      </c>
      <c r="N4101">
        <v>1706881.79</v>
      </c>
    </row>
    <row r="4102" spans="1:14" x14ac:dyDescent="0.25">
      <c r="A4102" t="s">
        <v>51</v>
      </c>
      <c r="B4102" t="s">
        <v>166</v>
      </c>
      <c r="C4102" t="s">
        <v>31</v>
      </c>
      <c r="D4102" t="s">
        <v>17</v>
      </c>
      <c r="E4102" t="s">
        <v>18</v>
      </c>
      <c r="F4102" t="s">
        <v>362</v>
      </c>
      <c r="G4102">
        <v>911160409</v>
      </c>
      <c r="H4102" t="s">
        <v>362</v>
      </c>
      <c r="I4102">
        <v>1468</v>
      </c>
      <c r="J4102">
        <v>205.7</v>
      </c>
      <c r="K4102">
        <v>117.11</v>
      </c>
      <c r="L4102">
        <v>301967.59999999998</v>
      </c>
      <c r="M4102">
        <v>171917.48</v>
      </c>
      <c r="N4102">
        <v>130050.12</v>
      </c>
    </row>
    <row r="4103" spans="1:14" x14ac:dyDescent="0.25">
      <c r="A4103" t="s">
        <v>29</v>
      </c>
      <c r="B4103" t="s">
        <v>440</v>
      </c>
      <c r="C4103" t="s">
        <v>31</v>
      </c>
      <c r="D4103" t="s">
        <v>17</v>
      </c>
      <c r="E4103" t="s">
        <v>18</v>
      </c>
      <c r="F4103" s="1">
        <v>42100</v>
      </c>
      <c r="G4103">
        <v>583390605</v>
      </c>
      <c r="H4103" s="1">
        <v>42284</v>
      </c>
      <c r="I4103">
        <v>7099</v>
      </c>
      <c r="J4103">
        <v>205.7</v>
      </c>
      <c r="K4103">
        <v>117.11</v>
      </c>
      <c r="L4103">
        <v>1460264.3</v>
      </c>
      <c r="M4103">
        <v>831363.89</v>
      </c>
      <c r="N4103">
        <v>628900.41</v>
      </c>
    </row>
    <row r="4104" spans="1:14" x14ac:dyDescent="0.25">
      <c r="A4104" t="s">
        <v>51</v>
      </c>
      <c r="B4104" t="s">
        <v>578</v>
      </c>
      <c r="C4104" t="s">
        <v>55</v>
      </c>
      <c r="D4104" t="s">
        <v>22</v>
      </c>
      <c r="E4104" t="s">
        <v>18</v>
      </c>
      <c r="F4104" s="1">
        <v>42708</v>
      </c>
      <c r="G4104">
        <v>934534680</v>
      </c>
      <c r="H4104" t="s">
        <v>1715</v>
      </c>
      <c r="I4104">
        <v>8434</v>
      </c>
      <c r="J4104">
        <v>651.21</v>
      </c>
      <c r="K4104">
        <v>524.96</v>
      </c>
      <c r="L4104">
        <v>5492305.1399999997</v>
      </c>
      <c r="M4104">
        <v>4427512.6399999997</v>
      </c>
      <c r="N4104">
        <v>1064792.5</v>
      </c>
    </row>
    <row r="4105" spans="1:14" x14ac:dyDescent="0.25">
      <c r="A4105" t="s">
        <v>38</v>
      </c>
      <c r="B4105" t="s">
        <v>527</v>
      </c>
      <c r="C4105" t="s">
        <v>40</v>
      </c>
      <c r="D4105" t="s">
        <v>22</v>
      </c>
      <c r="E4105" t="s">
        <v>23</v>
      </c>
      <c r="F4105" t="s">
        <v>962</v>
      </c>
      <c r="G4105">
        <v>752141463</v>
      </c>
      <c r="H4105" s="1">
        <v>40888</v>
      </c>
      <c r="I4105">
        <v>4228</v>
      </c>
      <c r="J4105">
        <v>81.73</v>
      </c>
      <c r="K4105">
        <v>56.67</v>
      </c>
      <c r="L4105">
        <v>345554.44</v>
      </c>
      <c r="M4105">
        <v>239600.76</v>
      </c>
      <c r="N4105">
        <v>105953.68</v>
      </c>
    </row>
    <row r="4106" spans="1:14" x14ac:dyDescent="0.25">
      <c r="A4106" t="s">
        <v>38</v>
      </c>
      <c r="B4106" t="s">
        <v>187</v>
      </c>
      <c r="C4106" t="s">
        <v>44</v>
      </c>
      <c r="D4106" t="s">
        <v>17</v>
      </c>
      <c r="E4106" t="s">
        <v>45</v>
      </c>
      <c r="F4106" t="s">
        <v>1597</v>
      </c>
      <c r="G4106">
        <v>244072282</v>
      </c>
      <c r="H4106" t="s">
        <v>1468</v>
      </c>
      <c r="I4106">
        <v>5267</v>
      </c>
      <c r="J4106">
        <v>109.28</v>
      </c>
      <c r="K4106">
        <v>35.840000000000003</v>
      </c>
      <c r="L4106">
        <v>575577.76</v>
      </c>
      <c r="M4106">
        <v>188769.28</v>
      </c>
      <c r="N4106">
        <v>386808.48</v>
      </c>
    </row>
    <row r="4107" spans="1:14" x14ac:dyDescent="0.25">
      <c r="A4107" t="s">
        <v>51</v>
      </c>
      <c r="B4107" t="s">
        <v>192</v>
      </c>
      <c r="C4107" t="s">
        <v>59</v>
      </c>
      <c r="D4107" t="s">
        <v>17</v>
      </c>
      <c r="E4107" t="s">
        <v>18</v>
      </c>
      <c r="F4107" s="1">
        <v>41732</v>
      </c>
      <c r="G4107">
        <v>588500964</v>
      </c>
      <c r="H4107" s="1">
        <v>41976</v>
      </c>
      <c r="I4107">
        <v>9368</v>
      </c>
      <c r="J4107">
        <v>437.2</v>
      </c>
      <c r="K4107">
        <v>263.33</v>
      </c>
      <c r="L4107">
        <v>4095689.6</v>
      </c>
      <c r="M4107">
        <v>2466875.44</v>
      </c>
      <c r="N4107">
        <v>1628814.16</v>
      </c>
    </row>
    <row r="4108" spans="1:14" x14ac:dyDescent="0.25">
      <c r="A4108" t="s">
        <v>25</v>
      </c>
      <c r="B4108" t="s">
        <v>339</v>
      </c>
      <c r="C4108" t="s">
        <v>21</v>
      </c>
      <c r="D4108" t="s">
        <v>17</v>
      </c>
      <c r="E4108" t="s">
        <v>45</v>
      </c>
      <c r="F4108" s="1">
        <v>41396</v>
      </c>
      <c r="G4108">
        <v>783913838</v>
      </c>
      <c r="H4108" s="1">
        <v>41520</v>
      </c>
      <c r="I4108">
        <v>6380</v>
      </c>
      <c r="J4108">
        <v>152.58000000000001</v>
      </c>
      <c r="K4108">
        <v>97.44</v>
      </c>
      <c r="L4108">
        <v>973460.4</v>
      </c>
      <c r="M4108">
        <v>621667.19999999995</v>
      </c>
      <c r="N4108">
        <v>351793.2</v>
      </c>
    </row>
    <row r="4109" spans="1:14" x14ac:dyDescent="0.25">
      <c r="A4109" t="s">
        <v>25</v>
      </c>
      <c r="B4109" t="s">
        <v>458</v>
      </c>
      <c r="C4109" t="s">
        <v>44</v>
      </c>
      <c r="D4109" t="s">
        <v>17</v>
      </c>
      <c r="E4109" t="s">
        <v>23</v>
      </c>
      <c r="F4109" t="s">
        <v>655</v>
      </c>
      <c r="G4109">
        <v>799109733</v>
      </c>
      <c r="H4109" t="s">
        <v>1567</v>
      </c>
      <c r="I4109">
        <v>3183</v>
      </c>
      <c r="J4109">
        <v>109.28</v>
      </c>
      <c r="K4109">
        <v>35.840000000000003</v>
      </c>
      <c r="L4109">
        <v>347838.24</v>
      </c>
      <c r="M4109">
        <v>114078.72</v>
      </c>
      <c r="N4109">
        <v>233759.52</v>
      </c>
    </row>
    <row r="4110" spans="1:14" x14ac:dyDescent="0.25">
      <c r="A4110" t="s">
        <v>25</v>
      </c>
      <c r="B4110" t="s">
        <v>303</v>
      </c>
      <c r="C4110" t="s">
        <v>27</v>
      </c>
      <c r="D4110" t="s">
        <v>17</v>
      </c>
      <c r="E4110" t="s">
        <v>32</v>
      </c>
      <c r="F4110" t="s">
        <v>1451</v>
      </c>
      <c r="G4110">
        <v>223199975</v>
      </c>
      <c r="H4110" s="1">
        <v>42826</v>
      </c>
      <c r="I4110">
        <v>8687</v>
      </c>
      <c r="J4110">
        <v>47.45</v>
      </c>
      <c r="K4110">
        <v>31.79</v>
      </c>
      <c r="L4110">
        <v>412198.15</v>
      </c>
      <c r="M4110">
        <v>276159.73</v>
      </c>
      <c r="N4110">
        <v>136038.42000000001</v>
      </c>
    </row>
    <row r="4111" spans="1:14" x14ac:dyDescent="0.25">
      <c r="A4111" t="s">
        <v>42</v>
      </c>
      <c r="B4111" t="s">
        <v>573</v>
      </c>
      <c r="C4111" t="s">
        <v>59</v>
      </c>
      <c r="D4111" t="s">
        <v>22</v>
      </c>
      <c r="E4111" t="s">
        <v>18</v>
      </c>
      <c r="F4111" t="s">
        <v>790</v>
      </c>
      <c r="G4111">
        <v>515608394</v>
      </c>
      <c r="H4111" t="s">
        <v>1240</v>
      </c>
      <c r="I4111">
        <v>8836</v>
      </c>
      <c r="J4111">
        <v>437.2</v>
      </c>
      <c r="K4111">
        <v>263.33</v>
      </c>
      <c r="L4111">
        <v>3863099.2</v>
      </c>
      <c r="M4111">
        <v>2326783.88</v>
      </c>
      <c r="N4111">
        <v>1536315.32</v>
      </c>
    </row>
    <row r="4112" spans="1:14" x14ac:dyDescent="0.25">
      <c r="A4112" t="s">
        <v>29</v>
      </c>
      <c r="B4112" t="s">
        <v>440</v>
      </c>
      <c r="C4112" t="s">
        <v>59</v>
      </c>
      <c r="D4112" t="s">
        <v>22</v>
      </c>
      <c r="E4112" t="s">
        <v>18</v>
      </c>
      <c r="F4112" s="1">
        <v>40911</v>
      </c>
      <c r="G4112">
        <v>956071317</v>
      </c>
      <c r="H4112" t="s">
        <v>1486</v>
      </c>
      <c r="I4112">
        <v>1603</v>
      </c>
      <c r="J4112">
        <v>437.2</v>
      </c>
      <c r="K4112">
        <v>263.33</v>
      </c>
      <c r="L4112">
        <v>700831.6</v>
      </c>
      <c r="M4112">
        <v>422117.99</v>
      </c>
      <c r="N4112">
        <v>278713.61</v>
      </c>
    </row>
    <row r="4113" spans="1:14" x14ac:dyDescent="0.25">
      <c r="A4113" t="s">
        <v>14</v>
      </c>
      <c r="B4113" t="s">
        <v>64</v>
      </c>
      <c r="C4113" t="s">
        <v>21</v>
      </c>
      <c r="D4113" t="s">
        <v>22</v>
      </c>
      <c r="E4113" t="s">
        <v>23</v>
      </c>
      <c r="F4113" s="1">
        <v>40514</v>
      </c>
      <c r="G4113">
        <v>894637572</v>
      </c>
      <c r="H4113" s="1">
        <v>40182</v>
      </c>
      <c r="I4113">
        <v>1993</v>
      </c>
      <c r="J4113">
        <v>152.58000000000001</v>
      </c>
      <c r="K4113">
        <v>97.44</v>
      </c>
      <c r="L4113">
        <v>304091.94</v>
      </c>
      <c r="M4113">
        <v>194197.92</v>
      </c>
      <c r="N4113">
        <v>109894.02</v>
      </c>
    </row>
    <row r="4114" spans="1:14" x14ac:dyDescent="0.25">
      <c r="A4114" t="s">
        <v>51</v>
      </c>
      <c r="B4114" t="s">
        <v>108</v>
      </c>
      <c r="C4114" t="s">
        <v>40</v>
      </c>
      <c r="D4114" t="s">
        <v>17</v>
      </c>
      <c r="E4114" t="s">
        <v>23</v>
      </c>
      <c r="F4114" t="s">
        <v>1786</v>
      </c>
      <c r="G4114">
        <v>201668488</v>
      </c>
      <c r="H4114" t="s">
        <v>1706</v>
      </c>
      <c r="I4114">
        <v>7042</v>
      </c>
      <c r="J4114">
        <v>81.73</v>
      </c>
      <c r="K4114">
        <v>56.67</v>
      </c>
      <c r="L4114">
        <v>575542.66</v>
      </c>
      <c r="M4114">
        <v>399070.14</v>
      </c>
      <c r="N4114">
        <v>176472.52</v>
      </c>
    </row>
    <row r="4115" spans="1:14" x14ac:dyDescent="0.25">
      <c r="A4115" t="s">
        <v>51</v>
      </c>
      <c r="B4115" t="s">
        <v>169</v>
      </c>
      <c r="C4115" t="s">
        <v>59</v>
      </c>
      <c r="D4115" t="s">
        <v>17</v>
      </c>
      <c r="E4115" t="s">
        <v>18</v>
      </c>
      <c r="F4115" s="1">
        <v>41401</v>
      </c>
      <c r="G4115">
        <v>617837893</v>
      </c>
      <c r="H4115" s="1">
        <v>41616</v>
      </c>
      <c r="I4115">
        <v>817</v>
      </c>
      <c r="J4115">
        <v>437.2</v>
      </c>
      <c r="K4115">
        <v>263.33</v>
      </c>
      <c r="L4115">
        <v>357192.4</v>
      </c>
      <c r="M4115">
        <v>215140.61</v>
      </c>
      <c r="N4115">
        <v>142051.79</v>
      </c>
    </row>
    <row r="4116" spans="1:14" x14ac:dyDescent="0.25">
      <c r="A4116" t="s">
        <v>38</v>
      </c>
      <c r="B4116" t="s">
        <v>190</v>
      </c>
      <c r="C4116" t="s">
        <v>21</v>
      </c>
      <c r="D4116" t="s">
        <v>17</v>
      </c>
      <c r="E4116" t="s">
        <v>23</v>
      </c>
      <c r="F4116" s="1">
        <v>41192</v>
      </c>
      <c r="G4116">
        <v>804132115</v>
      </c>
      <c r="H4116" t="s">
        <v>583</v>
      </c>
      <c r="I4116">
        <v>9417</v>
      </c>
      <c r="J4116">
        <v>152.58000000000001</v>
      </c>
      <c r="K4116">
        <v>97.44</v>
      </c>
      <c r="L4116">
        <v>1436845.86</v>
      </c>
      <c r="M4116">
        <v>917592.48</v>
      </c>
      <c r="N4116">
        <v>519253.38</v>
      </c>
    </row>
    <row r="4117" spans="1:14" x14ac:dyDescent="0.25">
      <c r="A4117" t="s">
        <v>25</v>
      </c>
      <c r="B4117" t="s">
        <v>785</v>
      </c>
      <c r="C4117" t="s">
        <v>31</v>
      </c>
      <c r="D4117" t="s">
        <v>22</v>
      </c>
      <c r="E4117" t="s">
        <v>45</v>
      </c>
      <c r="F4117" t="s">
        <v>867</v>
      </c>
      <c r="G4117">
        <v>391849982</v>
      </c>
      <c r="H4117" s="1">
        <v>42686</v>
      </c>
      <c r="I4117">
        <v>5972</v>
      </c>
      <c r="J4117">
        <v>205.7</v>
      </c>
      <c r="K4117">
        <v>117.11</v>
      </c>
      <c r="L4117">
        <v>1228440.3999999999</v>
      </c>
      <c r="M4117">
        <v>699380.92</v>
      </c>
      <c r="N4117">
        <v>529059.48</v>
      </c>
    </row>
    <row r="4118" spans="1:14" x14ac:dyDescent="0.25">
      <c r="A4118" t="s">
        <v>42</v>
      </c>
      <c r="B4118" t="s">
        <v>573</v>
      </c>
      <c r="C4118" t="s">
        <v>59</v>
      </c>
      <c r="D4118" t="s">
        <v>17</v>
      </c>
      <c r="E4118" t="s">
        <v>45</v>
      </c>
      <c r="F4118" t="s">
        <v>1155</v>
      </c>
      <c r="G4118">
        <v>432602822</v>
      </c>
      <c r="H4118" t="s">
        <v>1111</v>
      </c>
      <c r="I4118">
        <v>5643</v>
      </c>
      <c r="J4118">
        <v>437.2</v>
      </c>
      <c r="K4118">
        <v>263.33</v>
      </c>
      <c r="L4118">
        <v>2467119.6</v>
      </c>
      <c r="M4118">
        <v>1485971.19</v>
      </c>
      <c r="N4118">
        <v>981148.41</v>
      </c>
    </row>
    <row r="4119" spans="1:14" x14ac:dyDescent="0.25">
      <c r="A4119" t="s">
        <v>42</v>
      </c>
      <c r="B4119" t="s">
        <v>174</v>
      </c>
      <c r="C4119" t="s">
        <v>69</v>
      </c>
      <c r="D4119" t="s">
        <v>17</v>
      </c>
      <c r="E4119" t="s">
        <v>45</v>
      </c>
      <c r="F4119" s="1">
        <v>41008</v>
      </c>
      <c r="G4119">
        <v>248314464</v>
      </c>
      <c r="H4119" t="s">
        <v>1565</v>
      </c>
      <c r="I4119">
        <v>623</v>
      </c>
      <c r="J4119">
        <v>421.89</v>
      </c>
      <c r="K4119">
        <v>364.69</v>
      </c>
      <c r="L4119">
        <v>262837.46999999997</v>
      </c>
      <c r="M4119">
        <v>227201.87</v>
      </c>
      <c r="N4119">
        <v>35635.599999999999</v>
      </c>
    </row>
    <row r="4120" spans="1:14" x14ac:dyDescent="0.25">
      <c r="A4120" t="s">
        <v>38</v>
      </c>
      <c r="B4120" t="s">
        <v>346</v>
      </c>
      <c r="C4120" t="s">
        <v>27</v>
      </c>
      <c r="D4120" t="s">
        <v>17</v>
      </c>
      <c r="E4120" t="s">
        <v>32</v>
      </c>
      <c r="F4120" t="s">
        <v>611</v>
      </c>
      <c r="G4120">
        <v>581221234</v>
      </c>
      <c r="H4120" t="s">
        <v>191</v>
      </c>
      <c r="I4120">
        <v>5134</v>
      </c>
      <c r="J4120">
        <v>47.45</v>
      </c>
      <c r="K4120">
        <v>31.79</v>
      </c>
      <c r="L4120">
        <v>243608.3</v>
      </c>
      <c r="M4120">
        <v>163209.85999999999</v>
      </c>
      <c r="N4120">
        <v>80398.44</v>
      </c>
    </row>
    <row r="4121" spans="1:14" x14ac:dyDescent="0.25">
      <c r="A4121" t="s">
        <v>42</v>
      </c>
      <c r="B4121" t="s">
        <v>146</v>
      </c>
      <c r="C4121" t="s">
        <v>44</v>
      </c>
      <c r="D4121" t="s">
        <v>17</v>
      </c>
      <c r="E4121" t="s">
        <v>45</v>
      </c>
      <c r="F4121" s="1">
        <v>40212</v>
      </c>
      <c r="G4121">
        <v>443871963</v>
      </c>
      <c r="H4121" t="s">
        <v>1586</v>
      </c>
      <c r="I4121">
        <v>432</v>
      </c>
      <c r="J4121">
        <v>109.28</v>
      </c>
      <c r="K4121">
        <v>35.840000000000003</v>
      </c>
      <c r="L4121">
        <v>47208.959999999999</v>
      </c>
      <c r="M4121">
        <v>15482.88</v>
      </c>
      <c r="N4121">
        <v>31726.080000000002</v>
      </c>
    </row>
    <row r="4122" spans="1:14" x14ac:dyDescent="0.25">
      <c r="A4122" t="s">
        <v>38</v>
      </c>
      <c r="B4122" t="s">
        <v>117</v>
      </c>
      <c r="C4122" t="s">
        <v>21</v>
      </c>
      <c r="D4122" t="s">
        <v>22</v>
      </c>
      <c r="E4122" t="s">
        <v>18</v>
      </c>
      <c r="F4122" t="s">
        <v>1572</v>
      </c>
      <c r="G4122">
        <v>269127976</v>
      </c>
      <c r="H4122" s="1">
        <v>42319</v>
      </c>
      <c r="I4122">
        <v>9804</v>
      </c>
      <c r="J4122">
        <v>152.58000000000001</v>
      </c>
      <c r="K4122">
        <v>97.44</v>
      </c>
      <c r="L4122">
        <v>1495894.32</v>
      </c>
      <c r="M4122">
        <v>955301.76</v>
      </c>
      <c r="N4122">
        <v>540592.56000000006</v>
      </c>
    </row>
    <row r="4123" spans="1:14" x14ac:dyDescent="0.25">
      <c r="A4123" t="s">
        <v>14</v>
      </c>
      <c r="B4123" t="s">
        <v>81</v>
      </c>
      <c r="C4123" t="s">
        <v>88</v>
      </c>
      <c r="D4123" t="s">
        <v>17</v>
      </c>
      <c r="E4123" t="s">
        <v>45</v>
      </c>
      <c r="F4123" s="1">
        <v>41276</v>
      </c>
      <c r="G4123">
        <v>560163104</v>
      </c>
      <c r="H4123" s="1">
        <v>41397</v>
      </c>
      <c r="I4123">
        <v>3565</v>
      </c>
      <c r="J4123">
        <v>9.33</v>
      </c>
      <c r="K4123">
        <v>6.92</v>
      </c>
      <c r="L4123">
        <v>33261.449999999997</v>
      </c>
      <c r="M4123">
        <v>24669.8</v>
      </c>
      <c r="N4123">
        <v>8591.65</v>
      </c>
    </row>
    <row r="4124" spans="1:14" x14ac:dyDescent="0.25">
      <c r="A4124" t="s">
        <v>14</v>
      </c>
      <c r="B4124" t="s">
        <v>432</v>
      </c>
      <c r="C4124" t="s">
        <v>131</v>
      </c>
      <c r="D4124" t="s">
        <v>22</v>
      </c>
      <c r="E4124" t="s">
        <v>45</v>
      </c>
      <c r="F4124" s="1">
        <v>42287</v>
      </c>
      <c r="G4124">
        <v>540463674</v>
      </c>
      <c r="H4124" t="s">
        <v>86</v>
      </c>
      <c r="I4124">
        <v>4066</v>
      </c>
      <c r="J4124">
        <v>668.27</v>
      </c>
      <c r="K4124">
        <v>502.54</v>
      </c>
      <c r="L4124">
        <v>2717185.82</v>
      </c>
      <c r="M4124">
        <v>2043327.64</v>
      </c>
      <c r="N4124">
        <v>673858.18</v>
      </c>
    </row>
    <row r="4125" spans="1:14" x14ac:dyDescent="0.25">
      <c r="A4125" t="s">
        <v>51</v>
      </c>
      <c r="B4125" t="s">
        <v>295</v>
      </c>
      <c r="C4125" t="s">
        <v>16</v>
      </c>
      <c r="D4125" t="s">
        <v>17</v>
      </c>
      <c r="E4125" t="s">
        <v>45</v>
      </c>
      <c r="F4125" t="s">
        <v>1425</v>
      </c>
      <c r="G4125">
        <v>403828513</v>
      </c>
      <c r="H4125" t="s">
        <v>1048</v>
      </c>
      <c r="I4125">
        <v>686</v>
      </c>
      <c r="J4125">
        <v>255.28</v>
      </c>
      <c r="K4125">
        <v>159.41999999999999</v>
      </c>
      <c r="L4125">
        <v>175122.08</v>
      </c>
      <c r="M4125">
        <v>109362.12</v>
      </c>
      <c r="N4125">
        <v>65759.960000000006</v>
      </c>
    </row>
    <row r="4126" spans="1:14" x14ac:dyDescent="0.25">
      <c r="A4126" t="s">
        <v>29</v>
      </c>
      <c r="B4126" t="s">
        <v>393</v>
      </c>
      <c r="C4126" t="s">
        <v>21</v>
      </c>
      <c r="D4126" t="s">
        <v>17</v>
      </c>
      <c r="E4126" t="s">
        <v>18</v>
      </c>
      <c r="F4126" t="s">
        <v>879</v>
      </c>
      <c r="G4126">
        <v>864368951</v>
      </c>
      <c r="H4126" s="1">
        <v>41311</v>
      </c>
      <c r="I4126">
        <v>4836</v>
      </c>
      <c r="J4126">
        <v>152.58000000000001</v>
      </c>
      <c r="K4126">
        <v>97.44</v>
      </c>
      <c r="L4126">
        <v>737876.88</v>
      </c>
      <c r="M4126">
        <v>471219.84</v>
      </c>
      <c r="N4126">
        <v>266657.03999999998</v>
      </c>
    </row>
    <row r="4127" spans="1:14" x14ac:dyDescent="0.25">
      <c r="A4127" t="s">
        <v>25</v>
      </c>
      <c r="B4127" t="s">
        <v>556</v>
      </c>
      <c r="C4127" t="s">
        <v>44</v>
      </c>
      <c r="D4127" t="s">
        <v>17</v>
      </c>
      <c r="E4127" t="s">
        <v>45</v>
      </c>
      <c r="F4127" t="s">
        <v>1089</v>
      </c>
      <c r="G4127">
        <v>906508815</v>
      </c>
      <c r="H4127" t="s">
        <v>1815</v>
      </c>
      <c r="I4127">
        <v>4958</v>
      </c>
      <c r="J4127">
        <v>109.28</v>
      </c>
      <c r="K4127">
        <v>35.840000000000003</v>
      </c>
      <c r="L4127">
        <v>541810.24</v>
      </c>
      <c r="M4127">
        <v>177694.72</v>
      </c>
      <c r="N4127">
        <v>364115.52</v>
      </c>
    </row>
    <row r="4128" spans="1:14" x14ac:dyDescent="0.25">
      <c r="A4128" t="s">
        <v>14</v>
      </c>
      <c r="B4128" t="s">
        <v>64</v>
      </c>
      <c r="C4128" t="s">
        <v>113</v>
      </c>
      <c r="D4128" t="s">
        <v>17</v>
      </c>
      <c r="E4128" t="s">
        <v>23</v>
      </c>
      <c r="F4128" t="s">
        <v>89</v>
      </c>
      <c r="G4128">
        <v>934984433</v>
      </c>
      <c r="H4128" t="s">
        <v>1720</v>
      </c>
      <c r="I4128">
        <v>1526</v>
      </c>
      <c r="J4128">
        <v>154.06</v>
      </c>
      <c r="K4128">
        <v>90.93</v>
      </c>
      <c r="L4128">
        <v>235095.56</v>
      </c>
      <c r="M4128">
        <v>138759.18</v>
      </c>
      <c r="N4128">
        <v>96336.38</v>
      </c>
    </row>
    <row r="4129" spans="1:14" x14ac:dyDescent="0.25">
      <c r="A4129" t="s">
        <v>25</v>
      </c>
      <c r="B4129" t="s">
        <v>462</v>
      </c>
      <c r="C4129" t="s">
        <v>31</v>
      </c>
      <c r="D4129" t="s">
        <v>22</v>
      </c>
      <c r="E4129" t="s">
        <v>18</v>
      </c>
      <c r="F4129" s="1">
        <v>41557</v>
      </c>
      <c r="G4129">
        <v>524844634</v>
      </c>
      <c r="H4129" t="s">
        <v>966</v>
      </c>
      <c r="I4129">
        <v>2045</v>
      </c>
      <c r="J4129">
        <v>205.7</v>
      </c>
      <c r="K4129">
        <v>117.11</v>
      </c>
      <c r="L4129">
        <v>420656.5</v>
      </c>
      <c r="M4129">
        <v>239489.95</v>
      </c>
      <c r="N4129">
        <v>181166.55</v>
      </c>
    </row>
    <row r="4130" spans="1:14" x14ac:dyDescent="0.25">
      <c r="A4130" t="s">
        <v>51</v>
      </c>
      <c r="B4130" t="s">
        <v>260</v>
      </c>
      <c r="C4130" t="s">
        <v>88</v>
      </c>
      <c r="D4130" t="s">
        <v>22</v>
      </c>
      <c r="E4130" t="s">
        <v>18</v>
      </c>
      <c r="F4130" t="s">
        <v>1727</v>
      </c>
      <c r="G4130">
        <v>671450746</v>
      </c>
      <c r="H4130" t="s">
        <v>371</v>
      </c>
      <c r="I4130">
        <v>6052</v>
      </c>
      <c r="J4130">
        <v>9.33</v>
      </c>
      <c r="K4130">
        <v>6.92</v>
      </c>
      <c r="L4130">
        <v>56465.16</v>
      </c>
      <c r="M4130">
        <v>41879.839999999997</v>
      </c>
      <c r="N4130">
        <v>14585.32</v>
      </c>
    </row>
    <row r="4131" spans="1:14" x14ac:dyDescent="0.25">
      <c r="A4131" t="s">
        <v>25</v>
      </c>
      <c r="B4131" t="s">
        <v>533</v>
      </c>
      <c r="C4131" t="s">
        <v>88</v>
      </c>
      <c r="D4131" t="s">
        <v>17</v>
      </c>
      <c r="E4131" t="s">
        <v>45</v>
      </c>
      <c r="F4131" t="s">
        <v>1372</v>
      </c>
      <c r="G4131">
        <v>640476596</v>
      </c>
      <c r="H4131" t="s">
        <v>1638</v>
      </c>
      <c r="I4131">
        <v>112</v>
      </c>
      <c r="J4131">
        <v>9.33</v>
      </c>
      <c r="K4131">
        <v>6.92</v>
      </c>
      <c r="L4131">
        <v>1044.96</v>
      </c>
      <c r="M4131">
        <v>775.04</v>
      </c>
      <c r="N4131">
        <v>269.92</v>
      </c>
    </row>
    <row r="4132" spans="1:14" x14ac:dyDescent="0.25">
      <c r="A4132" t="s">
        <v>51</v>
      </c>
      <c r="B4132" t="s">
        <v>578</v>
      </c>
      <c r="C4132" t="s">
        <v>59</v>
      </c>
      <c r="D4132" t="s">
        <v>17</v>
      </c>
      <c r="E4132" t="s">
        <v>45</v>
      </c>
      <c r="F4132" t="s">
        <v>1605</v>
      </c>
      <c r="G4132">
        <v>217908513</v>
      </c>
      <c r="H4132" t="s">
        <v>168</v>
      </c>
      <c r="I4132">
        <v>2826</v>
      </c>
      <c r="J4132">
        <v>437.2</v>
      </c>
      <c r="K4132">
        <v>263.33</v>
      </c>
      <c r="L4132">
        <v>1235527.2</v>
      </c>
      <c r="M4132">
        <v>744170.58</v>
      </c>
      <c r="N4132">
        <v>491356.62</v>
      </c>
    </row>
    <row r="4133" spans="1:14" x14ac:dyDescent="0.25">
      <c r="A4133" t="s">
        <v>29</v>
      </c>
      <c r="B4133" t="s">
        <v>315</v>
      </c>
      <c r="C4133" t="s">
        <v>88</v>
      </c>
      <c r="D4133" t="s">
        <v>17</v>
      </c>
      <c r="E4133" t="s">
        <v>32</v>
      </c>
      <c r="F4133" t="s">
        <v>1700</v>
      </c>
      <c r="G4133">
        <v>160045325</v>
      </c>
      <c r="H4133" s="1">
        <v>42128</v>
      </c>
      <c r="I4133">
        <v>9823</v>
      </c>
      <c r="J4133">
        <v>9.33</v>
      </c>
      <c r="K4133">
        <v>6.92</v>
      </c>
      <c r="L4133">
        <v>91648.59</v>
      </c>
      <c r="M4133">
        <v>67975.16</v>
      </c>
      <c r="N4133">
        <v>23673.43</v>
      </c>
    </row>
    <row r="4134" spans="1:14" x14ac:dyDescent="0.25">
      <c r="A4134" t="s">
        <v>51</v>
      </c>
      <c r="B4134" t="s">
        <v>276</v>
      </c>
      <c r="C4134" t="s">
        <v>55</v>
      </c>
      <c r="D4134" t="s">
        <v>22</v>
      </c>
      <c r="E4134" t="s">
        <v>18</v>
      </c>
      <c r="F4134" t="s">
        <v>975</v>
      </c>
      <c r="G4134">
        <v>843498361</v>
      </c>
      <c r="H4134" t="s">
        <v>714</v>
      </c>
      <c r="I4134">
        <v>8764</v>
      </c>
      <c r="J4134">
        <v>651.21</v>
      </c>
      <c r="K4134">
        <v>524.96</v>
      </c>
      <c r="L4134">
        <v>5707204.4400000004</v>
      </c>
      <c r="M4134">
        <v>4600749.4400000004</v>
      </c>
      <c r="N4134">
        <v>1106455</v>
      </c>
    </row>
    <row r="4135" spans="1:14" x14ac:dyDescent="0.25">
      <c r="A4135" t="s">
        <v>38</v>
      </c>
      <c r="B4135" t="s">
        <v>92</v>
      </c>
      <c r="C4135" t="s">
        <v>21</v>
      </c>
      <c r="D4135" t="s">
        <v>17</v>
      </c>
      <c r="E4135" t="s">
        <v>18</v>
      </c>
      <c r="F4135" s="1">
        <v>41891</v>
      </c>
      <c r="G4135">
        <v>915191447</v>
      </c>
      <c r="H4135" t="s">
        <v>457</v>
      </c>
      <c r="I4135">
        <v>4342</v>
      </c>
      <c r="J4135">
        <v>152.58000000000001</v>
      </c>
      <c r="K4135">
        <v>97.44</v>
      </c>
      <c r="L4135">
        <v>662502.36</v>
      </c>
      <c r="M4135">
        <v>423084.48</v>
      </c>
      <c r="N4135">
        <v>239417.88</v>
      </c>
    </row>
    <row r="4136" spans="1:14" x14ac:dyDescent="0.25">
      <c r="A4136" t="s">
        <v>14</v>
      </c>
      <c r="B4136" t="s">
        <v>15</v>
      </c>
      <c r="C4136" t="s">
        <v>88</v>
      </c>
      <c r="D4136" t="s">
        <v>17</v>
      </c>
      <c r="E4136" t="s">
        <v>23</v>
      </c>
      <c r="F4136" t="s">
        <v>786</v>
      </c>
      <c r="G4136">
        <v>442360913</v>
      </c>
      <c r="H4136" s="1">
        <v>41762</v>
      </c>
      <c r="I4136">
        <v>3279</v>
      </c>
      <c r="J4136">
        <v>9.33</v>
      </c>
      <c r="K4136">
        <v>6.92</v>
      </c>
      <c r="L4136">
        <v>30593.07</v>
      </c>
      <c r="M4136">
        <v>22690.68</v>
      </c>
      <c r="N4136">
        <v>7902.39</v>
      </c>
    </row>
    <row r="4137" spans="1:14" x14ac:dyDescent="0.25">
      <c r="A4137" t="s">
        <v>38</v>
      </c>
      <c r="B4137" t="s">
        <v>430</v>
      </c>
      <c r="C4137" t="s">
        <v>40</v>
      </c>
      <c r="D4137" t="s">
        <v>17</v>
      </c>
      <c r="E4137" t="s">
        <v>23</v>
      </c>
      <c r="F4137" s="1">
        <v>42159</v>
      </c>
      <c r="G4137">
        <v>462555587</v>
      </c>
      <c r="H4137" s="1">
        <v>42343</v>
      </c>
      <c r="I4137">
        <v>9332</v>
      </c>
      <c r="J4137">
        <v>81.73</v>
      </c>
      <c r="K4137">
        <v>56.67</v>
      </c>
      <c r="L4137">
        <v>762704.36</v>
      </c>
      <c r="M4137">
        <v>528844.43999999994</v>
      </c>
      <c r="N4137">
        <v>233859.92</v>
      </c>
    </row>
    <row r="4138" spans="1:14" x14ac:dyDescent="0.25">
      <c r="A4138" t="s">
        <v>25</v>
      </c>
      <c r="B4138" t="s">
        <v>196</v>
      </c>
      <c r="C4138" t="s">
        <v>69</v>
      </c>
      <c r="D4138" t="s">
        <v>17</v>
      </c>
      <c r="E4138" t="s">
        <v>18</v>
      </c>
      <c r="F4138" t="s">
        <v>882</v>
      </c>
      <c r="G4138">
        <v>733636796</v>
      </c>
      <c r="H4138" t="s">
        <v>1646</v>
      </c>
      <c r="I4138">
        <v>8286</v>
      </c>
      <c r="J4138">
        <v>421.89</v>
      </c>
      <c r="K4138">
        <v>364.69</v>
      </c>
      <c r="L4138">
        <v>3495780.54</v>
      </c>
      <c r="M4138">
        <v>3021821.34</v>
      </c>
      <c r="N4138">
        <v>473959.2</v>
      </c>
    </row>
    <row r="4139" spans="1:14" x14ac:dyDescent="0.25">
      <c r="A4139" t="s">
        <v>25</v>
      </c>
      <c r="B4139" t="s">
        <v>47</v>
      </c>
      <c r="C4139" t="s">
        <v>21</v>
      </c>
      <c r="D4139" t="s">
        <v>17</v>
      </c>
      <c r="E4139" t="s">
        <v>32</v>
      </c>
      <c r="F4139" t="s">
        <v>913</v>
      </c>
      <c r="G4139">
        <v>183778369</v>
      </c>
      <c r="H4139" s="1">
        <v>41456</v>
      </c>
      <c r="I4139">
        <v>2958</v>
      </c>
      <c r="J4139">
        <v>152.58000000000001</v>
      </c>
      <c r="K4139">
        <v>97.44</v>
      </c>
      <c r="L4139">
        <v>451331.64</v>
      </c>
      <c r="M4139">
        <v>288227.52</v>
      </c>
      <c r="N4139">
        <v>163104.12</v>
      </c>
    </row>
    <row r="4140" spans="1:14" x14ac:dyDescent="0.25">
      <c r="A4140" t="s">
        <v>38</v>
      </c>
      <c r="B4140" t="s">
        <v>68</v>
      </c>
      <c r="C4140" t="s">
        <v>27</v>
      </c>
      <c r="D4140" t="s">
        <v>17</v>
      </c>
      <c r="E4140" t="s">
        <v>45</v>
      </c>
      <c r="F4140" s="1">
        <v>42377</v>
      </c>
      <c r="G4140">
        <v>961466634</v>
      </c>
      <c r="H4140" t="s">
        <v>722</v>
      </c>
      <c r="I4140">
        <v>8198</v>
      </c>
      <c r="J4140">
        <v>47.45</v>
      </c>
      <c r="K4140">
        <v>31.79</v>
      </c>
      <c r="L4140">
        <v>388995.1</v>
      </c>
      <c r="M4140">
        <v>260614.42</v>
      </c>
      <c r="N4140">
        <v>128380.68</v>
      </c>
    </row>
    <row r="4141" spans="1:14" x14ac:dyDescent="0.25">
      <c r="A4141" t="s">
        <v>38</v>
      </c>
      <c r="B4141" t="s">
        <v>105</v>
      </c>
      <c r="C4141" t="s">
        <v>69</v>
      </c>
      <c r="D4141" t="s">
        <v>22</v>
      </c>
      <c r="E4141" t="s">
        <v>18</v>
      </c>
      <c r="F4141" s="1">
        <v>41492</v>
      </c>
      <c r="G4141">
        <v>785500419</v>
      </c>
      <c r="H4141" t="s">
        <v>1327</v>
      </c>
      <c r="I4141">
        <v>5884</v>
      </c>
      <c r="J4141">
        <v>421.89</v>
      </c>
      <c r="K4141">
        <v>364.69</v>
      </c>
      <c r="L4141">
        <v>2482400.7599999998</v>
      </c>
      <c r="M4141">
        <v>2145835.96</v>
      </c>
      <c r="N4141">
        <v>336564.8</v>
      </c>
    </row>
    <row r="4142" spans="1:14" x14ac:dyDescent="0.25">
      <c r="A4142" t="s">
        <v>25</v>
      </c>
      <c r="B4142" t="s">
        <v>112</v>
      </c>
      <c r="C4142" t="s">
        <v>21</v>
      </c>
      <c r="D4142" t="s">
        <v>22</v>
      </c>
      <c r="E4142" t="s">
        <v>18</v>
      </c>
      <c r="F4142" t="s">
        <v>857</v>
      </c>
      <c r="G4142">
        <v>594991052</v>
      </c>
      <c r="H4142" s="1">
        <v>42892</v>
      </c>
      <c r="I4142">
        <v>9929</v>
      </c>
      <c r="J4142">
        <v>152.58000000000001</v>
      </c>
      <c r="K4142">
        <v>97.44</v>
      </c>
      <c r="L4142">
        <v>1514966.82</v>
      </c>
      <c r="M4142">
        <v>967481.76</v>
      </c>
      <c r="N4142">
        <v>547485.06000000006</v>
      </c>
    </row>
    <row r="4143" spans="1:14" x14ac:dyDescent="0.25">
      <c r="A4143" t="s">
        <v>42</v>
      </c>
      <c r="B4143" t="s">
        <v>290</v>
      </c>
      <c r="C4143" t="s">
        <v>113</v>
      </c>
      <c r="D4143" t="s">
        <v>22</v>
      </c>
      <c r="E4143" t="s">
        <v>18</v>
      </c>
      <c r="F4143" t="s">
        <v>1296</v>
      </c>
      <c r="G4143">
        <v>499362361</v>
      </c>
      <c r="H4143" s="1">
        <v>42378</v>
      </c>
      <c r="I4143">
        <v>1274</v>
      </c>
      <c r="J4143">
        <v>154.06</v>
      </c>
      <c r="K4143">
        <v>90.93</v>
      </c>
      <c r="L4143">
        <v>196272.44</v>
      </c>
      <c r="M4143">
        <v>115844.82</v>
      </c>
      <c r="N4143">
        <v>80427.62</v>
      </c>
    </row>
    <row r="4144" spans="1:14" x14ac:dyDescent="0.25">
      <c r="A4144" t="s">
        <v>38</v>
      </c>
      <c r="B4144" t="s">
        <v>329</v>
      </c>
      <c r="C4144" t="s">
        <v>113</v>
      </c>
      <c r="D4144" t="s">
        <v>17</v>
      </c>
      <c r="E4144" t="s">
        <v>23</v>
      </c>
      <c r="F4144" s="1">
        <v>42013</v>
      </c>
      <c r="G4144">
        <v>228350675</v>
      </c>
      <c r="H4144" t="s">
        <v>537</v>
      </c>
      <c r="I4144">
        <v>2894</v>
      </c>
      <c r="J4144">
        <v>154.06</v>
      </c>
      <c r="K4144">
        <v>90.93</v>
      </c>
      <c r="L4144">
        <v>445849.64</v>
      </c>
      <c r="M4144">
        <v>263151.42</v>
      </c>
      <c r="N4144">
        <v>182698.22</v>
      </c>
    </row>
    <row r="4145" spans="1:14" x14ac:dyDescent="0.25">
      <c r="A4145" t="s">
        <v>14</v>
      </c>
      <c r="B4145" t="s">
        <v>66</v>
      </c>
      <c r="C4145" t="s">
        <v>16</v>
      </c>
      <c r="D4145" t="s">
        <v>22</v>
      </c>
      <c r="E4145" t="s">
        <v>18</v>
      </c>
      <c r="F4145" s="1">
        <v>42589</v>
      </c>
      <c r="G4145">
        <v>482004821</v>
      </c>
      <c r="H4145" s="1">
        <v>42711</v>
      </c>
      <c r="I4145">
        <v>4793</v>
      </c>
      <c r="J4145">
        <v>255.28</v>
      </c>
      <c r="K4145">
        <v>159.41999999999999</v>
      </c>
      <c r="L4145">
        <v>1223557.04</v>
      </c>
      <c r="M4145">
        <v>764100.06</v>
      </c>
      <c r="N4145">
        <v>459456.98</v>
      </c>
    </row>
    <row r="4146" spans="1:14" x14ac:dyDescent="0.25">
      <c r="A4146" t="s">
        <v>51</v>
      </c>
      <c r="B4146" t="s">
        <v>542</v>
      </c>
      <c r="C4146" t="s">
        <v>55</v>
      </c>
      <c r="D4146" t="s">
        <v>22</v>
      </c>
      <c r="E4146" t="s">
        <v>18</v>
      </c>
      <c r="F4146" t="s">
        <v>130</v>
      </c>
      <c r="G4146">
        <v>680686128</v>
      </c>
      <c r="H4146" s="1">
        <v>41858</v>
      </c>
      <c r="I4146">
        <v>9006</v>
      </c>
      <c r="J4146">
        <v>651.21</v>
      </c>
      <c r="K4146">
        <v>524.96</v>
      </c>
      <c r="L4146">
        <v>5864797.2599999998</v>
      </c>
      <c r="M4146">
        <v>4727789.76</v>
      </c>
      <c r="N4146">
        <v>1137007.5</v>
      </c>
    </row>
    <row r="4147" spans="1:14" x14ac:dyDescent="0.25">
      <c r="A4147" t="s">
        <v>51</v>
      </c>
      <c r="B4147" t="s">
        <v>223</v>
      </c>
      <c r="C4147" t="s">
        <v>44</v>
      </c>
      <c r="D4147" t="s">
        <v>22</v>
      </c>
      <c r="E4147" t="s">
        <v>45</v>
      </c>
      <c r="F4147" t="s">
        <v>1540</v>
      </c>
      <c r="G4147">
        <v>315068423</v>
      </c>
      <c r="H4147" t="s">
        <v>1501</v>
      </c>
      <c r="I4147">
        <v>4603</v>
      </c>
      <c r="J4147">
        <v>109.28</v>
      </c>
      <c r="K4147">
        <v>35.840000000000003</v>
      </c>
      <c r="L4147">
        <v>503015.84</v>
      </c>
      <c r="M4147">
        <v>164971.51999999999</v>
      </c>
      <c r="N4147">
        <v>338044.32</v>
      </c>
    </row>
    <row r="4148" spans="1:14" x14ac:dyDescent="0.25">
      <c r="A4148" t="s">
        <v>42</v>
      </c>
      <c r="B4148" t="s">
        <v>681</v>
      </c>
      <c r="C4148" t="s">
        <v>44</v>
      </c>
      <c r="D4148" t="s">
        <v>17</v>
      </c>
      <c r="E4148" t="s">
        <v>18</v>
      </c>
      <c r="F4148" s="1">
        <v>40490</v>
      </c>
      <c r="G4148">
        <v>296138036</v>
      </c>
      <c r="H4148" t="s">
        <v>281</v>
      </c>
      <c r="I4148">
        <v>2680</v>
      </c>
      <c r="J4148">
        <v>109.28</v>
      </c>
      <c r="K4148">
        <v>35.840000000000003</v>
      </c>
      <c r="L4148">
        <v>292870.40000000002</v>
      </c>
      <c r="M4148">
        <v>96051.199999999997</v>
      </c>
      <c r="N4148">
        <v>196819.20000000001</v>
      </c>
    </row>
    <row r="4149" spans="1:14" x14ac:dyDescent="0.25">
      <c r="A4149" t="s">
        <v>51</v>
      </c>
      <c r="B4149" t="s">
        <v>575</v>
      </c>
      <c r="C4149" t="s">
        <v>69</v>
      </c>
      <c r="D4149" t="s">
        <v>22</v>
      </c>
      <c r="E4149" t="s">
        <v>18</v>
      </c>
      <c r="F4149" t="s">
        <v>1449</v>
      </c>
      <c r="G4149">
        <v>705193793</v>
      </c>
      <c r="H4149" s="1">
        <v>42709</v>
      </c>
      <c r="I4149">
        <v>1369</v>
      </c>
      <c r="J4149">
        <v>421.89</v>
      </c>
      <c r="K4149">
        <v>364.69</v>
      </c>
      <c r="L4149">
        <v>577567.41</v>
      </c>
      <c r="M4149">
        <v>499260.61</v>
      </c>
      <c r="N4149">
        <v>78306.8</v>
      </c>
    </row>
    <row r="4150" spans="1:14" x14ac:dyDescent="0.25">
      <c r="A4150" t="s">
        <v>38</v>
      </c>
      <c r="B4150" t="s">
        <v>117</v>
      </c>
      <c r="C4150" t="s">
        <v>131</v>
      </c>
      <c r="D4150" t="s">
        <v>22</v>
      </c>
      <c r="E4150" t="s">
        <v>32</v>
      </c>
      <c r="F4150" t="s">
        <v>1614</v>
      </c>
      <c r="G4150">
        <v>343847024</v>
      </c>
      <c r="H4150" s="1">
        <v>40309</v>
      </c>
      <c r="I4150">
        <v>830</v>
      </c>
      <c r="J4150">
        <v>668.27</v>
      </c>
      <c r="K4150">
        <v>502.54</v>
      </c>
      <c r="L4150">
        <v>554664.1</v>
      </c>
      <c r="M4150">
        <v>417108.2</v>
      </c>
      <c r="N4150">
        <v>137555.9</v>
      </c>
    </row>
    <row r="4151" spans="1:14" x14ac:dyDescent="0.25">
      <c r="A4151" t="s">
        <v>51</v>
      </c>
      <c r="B4151" t="s">
        <v>129</v>
      </c>
      <c r="C4151" t="s">
        <v>59</v>
      </c>
      <c r="D4151" t="s">
        <v>22</v>
      </c>
      <c r="E4151" t="s">
        <v>45</v>
      </c>
      <c r="F4151" t="s">
        <v>798</v>
      </c>
      <c r="G4151">
        <v>784021556</v>
      </c>
      <c r="H4151" s="1">
        <v>41317</v>
      </c>
      <c r="I4151">
        <v>8256</v>
      </c>
      <c r="J4151">
        <v>437.2</v>
      </c>
      <c r="K4151">
        <v>263.33</v>
      </c>
      <c r="L4151">
        <v>3609523.2</v>
      </c>
      <c r="M4151">
        <v>2174052.48</v>
      </c>
      <c r="N4151">
        <v>1435470.72</v>
      </c>
    </row>
    <row r="4152" spans="1:14" x14ac:dyDescent="0.25">
      <c r="A4152" t="s">
        <v>51</v>
      </c>
      <c r="B4152" t="s">
        <v>350</v>
      </c>
      <c r="C4152" t="s">
        <v>55</v>
      </c>
      <c r="D4152" t="s">
        <v>22</v>
      </c>
      <c r="E4152" t="s">
        <v>18</v>
      </c>
      <c r="F4152" s="1">
        <v>42196</v>
      </c>
      <c r="G4152">
        <v>517953717</v>
      </c>
      <c r="H4152" t="s">
        <v>1032</v>
      </c>
      <c r="I4152">
        <v>2870</v>
      </c>
      <c r="J4152">
        <v>651.21</v>
      </c>
      <c r="K4152">
        <v>524.96</v>
      </c>
      <c r="L4152">
        <v>1868972.7</v>
      </c>
      <c r="M4152">
        <v>1506635.2</v>
      </c>
      <c r="N4152">
        <v>362337.5</v>
      </c>
    </row>
    <row r="4153" spans="1:14" x14ac:dyDescent="0.25">
      <c r="A4153" t="s">
        <v>29</v>
      </c>
      <c r="B4153" t="s">
        <v>243</v>
      </c>
      <c r="C4153" t="s">
        <v>59</v>
      </c>
      <c r="D4153" t="s">
        <v>17</v>
      </c>
      <c r="E4153" t="s">
        <v>32</v>
      </c>
      <c r="F4153" t="s">
        <v>1409</v>
      </c>
      <c r="G4153">
        <v>808192336</v>
      </c>
      <c r="H4153" s="1">
        <v>40675</v>
      </c>
      <c r="I4153">
        <v>927</v>
      </c>
      <c r="J4153">
        <v>437.2</v>
      </c>
      <c r="K4153">
        <v>263.33</v>
      </c>
      <c r="L4153">
        <v>405284.4</v>
      </c>
      <c r="M4153">
        <v>244106.91</v>
      </c>
      <c r="N4153">
        <v>161177.49</v>
      </c>
    </row>
    <row r="4154" spans="1:14" x14ac:dyDescent="0.25">
      <c r="A4154" t="s">
        <v>42</v>
      </c>
      <c r="B4154" t="s">
        <v>290</v>
      </c>
      <c r="C4154" t="s">
        <v>44</v>
      </c>
      <c r="D4154" t="s">
        <v>22</v>
      </c>
      <c r="E4154" t="s">
        <v>45</v>
      </c>
      <c r="F4154" s="1">
        <v>41522</v>
      </c>
      <c r="G4154">
        <v>737598741</v>
      </c>
      <c r="H4154" s="1">
        <v>41553</v>
      </c>
      <c r="I4154">
        <v>713</v>
      </c>
      <c r="J4154">
        <v>109.28</v>
      </c>
      <c r="K4154">
        <v>35.840000000000003</v>
      </c>
      <c r="L4154">
        <v>77916.639999999999</v>
      </c>
      <c r="M4154">
        <v>25553.919999999998</v>
      </c>
      <c r="N4154">
        <v>52362.720000000001</v>
      </c>
    </row>
    <row r="4155" spans="1:14" x14ac:dyDescent="0.25">
      <c r="A4155" t="s">
        <v>51</v>
      </c>
      <c r="B4155" t="s">
        <v>100</v>
      </c>
      <c r="C4155" t="s">
        <v>44</v>
      </c>
      <c r="D4155" t="s">
        <v>17</v>
      </c>
      <c r="E4155" t="s">
        <v>18</v>
      </c>
      <c r="F4155" s="1">
        <v>41436</v>
      </c>
      <c r="G4155">
        <v>359346759</v>
      </c>
      <c r="H4155" s="1">
        <v>41528</v>
      </c>
      <c r="I4155">
        <v>7546</v>
      </c>
      <c r="J4155">
        <v>109.28</v>
      </c>
      <c r="K4155">
        <v>35.840000000000003</v>
      </c>
      <c r="L4155">
        <v>824626.88</v>
      </c>
      <c r="M4155">
        <v>270448.64000000001</v>
      </c>
      <c r="N4155">
        <v>554178.24</v>
      </c>
    </row>
    <row r="4156" spans="1:14" x14ac:dyDescent="0.25">
      <c r="A4156" t="s">
        <v>25</v>
      </c>
      <c r="B4156" t="s">
        <v>374</v>
      </c>
      <c r="C4156" t="s">
        <v>55</v>
      </c>
      <c r="D4156" t="s">
        <v>17</v>
      </c>
      <c r="E4156" t="s">
        <v>45</v>
      </c>
      <c r="F4156" t="s">
        <v>1504</v>
      </c>
      <c r="G4156">
        <v>246922719</v>
      </c>
      <c r="H4156" t="s">
        <v>804</v>
      </c>
      <c r="I4156">
        <v>8775</v>
      </c>
      <c r="J4156">
        <v>651.21</v>
      </c>
      <c r="K4156">
        <v>524.96</v>
      </c>
      <c r="L4156">
        <v>5714367.75</v>
      </c>
      <c r="M4156">
        <v>4606524</v>
      </c>
      <c r="N4156">
        <v>1107843.75</v>
      </c>
    </row>
    <row r="4157" spans="1:14" x14ac:dyDescent="0.25">
      <c r="A4157" t="s">
        <v>51</v>
      </c>
      <c r="B4157" t="s">
        <v>664</v>
      </c>
      <c r="C4157" t="s">
        <v>31</v>
      </c>
      <c r="D4157" t="s">
        <v>17</v>
      </c>
      <c r="E4157" t="s">
        <v>45</v>
      </c>
      <c r="F4157" t="s">
        <v>509</v>
      </c>
      <c r="G4157">
        <v>144125449</v>
      </c>
      <c r="H4157" t="s">
        <v>224</v>
      </c>
      <c r="I4157">
        <v>8778</v>
      </c>
      <c r="J4157">
        <v>205.7</v>
      </c>
      <c r="K4157">
        <v>117.11</v>
      </c>
      <c r="L4157">
        <v>1805634.6</v>
      </c>
      <c r="M4157">
        <v>1027991.58</v>
      </c>
      <c r="N4157">
        <v>777643.02</v>
      </c>
    </row>
    <row r="4158" spans="1:14" x14ac:dyDescent="0.25">
      <c r="A4158" t="s">
        <v>25</v>
      </c>
      <c r="B4158" t="s">
        <v>569</v>
      </c>
      <c r="C4158" t="s">
        <v>21</v>
      </c>
      <c r="D4158" t="s">
        <v>22</v>
      </c>
      <c r="E4158" t="s">
        <v>32</v>
      </c>
      <c r="F4158" s="1">
        <v>41557</v>
      </c>
      <c r="G4158">
        <v>315066277</v>
      </c>
      <c r="H4158" t="s">
        <v>1816</v>
      </c>
      <c r="I4158">
        <v>3968</v>
      </c>
      <c r="J4158">
        <v>152.58000000000001</v>
      </c>
      <c r="K4158">
        <v>97.44</v>
      </c>
      <c r="L4158">
        <v>605437.43999999994</v>
      </c>
      <c r="M4158">
        <v>386641.91999999998</v>
      </c>
      <c r="N4158">
        <v>218795.51999999999</v>
      </c>
    </row>
    <row r="4159" spans="1:14" x14ac:dyDescent="0.25">
      <c r="A4159" t="s">
        <v>42</v>
      </c>
      <c r="B4159" t="s">
        <v>573</v>
      </c>
      <c r="C4159" t="s">
        <v>27</v>
      </c>
      <c r="D4159" t="s">
        <v>17</v>
      </c>
      <c r="E4159" t="s">
        <v>23</v>
      </c>
      <c r="F4159" t="s">
        <v>1817</v>
      </c>
      <c r="G4159">
        <v>194169032</v>
      </c>
      <c r="H4159" s="1">
        <v>42678</v>
      </c>
      <c r="I4159">
        <v>7786</v>
      </c>
      <c r="J4159">
        <v>47.45</v>
      </c>
      <c r="K4159">
        <v>31.79</v>
      </c>
      <c r="L4159">
        <v>369445.7</v>
      </c>
      <c r="M4159">
        <v>247516.94</v>
      </c>
      <c r="N4159">
        <v>121928.76</v>
      </c>
    </row>
    <row r="4160" spans="1:14" x14ac:dyDescent="0.25">
      <c r="A4160" t="s">
        <v>51</v>
      </c>
      <c r="B4160" t="s">
        <v>250</v>
      </c>
      <c r="C4160" t="s">
        <v>59</v>
      </c>
      <c r="D4160" t="s">
        <v>22</v>
      </c>
      <c r="E4160" t="s">
        <v>32</v>
      </c>
      <c r="F4160" s="1">
        <v>42558</v>
      </c>
      <c r="G4160">
        <v>636170041</v>
      </c>
      <c r="H4160" s="1">
        <v>42468</v>
      </c>
      <c r="I4160">
        <v>5707</v>
      </c>
      <c r="J4160">
        <v>437.2</v>
      </c>
      <c r="K4160">
        <v>263.33</v>
      </c>
      <c r="L4160">
        <v>2495100.4</v>
      </c>
      <c r="M4160">
        <v>1502824.31</v>
      </c>
      <c r="N4160">
        <v>992276.09</v>
      </c>
    </row>
    <row r="4161" spans="1:14" x14ac:dyDescent="0.25">
      <c r="A4161" t="s">
        <v>25</v>
      </c>
      <c r="B4161" t="s">
        <v>434</v>
      </c>
      <c r="C4161" t="s">
        <v>131</v>
      </c>
      <c r="D4161" t="s">
        <v>22</v>
      </c>
      <c r="E4161" t="s">
        <v>23</v>
      </c>
      <c r="F4161" s="1">
        <v>40431</v>
      </c>
      <c r="G4161">
        <v>766118133</v>
      </c>
      <c r="H4161" s="1">
        <v>40461</v>
      </c>
      <c r="I4161">
        <v>235</v>
      </c>
      <c r="J4161">
        <v>668.27</v>
      </c>
      <c r="K4161">
        <v>502.54</v>
      </c>
      <c r="L4161">
        <v>157043.45000000001</v>
      </c>
      <c r="M4161">
        <v>118096.9</v>
      </c>
      <c r="N4161">
        <v>38946.550000000003</v>
      </c>
    </row>
    <row r="4162" spans="1:14" x14ac:dyDescent="0.25">
      <c r="A4162" t="s">
        <v>38</v>
      </c>
      <c r="B4162" t="s">
        <v>584</v>
      </c>
      <c r="C4162" t="s">
        <v>88</v>
      </c>
      <c r="D4162" t="s">
        <v>22</v>
      </c>
      <c r="E4162" t="s">
        <v>18</v>
      </c>
      <c r="F4162" s="1">
        <v>40852</v>
      </c>
      <c r="G4162">
        <v>229374635</v>
      </c>
      <c r="H4162" t="s">
        <v>1651</v>
      </c>
      <c r="I4162">
        <v>5906</v>
      </c>
      <c r="J4162">
        <v>9.33</v>
      </c>
      <c r="K4162">
        <v>6.92</v>
      </c>
      <c r="L4162">
        <v>55102.98</v>
      </c>
      <c r="M4162">
        <v>40869.519999999997</v>
      </c>
      <c r="N4162">
        <v>14233.46</v>
      </c>
    </row>
    <row r="4163" spans="1:14" x14ac:dyDescent="0.25">
      <c r="A4163" t="s">
        <v>51</v>
      </c>
      <c r="B4163" t="s">
        <v>129</v>
      </c>
      <c r="C4163" t="s">
        <v>131</v>
      </c>
      <c r="D4163" t="s">
        <v>17</v>
      </c>
      <c r="E4163" t="s">
        <v>23</v>
      </c>
      <c r="F4163" s="1">
        <v>40978</v>
      </c>
      <c r="G4163">
        <v>541613376</v>
      </c>
      <c r="H4163" s="1">
        <v>41223</v>
      </c>
      <c r="I4163">
        <v>4289</v>
      </c>
      <c r="J4163">
        <v>668.27</v>
      </c>
      <c r="K4163">
        <v>502.54</v>
      </c>
      <c r="L4163">
        <v>2866210.03</v>
      </c>
      <c r="M4163">
        <v>2155394.06</v>
      </c>
      <c r="N4163">
        <v>710815.97</v>
      </c>
    </row>
    <row r="4164" spans="1:14" x14ac:dyDescent="0.25">
      <c r="A4164" t="s">
        <v>25</v>
      </c>
      <c r="B4164" t="s">
        <v>185</v>
      </c>
      <c r="C4164" t="s">
        <v>44</v>
      </c>
      <c r="D4164" t="s">
        <v>22</v>
      </c>
      <c r="E4164" t="s">
        <v>32</v>
      </c>
      <c r="F4164" s="1">
        <v>40428</v>
      </c>
      <c r="G4164">
        <v>138820683</v>
      </c>
      <c r="H4164" s="1">
        <v>40428</v>
      </c>
      <c r="I4164">
        <v>8980</v>
      </c>
      <c r="J4164">
        <v>109.28</v>
      </c>
      <c r="K4164">
        <v>35.840000000000003</v>
      </c>
      <c r="L4164">
        <v>981334.4</v>
      </c>
      <c r="M4164">
        <v>321843.20000000001</v>
      </c>
      <c r="N4164">
        <v>659491.19999999995</v>
      </c>
    </row>
    <row r="4165" spans="1:14" x14ac:dyDescent="0.25">
      <c r="A4165" t="s">
        <v>14</v>
      </c>
      <c r="B4165" t="s">
        <v>835</v>
      </c>
      <c r="C4165" t="s">
        <v>16</v>
      </c>
      <c r="D4165" t="s">
        <v>17</v>
      </c>
      <c r="E4165" t="s">
        <v>45</v>
      </c>
      <c r="F4165" t="s">
        <v>688</v>
      </c>
      <c r="G4165">
        <v>227295386</v>
      </c>
      <c r="H4165" s="1">
        <v>41069</v>
      </c>
      <c r="I4165">
        <v>611</v>
      </c>
      <c r="J4165">
        <v>255.28</v>
      </c>
      <c r="K4165">
        <v>159.41999999999999</v>
      </c>
      <c r="L4165">
        <v>155976.07999999999</v>
      </c>
      <c r="M4165">
        <v>97405.62</v>
      </c>
      <c r="N4165">
        <v>58570.46</v>
      </c>
    </row>
    <row r="4166" spans="1:14" x14ac:dyDescent="0.25">
      <c r="A4166" t="s">
        <v>25</v>
      </c>
      <c r="B4166" t="s">
        <v>112</v>
      </c>
      <c r="C4166" t="s">
        <v>31</v>
      </c>
      <c r="D4166" t="s">
        <v>17</v>
      </c>
      <c r="E4166" t="s">
        <v>18</v>
      </c>
      <c r="F4166" t="s">
        <v>402</v>
      </c>
      <c r="G4166">
        <v>733648812</v>
      </c>
      <c r="H4166" t="s">
        <v>913</v>
      </c>
      <c r="I4166">
        <v>1842</v>
      </c>
      <c r="J4166">
        <v>205.7</v>
      </c>
      <c r="K4166">
        <v>117.11</v>
      </c>
      <c r="L4166">
        <v>378899.4</v>
      </c>
      <c r="M4166">
        <v>215716.62</v>
      </c>
      <c r="N4166">
        <v>163182.78</v>
      </c>
    </row>
    <row r="4167" spans="1:14" x14ac:dyDescent="0.25">
      <c r="A4167" t="s">
        <v>51</v>
      </c>
      <c r="B4167" t="s">
        <v>360</v>
      </c>
      <c r="C4167" t="s">
        <v>55</v>
      </c>
      <c r="D4167" t="s">
        <v>17</v>
      </c>
      <c r="E4167" t="s">
        <v>45</v>
      </c>
      <c r="F4167" t="s">
        <v>1586</v>
      </c>
      <c r="G4167">
        <v>754804790</v>
      </c>
      <c r="H4167" t="s">
        <v>727</v>
      </c>
      <c r="I4167">
        <v>2366</v>
      </c>
      <c r="J4167">
        <v>651.21</v>
      </c>
      <c r="K4167">
        <v>524.96</v>
      </c>
      <c r="L4167">
        <v>1540762.86</v>
      </c>
      <c r="M4167">
        <v>1242055.3600000001</v>
      </c>
      <c r="N4167">
        <v>298707.5</v>
      </c>
    </row>
    <row r="4168" spans="1:14" x14ac:dyDescent="0.25">
      <c r="A4168" t="s">
        <v>29</v>
      </c>
      <c r="B4168" t="s">
        <v>440</v>
      </c>
      <c r="C4168" t="s">
        <v>113</v>
      </c>
      <c r="D4168" t="s">
        <v>22</v>
      </c>
      <c r="E4168" t="s">
        <v>32</v>
      </c>
      <c r="F4168" t="s">
        <v>1219</v>
      </c>
      <c r="G4168">
        <v>807999646</v>
      </c>
      <c r="H4168" s="1">
        <v>40970</v>
      </c>
      <c r="I4168">
        <v>3906</v>
      </c>
      <c r="J4168">
        <v>154.06</v>
      </c>
      <c r="K4168">
        <v>90.93</v>
      </c>
      <c r="L4168">
        <v>601758.36</v>
      </c>
      <c r="M4168">
        <v>355172.58</v>
      </c>
      <c r="N4168">
        <v>246585.78</v>
      </c>
    </row>
    <row r="4169" spans="1:14" x14ac:dyDescent="0.25">
      <c r="A4169" t="s">
        <v>25</v>
      </c>
      <c r="B4169" t="s">
        <v>339</v>
      </c>
      <c r="C4169" t="s">
        <v>55</v>
      </c>
      <c r="D4169" t="s">
        <v>17</v>
      </c>
      <c r="E4169" t="s">
        <v>23</v>
      </c>
      <c r="F4169" t="s">
        <v>1212</v>
      </c>
      <c r="G4169">
        <v>580782210</v>
      </c>
      <c r="H4169" t="s">
        <v>1700</v>
      </c>
      <c r="I4169">
        <v>5217</v>
      </c>
      <c r="J4169">
        <v>651.21</v>
      </c>
      <c r="K4169">
        <v>524.96</v>
      </c>
      <c r="L4169">
        <v>3397362.57</v>
      </c>
      <c r="M4169">
        <v>2738716.32</v>
      </c>
      <c r="N4169">
        <v>658646.25</v>
      </c>
    </row>
    <row r="4170" spans="1:14" x14ac:dyDescent="0.25">
      <c r="A4170" t="s">
        <v>14</v>
      </c>
      <c r="B4170" t="s">
        <v>370</v>
      </c>
      <c r="C4170" t="s">
        <v>40</v>
      </c>
      <c r="D4170" t="s">
        <v>22</v>
      </c>
      <c r="E4170" t="s">
        <v>23</v>
      </c>
      <c r="F4170" t="s">
        <v>366</v>
      </c>
      <c r="G4170">
        <v>281013810</v>
      </c>
      <c r="H4170" s="1">
        <v>40456</v>
      </c>
      <c r="I4170">
        <v>7086</v>
      </c>
      <c r="J4170">
        <v>81.73</v>
      </c>
      <c r="K4170">
        <v>56.67</v>
      </c>
      <c r="L4170">
        <v>579138.78</v>
      </c>
      <c r="M4170">
        <v>401563.62</v>
      </c>
      <c r="N4170">
        <v>177575.16</v>
      </c>
    </row>
    <row r="4171" spans="1:14" x14ac:dyDescent="0.25">
      <c r="A4171" t="s">
        <v>29</v>
      </c>
      <c r="B4171" t="s">
        <v>159</v>
      </c>
      <c r="C4171" t="s">
        <v>88</v>
      </c>
      <c r="D4171" t="s">
        <v>17</v>
      </c>
      <c r="E4171" t="s">
        <v>23</v>
      </c>
      <c r="F4171" s="1">
        <v>42317</v>
      </c>
      <c r="G4171">
        <v>186868274</v>
      </c>
      <c r="H4171" s="1">
        <v>42347</v>
      </c>
      <c r="I4171">
        <v>7330</v>
      </c>
      <c r="J4171">
        <v>9.33</v>
      </c>
      <c r="K4171">
        <v>6.92</v>
      </c>
      <c r="L4171">
        <v>68388.899999999994</v>
      </c>
      <c r="M4171">
        <v>50723.6</v>
      </c>
      <c r="N4171">
        <v>17665.3</v>
      </c>
    </row>
    <row r="4172" spans="1:14" x14ac:dyDescent="0.25">
      <c r="A4172" t="s">
        <v>51</v>
      </c>
      <c r="B4172" t="s">
        <v>525</v>
      </c>
      <c r="C4172" t="s">
        <v>113</v>
      </c>
      <c r="D4172" t="s">
        <v>22</v>
      </c>
      <c r="E4172" t="s">
        <v>18</v>
      </c>
      <c r="F4172" s="1">
        <v>41251</v>
      </c>
      <c r="G4172">
        <v>196831929</v>
      </c>
      <c r="H4172" t="s">
        <v>517</v>
      </c>
      <c r="I4172">
        <v>5797</v>
      </c>
      <c r="J4172">
        <v>154.06</v>
      </c>
      <c r="K4172">
        <v>90.93</v>
      </c>
      <c r="L4172">
        <v>893085.82</v>
      </c>
      <c r="M4172">
        <v>527121.21</v>
      </c>
      <c r="N4172">
        <v>365964.61</v>
      </c>
    </row>
    <row r="4173" spans="1:14" x14ac:dyDescent="0.25">
      <c r="A4173" t="s">
        <v>25</v>
      </c>
      <c r="B4173" t="s">
        <v>343</v>
      </c>
      <c r="C4173" t="s">
        <v>16</v>
      </c>
      <c r="D4173" t="s">
        <v>22</v>
      </c>
      <c r="E4173" t="s">
        <v>23</v>
      </c>
      <c r="F4173" s="1">
        <v>40179</v>
      </c>
      <c r="G4173">
        <v>279703605</v>
      </c>
      <c r="H4173" s="1">
        <v>40452</v>
      </c>
      <c r="I4173">
        <v>9367</v>
      </c>
      <c r="J4173">
        <v>255.28</v>
      </c>
      <c r="K4173">
        <v>159.41999999999999</v>
      </c>
      <c r="L4173">
        <v>2391207.7599999998</v>
      </c>
      <c r="M4173">
        <v>1493287.14</v>
      </c>
      <c r="N4173">
        <v>897920.62</v>
      </c>
    </row>
    <row r="4174" spans="1:14" x14ac:dyDescent="0.25">
      <c r="A4174" t="s">
        <v>38</v>
      </c>
      <c r="B4174" t="s">
        <v>54</v>
      </c>
      <c r="C4174" t="s">
        <v>16</v>
      </c>
      <c r="D4174" t="s">
        <v>22</v>
      </c>
      <c r="E4174" t="s">
        <v>18</v>
      </c>
      <c r="F4174" s="1">
        <v>40425</v>
      </c>
      <c r="G4174">
        <v>924594628</v>
      </c>
      <c r="H4174" s="1">
        <v>40516</v>
      </c>
      <c r="I4174">
        <v>6952</v>
      </c>
      <c r="J4174">
        <v>255.28</v>
      </c>
      <c r="K4174">
        <v>159.41999999999999</v>
      </c>
      <c r="L4174">
        <v>1774706.56</v>
      </c>
      <c r="M4174">
        <v>1108287.8400000001</v>
      </c>
      <c r="N4174">
        <v>666418.72</v>
      </c>
    </row>
    <row r="4175" spans="1:14" x14ac:dyDescent="0.25">
      <c r="A4175" t="s">
        <v>38</v>
      </c>
      <c r="B4175" t="s">
        <v>451</v>
      </c>
      <c r="C4175" t="s">
        <v>55</v>
      </c>
      <c r="D4175" t="s">
        <v>17</v>
      </c>
      <c r="E4175" t="s">
        <v>23</v>
      </c>
      <c r="F4175" s="1">
        <v>41549</v>
      </c>
      <c r="G4175">
        <v>890928828</v>
      </c>
      <c r="H4175" s="1">
        <v>41308</v>
      </c>
      <c r="I4175">
        <v>4494</v>
      </c>
      <c r="J4175">
        <v>651.21</v>
      </c>
      <c r="K4175">
        <v>524.96</v>
      </c>
      <c r="L4175">
        <v>2926537.74</v>
      </c>
      <c r="M4175">
        <v>2359170.2400000002</v>
      </c>
      <c r="N4175">
        <v>567367.5</v>
      </c>
    </row>
    <row r="4176" spans="1:14" x14ac:dyDescent="0.25">
      <c r="A4176" t="s">
        <v>29</v>
      </c>
      <c r="B4176" t="s">
        <v>485</v>
      </c>
      <c r="C4176" t="s">
        <v>44</v>
      </c>
      <c r="D4176" t="s">
        <v>17</v>
      </c>
      <c r="E4176" t="s">
        <v>23</v>
      </c>
      <c r="F4176" t="s">
        <v>735</v>
      </c>
      <c r="G4176">
        <v>358442533</v>
      </c>
      <c r="H4176" t="s">
        <v>962</v>
      </c>
      <c r="I4176">
        <v>9966</v>
      </c>
      <c r="J4176">
        <v>109.28</v>
      </c>
      <c r="K4176">
        <v>35.840000000000003</v>
      </c>
      <c r="L4176">
        <v>1089084.48</v>
      </c>
      <c r="M4176">
        <v>357181.44</v>
      </c>
      <c r="N4176">
        <v>731903.04</v>
      </c>
    </row>
    <row r="4177" spans="1:14" x14ac:dyDescent="0.25">
      <c r="A4177" t="s">
        <v>42</v>
      </c>
      <c r="B4177" t="s">
        <v>107</v>
      </c>
      <c r="C4177" t="s">
        <v>16</v>
      </c>
      <c r="D4177" t="s">
        <v>17</v>
      </c>
      <c r="E4177" t="s">
        <v>18</v>
      </c>
      <c r="F4177" s="1">
        <v>40703</v>
      </c>
      <c r="G4177">
        <v>477184569</v>
      </c>
      <c r="H4177" t="s">
        <v>602</v>
      </c>
      <c r="I4177">
        <v>8373</v>
      </c>
      <c r="J4177">
        <v>255.28</v>
      </c>
      <c r="K4177">
        <v>159.41999999999999</v>
      </c>
      <c r="L4177">
        <v>2137459.44</v>
      </c>
      <c r="M4177">
        <v>1334823.6599999999</v>
      </c>
      <c r="N4177">
        <v>802635.78</v>
      </c>
    </row>
    <row r="4178" spans="1:14" x14ac:dyDescent="0.25">
      <c r="A4178" t="s">
        <v>51</v>
      </c>
      <c r="B4178" t="s">
        <v>115</v>
      </c>
      <c r="C4178" t="s">
        <v>40</v>
      </c>
      <c r="D4178" t="s">
        <v>17</v>
      </c>
      <c r="E4178" t="s">
        <v>18</v>
      </c>
      <c r="F4178" t="s">
        <v>1161</v>
      </c>
      <c r="G4178">
        <v>217516267</v>
      </c>
      <c r="H4178" t="s">
        <v>1520</v>
      </c>
      <c r="I4178">
        <v>6752</v>
      </c>
      <c r="J4178">
        <v>81.73</v>
      </c>
      <c r="K4178">
        <v>56.67</v>
      </c>
      <c r="L4178">
        <v>551840.96</v>
      </c>
      <c r="M4178">
        <v>382635.84</v>
      </c>
      <c r="N4178">
        <v>169205.12</v>
      </c>
    </row>
    <row r="4179" spans="1:14" x14ac:dyDescent="0.25">
      <c r="A4179" t="s">
        <v>51</v>
      </c>
      <c r="B4179" t="s">
        <v>258</v>
      </c>
      <c r="C4179" t="s">
        <v>31</v>
      </c>
      <c r="D4179" t="s">
        <v>17</v>
      </c>
      <c r="E4179" t="s">
        <v>32</v>
      </c>
      <c r="F4179" t="s">
        <v>878</v>
      </c>
      <c r="G4179">
        <v>420111453</v>
      </c>
      <c r="H4179" s="1">
        <v>43010</v>
      </c>
      <c r="I4179">
        <v>9170</v>
      </c>
      <c r="J4179">
        <v>205.7</v>
      </c>
      <c r="K4179">
        <v>117.11</v>
      </c>
      <c r="L4179">
        <v>1886269</v>
      </c>
      <c r="M4179">
        <v>1073898.7</v>
      </c>
      <c r="N4179">
        <v>812370.3</v>
      </c>
    </row>
    <row r="4180" spans="1:14" x14ac:dyDescent="0.25">
      <c r="A4180" t="s">
        <v>25</v>
      </c>
      <c r="B4180" t="s">
        <v>218</v>
      </c>
      <c r="C4180" t="s">
        <v>16</v>
      </c>
      <c r="D4180" t="s">
        <v>22</v>
      </c>
      <c r="E4180" t="s">
        <v>45</v>
      </c>
      <c r="F4180" t="s">
        <v>1322</v>
      </c>
      <c r="G4180">
        <v>645956456</v>
      </c>
      <c r="H4180" s="1">
        <v>42586</v>
      </c>
      <c r="I4180">
        <v>1725</v>
      </c>
      <c r="J4180">
        <v>255.28</v>
      </c>
      <c r="K4180">
        <v>159.41999999999999</v>
      </c>
      <c r="L4180">
        <v>440358</v>
      </c>
      <c r="M4180">
        <v>274999.5</v>
      </c>
      <c r="N4180">
        <v>165358.5</v>
      </c>
    </row>
    <row r="4181" spans="1:14" x14ac:dyDescent="0.25">
      <c r="A4181" t="s">
        <v>25</v>
      </c>
      <c r="B4181" t="s">
        <v>96</v>
      </c>
      <c r="C4181" t="s">
        <v>44</v>
      </c>
      <c r="D4181" t="s">
        <v>22</v>
      </c>
      <c r="E4181" t="s">
        <v>18</v>
      </c>
      <c r="F4181" t="s">
        <v>1425</v>
      </c>
      <c r="G4181">
        <v>526350104</v>
      </c>
      <c r="H4181" s="1">
        <v>40645</v>
      </c>
      <c r="I4181">
        <v>7547</v>
      </c>
      <c r="J4181">
        <v>109.28</v>
      </c>
      <c r="K4181">
        <v>35.840000000000003</v>
      </c>
      <c r="L4181">
        <v>824736.16</v>
      </c>
      <c r="M4181">
        <v>270484.47999999998</v>
      </c>
      <c r="N4181">
        <v>554251.68000000005</v>
      </c>
    </row>
    <row r="4182" spans="1:14" x14ac:dyDescent="0.25">
      <c r="A4182" t="s">
        <v>25</v>
      </c>
      <c r="B4182" t="s">
        <v>529</v>
      </c>
      <c r="C4182" t="s">
        <v>69</v>
      </c>
      <c r="D4182" t="s">
        <v>17</v>
      </c>
      <c r="E4182" t="s">
        <v>32</v>
      </c>
      <c r="F4182" t="s">
        <v>1669</v>
      </c>
      <c r="G4182">
        <v>212903726</v>
      </c>
      <c r="H4182" t="s">
        <v>1669</v>
      </c>
      <c r="I4182">
        <v>1798</v>
      </c>
      <c r="J4182">
        <v>421.89</v>
      </c>
      <c r="K4182">
        <v>364.69</v>
      </c>
      <c r="L4182">
        <v>758558.22</v>
      </c>
      <c r="M4182">
        <v>655712.62</v>
      </c>
      <c r="N4182">
        <v>102845.6</v>
      </c>
    </row>
    <row r="4183" spans="1:14" x14ac:dyDescent="0.25">
      <c r="A4183" t="s">
        <v>51</v>
      </c>
      <c r="B4183" t="s">
        <v>231</v>
      </c>
      <c r="C4183" t="s">
        <v>40</v>
      </c>
      <c r="D4183" t="s">
        <v>22</v>
      </c>
      <c r="E4183" t="s">
        <v>32</v>
      </c>
      <c r="F4183" s="1">
        <v>40883</v>
      </c>
      <c r="G4183">
        <v>827541148</v>
      </c>
      <c r="H4183" t="s">
        <v>554</v>
      </c>
      <c r="I4183">
        <v>6670</v>
      </c>
      <c r="J4183">
        <v>81.73</v>
      </c>
      <c r="K4183">
        <v>56.67</v>
      </c>
      <c r="L4183">
        <v>545139.1</v>
      </c>
      <c r="M4183">
        <v>377988.9</v>
      </c>
      <c r="N4183">
        <v>167150.20000000001</v>
      </c>
    </row>
    <row r="4184" spans="1:14" x14ac:dyDescent="0.25">
      <c r="A4184" t="s">
        <v>38</v>
      </c>
      <c r="B4184" t="s">
        <v>288</v>
      </c>
      <c r="C4184" t="s">
        <v>59</v>
      </c>
      <c r="D4184" t="s">
        <v>17</v>
      </c>
      <c r="E4184" t="s">
        <v>18</v>
      </c>
      <c r="F4184" s="1">
        <v>40513</v>
      </c>
      <c r="G4184">
        <v>412498700</v>
      </c>
      <c r="H4184" t="s">
        <v>600</v>
      </c>
      <c r="I4184">
        <v>6387</v>
      </c>
      <c r="J4184">
        <v>437.2</v>
      </c>
      <c r="K4184">
        <v>263.33</v>
      </c>
      <c r="L4184">
        <v>2792396.4</v>
      </c>
      <c r="M4184">
        <v>1681888.71</v>
      </c>
      <c r="N4184">
        <v>1110507.69</v>
      </c>
    </row>
    <row r="4185" spans="1:14" x14ac:dyDescent="0.25">
      <c r="A4185" t="s">
        <v>25</v>
      </c>
      <c r="B4185" t="s">
        <v>134</v>
      </c>
      <c r="C4185" t="s">
        <v>113</v>
      </c>
      <c r="D4185" t="s">
        <v>17</v>
      </c>
      <c r="E4185" t="s">
        <v>23</v>
      </c>
      <c r="F4185" t="s">
        <v>1818</v>
      </c>
      <c r="G4185">
        <v>680325210</v>
      </c>
      <c r="H4185" t="s">
        <v>1243</v>
      </c>
      <c r="I4185">
        <v>2203</v>
      </c>
      <c r="J4185">
        <v>154.06</v>
      </c>
      <c r="K4185">
        <v>90.93</v>
      </c>
      <c r="L4185">
        <v>339394.18</v>
      </c>
      <c r="M4185">
        <v>200318.79</v>
      </c>
      <c r="N4185">
        <v>139075.39000000001</v>
      </c>
    </row>
    <row r="4186" spans="1:14" x14ac:dyDescent="0.25">
      <c r="A4186" t="s">
        <v>25</v>
      </c>
      <c r="B4186" t="s">
        <v>239</v>
      </c>
      <c r="C4186" t="s">
        <v>27</v>
      </c>
      <c r="D4186" t="s">
        <v>17</v>
      </c>
      <c r="E4186" t="s">
        <v>18</v>
      </c>
      <c r="F4186" s="1">
        <v>40604</v>
      </c>
      <c r="G4186">
        <v>263882005</v>
      </c>
      <c r="H4186" t="s">
        <v>1798</v>
      </c>
      <c r="I4186">
        <v>7404</v>
      </c>
      <c r="J4186">
        <v>47.45</v>
      </c>
      <c r="K4186">
        <v>31.79</v>
      </c>
      <c r="L4186">
        <v>351319.8</v>
      </c>
      <c r="M4186">
        <v>235373.16</v>
      </c>
      <c r="N4186">
        <v>115946.64</v>
      </c>
    </row>
    <row r="4187" spans="1:14" x14ac:dyDescent="0.25">
      <c r="A4187" t="s">
        <v>38</v>
      </c>
      <c r="B4187" t="s">
        <v>85</v>
      </c>
      <c r="C4187" t="s">
        <v>31</v>
      </c>
      <c r="D4187" t="s">
        <v>22</v>
      </c>
      <c r="E4187" t="s">
        <v>18</v>
      </c>
      <c r="F4187" s="1">
        <v>40463</v>
      </c>
      <c r="G4187">
        <v>566342914</v>
      </c>
      <c r="H4187" t="s">
        <v>1631</v>
      </c>
      <c r="I4187">
        <v>2308</v>
      </c>
      <c r="J4187">
        <v>205.7</v>
      </c>
      <c r="K4187">
        <v>117.11</v>
      </c>
      <c r="L4187">
        <v>474755.6</v>
      </c>
      <c r="M4187">
        <v>270289.88</v>
      </c>
      <c r="N4187">
        <v>204465.72</v>
      </c>
    </row>
    <row r="4188" spans="1:14" x14ac:dyDescent="0.25">
      <c r="A4188" t="s">
        <v>51</v>
      </c>
      <c r="B4188" t="s">
        <v>182</v>
      </c>
      <c r="C4188" t="s">
        <v>69</v>
      </c>
      <c r="D4188" t="s">
        <v>17</v>
      </c>
      <c r="E4188" t="s">
        <v>18</v>
      </c>
      <c r="F4188" t="s">
        <v>1782</v>
      </c>
      <c r="G4188">
        <v>811194264</v>
      </c>
      <c r="H4188" s="1">
        <v>42101</v>
      </c>
      <c r="I4188">
        <v>9264</v>
      </c>
      <c r="J4188">
        <v>421.89</v>
      </c>
      <c r="K4188">
        <v>364.69</v>
      </c>
      <c r="L4188">
        <v>3908388.96</v>
      </c>
      <c r="M4188">
        <v>3378488.16</v>
      </c>
      <c r="N4188">
        <v>529900.80000000005</v>
      </c>
    </row>
    <row r="4189" spans="1:14" x14ac:dyDescent="0.25">
      <c r="A4189" t="s">
        <v>29</v>
      </c>
      <c r="B4189" t="s">
        <v>393</v>
      </c>
      <c r="C4189" t="s">
        <v>16</v>
      </c>
      <c r="D4189" t="s">
        <v>17</v>
      </c>
      <c r="E4189" t="s">
        <v>23</v>
      </c>
      <c r="F4189" s="1">
        <v>40976</v>
      </c>
      <c r="G4189">
        <v>292234885</v>
      </c>
      <c r="H4189" s="1">
        <v>41007</v>
      </c>
      <c r="I4189">
        <v>7651</v>
      </c>
      <c r="J4189">
        <v>255.28</v>
      </c>
      <c r="K4189">
        <v>159.41999999999999</v>
      </c>
      <c r="L4189">
        <v>1953147.28</v>
      </c>
      <c r="M4189">
        <v>1219722.42</v>
      </c>
      <c r="N4189">
        <v>733424.86</v>
      </c>
    </row>
    <row r="4190" spans="1:14" x14ac:dyDescent="0.25">
      <c r="A4190" t="s">
        <v>51</v>
      </c>
      <c r="B4190" t="s">
        <v>398</v>
      </c>
      <c r="C4190" t="s">
        <v>88</v>
      </c>
      <c r="D4190" t="s">
        <v>22</v>
      </c>
      <c r="E4190" t="s">
        <v>18</v>
      </c>
      <c r="F4190" t="s">
        <v>1203</v>
      </c>
      <c r="G4190">
        <v>623576104</v>
      </c>
      <c r="H4190" t="s">
        <v>1622</v>
      </c>
      <c r="I4190">
        <v>8881</v>
      </c>
      <c r="J4190">
        <v>9.33</v>
      </c>
      <c r="K4190">
        <v>6.92</v>
      </c>
      <c r="L4190">
        <v>82859.73</v>
      </c>
      <c r="M4190">
        <v>61456.52</v>
      </c>
      <c r="N4190">
        <v>21403.21</v>
      </c>
    </row>
    <row r="4191" spans="1:14" x14ac:dyDescent="0.25">
      <c r="A4191" t="s">
        <v>51</v>
      </c>
      <c r="B4191" t="s">
        <v>169</v>
      </c>
      <c r="C4191" t="s">
        <v>21</v>
      </c>
      <c r="D4191" t="s">
        <v>17</v>
      </c>
      <c r="E4191" t="s">
        <v>18</v>
      </c>
      <c r="F4191" s="1">
        <v>41739</v>
      </c>
      <c r="G4191">
        <v>789641749</v>
      </c>
      <c r="H4191" s="1">
        <v>41922</v>
      </c>
      <c r="I4191">
        <v>1396</v>
      </c>
      <c r="J4191">
        <v>152.58000000000001</v>
      </c>
      <c r="K4191">
        <v>97.44</v>
      </c>
      <c r="L4191">
        <v>213001.68</v>
      </c>
      <c r="M4191">
        <v>136026.23999999999</v>
      </c>
      <c r="N4191">
        <v>76975.44</v>
      </c>
    </row>
    <row r="4192" spans="1:14" x14ac:dyDescent="0.25">
      <c r="A4192" t="s">
        <v>25</v>
      </c>
      <c r="B4192" t="s">
        <v>239</v>
      </c>
      <c r="C4192" t="s">
        <v>88</v>
      </c>
      <c r="D4192" t="s">
        <v>22</v>
      </c>
      <c r="E4192" t="s">
        <v>32</v>
      </c>
      <c r="F4192" t="s">
        <v>1458</v>
      </c>
      <c r="G4192">
        <v>295168149</v>
      </c>
      <c r="H4192" t="s">
        <v>1046</v>
      </c>
      <c r="I4192">
        <v>5669</v>
      </c>
      <c r="J4192">
        <v>9.33</v>
      </c>
      <c r="K4192">
        <v>6.92</v>
      </c>
      <c r="L4192">
        <v>52891.77</v>
      </c>
      <c r="M4192">
        <v>39229.480000000003</v>
      </c>
      <c r="N4192">
        <v>13662.29</v>
      </c>
    </row>
    <row r="4193" spans="1:14" x14ac:dyDescent="0.25">
      <c r="A4193" t="s">
        <v>51</v>
      </c>
      <c r="B4193" t="s">
        <v>274</v>
      </c>
      <c r="C4193" t="s">
        <v>31</v>
      </c>
      <c r="D4193" t="s">
        <v>22</v>
      </c>
      <c r="E4193" t="s">
        <v>18</v>
      </c>
      <c r="F4193" s="1">
        <v>40611</v>
      </c>
      <c r="G4193">
        <v>515204131</v>
      </c>
      <c r="H4193" s="1">
        <v>40643</v>
      </c>
      <c r="I4193">
        <v>9206</v>
      </c>
      <c r="J4193">
        <v>205.7</v>
      </c>
      <c r="K4193">
        <v>117.11</v>
      </c>
      <c r="L4193">
        <v>1893674.2</v>
      </c>
      <c r="M4193">
        <v>1078114.6599999999</v>
      </c>
      <c r="N4193">
        <v>815559.54</v>
      </c>
    </row>
    <row r="4194" spans="1:14" x14ac:dyDescent="0.25">
      <c r="A4194" t="s">
        <v>25</v>
      </c>
      <c r="B4194" t="s">
        <v>462</v>
      </c>
      <c r="C4194" t="s">
        <v>69</v>
      </c>
      <c r="D4194" t="s">
        <v>22</v>
      </c>
      <c r="E4194" t="s">
        <v>23</v>
      </c>
      <c r="F4194" s="1">
        <v>42713</v>
      </c>
      <c r="G4194">
        <v>645111024</v>
      </c>
      <c r="H4194" t="s">
        <v>1301</v>
      </c>
      <c r="I4194">
        <v>1543</v>
      </c>
      <c r="J4194">
        <v>421.89</v>
      </c>
      <c r="K4194">
        <v>364.69</v>
      </c>
      <c r="L4194">
        <v>650976.27</v>
      </c>
      <c r="M4194">
        <v>562716.67000000004</v>
      </c>
      <c r="N4194">
        <v>88259.6</v>
      </c>
    </row>
    <row r="4195" spans="1:14" x14ac:dyDescent="0.25">
      <c r="A4195" t="s">
        <v>25</v>
      </c>
      <c r="B4195" t="s">
        <v>119</v>
      </c>
      <c r="C4195" t="s">
        <v>16</v>
      </c>
      <c r="D4195" t="s">
        <v>22</v>
      </c>
      <c r="E4195" t="s">
        <v>18</v>
      </c>
      <c r="F4195" s="1">
        <v>41951</v>
      </c>
      <c r="G4195">
        <v>850562655</v>
      </c>
      <c r="H4195" t="s">
        <v>1258</v>
      </c>
      <c r="I4195">
        <v>9246</v>
      </c>
      <c r="J4195">
        <v>255.28</v>
      </c>
      <c r="K4195">
        <v>159.41999999999999</v>
      </c>
      <c r="L4195">
        <v>2360318.88</v>
      </c>
      <c r="M4195">
        <v>1473997.32</v>
      </c>
      <c r="N4195">
        <v>886321.56</v>
      </c>
    </row>
    <row r="4196" spans="1:14" x14ac:dyDescent="0.25">
      <c r="A4196" t="s">
        <v>51</v>
      </c>
      <c r="B4196" t="s">
        <v>327</v>
      </c>
      <c r="C4196" t="s">
        <v>40</v>
      </c>
      <c r="D4196" t="s">
        <v>22</v>
      </c>
      <c r="E4196" t="s">
        <v>32</v>
      </c>
      <c r="F4196" t="s">
        <v>1344</v>
      </c>
      <c r="G4196">
        <v>917545354</v>
      </c>
      <c r="H4196" t="s">
        <v>698</v>
      </c>
      <c r="I4196">
        <v>915</v>
      </c>
      <c r="J4196">
        <v>81.73</v>
      </c>
      <c r="K4196">
        <v>56.67</v>
      </c>
      <c r="L4196">
        <v>74782.95</v>
      </c>
      <c r="M4196">
        <v>51853.05</v>
      </c>
      <c r="N4196">
        <v>22929.9</v>
      </c>
    </row>
    <row r="4197" spans="1:14" x14ac:dyDescent="0.25">
      <c r="A4197" t="s">
        <v>25</v>
      </c>
      <c r="B4197" t="s">
        <v>615</v>
      </c>
      <c r="C4197" t="s">
        <v>40</v>
      </c>
      <c r="D4197" t="s">
        <v>22</v>
      </c>
      <c r="E4197" t="s">
        <v>32</v>
      </c>
      <c r="F4197" s="1">
        <v>41760</v>
      </c>
      <c r="G4197">
        <v>702357947</v>
      </c>
      <c r="H4197" s="1">
        <v>41731</v>
      </c>
      <c r="I4197">
        <v>2179</v>
      </c>
      <c r="J4197">
        <v>81.73</v>
      </c>
      <c r="K4197">
        <v>56.67</v>
      </c>
      <c r="L4197">
        <v>178089.67</v>
      </c>
      <c r="M4197">
        <v>123483.93</v>
      </c>
      <c r="N4197">
        <v>54605.74</v>
      </c>
    </row>
    <row r="4198" spans="1:14" x14ac:dyDescent="0.25">
      <c r="A4198" t="s">
        <v>51</v>
      </c>
      <c r="B4198" t="s">
        <v>578</v>
      </c>
      <c r="C4198" t="s">
        <v>16</v>
      </c>
      <c r="D4198" t="s">
        <v>17</v>
      </c>
      <c r="E4198" t="s">
        <v>45</v>
      </c>
      <c r="F4198" t="s">
        <v>1731</v>
      </c>
      <c r="G4198">
        <v>581611764</v>
      </c>
      <c r="H4198" s="1">
        <v>42773</v>
      </c>
      <c r="I4198">
        <v>701</v>
      </c>
      <c r="J4198">
        <v>255.28</v>
      </c>
      <c r="K4198">
        <v>159.41999999999999</v>
      </c>
      <c r="L4198">
        <v>178951.28</v>
      </c>
      <c r="M4198">
        <v>111753.42</v>
      </c>
      <c r="N4198">
        <v>67197.86</v>
      </c>
    </row>
    <row r="4199" spans="1:14" x14ac:dyDescent="0.25">
      <c r="A4199" t="s">
        <v>25</v>
      </c>
      <c r="B4199" t="s">
        <v>96</v>
      </c>
      <c r="C4199" t="s">
        <v>44</v>
      </c>
      <c r="D4199" t="s">
        <v>17</v>
      </c>
      <c r="E4199" t="s">
        <v>32</v>
      </c>
      <c r="F4199" t="s">
        <v>1711</v>
      </c>
      <c r="G4199">
        <v>102230632</v>
      </c>
      <c r="H4199" t="s">
        <v>1178</v>
      </c>
      <c r="I4199">
        <v>1171</v>
      </c>
      <c r="J4199">
        <v>109.28</v>
      </c>
      <c r="K4199">
        <v>35.840000000000003</v>
      </c>
      <c r="L4199">
        <v>127966.88</v>
      </c>
      <c r="M4199">
        <v>41968.639999999999</v>
      </c>
      <c r="N4199">
        <v>85998.24</v>
      </c>
    </row>
    <row r="4200" spans="1:14" x14ac:dyDescent="0.25">
      <c r="A4200" t="s">
        <v>25</v>
      </c>
      <c r="B4200" t="s">
        <v>284</v>
      </c>
      <c r="C4200" t="s">
        <v>44</v>
      </c>
      <c r="D4200" t="s">
        <v>17</v>
      </c>
      <c r="E4200" t="s">
        <v>32</v>
      </c>
      <c r="F4200" s="1">
        <v>40238</v>
      </c>
      <c r="G4200">
        <v>231450879</v>
      </c>
      <c r="H4200" t="s">
        <v>1819</v>
      </c>
      <c r="I4200">
        <v>313</v>
      </c>
      <c r="J4200">
        <v>109.28</v>
      </c>
      <c r="K4200">
        <v>35.840000000000003</v>
      </c>
      <c r="L4200">
        <v>34204.639999999999</v>
      </c>
      <c r="M4200">
        <v>11217.92</v>
      </c>
      <c r="N4200">
        <v>22986.720000000001</v>
      </c>
    </row>
    <row r="4201" spans="1:14" x14ac:dyDescent="0.25">
      <c r="A4201" t="s">
        <v>51</v>
      </c>
      <c r="B4201" t="s">
        <v>305</v>
      </c>
      <c r="C4201" t="s">
        <v>27</v>
      </c>
      <c r="D4201" t="s">
        <v>17</v>
      </c>
      <c r="E4201" t="s">
        <v>32</v>
      </c>
      <c r="F4201" t="s">
        <v>1820</v>
      </c>
      <c r="G4201">
        <v>206821334</v>
      </c>
      <c r="H4201" s="1">
        <v>40607</v>
      </c>
      <c r="I4201">
        <v>1884</v>
      </c>
      <c r="J4201">
        <v>47.45</v>
      </c>
      <c r="K4201">
        <v>31.79</v>
      </c>
      <c r="L4201">
        <v>89395.8</v>
      </c>
      <c r="M4201">
        <v>59892.36</v>
      </c>
      <c r="N4201">
        <v>29503.439999999999</v>
      </c>
    </row>
    <row r="4202" spans="1:14" x14ac:dyDescent="0.25">
      <c r="A4202" t="s">
        <v>77</v>
      </c>
      <c r="B4202" t="s">
        <v>794</v>
      </c>
      <c r="C4202" t="s">
        <v>27</v>
      </c>
      <c r="D4202" t="s">
        <v>22</v>
      </c>
      <c r="E4202" t="s">
        <v>32</v>
      </c>
      <c r="F4202" s="1">
        <v>42225</v>
      </c>
      <c r="G4202">
        <v>686203324</v>
      </c>
      <c r="H4202" t="s">
        <v>1544</v>
      </c>
      <c r="I4202">
        <v>1667</v>
      </c>
      <c r="J4202">
        <v>47.45</v>
      </c>
      <c r="K4202">
        <v>31.79</v>
      </c>
      <c r="L4202">
        <v>79099.149999999994</v>
      </c>
      <c r="M4202">
        <v>52993.93</v>
      </c>
      <c r="N4202">
        <v>26105.22</v>
      </c>
    </row>
    <row r="4203" spans="1:14" x14ac:dyDescent="0.25">
      <c r="A4203" t="s">
        <v>29</v>
      </c>
      <c r="B4203" t="s">
        <v>61</v>
      </c>
      <c r="C4203" t="s">
        <v>55</v>
      </c>
      <c r="D4203" t="s">
        <v>17</v>
      </c>
      <c r="E4203" t="s">
        <v>32</v>
      </c>
      <c r="F4203" t="s">
        <v>457</v>
      </c>
      <c r="G4203">
        <v>597770678</v>
      </c>
      <c r="H4203" t="s">
        <v>1677</v>
      </c>
      <c r="I4203">
        <v>2482</v>
      </c>
      <c r="J4203">
        <v>651.21</v>
      </c>
      <c r="K4203">
        <v>524.96</v>
      </c>
      <c r="L4203">
        <v>1616303.22</v>
      </c>
      <c r="M4203">
        <v>1302950.72</v>
      </c>
      <c r="N4203">
        <v>313352.5</v>
      </c>
    </row>
    <row r="4204" spans="1:14" x14ac:dyDescent="0.25">
      <c r="A4204" t="s">
        <v>29</v>
      </c>
      <c r="B4204" t="s">
        <v>271</v>
      </c>
      <c r="C4204" t="s">
        <v>16</v>
      </c>
      <c r="D4204" t="s">
        <v>22</v>
      </c>
      <c r="E4204" t="s">
        <v>23</v>
      </c>
      <c r="F4204" s="1">
        <v>42434</v>
      </c>
      <c r="G4204">
        <v>290009725</v>
      </c>
      <c r="H4204" s="1">
        <v>42556</v>
      </c>
      <c r="I4204">
        <v>9177</v>
      </c>
      <c r="J4204">
        <v>255.28</v>
      </c>
      <c r="K4204">
        <v>159.41999999999999</v>
      </c>
      <c r="L4204">
        <v>2342704.56</v>
      </c>
      <c r="M4204">
        <v>1462997.34</v>
      </c>
      <c r="N4204">
        <v>879707.22</v>
      </c>
    </row>
    <row r="4205" spans="1:14" x14ac:dyDescent="0.25">
      <c r="A4205" t="s">
        <v>51</v>
      </c>
      <c r="B4205" t="s">
        <v>52</v>
      </c>
      <c r="C4205" t="s">
        <v>88</v>
      </c>
      <c r="D4205" t="s">
        <v>17</v>
      </c>
      <c r="E4205" t="s">
        <v>45</v>
      </c>
      <c r="F4205" t="s">
        <v>1033</v>
      </c>
      <c r="G4205">
        <v>181719291</v>
      </c>
      <c r="H4205" s="1">
        <v>40305</v>
      </c>
      <c r="I4205">
        <v>3631</v>
      </c>
      <c r="J4205">
        <v>9.33</v>
      </c>
      <c r="K4205">
        <v>6.92</v>
      </c>
      <c r="L4205">
        <v>33877.230000000003</v>
      </c>
      <c r="M4205">
        <v>25126.52</v>
      </c>
      <c r="N4205">
        <v>8750.7099999999991</v>
      </c>
    </row>
    <row r="4206" spans="1:14" x14ac:dyDescent="0.25">
      <c r="A4206" t="s">
        <v>51</v>
      </c>
      <c r="B4206" t="s">
        <v>166</v>
      </c>
      <c r="C4206" t="s">
        <v>69</v>
      </c>
      <c r="D4206" t="s">
        <v>17</v>
      </c>
      <c r="E4206" t="s">
        <v>32</v>
      </c>
      <c r="F4206" s="1">
        <v>40249</v>
      </c>
      <c r="G4206">
        <v>312010705</v>
      </c>
      <c r="H4206" t="s">
        <v>1110</v>
      </c>
      <c r="I4206">
        <v>9756</v>
      </c>
      <c r="J4206">
        <v>421.89</v>
      </c>
      <c r="K4206">
        <v>364.69</v>
      </c>
      <c r="L4206">
        <v>4115958.84</v>
      </c>
      <c r="M4206">
        <v>3557915.64</v>
      </c>
      <c r="N4206">
        <v>558043.19999999995</v>
      </c>
    </row>
    <row r="4207" spans="1:14" x14ac:dyDescent="0.25">
      <c r="A4207" t="s">
        <v>51</v>
      </c>
      <c r="B4207" t="s">
        <v>192</v>
      </c>
      <c r="C4207" t="s">
        <v>88</v>
      </c>
      <c r="D4207" t="s">
        <v>17</v>
      </c>
      <c r="E4207" t="s">
        <v>18</v>
      </c>
      <c r="F4207" s="1">
        <v>41372</v>
      </c>
      <c r="G4207">
        <v>790307796</v>
      </c>
      <c r="H4207" t="s">
        <v>981</v>
      </c>
      <c r="I4207">
        <v>8494</v>
      </c>
      <c r="J4207">
        <v>9.33</v>
      </c>
      <c r="K4207">
        <v>6.92</v>
      </c>
      <c r="L4207">
        <v>79249.02</v>
      </c>
      <c r="M4207">
        <v>58778.48</v>
      </c>
      <c r="N4207">
        <v>20470.54</v>
      </c>
    </row>
    <row r="4208" spans="1:14" x14ac:dyDescent="0.25">
      <c r="A4208" t="s">
        <v>51</v>
      </c>
      <c r="B4208" t="s">
        <v>129</v>
      </c>
      <c r="C4208" t="s">
        <v>69</v>
      </c>
      <c r="D4208" t="s">
        <v>22</v>
      </c>
      <c r="E4208" t="s">
        <v>23</v>
      </c>
      <c r="F4208" t="s">
        <v>1099</v>
      </c>
      <c r="G4208">
        <v>446346890</v>
      </c>
      <c r="H4208" t="s">
        <v>1610</v>
      </c>
      <c r="I4208">
        <v>2819</v>
      </c>
      <c r="J4208">
        <v>421.89</v>
      </c>
      <c r="K4208">
        <v>364.69</v>
      </c>
      <c r="L4208">
        <v>1189307.9099999999</v>
      </c>
      <c r="M4208">
        <v>1028061.11</v>
      </c>
      <c r="N4208">
        <v>161246.79999999999</v>
      </c>
    </row>
    <row r="4209" spans="1:14" x14ac:dyDescent="0.25">
      <c r="A4209" t="s">
        <v>25</v>
      </c>
      <c r="B4209" t="s">
        <v>218</v>
      </c>
      <c r="C4209" t="s">
        <v>44</v>
      </c>
      <c r="D4209" t="s">
        <v>17</v>
      </c>
      <c r="E4209" t="s">
        <v>18</v>
      </c>
      <c r="F4209" s="1">
        <v>40188</v>
      </c>
      <c r="G4209">
        <v>880176818</v>
      </c>
      <c r="H4209" t="s">
        <v>1805</v>
      </c>
      <c r="I4209">
        <v>2735</v>
      </c>
      <c r="J4209">
        <v>109.28</v>
      </c>
      <c r="K4209">
        <v>35.840000000000003</v>
      </c>
      <c r="L4209">
        <v>298880.8</v>
      </c>
      <c r="M4209">
        <v>98022.399999999994</v>
      </c>
      <c r="N4209">
        <v>200858.4</v>
      </c>
    </row>
    <row r="4210" spans="1:14" x14ac:dyDescent="0.25">
      <c r="A4210" t="s">
        <v>38</v>
      </c>
      <c r="B4210" t="s">
        <v>527</v>
      </c>
      <c r="C4210" t="s">
        <v>16</v>
      </c>
      <c r="D4210" t="s">
        <v>22</v>
      </c>
      <c r="E4210" t="s">
        <v>18</v>
      </c>
      <c r="F4210" s="1">
        <v>42985</v>
      </c>
      <c r="G4210">
        <v>612158906</v>
      </c>
      <c r="H4210" s="1">
        <v>42833</v>
      </c>
      <c r="I4210">
        <v>279</v>
      </c>
      <c r="J4210">
        <v>255.28</v>
      </c>
      <c r="K4210">
        <v>159.41999999999999</v>
      </c>
      <c r="L4210">
        <v>71223.12</v>
      </c>
      <c r="M4210">
        <v>44478.18</v>
      </c>
      <c r="N4210">
        <v>26744.94</v>
      </c>
    </row>
    <row r="4211" spans="1:14" x14ac:dyDescent="0.25">
      <c r="A4211" t="s">
        <v>29</v>
      </c>
      <c r="B4211" t="s">
        <v>206</v>
      </c>
      <c r="C4211" t="s">
        <v>88</v>
      </c>
      <c r="D4211" t="s">
        <v>17</v>
      </c>
      <c r="E4211" t="s">
        <v>23</v>
      </c>
      <c r="F4211" t="s">
        <v>1049</v>
      </c>
      <c r="G4211">
        <v>932966983</v>
      </c>
      <c r="H4211" t="s">
        <v>1049</v>
      </c>
      <c r="I4211">
        <v>4518</v>
      </c>
      <c r="J4211">
        <v>9.33</v>
      </c>
      <c r="K4211">
        <v>6.92</v>
      </c>
      <c r="L4211">
        <v>42152.94</v>
      </c>
      <c r="M4211">
        <v>31264.560000000001</v>
      </c>
      <c r="N4211">
        <v>10888.38</v>
      </c>
    </row>
    <row r="4212" spans="1:14" x14ac:dyDescent="0.25">
      <c r="A4212" t="s">
        <v>51</v>
      </c>
      <c r="B4212" t="s">
        <v>182</v>
      </c>
      <c r="C4212" t="s">
        <v>69</v>
      </c>
      <c r="D4212" t="s">
        <v>17</v>
      </c>
      <c r="E4212" t="s">
        <v>45</v>
      </c>
      <c r="F4212" t="s">
        <v>1031</v>
      </c>
      <c r="G4212">
        <v>953587377</v>
      </c>
      <c r="H4212" t="s">
        <v>1709</v>
      </c>
      <c r="I4212">
        <v>6550</v>
      </c>
      <c r="J4212">
        <v>421.89</v>
      </c>
      <c r="K4212">
        <v>364.69</v>
      </c>
      <c r="L4212">
        <v>2763379.5</v>
      </c>
      <c r="M4212">
        <v>2388719.5</v>
      </c>
      <c r="N4212">
        <v>374660</v>
      </c>
    </row>
    <row r="4213" spans="1:14" x14ac:dyDescent="0.25">
      <c r="A4213" t="s">
        <v>25</v>
      </c>
      <c r="B4213" t="s">
        <v>469</v>
      </c>
      <c r="C4213" t="s">
        <v>44</v>
      </c>
      <c r="D4213" t="s">
        <v>17</v>
      </c>
      <c r="E4213" t="s">
        <v>45</v>
      </c>
      <c r="F4213" s="1">
        <v>40822</v>
      </c>
      <c r="G4213">
        <v>755318915</v>
      </c>
      <c r="H4213" t="s">
        <v>505</v>
      </c>
      <c r="I4213">
        <v>4507</v>
      </c>
      <c r="J4213">
        <v>109.28</v>
      </c>
      <c r="K4213">
        <v>35.840000000000003</v>
      </c>
      <c r="L4213">
        <v>492524.96</v>
      </c>
      <c r="M4213">
        <v>161530.88</v>
      </c>
      <c r="N4213">
        <v>330994.08</v>
      </c>
    </row>
    <row r="4214" spans="1:14" x14ac:dyDescent="0.25">
      <c r="A4214" t="s">
        <v>29</v>
      </c>
      <c r="B4214" t="s">
        <v>586</v>
      </c>
      <c r="C4214" t="s">
        <v>40</v>
      </c>
      <c r="D4214" t="s">
        <v>17</v>
      </c>
      <c r="E4214" t="s">
        <v>23</v>
      </c>
      <c r="F4214" t="s">
        <v>1821</v>
      </c>
      <c r="G4214">
        <v>939772927</v>
      </c>
      <c r="H4214" s="1">
        <v>40971</v>
      </c>
      <c r="I4214">
        <v>8548</v>
      </c>
      <c r="J4214">
        <v>81.73</v>
      </c>
      <c r="K4214">
        <v>56.67</v>
      </c>
      <c r="L4214">
        <v>698628.04</v>
      </c>
      <c r="M4214">
        <v>484415.16</v>
      </c>
      <c r="N4214">
        <v>214212.88</v>
      </c>
    </row>
    <row r="4215" spans="1:14" x14ac:dyDescent="0.25">
      <c r="A4215" t="s">
        <v>25</v>
      </c>
      <c r="B4215" t="s">
        <v>529</v>
      </c>
      <c r="C4215" t="s">
        <v>27</v>
      </c>
      <c r="D4215" t="s">
        <v>17</v>
      </c>
      <c r="E4215" t="s">
        <v>45</v>
      </c>
      <c r="F4215" t="s">
        <v>1410</v>
      </c>
      <c r="G4215">
        <v>378873240</v>
      </c>
      <c r="H4215" t="s">
        <v>647</v>
      </c>
      <c r="I4215">
        <v>5866</v>
      </c>
      <c r="J4215">
        <v>47.45</v>
      </c>
      <c r="K4215">
        <v>31.79</v>
      </c>
      <c r="L4215">
        <v>278341.7</v>
      </c>
      <c r="M4215">
        <v>186480.14</v>
      </c>
      <c r="N4215">
        <v>91861.56</v>
      </c>
    </row>
    <row r="4216" spans="1:14" x14ac:dyDescent="0.25">
      <c r="A4216" t="s">
        <v>25</v>
      </c>
      <c r="B4216" t="s">
        <v>252</v>
      </c>
      <c r="C4216" t="s">
        <v>88</v>
      </c>
      <c r="D4216" t="s">
        <v>17</v>
      </c>
      <c r="E4216" t="s">
        <v>32</v>
      </c>
      <c r="F4216" t="s">
        <v>526</v>
      </c>
      <c r="G4216">
        <v>264856183</v>
      </c>
      <c r="H4216" t="s">
        <v>1693</v>
      </c>
      <c r="I4216">
        <v>5685</v>
      </c>
      <c r="J4216">
        <v>9.33</v>
      </c>
      <c r="K4216">
        <v>6.92</v>
      </c>
      <c r="L4216">
        <v>53041.05</v>
      </c>
      <c r="M4216">
        <v>39340.199999999997</v>
      </c>
      <c r="N4216">
        <v>13700.85</v>
      </c>
    </row>
    <row r="4217" spans="1:14" x14ac:dyDescent="0.25">
      <c r="A4217" t="s">
        <v>42</v>
      </c>
      <c r="B4217" t="s">
        <v>565</v>
      </c>
      <c r="C4217" t="s">
        <v>113</v>
      </c>
      <c r="D4217" t="s">
        <v>22</v>
      </c>
      <c r="E4217" t="s">
        <v>23</v>
      </c>
      <c r="F4217" s="1">
        <v>40554</v>
      </c>
      <c r="G4217">
        <v>960270583</v>
      </c>
      <c r="H4217" t="s">
        <v>173</v>
      </c>
      <c r="I4217">
        <v>4260</v>
      </c>
      <c r="J4217">
        <v>154.06</v>
      </c>
      <c r="K4217">
        <v>90.93</v>
      </c>
      <c r="L4217">
        <v>656295.6</v>
      </c>
      <c r="M4217">
        <v>387361.8</v>
      </c>
      <c r="N4217">
        <v>268933.8</v>
      </c>
    </row>
    <row r="4218" spans="1:14" x14ac:dyDescent="0.25">
      <c r="A4218" t="s">
        <v>51</v>
      </c>
      <c r="B4218" t="s">
        <v>575</v>
      </c>
      <c r="C4218" t="s">
        <v>55</v>
      </c>
      <c r="D4218" t="s">
        <v>22</v>
      </c>
      <c r="E4218" t="s">
        <v>32</v>
      </c>
      <c r="F4218" s="1">
        <v>42650</v>
      </c>
      <c r="G4218">
        <v>647977769</v>
      </c>
      <c r="H4218" s="1">
        <v>42437</v>
      </c>
      <c r="I4218">
        <v>9876</v>
      </c>
      <c r="J4218">
        <v>651.21</v>
      </c>
      <c r="K4218">
        <v>524.96</v>
      </c>
      <c r="L4218">
        <v>6431349.96</v>
      </c>
      <c r="M4218">
        <v>5184504.96</v>
      </c>
      <c r="N4218">
        <v>1246845</v>
      </c>
    </row>
    <row r="4219" spans="1:14" x14ac:dyDescent="0.25">
      <c r="A4219" t="s">
        <v>51</v>
      </c>
      <c r="B4219" t="s">
        <v>108</v>
      </c>
      <c r="C4219" t="s">
        <v>88</v>
      </c>
      <c r="D4219" t="s">
        <v>22</v>
      </c>
      <c r="E4219" t="s">
        <v>45</v>
      </c>
      <c r="F4219" s="1">
        <v>40798</v>
      </c>
      <c r="G4219">
        <v>281151568</v>
      </c>
      <c r="H4219" t="s">
        <v>871</v>
      </c>
      <c r="I4219">
        <v>7852</v>
      </c>
      <c r="J4219">
        <v>9.33</v>
      </c>
      <c r="K4219">
        <v>6.92</v>
      </c>
      <c r="L4219">
        <v>73259.16</v>
      </c>
      <c r="M4219">
        <v>54335.839999999997</v>
      </c>
      <c r="N4219">
        <v>18923.32</v>
      </c>
    </row>
    <row r="4220" spans="1:14" x14ac:dyDescent="0.25">
      <c r="A4220" t="s">
        <v>42</v>
      </c>
      <c r="B4220" t="s">
        <v>630</v>
      </c>
      <c r="C4220" t="s">
        <v>21</v>
      </c>
      <c r="D4220" t="s">
        <v>17</v>
      </c>
      <c r="E4220" t="s">
        <v>45</v>
      </c>
      <c r="F4220" t="s">
        <v>425</v>
      </c>
      <c r="G4220">
        <v>433278310</v>
      </c>
      <c r="H4220" s="1">
        <v>42222</v>
      </c>
      <c r="I4220">
        <v>5535</v>
      </c>
      <c r="J4220">
        <v>152.58000000000001</v>
      </c>
      <c r="K4220">
        <v>97.44</v>
      </c>
      <c r="L4220">
        <v>844530.3</v>
      </c>
      <c r="M4220">
        <v>539330.4</v>
      </c>
      <c r="N4220">
        <v>305199.90000000002</v>
      </c>
    </row>
    <row r="4221" spans="1:14" x14ac:dyDescent="0.25">
      <c r="A4221" t="s">
        <v>77</v>
      </c>
      <c r="B4221" t="s">
        <v>622</v>
      </c>
      <c r="C4221" t="s">
        <v>44</v>
      </c>
      <c r="D4221" t="s">
        <v>22</v>
      </c>
      <c r="E4221" t="s">
        <v>18</v>
      </c>
      <c r="F4221" t="s">
        <v>441</v>
      </c>
      <c r="G4221">
        <v>848156821</v>
      </c>
      <c r="H4221" s="1">
        <v>40852</v>
      </c>
      <c r="I4221">
        <v>7306</v>
      </c>
      <c r="J4221">
        <v>109.28</v>
      </c>
      <c r="K4221">
        <v>35.840000000000003</v>
      </c>
      <c r="L4221">
        <v>798399.68</v>
      </c>
      <c r="M4221">
        <v>261847.04000000001</v>
      </c>
      <c r="N4221">
        <v>536552.64</v>
      </c>
    </row>
    <row r="4222" spans="1:14" x14ac:dyDescent="0.25">
      <c r="A4222" t="s">
        <v>51</v>
      </c>
      <c r="B4222" t="s">
        <v>414</v>
      </c>
      <c r="C4222" t="s">
        <v>21</v>
      </c>
      <c r="D4222" t="s">
        <v>22</v>
      </c>
      <c r="E4222" t="s">
        <v>18</v>
      </c>
      <c r="F4222" t="s">
        <v>1176</v>
      </c>
      <c r="G4222">
        <v>889898431</v>
      </c>
      <c r="H4222" t="s">
        <v>1318</v>
      </c>
      <c r="I4222">
        <v>9576</v>
      </c>
      <c r="J4222">
        <v>152.58000000000001</v>
      </c>
      <c r="K4222">
        <v>97.44</v>
      </c>
      <c r="L4222">
        <v>1461106.08</v>
      </c>
      <c r="M4222">
        <v>933085.44</v>
      </c>
      <c r="N4222">
        <v>528020.64</v>
      </c>
    </row>
    <row r="4223" spans="1:14" x14ac:dyDescent="0.25">
      <c r="A4223" t="s">
        <v>29</v>
      </c>
      <c r="B4223" t="s">
        <v>121</v>
      </c>
      <c r="C4223" t="s">
        <v>40</v>
      </c>
      <c r="D4223" t="s">
        <v>17</v>
      </c>
      <c r="E4223" t="s">
        <v>23</v>
      </c>
      <c r="F4223" s="1">
        <v>43011</v>
      </c>
      <c r="G4223">
        <v>892926967</v>
      </c>
      <c r="H4223" s="1">
        <v>42920</v>
      </c>
      <c r="I4223">
        <v>5787</v>
      </c>
      <c r="J4223">
        <v>81.73</v>
      </c>
      <c r="K4223">
        <v>56.67</v>
      </c>
      <c r="L4223">
        <v>472971.51</v>
      </c>
      <c r="M4223">
        <v>327949.28999999998</v>
      </c>
      <c r="N4223">
        <v>145022.22</v>
      </c>
    </row>
    <row r="4224" spans="1:14" x14ac:dyDescent="0.25">
      <c r="A4224" t="s">
        <v>29</v>
      </c>
      <c r="B4224" t="s">
        <v>121</v>
      </c>
      <c r="C4224" t="s">
        <v>131</v>
      </c>
      <c r="D4224" t="s">
        <v>17</v>
      </c>
      <c r="E4224" t="s">
        <v>23</v>
      </c>
      <c r="F4224" s="1">
        <v>42375</v>
      </c>
      <c r="G4224">
        <v>811978757</v>
      </c>
      <c r="H4224" t="s">
        <v>304</v>
      </c>
      <c r="I4224">
        <v>1413</v>
      </c>
      <c r="J4224">
        <v>668.27</v>
      </c>
      <c r="K4224">
        <v>502.54</v>
      </c>
      <c r="L4224">
        <v>944265.51</v>
      </c>
      <c r="M4224">
        <v>710089.02</v>
      </c>
      <c r="N4224">
        <v>234176.49</v>
      </c>
    </row>
    <row r="4225" spans="1:14" x14ac:dyDescent="0.25">
      <c r="A4225" t="s">
        <v>14</v>
      </c>
      <c r="B4225" t="s">
        <v>835</v>
      </c>
      <c r="C4225" t="s">
        <v>88</v>
      </c>
      <c r="D4225" t="s">
        <v>22</v>
      </c>
      <c r="E4225" t="s">
        <v>23</v>
      </c>
      <c r="F4225" t="s">
        <v>1333</v>
      </c>
      <c r="G4225">
        <v>672102630</v>
      </c>
      <c r="H4225" s="1">
        <v>42559</v>
      </c>
      <c r="I4225">
        <v>8959</v>
      </c>
      <c r="J4225">
        <v>9.33</v>
      </c>
      <c r="K4225">
        <v>6.92</v>
      </c>
      <c r="L4225">
        <v>83587.47</v>
      </c>
      <c r="M4225">
        <v>61996.28</v>
      </c>
      <c r="N4225">
        <v>21591.19</v>
      </c>
    </row>
    <row r="4226" spans="1:14" x14ac:dyDescent="0.25">
      <c r="A4226" t="s">
        <v>25</v>
      </c>
      <c r="B4226" t="s">
        <v>26</v>
      </c>
      <c r="C4226" t="s">
        <v>31</v>
      </c>
      <c r="D4226" t="s">
        <v>17</v>
      </c>
      <c r="E4226" t="s">
        <v>23</v>
      </c>
      <c r="F4226" s="1">
        <v>41678</v>
      </c>
      <c r="G4226">
        <v>118659913</v>
      </c>
      <c r="H4226" t="s">
        <v>974</v>
      </c>
      <c r="I4226">
        <v>2960</v>
      </c>
      <c r="J4226">
        <v>205.7</v>
      </c>
      <c r="K4226">
        <v>117.11</v>
      </c>
      <c r="L4226">
        <v>608872</v>
      </c>
      <c r="M4226">
        <v>346645.6</v>
      </c>
      <c r="N4226">
        <v>262226.40000000002</v>
      </c>
    </row>
    <row r="4227" spans="1:14" x14ac:dyDescent="0.25">
      <c r="A4227" t="s">
        <v>25</v>
      </c>
      <c r="B4227" t="s">
        <v>142</v>
      </c>
      <c r="C4227" t="s">
        <v>16</v>
      </c>
      <c r="D4227" t="s">
        <v>17</v>
      </c>
      <c r="E4227" t="s">
        <v>32</v>
      </c>
      <c r="F4227" t="s">
        <v>1090</v>
      </c>
      <c r="G4227">
        <v>667324435</v>
      </c>
      <c r="H4227" t="s">
        <v>1537</v>
      </c>
      <c r="I4227">
        <v>4985</v>
      </c>
      <c r="J4227">
        <v>255.28</v>
      </c>
      <c r="K4227">
        <v>159.41999999999999</v>
      </c>
      <c r="L4227">
        <v>1272570.8</v>
      </c>
      <c r="M4227">
        <v>794708.7</v>
      </c>
      <c r="N4227">
        <v>477862.1</v>
      </c>
    </row>
    <row r="4228" spans="1:14" x14ac:dyDescent="0.25">
      <c r="A4228" t="s">
        <v>29</v>
      </c>
      <c r="B4228" t="s">
        <v>356</v>
      </c>
      <c r="C4228" t="s">
        <v>44</v>
      </c>
      <c r="D4228" t="s">
        <v>17</v>
      </c>
      <c r="E4228" t="s">
        <v>23</v>
      </c>
      <c r="F4228" t="s">
        <v>986</v>
      </c>
      <c r="G4228">
        <v>754082524</v>
      </c>
      <c r="H4228" t="s">
        <v>191</v>
      </c>
      <c r="I4228">
        <v>8631</v>
      </c>
      <c r="J4228">
        <v>109.28</v>
      </c>
      <c r="K4228">
        <v>35.840000000000003</v>
      </c>
      <c r="L4228">
        <v>943195.68</v>
      </c>
      <c r="M4228">
        <v>309335.03999999998</v>
      </c>
      <c r="N4228">
        <v>633860.64</v>
      </c>
    </row>
    <row r="4229" spans="1:14" x14ac:dyDescent="0.25">
      <c r="A4229" t="s">
        <v>25</v>
      </c>
      <c r="B4229" t="s">
        <v>218</v>
      </c>
      <c r="C4229" t="s">
        <v>16</v>
      </c>
      <c r="D4229" t="s">
        <v>17</v>
      </c>
      <c r="E4229" t="s">
        <v>23</v>
      </c>
      <c r="F4229" t="s">
        <v>1671</v>
      </c>
      <c r="G4229">
        <v>685233008</v>
      </c>
      <c r="H4229" t="s">
        <v>1125</v>
      </c>
      <c r="I4229">
        <v>4529</v>
      </c>
      <c r="J4229">
        <v>255.28</v>
      </c>
      <c r="K4229">
        <v>159.41999999999999</v>
      </c>
      <c r="L4229">
        <v>1156163.1200000001</v>
      </c>
      <c r="M4229">
        <v>722013.18</v>
      </c>
      <c r="N4229">
        <v>434149.94</v>
      </c>
    </row>
    <row r="4230" spans="1:14" x14ac:dyDescent="0.25">
      <c r="A4230" t="s">
        <v>29</v>
      </c>
      <c r="B4230" t="s">
        <v>467</v>
      </c>
      <c r="C4230" t="s">
        <v>59</v>
      </c>
      <c r="D4230" t="s">
        <v>22</v>
      </c>
      <c r="E4230" t="s">
        <v>23</v>
      </c>
      <c r="F4230" s="1">
        <v>41644</v>
      </c>
      <c r="G4230">
        <v>387387216</v>
      </c>
      <c r="H4230" s="1">
        <v>41949</v>
      </c>
      <c r="I4230">
        <v>5341</v>
      </c>
      <c r="J4230">
        <v>437.2</v>
      </c>
      <c r="K4230">
        <v>263.33</v>
      </c>
      <c r="L4230">
        <v>2335085.2000000002</v>
      </c>
      <c r="M4230">
        <v>1406445.53</v>
      </c>
      <c r="N4230">
        <v>928639.67</v>
      </c>
    </row>
    <row r="4231" spans="1:14" x14ac:dyDescent="0.25">
      <c r="A4231" t="s">
        <v>25</v>
      </c>
      <c r="B4231" t="s">
        <v>256</v>
      </c>
      <c r="C4231" t="s">
        <v>27</v>
      </c>
      <c r="D4231" t="s">
        <v>17</v>
      </c>
      <c r="E4231" t="s">
        <v>45</v>
      </c>
      <c r="F4231" t="s">
        <v>655</v>
      </c>
      <c r="G4231">
        <v>757468974</v>
      </c>
      <c r="H4231" t="s">
        <v>1555</v>
      </c>
      <c r="I4231">
        <v>757</v>
      </c>
      <c r="J4231">
        <v>47.45</v>
      </c>
      <c r="K4231">
        <v>31.79</v>
      </c>
      <c r="L4231">
        <v>35919.65</v>
      </c>
      <c r="M4231">
        <v>24065.03</v>
      </c>
      <c r="N4231">
        <v>11854.62</v>
      </c>
    </row>
    <row r="4232" spans="1:14" x14ac:dyDescent="0.25">
      <c r="A4232" t="s">
        <v>25</v>
      </c>
      <c r="B4232" t="s">
        <v>140</v>
      </c>
      <c r="C4232" t="s">
        <v>69</v>
      </c>
      <c r="D4232" t="s">
        <v>17</v>
      </c>
      <c r="E4232" t="s">
        <v>45</v>
      </c>
      <c r="F4232" t="s">
        <v>1287</v>
      </c>
      <c r="G4232">
        <v>512714612</v>
      </c>
      <c r="H4232" s="1">
        <v>42257</v>
      </c>
      <c r="I4232">
        <v>2502</v>
      </c>
      <c r="J4232">
        <v>421.89</v>
      </c>
      <c r="K4232">
        <v>364.69</v>
      </c>
      <c r="L4232">
        <v>1055568.78</v>
      </c>
      <c r="M4232">
        <v>912454.38</v>
      </c>
      <c r="N4232">
        <v>143114.4</v>
      </c>
    </row>
    <row r="4233" spans="1:14" x14ac:dyDescent="0.25">
      <c r="A4233" t="s">
        <v>14</v>
      </c>
      <c r="B4233" t="s">
        <v>488</v>
      </c>
      <c r="C4233" t="s">
        <v>113</v>
      </c>
      <c r="D4233" t="s">
        <v>17</v>
      </c>
      <c r="E4233" t="s">
        <v>45</v>
      </c>
      <c r="F4233" s="1">
        <v>40700</v>
      </c>
      <c r="G4233">
        <v>240672957</v>
      </c>
      <c r="H4233" t="s">
        <v>1437</v>
      </c>
      <c r="I4233">
        <v>9331</v>
      </c>
      <c r="J4233">
        <v>154.06</v>
      </c>
      <c r="K4233">
        <v>90.93</v>
      </c>
      <c r="L4233">
        <v>1437533.86</v>
      </c>
      <c r="M4233">
        <v>848467.83</v>
      </c>
      <c r="N4233">
        <v>589066.03</v>
      </c>
    </row>
    <row r="4234" spans="1:14" x14ac:dyDescent="0.25">
      <c r="A4234" t="s">
        <v>38</v>
      </c>
      <c r="B4234" t="s">
        <v>288</v>
      </c>
      <c r="C4234" t="s">
        <v>40</v>
      </c>
      <c r="D4234" t="s">
        <v>17</v>
      </c>
      <c r="E4234" t="s">
        <v>32</v>
      </c>
      <c r="F4234" s="1">
        <v>41494</v>
      </c>
      <c r="G4234">
        <v>149205338</v>
      </c>
      <c r="H4234" t="s">
        <v>1473</v>
      </c>
      <c r="I4234">
        <v>2030</v>
      </c>
      <c r="J4234">
        <v>81.73</v>
      </c>
      <c r="K4234">
        <v>56.67</v>
      </c>
      <c r="L4234">
        <v>165911.9</v>
      </c>
      <c r="M4234">
        <v>115040.1</v>
      </c>
      <c r="N4234">
        <v>50871.8</v>
      </c>
    </row>
    <row r="4235" spans="1:14" x14ac:dyDescent="0.25">
      <c r="A4235" t="s">
        <v>25</v>
      </c>
      <c r="B4235" t="s">
        <v>785</v>
      </c>
      <c r="C4235" t="s">
        <v>69</v>
      </c>
      <c r="D4235" t="s">
        <v>22</v>
      </c>
      <c r="E4235" t="s">
        <v>18</v>
      </c>
      <c r="F4235" s="1">
        <v>40484</v>
      </c>
      <c r="G4235">
        <v>516485583</v>
      </c>
      <c r="H4235" s="1">
        <v>40332</v>
      </c>
      <c r="I4235">
        <v>8416</v>
      </c>
      <c r="J4235">
        <v>421.89</v>
      </c>
      <c r="K4235">
        <v>364.69</v>
      </c>
      <c r="L4235">
        <v>3550626.24</v>
      </c>
      <c r="M4235">
        <v>3069231.04</v>
      </c>
      <c r="N4235">
        <v>481395.20000000001</v>
      </c>
    </row>
    <row r="4236" spans="1:14" x14ac:dyDescent="0.25">
      <c r="A4236" t="s">
        <v>38</v>
      </c>
      <c r="B4236" t="s">
        <v>117</v>
      </c>
      <c r="C4236" t="s">
        <v>16</v>
      </c>
      <c r="D4236" t="s">
        <v>22</v>
      </c>
      <c r="E4236" t="s">
        <v>32</v>
      </c>
      <c r="F4236" s="1">
        <v>41160</v>
      </c>
      <c r="G4236">
        <v>341000020</v>
      </c>
      <c r="H4236" t="s">
        <v>517</v>
      </c>
      <c r="I4236">
        <v>8339</v>
      </c>
      <c r="J4236">
        <v>255.28</v>
      </c>
      <c r="K4236">
        <v>159.41999999999999</v>
      </c>
      <c r="L4236">
        <v>2128779.92</v>
      </c>
      <c r="M4236">
        <v>1329403.3799999999</v>
      </c>
      <c r="N4236">
        <v>799376.54</v>
      </c>
    </row>
    <row r="4237" spans="1:14" x14ac:dyDescent="0.25">
      <c r="A4237" t="s">
        <v>25</v>
      </c>
      <c r="B4237" t="s">
        <v>339</v>
      </c>
      <c r="C4237" t="s">
        <v>113</v>
      </c>
      <c r="D4237" t="s">
        <v>17</v>
      </c>
      <c r="E4237" t="s">
        <v>45</v>
      </c>
      <c r="F4237" s="1">
        <v>41831</v>
      </c>
      <c r="G4237">
        <v>491547477</v>
      </c>
      <c r="H4237" s="1">
        <v>41831</v>
      </c>
      <c r="I4237">
        <v>8676</v>
      </c>
      <c r="J4237">
        <v>154.06</v>
      </c>
      <c r="K4237">
        <v>90.93</v>
      </c>
      <c r="L4237">
        <v>1336624.56</v>
      </c>
      <c r="M4237">
        <v>788908.68</v>
      </c>
      <c r="N4237">
        <v>547715.88</v>
      </c>
    </row>
    <row r="4238" spans="1:14" x14ac:dyDescent="0.25">
      <c r="A4238" t="s">
        <v>38</v>
      </c>
      <c r="B4238" t="s">
        <v>1268</v>
      </c>
      <c r="C4238" t="s">
        <v>113</v>
      </c>
      <c r="D4238" t="s">
        <v>22</v>
      </c>
      <c r="E4238" t="s">
        <v>18</v>
      </c>
      <c r="F4238" s="1">
        <v>40856</v>
      </c>
      <c r="G4238">
        <v>557239282</v>
      </c>
      <c r="H4238" t="s">
        <v>427</v>
      </c>
      <c r="I4238">
        <v>8341</v>
      </c>
      <c r="J4238">
        <v>154.06</v>
      </c>
      <c r="K4238">
        <v>90.93</v>
      </c>
      <c r="L4238">
        <v>1285014.46</v>
      </c>
      <c r="M4238">
        <v>758447.13</v>
      </c>
      <c r="N4238">
        <v>526567.32999999996</v>
      </c>
    </row>
    <row r="4239" spans="1:14" x14ac:dyDescent="0.25">
      <c r="A4239" t="s">
        <v>14</v>
      </c>
      <c r="B4239" t="s">
        <v>20</v>
      </c>
      <c r="C4239" t="s">
        <v>21</v>
      </c>
      <c r="D4239" t="s">
        <v>22</v>
      </c>
      <c r="E4239" t="s">
        <v>23</v>
      </c>
      <c r="F4239" t="s">
        <v>1751</v>
      </c>
      <c r="G4239">
        <v>197499263</v>
      </c>
      <c r="H4239" s="1">
        <v>40396</v>
      </c>
      <c r="I4239">
        <v>3276</v>
      </c>
      <c r="J4239">
        <v>152.58000000000001</v>
      </c>
      <c r="K4239">
        <v>97.44</v>
      </c>
      <c r="L4239">
        <v>499852.08</v>
      </c>
      <c r="M4239">
        <v>319213.44</v>
      </c>
      <c r="N4239">
        <v>180638.64</v>
      </c>
    </row>
    <row r="4240" spans="1:14" x14ac:dyDescent="0.25">
      <c r="A4240" t="s">
        <v>38</v>
      </c>
      <c r="B4240" t="s">
        <v>451</v>
      </c>
      <c r="C4240" t="s">
        <v>40</v>
      </c>
      <c r="D4240" t="s">
        <v>22</v>
      </c>
      <c r="E4240" t="s">
        <v>32</v>
      </c>
      <c r="F4240" t="s">
        <v>780</v>
      </c>
      <c r="G4240">
        <v>492063748</v>
      </c>
      <c r="H4240" s="1">
        <v>40673</v>
      </c>
      <c r="I4240">
        <v>1453</v>
      </c>
      <c r="J4240">
        <v>81.73</v>
      </c>
      <c r="K4240">
        <v>56.67</v>
      </c>
      <c r="L4240">
        <v>118753.69</v>
      </c>
      <c r="M4240">
        <v>82341.509999999995</v>
      </c>
      <c r="N4240">
        <v>36412.18</v>
      </c>
    </row>
    <row r="4241" spans="1:14" x14ac:dyDescent="0.25">
      <c r="A4241" t="s">
        <v>38</v>
      </c>
      <c r="B4241" t="s">
        <v>54</v>
      </c>
      <c r="C4241" t="s">
        <v>113</v>
      </c>
      <c r="D4241" t="s">
        <v>17</v>
      </c>
      <c r="E4241" t="s">
        <v>45</v>
      </c>
      <c r="F4241" t="s">
        <v>1071</v>
      </c>
      <c r="G4241">
        <v>790981566</v>
      </c>
      <c r="H4241" s="1">
        <v>41496</v>
      </c>
      <c r="I4241">
        <v>7878</v>
      </c>
      <c r="J4241">
        <v>154.06</v>
      </c>
      <c r="K4241">
        <v>90.93</v>
      </c>
      <c r="L4241">
        <v>1213684.68</v>
      </c>
      <c r="M4241">
        <v>716346.54</v>
      </c>
      <c r="N4241">
        <v>497338.14</v>
      </c>
    </row>
    <row r="4242" spans="1:14" x14ac:dyDescent="0.25">
      <c r="A4242" t="s">
        <v>14</v>
      </c>
      <c r="B4242" t="s">
        <v>627</v>
      </c>
      <c r="C4242" t="s">
        <v>131</v>
      </c>
      <c r="D4242" t="s">
        <v>22</v>
      </c>
      <c r="E4242" t="s">
        <v>23</v>
      </c>
      <c r="F4242" t="s">
        <v>1100</v>
      </c>
      <c r="G4242">
        <v>964614045</v>
      </c>
      <c r="H4242" t="s">
        <v>713</v>
      </c>
      <c r="I4242">
        <v>9587</v>
      </c>
      <c r="J4242">
        <v>668.27</v>
      </c>
      <c r="K4242">
        <v>502.54</v>
      </c>
      <c r="L4242">
        <v>6406704.4900000002</v>
      </c>
      <c r="M4242">
        <v>4817850.9800000004</v>
      </c>
      <c r="N4242">
        <v>1588853.51</v>
      </c>
    </row>
    <row r="4243" spans="1:14" x14ac:dyDescent="0.25">
      <c r="A4243" t="s">
        <v>51</v>
      </c>
      <c r="B4243" t="s">
        <v>223</v>
      </c>
      <c r="C4243" t="s">
        <v>88</v>
      </c>
      <c r="D4243" t="s">
        <v>22</v>
      </c>
      <c r="E4243" t="s">
        <v>45</v>
      </c>
      <c r="F4243" s="1">
        <v>41552</v>
      </c>
      <c r="G4243">
        <v>953635013</v>
      </c>
      <c r="H4243" t="s">
        <v>1361</v>
      </c>
      <c r="I4243">
        <v>647</v>
      </c>
      <c r="J4243">
        <v>9.33</v>
      </c>
      <c r="K4243">
        <v>6.92</v>
      </c>
      <c r="L4243">
        <v>6036.51</v>
      </c>
      <c r="M4243">
        <v>4477.24</v>
      </c>
      <c r="N4243">
        <v>1559.27</v>
      </c>
    </row>
    <row r="4244" spans="1:14" x14ac:dyDescent="0.25">
      <c r="A4244" t="s">
        <v>51</v>
      </c>
      <c r="B4244" t="s">
        <v>367</v>
      </c>
      <c r="C4244" t="s">
        <v>113</v>
      </c>
      <c r="D4244" t="s">
        <v>22</v>
      </c>
      <c r="E4244" t="s">
        <v>32</v>
      </c>
      <c r="F4244" t="s">
        <v>897</v>
      </c>
      <c r="G4244">
        <v>319030797</v>
      </c>
      <c r="H4244" t="s">
        <v>273</v>
      </c>
      <c r="I4244">
        <v>7157</v>
      </c>
      <c r="J4244">
        <v>154.06</v>
      </c>
      <c r="K4244">
        <v>90.93</v>
      </c>
      <c r="L4244">
        <v>1102607.42</v>
      </c>
      <c r="M4244">
        <v>650786.01</v>
      </c>
      <c r="N4244">
        <v>451821.41</v>
      </c>
    </row>
    <row r="4245" spans="1:14" x14ac:dyDescent="0.25">
      <c r="A4245" t="s">
        <v>14</v>
      </c>
      <c r="B4245" t="s">
        <v>488</v>
      </c>
      <c r="C4245" t="s">
        <v>69</v>
      </c>
      <c r="D4245" t="s">
        <v>17</v>
      </c>
      <c r="E4245" t="s">
        <v>23</v>
      </c>
      <c r="F4245" t="s">
        <v>1132</v>
      </c>
      <c r="G4245">
        <v>492100226</v>
      </c>
      <c r="H4245" s="1">
        <v>42309</v>
      </c>
      <c r="I4245">
        <v>2247</v>
      </c>
      <c r="J4245">
        <v>421.89</v>
      </c>
      <c r="K4245">
        <v>364.69</v>
      </c>
      <c r="L4245">
        <v>947986.83</v>
      </c>
      <c r="M4245">
        <v>819458.43</v>
      </c>
      <c r="N4245">
        <v>128528.4</v>
      </c>
    </row>
    <row r="4246" spans="1:14" x14ac:dyDescent="0.25">
      <c r="A4246" t="s">
        <v>14</v>
      </c>
      <c r="B4246" t="s">
        <v>66</v>
      </c>
      <c r="C4246" t="s">
        <v>27</v>
      </c>
      <c r="D4246" t="s">
        <v>22</v>
      </c>
      <c r="E4246" t="s">
        <v>18</v>
      </c>
      <c r="F4246" t="s">
        <v>956</v>
      </c>
      <c r="G4246">
        <v>724454629</v>
      </c>
      <c r="H4246" s="1">
        <v>42410</v>
      </c>
      <c r="I4246">
        <v>1079</v>
      </c>
      <c r="J4246">
        <v>47.45</v>
      </c>
      <c r="K4246">
        <v>31.79</v>
      </c>
      <c r="L4246">
        <v>51198.55</v>
      </c>
      <c r="M4246">
        <v>34301.410000000003</v>
      </c>
      <c r="N4246">
        <v>16897.14</v>
      </c>
    </row>
    <row r="4247" spans="1:14" x14ac:dyDescent="0.25">
      <c r="A4247" t="s">
        <v>51</v>
      </c>
      <c r="B4247" t="s">
        <v>231</v>
      </c>
      <c r="C4247" t="s">
        <v>27</v>
      </c>
      <c r="D4247" t="s">
        <v>22</v>
      </c>
      <c r="E4247" t="s">
        <v>18</v>
      </c>
      <c r="F4247" s="1">
        <v>40430</v>
      </c>
      <c r="G4247">
        <v>338017833</v>
      </c>
      <c r="H4247" t="s">
        <v>811</v>
      </c>
      <c r="I4247">
        <v>5843</v>
      </c>
      <c r="J4247">
        <v>47.45</v>
      </c>
      <c r="K4247">
        <v>31.79</v>
      </c>
      <c r="L4247">
        <v>277250.34999999998</v>
      </c>
      <c r="M4247">
        <v>185748.97</v>
      </c>
      <c r="N4247">
        <v>91501.38</v>
      </c>
    </row>
    <row r="4248" spans="1:14" x14ac:dyDescent="0.25">
      <c r="A4248" t="s">
        <v>38</v>
      </c>
      <c r="B4248" t="s">
        <v>58</v>
      </c>
      <c r="C4248" t="s">
        <v>40</v>
      </c>
      <c r="D4248" t="s">
        <v>17</v>
      </c>
      <c r="E4248" t="s">
        <v>18</v>
      </c>
      <c r="F4248" t="s">
        <v>544</v>
      </c>
      <c r="G4248">
        <v>975026166</v>
      </c>
      <c r="H4248" t="s">
        <v>511</v>
      </c>
      <c r="I4248">
        <v>765</v>
      </c>
      <c r="J4248">
        <v>81.73</v>
      </c>
      <c r="K4248">
        <v>56.67</v>
      </c>
      <c r="L4248">
        <v>62523.45</v>
      </c>
      <c r="M4248">
        <v>43352.55</v>
      </c>
      <c r="N4248">
        <v>19170.900000000001</v>
      </c>
    </row>
    <row r="4249" spans="1:14" x14ac:dyDescent="0.25">
      <c r="A4249" t="s">
        <v>51</v>
      </c>
      <c r="B4249" t="s">
        <v>295</v>
      </c>
      <c r="C4249" t="s">
        <v>31</v>
      </c>
      <c r="D4249" t="s">
        <v>17</v>
      </c>
      <c r="E4249" t="s">
        <v>23</v>
      </c>
      <c r="F4249" s="1">
        <v>40361</v>
      </c>
      <c r="G4249">
        <v>748028457</v>
      </c>
      <c r="H4249" t="s">
        <v>531</v>
      </c>
      <c r="I4249">
        <v>7098</v>
      </c>
      <c r="J4249">
        <v>205.7</v>
      </c>
      <c r="K4249">
        <v>117.11</v>
      </c>
      <c r="L4249">
        <v>1460058.6</v>
      </c>
      <c r="M4249">
        <v>831246.78</v>
      </c>
      <c r="N4249">
        <v>628811.81999999995</v>
      </c>
    </row>
    <row r="4250" spans="1:14" x14ac:dyDescent="0.25">
      <c r="A4250" t="s">
        <v>51</v>
      </c>
      <c r="B4250" t="s">
        <v>108</v>
      </c>
      <c r="C4250" t="s">
        <v>88</v>
      </c>
      <c r="D4250" t="s">
        <v>17</v>
      </c>
      <c r="E4250" t="s">
        <v>32</v>
      </c>
      <c r="F4250" s="1">
        <v>41677</v>
      </c>
      <c r="G4250">
        <v>989886033</v>
      </c>
      <c r="H4250" s="1">
        <v>41647</v>
      </c>
      <c r="I4250">
        <v>8129</v>
      </c>
      <c r="J4250">
        <v>9.33</v>
      </c>
      <c r="K4250">
        <v>6.92</v>
      </c>
      <c r="L4250">
        <v>75843.570000000007</v>
      </c>
      <c r="M4250">
        <v>56252.68</v>
      </c>
      <c r="N4250">
        <v>19590.89</v>
      </c>
    </row>
    <row r="4251" spans="1:14" x14ac:dyDescent="0.25">
      <c r="A4251" t="s">
        <v>51</v>
      </c>
      <c r="B4251" t="s">
        <v>398</v>
      </c>
      <c r="C4251" t="s">
        <v>59</v>
      </c>
      <c r="D4251" t="s">
        <v>22</v>
      </c>
      <c r="E4251" t="s">
        <v>23</v>
      </c>
      <c r="F4251" s="1">
        <v>42411</v>
      </c>
      <c r="G4251">
        <v>403772723</v>
      </c>
      <c r="H4251" t="s">
        <v>222</v>
      </c>
      <c r="I4251">
        <v>4176</v>
      </c>
      <c r="J4251">
        <v>437.2</v>
      </c>
      <c r="K4251">
        <v>263.33</v>
      </c>
      <c r="L4251">
        <v>1825747.2</v>
      </c>
      <c r="M4251">
        <v>1099666.08</v>
      </c>
      <c r="N4251">
        <v>726081.12</v>
      </c>
    </row>
    <row r="4252" spans="1:14" x14ac:dyDescent="0.25">
      <c r="A4252" t="s">
        <v>42</v>
      </c>
      <c r="B4252" t="s">
        <v>552</v>
      </c>
      <c r="C4252" t="s">
        <v>69</v>
      </c>
      <c r="D4252" t="s">
        <v>17</v>
      </c>
      <c r="E4252" t="s">
        <v>45</v>
      </c>
      <c r="F4252" s="1">
        <v>42223</v>
      </c>
      <c r="G4252">
        <v>913174855</v>
      </c>
      <c r="H4252" t="s">
        <v>1635</v>
      </c>
      <c r="I4252">
        <v>7587</v>
      </c>
      <c r="J4252">
        <v>421.89</v>
      </c>
      <c r="K4252">
        <v>364.69</v>
      </c>
      <c r="L4252">
        <v>3200879.43</v>
      </c>
      <c r="M4252">
        <v>2766903.03</v>
      </c>
      <c r="N4252">
        <v>433976.4</v>
      </c>
    </row>
    <row r="4253" spans="1:14" x14ac:dyDescent="0.25">
      <c r="A4253" t="s">
        <v>25</v>
      </c>
      <c r="B4253" t="s">
        <v>74</v>
      </c>
      <c r="C4253" t="s">
        <v>88</v>
      </c>
      <c r="D4253" t="s">
        <v>22</v>
      </c>
      <c r="E4253" t="s">
        <v>23</v>
      </c>
      <c r="F4253" s="1">
        <v>41496</v>
      </c>
      <c r="G4253">
        <v>911891257</v>
      </c>
      <c r="H4253" s="1">
        <v>41285</v>
      </c>
      <c r="I4253">
        <v>7742</v>
      </c>
      <c r="J4253">
        <v>9.33</v>
      </c>
      <c r="K4253">
        <v>6.92</v>
      </c>
      <c r="L4253">
        <v>72232.86</v>
      </c>
      <c r="M4253">
        <v>53574.64</v>
      </c>
      <c r="N4253">
        <v>18658.22</v>
      </c>
    </row>
    <row r="4254" spans="1:14" x14ac:dyDescent="0.25">
      <c r="A4254" t="s">
        <v>25</v>
      </c>
      <c r="B4254" t="s">
        <v>185</v>
      </c>
      <c r="C4254" t="s">
        <v>21</v>
      </c>
      <c r="D4254" t="s">
        <v>22</v>
      </c>
      <c r="E4254" t="s">
        <v>32</v>
      </c>
      <c r="F4254" t="s">
        <v>1415</v>
      </c>
      <c r="G4254">
        <v>214033257</v>
      </c>
      <c r="H4254" s="1">
        <v>42075</v>
      </c>
      <c r="I4254">
        <v>6052</v>
      </c>
      <c r="J4254">
        <v>152.58000000000001</v>
      </c>
      <c r="K4254">
        <v>97.44</v>
      </c>
      <c r="L4254">
        <v>923414.16</v>
      </c>
      <c r="M4254">
        <v>589706.88</v>
      </c>
      <c r="N4254">
        <v>333707.28000000003</v>
      </c>
    </row>
    <row r="4255" spans="1:14" x14ac:dyDescent="0.25">
      <c r="A4255" t="s">
        <v>25</v>
      </c>
      <c r="B4255" t="s">
        <v>196</v>
      </c>
      <c r="C4255" t="s">
        <v>31</v>
      </c>
      <c r="D4255" t="s">
        <v>17</v>
      </c>
      <c r="E4255" t="s">
        <v>45</v>
      </c>
      <c r="F4255" t="s">
        <v>235</v>
      </c>
      <c r="G4255">
        <v>504024684</v>
      </c>
      <c r="H4255" t="s">
        <v>1481</v>
      </c>
      <c r="I4255">
        <v>959</v>
      </c>
      <c r="J4255">
        <v>205.7</v>
      </c>
      <c r="K4255">
        <v>117.11</v>
      </c>
      <c r="L4255">
        <v>197266.3</v>
      </c>
      <c r="M4255">
        <v>112308.49</v>
      </c>
      <c r="N4255">
        <v>84957.81</v>
      </c>
    </row>
    <row r="4256" spans="1:14" x14ac:dyDescent="0.25">
      <c r="A4256" t="s">
        <v>25</v>
      </c>
      <c r="B4256" t="s">
        <v>363</v>
      </c>
      <c r="C4256" t="s">
        <v>113</v>
      </c>
      <c r="D4256" t="s">
        <v>17</v>
      </c>
      <c r="E4256" t="s">
        <v>32</v>
      </c>
      <c r="F4256" t="s">
        <v>1490</v>
      </c>
      <c r="G4256">
        <v>386601865</v>
      </c>
      <c r="H4256" t="s">
        <v>1369</v>
      </c>
      <c r="I4256">
        <v>2938</v>
      </c>
      <c r="J4256">
        <v>154.06</v>
      </c>
      <c r="K4256">
        <v>90.93</v>
      </c>
      <c r="L4256">
        <v>452628.28</v>
      </c>
      <c r="M4256">
        <v>267152.34000000003</v>
      </c>
      <c r="N4256">
        <v>185475.94</v>
      </c>
    </row>
    <row r="4257" spans="1:14" x14ac:dyDescent="0.25">
      <c r="A4257" t="s">
        <v>25</v>
      </c>
      <c r="B4257" t="s">
        <v>434</v>
      </c>
      <c r="C4257" t="s">
        <v>59</v>
      </c>
      <c r="D4257" t="s">
        <v>22</v>
      </c>
      <c r="E4257" t="s">
        <v>23</v>
      </c>
      <c r="F4257" t="s">
        <v>394</v>
      </c>
      <c r="G4257">
        <v>336813628</v>
      </c>
      <c r="H4257" t="s">
        <v>1822</v>
      </c>
      <c r="I4257">
        <v>9492</v>
      </c>
      <c r="J4257">
        <v>437.2</v>
      </c>
      <c r="K4257">
        <v>263.33</v>
      </c>
      <c r="L4257">
        <v>4149902.4</v>
      </c>
      <c r="M4257">
        <v>2499528.36</v>
      </c>
      <c r="N4257">
        <v>1650374.04</v>
      </c>
    </row>
    <row r="4258" spans="1:14" x14ac:dyDescent="0.25">
      <c r="A4258" t="s">
        <v>29</v>
      </c>
      <c r="B4258" t="s">
        <v>124</v>
      </c>
      <c r="C4258" t="s">
        <v>27</v>
      </c>
      <c r="D4258" t="s">
        <v>22</v>
      </c>
      <c r="E4258" t="s">
        <v>23</v>
      </c>
      <c r="F4258" s="1">
        <v>41007</v>
      </c>
      <c r="G4258">
        <v>450021302</v>
      </c>
      <c r="H4258" t="s">
        <v>1236</v>
      </c>
      <c r="I4258">
        <v>159</v>
      </c>
      <c r="J4258">
        <v>47.45</v>
      </c>
      <c r="K4258">
        <v>31.79</v>
      </c>
      <c r="L4258">
        <v>7544.55</v>
      </c>
      <c r="M4258">
        <v>5054.6099999999997</v>
      </c>
      <c r="N4258">
        <v>2489.94</v>
      </c>
    </row>
    <row r="4259" spans="1:14" x14ac:dyDescent="0.25">
      <c r="A4259" t="s">
        <v>51</v>
      </c>
      <c r="B4259" t="s">
        <v>360</v>
      </c>
      <c r="C4259" t="s">
        <v>27</v>
      </c>
      <c r="D4259" t="s">
        <v>17</v>
      </c>
      <c r="E4259" t="s">
        <v>32</v>
      </c>
      <c r="F4259" t="s">
        <v>663</v>
      </c>
      <c r="G4259">
        <v>891898715</v>
      </c>
      <c r="H4259" s="1">
        <v>41771</v>
      </c>
      <c r="I4259">
        <v>1505</v>
      </c>
      <c r="J4259">
        <v>47.45</v>
      </c>
      <c r="K4259">
        <v>31.79</v>
      </c>
      <c r="L4259">
        <v>71412.25</v>
      </c>
      <c r="M4259">
        <v>47843.95</v>
      </c>
      <c r="N4259">
        <v>23568.3</v>
      </c>
    </row>
    <row r="4260" spans="1:14" x14ac:dyDescent="0.25">
      <c r="A4260" t="s">
        <v>42</v>
      </c>
      <c r="B4260" t="s">
        <v>174</v>
      </c>
      <c r="C4260" t="s">
        <v>88</v>
      </c>
      <c r="D4260" t="s">
        <v>22</v>
      </c>
      <c r="E4260" t="s">
        <v>32</v>
      </c>
      <c r="F4260" s="1">
        <v>42617</v>
      </c>
      <c r="G4260">
        <v>548432195</v>
      </c>
      <c r="H4260" s="1">
        <v>42374</v>
      </c>
      <c r="I4260">
        <v>2129</v>
      </c>
      <c r="J4260">
        <v>9.33</v>
      </c>
      <c r="K4260">
        <v>6.92</v>
      </c>
      <c r="L4260">
        <v>19863.57</v>
      </c>
      <c r="M4260">
        <v>14732.68</v>
      </c>
      <c r="N4260">
        <v>5130.8900000000003</v>
      </c>
    </row>
    <row r="4261" spans="1:14" x14ac:dyDescent="0.25">
      <c r="A4261" t="s">
        <v>51</v>
      </c>
      <c r="B4261" t="s">
        <v>308</v>
      </c>
      <c r="C4261" t="s">
        <v>88</v>
      </c>
      <c r="D4261" t="s">
        <v>22</v>
      </c>
      <c r="E4261" t="s">
        <v>45</v>
      </c>
      <c r="F4261" s="1">
        <v>41583</v>
      </c>
      <c r="G4261">
        <v>175920569</v>
      </c>
      <c r="H4261" t="s">
        <v>561</v>
      </c>
      <c r="I4261">
        <v>7661</v>
      </c>
      <c r="J4261">
        <v>9.33</v>
      </c>
      <c r="K4261">
        <v>6.92</v>
      </c>
      <c r="L4261">
        <v>71477.13</v>
      </c>
      <c r="M4261">
        <v>53014.12</v>
      </c>
      <c r="N4261">
        <v>18463.009999999998</v>
      </c>
    </row>
    <row r="4262" spans="1:14" x14ac:dyDescent="0.25">
      <c r="A4262" t="s">
        <v>42</v>
      </c>
      <c r="B4262" t="s">
        <v>573</v>
      </c>
      <c r="C4262" t="s">
        <v>44</v>
      </c>
      <c r="D4262" t="s">
        <v>22</v>
      </c>
      <c r="E4262" t="s">
        <v>45</v>
      </c>
      <c r="F4262" t="s">
        <v>779</v>
      </c>
      <c r="G4262">
        <v>150975167</v>
      </c>
      <c r="H4262" s="1">
        <v>40854</v>
      </c>
      <c r="I4262">
        <v>5762</v>
      </c>
      <c r="J4262">
        <v>109.28</v>
      </c>
      <c r="K4262">
        <v>35.840000000000003</v>
      </c>
      <c r="L4262">
        <v>629671.36</v>
      </c>
      <c r="M4262">
        <v>206510.07999999999</v>
      </c>
      <c r="N4262">
        <v>423161.28</v>
      </c>
    </row>
    <row r="4263" spans="1:14" x14ac:dyDescent="0.25">
      <c r="A4263" t="s">
        <v>51</v>
      </c>
      <c r="B4263" t="s">
        <v>151</v>
      </c>
      <c r="C4263" t="s">
        <v>27</v>
      </c>
      <c r="D4263" t="s">
        <v>22</v>
      </c>
      <c r="E4263" t="s">
        <v>18</v>
      </c>
      <c r="F4263" s="1">
        <v>41164</v>
      </c>
      <c r="G4263">
        <v>920519816</v>
      </c>
      <c r="H4263" t="s">
        <v>718</v>
      </c>
      <c r="I4263">
        <v>1125</v>
      </c>
      <c r="J4263">
        <v>47.45</v>
      </c>
      <c r="K4263">
        <v>31.79</v>
      </c>
      <c r="L4263">
        <v>53381.25</v>
      </c>
      <c r="M4263">
        <v>35763.75</v>
      </c>
      <c r="N4263">
        <v>17617.5</v>
      </c>
    </row>
    <row r="4264" spans="1:14" x14ac:dyDescent="0.25">
      <c r="A4264" t="s">
        <v>29</v>
      </c>
      <c r="B4264" t="s">
        <v>586</v>
      </c>
      <c r="C4264" t="s">
        <v>69</v>
      </c>
      <c r="D4264" t="s">
        <v>17</v>
      </c>
      <c r="E4264" t="s">
        <v>23</v>
      </c>
      <c r="F4264" t="s">
        <v>1126</v>
      </c>
      <c r="G4264">
        <v>751790845</v>
      </c>
      <c r="H4264" s="1">
        <v>41792</v>
      </c>
      <c r="I4264">
        <v>472</v>
      </c>
      <c r="J4264">
        <v>421.89</v>
      </c>
      <c r="K4264">
        <v>364.69</v>
      </c>
      <c r="L4264">
        <v>199132.08</v>
      </c>
      <c r="M4264">
        <v>172133.68</v>
      </c>
      <c r="N4264">
        <v>26998.400000000001</v>
      </c>
    </row>
    <row r="4265" spans="1:14" x14ac:dyDescent="0.25">
      <c r="A4265" t="s">
        <v>14</v>
      </c>
      <c r="B4265" t="s">
        <v>488</v>
      </c>
      <c r="C4265" t="s">
        <v>69</v>
      </c>
      <c r="D4265" t="s">
        <v>17</v>
      </c>
      <c r="E4265" t="s">
        <v>18</v>
      </c>
      <c r="F4265" s="1">
        <v>42222</v>
      </c>
      <c r="G4265">
        <v>682337081</v>
      </c>
      <c r="H4265" s="1">
        <v>42283</v>
      </c>
      <c r="I4265">
        <v>7560</v>
      </c>
      <c r="J4265">
        <v>421.89</v>
      </c>
      <c r="K4265">
        <v>364.69</v>
      </c>
      <c r="L4265">
        <v>3189488.4</v>
      </c>
      <c r="M4265">
        <v>2757056.4</v>
      </c>
      <c r="N4265">
        <v>432432</v>
      </c>
    </row>
    <row r="4266" spans="1:14" x14ac:dyDescent="0.25">
      <c r="A4266" t="s">
        <v>14</v>
      </c>
      <c r="B4266" t="s">
        <v>226</v>
      </c>
      <c r="C4266" t="s">
        <v>69</v>
      </c>
      <c r="D4266" t="s">
        <v>17</v>
      </c>
      <c r="E4266" t="s">
        <v>45</v>
      </c>
      <c r="F4266" t="s">
        <v>747</v>
      </c>
      <c r="G4266">
        <v>470019853</v>
      </c>
      <c r="H4266" t="s">
        <v>1612</v>
      </c>
      <c r="I4266">
        <v>8174</v>
      </c>
      <c r="J4266">
        <v>421.89</v>
      </c>
      <c r="K4266">
        <v>364.69</v>
      </c>
      <c r="L4266">
        <v>3448528.86</v>
      </c>
      <c r="M4266">
        <v>2980976.06</v>
      </c>
      <c r="N4266">
        <v>467552.8</v>
      </c>
    </row>
    <row r="4267" spans="1:14" x14ac:dyDescent="0.25">
      <c r="A4267" t="s">
        <v>51</v>
      </c>
      <c r="B4267" t="s">
        <v>502</v>
      </c>
      <c r="C4267" t="s">
        <v>88</v>
      </c>
      <c r="D4267" t="s">
        <v>22</v>
      </c>
      <c r="E4267" t="s">
        <v>45</v>
      </c>
      <c r="F4267" t="s">
        <v>1802</v>
      </c>
      <c r="G4267">
        <v>843012988</v>
      </c>
      <c r="H4267" t="s">
        <v>1523</v>
      </c>
      <c r="I4267">
        <v>5132</v>
      </c>
      <c r="J4267">
        <v>9.33</v>
      </c>
      <c r="K4267">
        <v>6.92</v>
      </c>
      <c r="L4267">
        <v>47881.56</v>
      </c>
      <c r="M4267">
        <v>35513.440000000002</v>
      </c>
      <c r="N4267">
        <v>12368.12</v>
      </c>
    </row>
    <row r="4268" spans="1:14" x14ac:dyDescent="0.25">
      <c r="A4268" t="s">
        <v>29</v>
      </c>
      <c r="B4268" t="s">
        <v>137</v>
      </c>
      <c r="C4268" t="s">
        <v>113</v>
      </c>
      <c r="D4268" t="s">
        <v>22</v>
      </c>
      <c r="E4268" t="s">
        <v>23</v>
      </c>
      <c r="F4268" t="s">
        <v>1368</v>
      </c>
      <c r="G4268">
        <v>349802815</v>
      </c>
      <c r="H4268" t="s">
        <v>1729</v>
      </c>
      <c r="I4268">
        <v>3281</v>
      </c>
      <c r="J4268">
        <v>154.06</v>
      </c>
      <c r="K4268">
        <v>90.93</v>
      </c>
      <c r="L4268">
        <v>505470.86</v>
      </c>
      <c r="M4268">
        <v>298341.33</v>
      </c>
      <c r="N4268">
        <v>207129.53</v>
      </c>
    </row>
    <row r="4269" spans="1:14" x14ac:dyDescent="0.25">
      <c r="A4269" t="s">
        <v>25</v>
      </c>
      <c r="B4269" t="s">
        <v>140</v>
      </c>
      <c r="C4269" t="s">
        <v>88</v>
      </c>
      <c r="D4269" t="s">
        <v>17</v>
      </c>
      <c r="E4269" t="s">
        <v>23</v>
      </c>
      <c r="F4269" t="s">
        <v>1201</v>
      </c>
      <c r="G4269">
        <v>309188163</v>
      </c>
      <c r="H4269" s="1">
        <v>42346</v>
      </c>
      <c r="I4269">
        <v>4503</v>
      </c>
      <c r="J4269">
        <v>9.33</v>
      </c>
      <c r="K4269">
        <v>6.92</v>
      </c>
      <c r="L4269">
        <v>42012.99</v>
      </c>
      <c r="M4269">
        <v>31160.76</v>
      </c>
      <c r="N4269">
        <v>10852.23</v>
      </c>
    </row>
    <row r="4270" spans="1:14" x14ac:dyDescent="0.25">
      <c r="A4270" t="s">
        <v>25</v>
      </c>
      <c r="B4270" t="s">
        <v>339</v>
      </c>
      <c r="C4270" t="s">
        <v>55</v>
      </c>
      <c r="D4270" t="s">
        <v>22</v>
      </c>
      <c r="E4270" t="s">
        <v>18</v>
      </c>
      <c r="F4270" s="1">
        <v>40916</v>
      </c>
      <c r="G4270">
        <v>760280358</v>
      </c>
      <c r="H4270" t="s">
        <v>1691</v>
      </c>
      <c r="I4270">
        <v>2708</v>
      </c>
      <c r="J4270">
        <v>651.21</v>
      </c>
      <c r="K4270">
        <v>524.96</v>
      </c>
      <c r="L4270">
        <v>1763476.68</v>
      </c>
      <c r="M4270">
        <v>1421591.68</v>
      </c>
      <c r="N4270">
        <v>341885</v>
      </c>
    </row>
    <row r="4271" spans="1:14" x14ac:dyDescent="0.25">
      <c r="A4271" t="s">
        <v>51</v>
      </c>
      <c r="B4271" t="s">
        <v>414</v>
      </c>
      <c r="C4271" t="s">
        <v>88</v>
      </c>
      <c r="D4271" t="s">
        <v>17</v>
      </c>
      <c r="E4271" t="s">
        <v>45</v>
      </c>
      <c r="F4271" t="s">
        <v>249</v>
      </c>
      <c r="G4271">
        <v>912503230</v>
      </c>
      <c r="H4271" t="s">
        <v>1823</v>
      </c>
      <c r="I4271">
        <v>8838</v>
      </c>
      <c r="J4271">
        <v>9.33</v>
      </c>
      <c r="K4271">
        <v>6.92</v>
      </c>
      <c r="L4271">
        <v>82458.539999999994</v>
      </c>
      <c r="M4271">
        <v>61158.96</v>
      </c>
      <c r="N4271">
        <v>21299.58</v>
      </c>
    </row>
    <row r="4272" spans="1:14" x14ac:dyDescent="0.25">
      <c r="A4272" t="s">
        <v>25</v>
      </c>
      <c r="B4272" t="s">
        <v>569</v>
      </c>
      <c r="C4272" t="s">
        <v>27</v>
      </c>
      <c r="D4272" t="s">
        <v>22</v>
      </c>
      <c r="E4272" t="s">
        <v>18</v>
      </c>
      <c r="F4272" t="s">
        <v>537</v>
      </c>
      <c r="G4272">
        <v>495593106</v>
      </c>
      <c r="H4272" s="1">
        <v>42226</v>
      </c>
      <c r="I4272">
        <v>5868</v>
      </c>
      <c r="J4272">
        <v>47.45</v>
      </c>
      <c r="K4272">
        <v>31.79</v>
      </c>
      <c r="L4272">
        <v>278436.59999999998</v>
      </c>
      <c r="M4272">
        <v>186543.72</v>
      </c>
      <c r="N4272">
        <v>91892.88</v>
      </c>
    </row>
    <row r="4273" spans="1:14" x14ac:dyDescent="0.25">
      <c r="A4273" t="s">
        <v>25</v>
      </c>
      <c r="B4273" t="s">
        <v>252</v>
      </c>
      <c r="C4273" t="s">
        <v>44</v>
      </c>
      <c r="D4273" t="s">
        <v>22</v>
      </c>
      <c r="E4273" t="s">
        <v>32</v>
      </c>
      <c r="F4273" s="1">
        <v>41518</v>
      </c>
      <c r="G4273">
        <v>209598815</v>
      </c>
      <c r="H4273" s="1">
        <v>41579</v>
      </c>
      <c r="I4273">
        <v>3802</v>
      </c>
      <c r="J4273">
        <v>109.28</v>
      </c>
      <c r="K4273">
        <v>35.840000000000003</v>
      </c>
      <c r="L4273">
        <v>415482.56</v>
      </c>
      <c r="M4273">
        <v>136263.67999999999</v>
      </c>
      <c r="N4273">
        <v>279218.88</v>
      </c>
    </row>
    <row r="4274" spans="1:14" x14ac:dyDescent="0.25">
      <c r="A4274" t="s">
        <v>51</v>
      </c>
      <c r="B4274" t="s">
        <v>417</v>
      </c>
      <c r="C4274" t="s">
        <v>44</v>
      </c>
      <c r="D4274" t="s">
        <v>22</v>
      </c>
      <c r="E4274" t="s">
        <v>32</v>
      </c>
      <c r="F4274" t="s">
        <v>776</v>
      </c>
      <c r="G4274">
        <v>374881684</v>
      </c>
      <c r="H4274" t="s">
        <v>1674</v>
      </c>
      <c r="I4274">
        <v>4676</v>
      </c>
      <c r="J4274">
        <v>109.28</v>
      </c>
      <c r="K4274">
        <v>35.840000000000003</v>
      </c>
      <c r="L4274">
        <v>510993.28</v>
      </c>
      <c r="M4274">
        <v>167587.84</v>
      </c>
      <c r="N4274">
        <v>343405.44</v>
      </c>
    </row>
    <row r="4275" spans="1:14" x14ac:dyDescent="0.25">
      <c r="A4275" t="s">
        <v>77</v>
      </c>
      <c r="B4275" t="s">
        <v>320</v>
      </c>
      <c r="C4275" t="s">
        <v>16</v>
      </c>
      <c r="D4275" t="s">
        <v>22</v>
      </c>
      <c r="E4275" t="s">
        <v>45</v>
      </c>
      <c r="F4275" t="s">
        <v>576</v>
      </c>
      <c r="G4275">
        <v>482115542</v>
      </c>
      <c r="H4275" t="s">
        <v>577</v>
      </c>
      <c r="I4275">
        <v>7558</v>
      </c>
      <c r="J4275">
        <v>255.28</v>
      </c>
      <c r="K4275">
        <v>159.41999999999999</v>
      </c>
      <c r="L4275">
        <v>1929406.24</v>
      </c>
      <c r="M4275">
        <v>1204896.3600000001</v>
      </c>
      <c r="N4275">
        <v>724509.88</v>
      </c>
    </row>
    <row r="4276" spans="1:14" x14ac:dyDescent="0.25">
      <c r="A4276" t="s">
        <v>14</v>
      </c>
      <c r="B4276" t="s">
        <v>98</v>
      </c>
      <c r="C4276" t="s">
        <v>69</v>
      </c>
      <c r="D4276" t="s">
        <v>17</v>
      </c>
      <c r="E4276" t="s">
        <v>18</v>
      </c>
      <c r="F4276" t="s">
        <v>438</v>
      </c>
      <c r="G4276">
        <v>542286717</v>
      </c>
      <c r="H4276" t="s">
        <v>435</v>
      </c>
      <c r="I4276">
        <v>3545</v>
      </c>
      <c r="J4276">
        <v>421.89</v>
      </c>
      <c r="K4276">
        <v>364.69</v>
      </c>
      <c r="L4276">
        <v>1495600.05</v>
      </c>
      <c r="M4276">
        <v>1292826.05</v>
      </c>
      <c r="N4276">
        <v>202774</v>
      </c>
    </row>
    <row r="4277" spans="1:14" x14ac:dyDescent="0.25">
      <c r="A4277" t="s">
        <v>29</v>
      </c>
      <c r="B4277" t="s">
        <v>121</v>
      </c>
      <c r="C4277" t="s">
        <v>31</v>
      </c>
      <c r="D4277" t="s">
        <v>17</v>
      </c>
      <c r="E4277" t="s">
        <v>32</v>
      </c>
      <c r="F4277" s="1">
        <v>41891</v>
      </c>
      <c r="G4277">
        <v>636694037</v>
      </c>
      <c r="H4277" t="s">
        <v>1591</v>
      </c>
      <c r="I4277">
        <v>769</v>
      </c>
      <c r="J4277">
        <v>205.7</v>
      </c>
      <c r="K4277">
        <v>117.11</v>
      </c>
      <c r="L4277">
        <v>158183.29999999999</v>
      </c>
      <c r="M4277">
        <v>90057.59</v>
      </c>
      <c r="N4277">
        <v>68125.710000000006</v>
      </c>
    </row>
    <row r="4278" spans="1:14" x14ac:dyDescent="0.25">
      <c r="A4278" t="s">
        <v>42</v>
      </c>
      <c r="B4278" t="s">
        <v>174</v>
      </c>
      <c r="C4278" t="s">
        <v>40</v>
      </c>
      <c r="D4278" t="s">
        <v>22</v>
      </c>
      <c r="E4278" t="s">
        <v>45</v>
      </c>
      <c r="F4278" s="1">
        <v>41527</v>
      </c>
      <c r="G4278">
        <v>466948831</v>
      </c>
      <c r="H4278" t="s">
        <v>599</v>
      </c>
      <c r="I4278">
        <v>9390</v>
      </c>
      <c r="J4278">
        <v>81.73</v>
      </c>
      <c r="K4278">
        <v>56.67</v>
      </c>
      <c r="L4278">
        <v>767444.7</v>
      </c>
      <c r="M4278">
        <v>532131.30000000005</v>
      </c>
      <c r="N4278">
        <v>235313.4</v>
      </c>
    </row>
    <row r="4279" spans="1:14" x14ac:dyDescent="0.25">
      <c r="A4279" t="s">
        <v>51</v>
      </c>
      <c r="B4279" t="s">
        <v>295</v>
      </c>
      <c r="C4279" t="s">
        <v>21</v>
      </c>
      <c r="D4279" t="s">
        <v>22</v>
      </c>
      <c r="E4279" t="s">
        <v>32</v>
      </c>
      <c r="F4279" t="s">
        <v>272</v>
      </c>
      <c r="G4279">
        <v>704974925</v>
      </c>
      <c r="H4279" t="s">
        <v>990</v>
      </c>
      <c r="I4279">
        <v>6601</v>
      </c>
      <c r="J4279">
        <v>152.58000000000001</v>
      </c>
      <c r="K4279">
        <v>97.44</v>
      </c>
      <c r="L4279">
        <v>1007180.58</v>
      </c>
      <c r="M4279">
        <v>643201.43999999994</v>
      </c>
      <c r="N4279">
        <v>363979.14</v>
      </c>
    </row>
    <row r="4280" spans="1:14" x14ac:dyDescent="0.25">
      <c r="A4280" t="s">
        <v>51</v>
      </c>
      <c r="B4280" t="s">
        <v>169</v>
      </c>
      <c r="C4280" t="s">
        <v>88</v>
      </c>
      <c r="D4280" t="s">
        <v>17</v>
      </c>
      <c r="E4280" t="s">
        <v>45</v>
      </c>
      <c r="F4280" s="1">
        <v>42461</v>
      </c>
      <c r="G4280">
        <v>743008649</v>
      </c>
      <c r="H4280" t="s">
        <v>477</v>
      </c>
      <c r="I4280">
        <v>1625</v>
      </c>
      <c r="J4280">
        <v>9.33</v>
      </c>
      <c r="K4280">
        <v>6.92</v>
      </c>
      <c r="L4280">
        <v>15161.25</v>
      </c>
      <c r="M4280">
        <v>11245</v>
      </c>
      <c r="N4280">
        <v>3916.25</v>
      </c>
    </row>
    <row r="4281" spans="1:14" x14ac:dyDescent="0.25">
      <c r="A4281" t="s">
        <v>42</v>
      </c>
      <c r="B4281" t="s">
        <v>565</v>
      </c>
      <c r="C4281" t="s">
        <v>131</v>
      </c>
      <c r="D4281" t="s">
        <v>22</v>
      </c>
      <c r="E4281" t="s">
        <v>32</v>
      </c>
      <c r="F4281" s="1">
        <v>41217</v>
      </c>
      <c r="G4281">
        <v>943598830</v>
      </c>
      <c r="H4281" t="s">
        <v>1206</v>
      </c>
      <c r="I4281">
        <v>718</v>
      </c>
      <c r="J4281">
        <v>668.27</v>
      </c>
      <c r="K4281">
        <v>502.54</v>
      </c>
      <c r="L4281">
        <v>479817.86</v>
      </c>
      <c r="M4281">
        <v>360823.72</v>
      </c>
      <c r="N4281">
        <v>118994.14</v>
      </c>
    </row>
    <row r="4282" spans="1:14" x14ac:dyDescent="0.25">
      <c r="A4282" t="s">
        <v>14</v>
      </c>
      <c r="B4282" t="s">
        <v>98</v>
      </c>
      <c r="C4282" t="s">
        <v>113</v>
      </c>
      <c r="D4282" t="s">
        <v>17</v>
      </c>
      <c r="E4282" t="s">
        <v>32</v>
      </c>
      <c r="F4282" s="1">
        <v>41037</v>
      </c>
      <c r="G4282">
        <v>389606797</v>
      </c>
      <c r="H4282" t="s">
        <v>1215</v>
      </c>
      <c r="I4282">
        <v>2164</v>
      </c>
      <c r="J4282">
        <v>154.06</v>
      </c>
      <c r="K4282">
        <v>90.93</v>
      </c>
      <c r="L4282">
        <v>333385.84000000003</v>
      </c>
      <c r="M4282">
        <v>196772.52</v>
      </c>
      <c r="N4282">
        <v>136613.32</v>
      </c>
    </row>
    <row r="4283" spans="1:14" x14ac:dyDescent="0.25">
      <c r="A4283" t="s">
        <v>51</v>
      </c>
      <c r="B4283" t="s">
        <v>502</v>
      </c>
      <c r="C4283" t="s">
        <v>21</v>
      </c>
      <c r="D4283" t="s">
        <v>17</v>
      </c>
      <c r="E4283" t="s">
        <v>18</v>
      </c>
      <c r="F4283" s="1">
        <v>40216</v>
      </c>
      <c r="G4283">
        <v>934206378</v>
      </c>
      <c r="H4283" t="s">
        <v>1008</v>
      </c>
      <c r="I4283">
        <v>1282</v>
      </c>
      <c r="J4283">
        <v>152.58000000000001</v>
      </c>
      <c r="K4283">
        <v>97.44</v>
      </c>
      <c r="L4283">
        <v>195607.56</v>
      </c>
      <c r="M4283">
        <v>124918.08</v>
      </c>
      <c r="N4283">
        <v>70689.48</v>
      </c>
    </row>
    <row r="4284" spans="1:14" x14ac:dyDescent="0.25">
      <c r="A4284" t="s">
        <v>51</v>
      </c>
      <c r="B4284" t="s">
        <v>414</v>
      </c>
      <c r="C4284" t="s">
        <v>69</v>
      </c>
      <c r="D4284" t="s">
        <v>17</v>
      </c>
      <c r="E4284" t="s">
        <v>32</v>
      </c>
      <c r="F4284" t="s">
        <v>1169</v>
      </c>
      <c r="G4284">
        <v>450883901</v>
      </c>
      <c r="H4284" s="1">
        <v>42135</v>
      </c>
      <c r="I4284">
        <v>5421</v>
      </c>
      <c r="J4284">
        <v>421.89</v>
      </c>
      <c r="K4284">
        <v>364.69</v>
      </c>
      <c r="L4284">
        <v>2287065.69</v>
      </c>
      <c r="M4284">
        <v>1976984.49</v>
      </c>
      <c r="N4284">
        <v>310081.2</v>
      </c>
    </row>
    <row r="4285" spans="1:14" x14ac:dyDescent="0.25">
      <c r="A4285" t="s">
        <v>25</v>
      </c>
      <c r="B4285" t="s">
        <v>785</v>
      </c>
      <c r="C4285" t="s">
        <v>69</v>
      </c>
      <c r="D4285" t="s">
        <v>17</v>
      </c>
      <c r="E4285" t="s">
        <v>45</v>
      </c>
      <c r="F4285" t="s">
        <v>689</v>
      </c>
      <c r="G4285">
        <v>483438193</v>
      </c>
      <c r="H4285" t="s">
        <v>705</v>
      </c>
      <c r="I4285">
        <v>8959</v>
      </c>
      <c r="J4285">
        <v>421.89</v>
      </c>
      <c r="K4285">
        <v>364.69</v>
      </c>
      <c r="L4285">
        <v>3779712.51</v>
      </c>
      <c r="M4285">
        <v>3267257.71</v>
      </c>
      <c r="N4285">
        <v>512454.8</v>
      </c>
    </row>
    <row r="4286" spans="1:14" x14ac:dyDescent="0.25">
      <c r="A4286" t="s">
        <v>42</v>
      </c>
      <c r="B4286" t="s">
        <v>103</v>
      </c>
      <c r="C4286" t="s">
        <v>31</v>
      </c>
      <c r="D4286" t="s">
        <v>17</v>
      </c>
      <c r="E4286" t="s">
        <v>18</v>
      </c>
      <c r="F4286" s="1">
        <v>42654</v>
      </c>
      <c r="G4286">
        <v>395980584</v>
      </c>
      <c r="H4286" t="s">
        <v>1104</v>
      </c>
      <c r="I4286">
        <v>8309</v>
      </c>
      <c r="J4286">
        <v>205.7</v>
      </c>
      <c r="K4286">
        <v>117.11</v>
      </c>
      <c r="L4286">
        <v>1709161.3</v>
      </c>
      <c r="M4286">
        <v>973066.99</v>
      </c>
      <c r="N4286">
        <v>736094.31</v>
      </c>
    </row>
    <row r="4287" spans="1:14" x14ac:dyDescent="0.25">
      <c r="A4287" t="s">
        <v>38</v>
      </c>
      <c r="B4287" t="s">
        <v>156</v>
      </c>
      <c r="C4287" t="s">
        <v>113</v>
      </c>
      <c r="D4287" t="s">
        <v>22</v>
      </c>
      <c r="E4287" t="s">
        <v>18</v>
      </c>
      <c r="F4287" t="s">
        <v>1172</v>
      </c>
      <c r="G4287">
        <v>522934901</v>
      </c>
      <c r="H4287" s="1">
        <v>40604</v>
      </c>
      <c r="I4287">
        <v>6913</v>
      </c>
      <c r="J4287">
        <v>154.06</v>
      </c>
      <c r="K4287">
        <v>90.93</v>
      </c>
      <c r="L4287">
        <v>1065016.78</v>
      </c>
      <c r="M4287">
        <v>628599.09</v>
      </c>
      <c r="N4287">
        <v>436417.69</v>
      </c>
    </row>
    <row r="4288" spans="1:14" x14ac:dyDescent="0.25">
      <c r="A4288" t="s">
        <v>25</v>
      </c>
      <c r="B4288" t="s">
        <v>119</v>
      </c>
      <c r="C4288" t="s">
        <v>113</v>
      </c>
      <c r="D4288" t="s">
        <v>17</v>
      </c>
      <c r="E4288" t="s">
        <v>32</v>
      </c>
      <c r="F4288" t="s">
        <v>1438</v>
      </c>
      <c r="G4288">
        <v>819037473</v>
      </c>
      <c r="H4288" t="s">
        <v>1438</v>
      </c>
      <c r="I4288">
        <v>244</v>
      </c>
      <c r="J4288">
        <v>154.06</v>
      </c>
      <c r="K4288">
        <v>90.93</v>
      </c>
      <c r="L4288">
        <v>37590.639999999999</v>
      </c>
      <c r="M4288">
        <v>22186.92</v>
      </c>
      <c r="N4288">
        <v>15403.72</v>
      </c>
    </row>
    <row r="4289" spans="1:14" x14ac:dyDescent="0.25">
      <c r="A4289" t="s">
        <v>51</v>
      </c>
      <c r="B4289" t="s">
        <v>360</v>
      </c>
      <c r="C4289" t="s">
        <v>16</v>
      </c>
      <c r="D4289" t="s">
        <v>22</v>
      </c>
      <c r="E4289" t="s">
        <v>23</v>
      </c>
      <c r="F4289" s="1">
        <v>42006</v>
      </c>
      <c r="G4289">
        <v>409337127</v>
      </c>
      <c r="H4289" t="s">
        <v>781</v>
      </c>
      <c r="I4289">
        <v>807</v>
      </c>
      <c r="J4289">
        <v>255.28</v>
      </c>
      <c r="K4289">
        <v>159.41999999999999</v>
      </c>
      <c r="L4289">
        <v>206010.96</v>
      </c>
      <c r="M4289">
        <v>128651.94</v>
      </c>
      <c r="N4289">
        <v>77359.02</v>
      </c>
    </row>
    <row r="4290" spans="1:14" x14ac:dyDescent="0.25">
      <c r="A4290" t="s">
        <v>14</v>
      </c>
      <c r="B4290" t="s">
        <v>15</v>
      </c>
      <c r="C4290" t="s">
        <v>31</v>
      </c>
      <c r="D4290" t="s">
        <v>17</v>
      </c>
      <c r="E4290" t="s">
        <v>18</v>
      </c>
      <c r="F4290" t="s">
        <v>958</v>
      </c>
      <c r="G4290">
        <v>739195191</v>
      </c>
      <c r="H4290" t="s">
        <v>811</v>
      </c>
      <c r="I4290">
        <v>3139</v>
      </c>
      <c r="J4290">
        <v>205.7</v>
      </c>
      <c r="K4290">
        <v>117.11</v>
      </c>
      <c r="L4290">
        <v>645692.30000000005</v>
      </c>
      <c r="M4290">
        <v>367608.29</v>
      </c>
      <c r="N4290">
        <v>278084.01</v>
      </c>
    </row>
    <row r="4291" spans="1:14" x14ac:dyDescent="0.25">
      <c r="A4291" t="s">
        <v>38</v>
      </c>
      <c r="B4291" t="s">
        <v>68</v>
      </c>
      <c r="C4291" t="s">
        <v>40</v>
      </c>
      <c r="D4291" t="s">
        <v>22</v>
      </c>
      <c r="E4291" t="s">
        <v>32</v>
      </c>
      <c r="F4291" t="s">
        <v>1519</v>
      </c>
      <c r="G4291">
        <v>624285495</v>
      </c>
      <c r="H4291" s="1">
        <v>41584</v>
      </c>
      <c r="I4291">
        <v>8806</v>
      </c>
      <c r="J4291">
        <v>81.73</v>
      </c>
      <c r="K4291">
        <v>56.67</v>
      </c>
      <c r="L4291">
        <v>719714.38</v>
      </c>
      <c r="M4291">
        <v>499036.02</v>
      </c>
      <c r="N4291">
        <v>220678.36</v>
      </c>
    </row>
    <row r="4292" spans="1:14" x14ac:dyDescent="0.25">
      <c r="A4292" t="s">
        <v>51</v>
      </c>
      <c r="B4292" t="s">
        <v>877</v>
      </c>
      <c r="C4292" t="s">
        <v>16</v>
      </c>
      <c r="D4292" t="s">
        <v>22</v>
      </c>
      <c r="E4292" t="s">
        <v>32</v>
      </c>
      <c r="F4292" s="1">
        <v>40401</v>
      </c>
      <c r="G4292">
        <v>300594365</v>
      </c>
      <c r="H4292" s="1">
        <v>40280</v>
      </c>
      <c r="I4292">
        <v>1407</v>
      </c>
      <c r="J4292">
        <v>255.28</v>
      </c>
      <c r="K4292">
        <v>159.41999999999999</v>
      </c>
      <c r="L4292">
        <v>359178.96</v>
      </c>
      <c r="M4292">
        <v>224303.94</v>
      </c>
      <c r="N4292">
        <v>134875.01999999999</v>
      </c>
    </row>
    <row r="4293" spans="1:14" x14ac:dyDescent="0.25">
      <c r="A4293" t="s">
        <v>25</v>
      </c>
      <c r="B4293" t="s">
        <v>229</v>
      </c>
      <c r="C4293" t="s">
        <v>88</v>
      </c>
      <c r="D4293" t="s">
        <v>22</v>
      </c>
      <c r="E4293" t="s">
        <v>45</v>
      </c>
      <c r="F4293" t="s">
        <v>1043</v>
      </c>
      <c r="G4293">
        <v>974420630</v>
      </c>
      <c r="H4293" t="s">
        <v>480</v>
      </c>
      <c r="I4293">
        <v>1573</v>
      </c>
      <c r="J4293">
        <v>9.33</v>
      </c>
      <c r="K4293">
        <v>6.92</v>
      </c>
      <c r="L4293">
        <v>14676.09</v>
      </c>
      <c r="M4293">
        <v>10885.16</v>
      </c>
      <c r="N4293">
        <v>3790.93</v>
      </c>
    </row>
    <row r="4294" spans="1:14" x14ac:dyDescent="0.25">
      <c r="A4294" t="s">
        <v>51</v>
      </c>
      <c r="B4294" t="s">
        <v>250</v>
      </c>
      <c r="C4294" t="s">
        <v>40</v>
      </c>
      <c r="D4294" t="s">
        <v>17</v>
      </c>
      <c r="E4294" t="s">
        <v>32</v>
      </c>
      <c r="F4294" s="1">
        <v>42432</v>
      </c>
      <c r="G4294">
        <v>772375619</v>
      </c>
      <c r="H4294" s="1">
        <v>42524</v>
      </c>
      <c r="I4294">
        <v>1964</v>
      </c>
      <c r="J4294">
        <v>81.73</v>
      </c>
      <c r="K4294">
        <v>56.67</v>
      </c>
      <c r="L4294">
        <v>160517.72</v>
      </c>
      <c r="M4294">
        <v>111299.88</v>
      </c>
      <c r="N4294">
        <v>49217.84</v>
      </c>
    </row>
    <row r="4295" spans="1:14" x14ac:dyDescent="0.25">
      <c r="A4295" t="s">
        <v>38</v>
      </c>
      <c r="B4295" t="s">
        <v>156</v>
      </c>
      <c r="C4295" t="s">
        <v>131</v>
      </c>
      <c r="D4295" t="s">
        <v>17</v>
      </c>
      <c r="E4295" t="s">
        <v>18</v>
      </c>
      <c r="F4295" s="1">
        <v>42377</v>
      </c>
      <c r="G4295">
        <v>591383159</v>
      </c>
      <c r="H4295" t="s">
        <v>1729</v>
      </c>
      <c r="I4295">
        <v>2273</v>
      </c>
      <c r="J4295">
        <v>668.27</v>
      </c>
      <c r="K4295">
        <v>502.54</v>
      </c>
      <c r="L4295">
        <v>1518977.71</v>
      </c>
      <c r="M4295">
        <v>1142273.42</v>
      </c>
      <c r="N4295">
        <v>376704.29</v>
      </c>
    </row>
    <row r="4296" spans="1:14" x14ac:dyDescent="0.25">
      <c r="A4296" t="s">
        <v>14</v>
      </c>
      <c r="B4296" t="s">
        <v>372</v>
      </c>
      <c r="C4296" t="s">
        <v>21</v>
      </c>
      <c r="D4296" t="s">
        <v>17</v>
      </c>
      <c r="E4296" t="s">
        <v>45</v>
      </c>
      <c r="F4296" t="s">
        <v>534</v>
      </c>
      <c r="G4296">
        <v>948679578</v>
      </c>
      <c r="H4296" s="1">
        <v>41035</v>
      </c>
      <c r="I4296">
        <v>4224</v>
      </c>
      <c r="J4296">
        <v>152.58000000000001</v>
      </c>
      <c r="K4296">
        <v>97.44</v>
      </c>
      <c r="L4296">
        <v>644497.92000000004</v>
      </c>
      <c r="M4296">
        <v>411586.56</v>
      </c>
      <c r="N4296">
        <v>232911.35999999999</v>
      </c>
    </row>
    <row r="4297" spans="1:14" x14ac:dyDescent="0.25">
      <c r="A4297" t="s">
        <v>51</v>
      </c>
      <c r="B4297" t="s">
        <v>219</v>
      </c>
      <c r="C4297" t="s">
        <v>69</v>
      </c>
      <c r="D4297" t="s">
        <v>17</v>
      </c>
      <c r="E4297" t="s">
        <v>32</v>
      </c>
      <c r="F4297" s="1">
        <v>42287</v>
      </c>
      <c r="G4297">
        <v>631813704</v>
      </c>
      <c r="H4297" t="s">
        <v>419</v>
      </c>
      <c r="I4297">
        <v>6570</v>
      </c>
      <c r="J4297">
        <v>421.89</v>
      </c>
      <c r="K4297">
        <v>364.69</v>
      </c>
      <c r="L4297">
        <v>2771817.3</v>
      </c>
      <c r="M4297">
        <v>2396013.2999999998</v>
      </c>
      <c r="N4297">
        <v>375804</v>
      </c>
    </row>
    <row r="4298" spans="1:14" x14ac:dyDescent="0.25">
      <c r="A4298" t="s">
        <v>51</v>
      </c>
      <c r="B4298" t="s">
        <v>308</v>
      </c>
      <c r="C4298" t="s">
        <v>44</v>
      </c>
      <c r="D4298" t="s">
        <v>17</v>
      </c>
      <c r="E4298" t="s">
        <v>23</v>
      </c>
      <c r="F4298" t="s">
        <v>1711</v>
      </c>
      <c r="G4298">
        <v>748646867</v>
      </c>
      <c r="H4298" t="s">
        <v>1247</v>
      </c>
      <c r="I4298">
        <v>99</v>
      </c>
      <c r="J4298">
        <v>109.28</v>
      </c>
      <c r="K4298">
        <v>35.840000000000003</v>
      </c>
      <c r="L4298">
        <v>10818.72</v>
      </c>
      <c r="M4298">
        <v>3548.16</v>
      </c>
      <c r="N4298">
        <v>7270.56</v>
      </c>
    </row>
    <row r="4299" spans="1:14" x14ac:dyDescent="0.25">
      <c r="A4299" t="s">
        <v>51</v>
      </c>
      <c r="B4299" t="s">
        <v>414</v>
      </c>
      <c r="C4299" t="s">
        <v>27</v>
      </c>
      <c r="D4299" t="s">
        <v>17</v>
      </c>
      <c r="E4299" t="s">
        <v>18</v>
      </c>
      <c r="F4299" t="s">
        <v>667</v>
      </c>
      <c r="G4299">
        <v>677352893</v>
      </c>
      <c r="H4299" t="s">
        <v>689</v>
      </c>
      <c r="I4299">
        <v>2628</v>
      </c>
      <c r="J4299">
        <v>47.45</v>
      </c>
      <c r="K4299">
        <v>31.79</v>
      </c>
      <c r="L4299">
        <v>124698.6</v>
      </c>
      <c r="M4299">
        <v>83544.12</v>
      </c>
      <c r="N4299">
        <v>41154.480000000003</v>
      </c>
    </row>
    <row r="4300" spans="1:14" x14ac:dyDescent="0.25">
      <c r="A4300" t="s">
        <v>51</v>
      </c>
      <c r="B4300" t="s">
        <v>258</v>
      </c>
      <c r="C4300" t="s">
        <v>27</v>
      </c>
      <c r="D4300" t="s">
        <v>22</v>
      </c>
      <c r="E4300" t="s">
        <v>18</v>
      </c>
      <c r="F4300" t="s">
        <v>1806</v>
      </c>
      <c r="G4300">
        <v>316418111</v>
      </c>
      <c r="H4300" s="1">
        <v>41428</v>
      </c>
      <c r="I4300">
        <v>4005</v>
      </c>
      <c r="J4300">
        <v>47.45</v>
      </c>
      <c r="K4300">
        <v>31.79</v>
      </c>
      <c r="L4300">
        <v>190037.25</v>
      </c>
      <c r="M4300">
        <v>127318.95</v>
      </c>
      <c r="N4300">
        <v>62718.3</v>
      </c>
    </row>
    <row r="4301" spans="1:14" x14ac:dyDescent="0.25">
      <c r="A4301" t="s">
        <v>25</v>
      </c>
      <c r="B4301" t="s">
        <v>185</v>
      </c>
      <c r="C4301" t="s">
        <v>27</v>
      </c>
      <c r="D4301" t="s">
        <v>22</v>
      </c>
      <c r="E4301" t="s">
        <v>32</v>
      </c>
      <c r="F4301" s="1">
        <v>41098</v>
      </c>
      <c r="G4301">
        <v>534641349</v>
      </c>
      <c r="H4301" t="s">
        <v>1236</v>
      </c>
      <c r="I4301">
        <v>1111</v>
      </c>
      <c r="J4301">
        <v>47.45</v>
      </c>
      <c r="K4301">
        <v>31.79</v>
      </c>
      <c r="L4301">
        <v>52716.95</v>
      </c>
      <c r="M4301">
        <v>35318.69</v>
      </c>
      <c r="N4301">
        <v>17398.259999999998</v>
      </c>
    </row>
    <row r="4302" spans="1:14" x14ac:dyDescent="0.25">
      <c r="A4302" t="s">
        <v>25</v>
      </c>
      <c r="B4302" t="s">
        <v>140</v>
      </c>
      <c r="C4302" t="s">
        <v>21</v>
      </c>
      <c r="D4302" t="s">
        <v>17</v>
      </c>
      <c r="E4302" t="s">
        <v>32</v>
      </c>
      <c r="F4302" s="1">
        <v>41402</v>
      </c>
      <c r="G4302">
        <v>921133935</v>
      </c>
      <c r="H4302" s="1">
        <v>41586</v>
      </c>
      <c r="I4302">
        <v>2856</v>
      </c>
      <c r="J4302">
        <v>152.58000000000001</v>
      </c>
      <c r="K4302">
        <v>97.44</v>
      </c>
      <c r="L4302">
        <v>435768.48</v>
      </c>
      <c r="M4302">
        <v>278288.64000000001</v>
      </c>
      <c r="N4302">
        <v>157479.84</v>
      </c>
    </row>
    <row r="4303" spans="1:14" x14ac:dyDescent="0.25">
      <c r="A4303" t="s">
        <v>29</v>
      </c>
      <c r="B4303" t="s">
        <v>124</v>
      </c>
      <c r="C4303" t="s">
        <v>55</v>
      </c>
      <c r="D4303" t="s">
        <v>22</v>
      </c>
      <c r="E4303" t="s">
        <v>45</v>
      </c>
      <c r="F4303" t="s">
        <v>1694</v>
      </c>
      <c r="G4303">
        <v>235319697</v>
      </c>
      <c r="H4303" t="s">
        <v>1267</v>
      </c>
      <c r="I4303">
        <v>5183</v>
      </c>
      <c r="J4303">
        <v>651.21</v>
      </c>
      <c r="K4303">
        <v>524.96</v>
      </c>
      <c r="L4303">
        <v>3375221.43</v>
      </c>
      <c r="M4303">
        <v>2720867.68</v>
      </c>
      <c r="N4303">
        <v>654353.75</v>
      </c>
    </row>
    <row r="4304" spans="1:14" x14ac:dyDescent="0.25">
      <c r="A4304" t="s">
        <v>25</v>
      </c>
      <c r="B4304" t="s">
        <v>142</v>
      </c>
      <c r="C4304" t="s">
        <v>69</v>
      </c>
      <c r="D4304" t="s">
        <v>22</v>
      </c>
      <c r="E4304" t="s">
        <v>32</v>
      </c>
      <c r="F4304" t="s">
        <v>136</v>
      </c>
      <c r="G4304">
        <v>456934964</v>
      </c>
      <c r="H4304" s="1">
        <v>41034</v>
      </c>
      <c r="I4304">
        <v>6065</v>
      </c>
      <c r="J4304">
        <v>421.89</v>
      </c>
      <c r="K4304">
        <v>364.69</v>
      </c>
      <c r="L4304">
        <v>2558762.85</v>
      </c>
      <c r="M4304">
        <v>2211844.85</v>
      </c>
      <c r="N4304">
        <v>346918</v>
      </c>
    </row>
    <row r="4305" spans="1:14" x14ac:dyDescent="0.25">
      <c r="A4305" t="s">
        <v>14</v>
      </c>
      <c r="B4305" t="s">
        <v>66</v>
      </c>
      <c r="C4305" t="s">
        <v>27</v>
      </c>
      <c r="D4305" t="s">
        <v>22</v>
      </c>
      <c r="E4305" t="s">
        <v>45</v>
      </c>
      <c r="F4305" t="s">
        <v>1817</v>
      </c>
      <c r="G4305">
        <v>936028563</v>
      </c>
      <c r="H4305" t="s">
        <v>1673</v>
      </c>
      <c r="I4305">
        <v>507</v>
      </c>
      <c r="J4305">
        <v>47.45</v>
      </c>
      <c r="K4305">
        <v>31.79</v>
      </c>
      <c r="L4305">
        <v>24057.15</v>
      </c>
      <c r="M4305">
        <v>16117.53</v>
      </c>
      <c r="N4305">
        <v>7939.62</v>
      </c>
    </row>
    <row r="4306" spans="1:14" x14ac:dyDescent="0.25">
      <c r="A4306" t="s">
        <v>14</v>
      </c>
      <c r="B4306" t="s">
        <v>488</v>
      </c>
      <c r="C4306" t="s">
        <v>16</v>
      </c>
      <c r="D4306" t="s">
        <v>22</v>
      </c>
      <c r="E4306" t="s">
        <v>23</v>
      </c>
      <c r="F4306" t="s">
        <v>725</v>
      </c>
      <c r="G4306">
        <v>642961823</v>
      </c>
      <c r="H4306" t="s">
        <v>1189</v>
      </c>
      <c r="I4306">
        <v>5546</v>
      </c>
      <c r="J4306">
        <v>255.28</v>
      </c>
      <c r="K4306">
        <v>159.41999999999999</v>
      </c>
      <c r="L4306">
        <v>1415782.88</v>
      </c>
      <c r="M4306">
        <v>884143.32</v>
      </c>
      <c r="N4306">
        <v>531639.56000000006</v>
      </c>
    </row>
    <row r="4307" spans="1:14" x14ac:dyDescent="0.25">
      <c r="A4307" t="s">
        <v>51</v>
      </c>
      <c r="B4307" t="s">
        <v>877</v>
      </c>
      <c r="C4307" t="s">
        <v>40</v>
      </c>
      <c r="D4307" t="s">
        <v>22</v>
      </c>
      <c r="E4307" t="s">
        <v>45</v>
      </c>
      <c r="F4307" t="s">
        <v>788</v>
      </c>
      <c r="G4307">
        <v>418408572</v>
      </c>
      <c r="H4307" t="s">
        <v>788</v>
      </c>
      <c r="I4307">
        <v>5249</v>
      </c>
      <c r="J4307">
        <v>81.73</v>
      </c>
      <c r="K4307">
        <v>56.67</v>
      </c>
      <c r="L4307">
        <v>429000.77</v>
      </c>
      <c r="M4307">
        <v>297460.83</v>
      </c>
      <c r="N4307">
        <v>131539.94</v>
      </c>
    </row>
    <row r="4308" spans="1:14" x14ac:dyDescent="0.25">
      <c r="A4308" t="s">
        <v>38</v>
      </c>
      <c r="B4308" t="s">
        <v>288</v>
      </c>
      <c r="C4308" t="s">
        <v>27</v>
      </c>
      <c r="D4308" t="s">
        <v>22</v>
      </c>
      <c r="E4308" t="s">
        <v>32</v>
      </c>
      <c r="F4308" t="s">
        <v>1013</v>
      </c>
      <c r="G4308">
        <v>723355138</v>
      </c>
      <c r="H4308" t="s">
        <v>1130</v>
      </c>
      <c r="I4308">
        <v>5715</v>
      </c>
      <c r="J4308">
        <v>47.45</v>
      </c>
      <c r="K4308">
        <v>31.79</v>
      </c>
      <c r="L4308">
        <v>271176.75</v>
      </c>
      <c r="M4308">
        <v>181679.85</v>
      </c>
      <c r="N4308">
        <v>89496.9</v>
      </c>
    </row>
    <row r="4309" spans="1:14" x14ac:dyDescent="0.25">
      <c r="A4309" t="s">
        <v>51</v>
      </c>
      <c r="B4309" t="s">
        <v>295</v>
      </c>
      <c r="C4309" t="s">
        <v>69</v>
      </c>
      <c r="D4309" t="s">
        <v>17</v>
      </c>
      <c r="E4309" t="s">
        <v>23</v>
      </c>
      <c r="F4309" t="s">
        <v>1509</v>
      </c>
      <c r="G4309">
        <v>289100348</v>
      </c>
      <c r="H4309" t="s">
        <v>75</v>
      </c>
      <c r="I4309">
        <v>72</v>
      </c>
      <c r="J4309">
        <v>421.89</v>
      </c>
      <c r="K4309">
        <v>364.69</v>
      </c>
      <c r="L4309">
        <v>30376.080000000002</v>
      </c>
      <c r="M4309">
        <v>26257.68</v>
      </c>
      <c r="N4309">
        <v>4118.3999999999996</v>
      </c>
    </row>
    <row r="4310" spans="1:14" x14ac:dyDescent="0.25">
      <c r="A4310" t="s">
        <v>29</v>
      </c>
      <c r="B4310" t="s">
        <v>206</v>
      </c>
      <c r="C4310" t="s">
        <v>40</v>
      </c>
      <c r="D4310" t="s">
        <v>22</v>
      </c>
      <c r="E4310" t="s">
        <v>18</v>
      </c>
      <c r="F4310" s="1">
        <v>40787</v>
      </c>
      <c r="G4310">
        <v>167255532</v>
      </c>
      <c r="H4310" t="s">
        <v>567</v>
      </c>
      <c r="I4310">
        <v>3484</v>
      </c>
      <c r="J4310">
        <v>81.73</v>
      </c>
      <c r="K4310">
        <v>56.67</v>
      </c>
      <c r="L4310">
        <v>284747.32</v>
      </c>
      <c r="M4310">
        <v>197438.28</v>
      </c>
      <c r="N4310">
        <v>87309.04</v>
      </c>
    </row>
    <row r="4311" spans="1:14" x14ac:dyDescent="0.25">
      <c r="A4311" t="s">
        <v>42</v>
      </c>
      <c r="B4311" t="s">
        <v>573</v>
      </c>
      <c r="C4311" t="s">
        <v>69</v>
      </c>
      <c r="D4311" t="s">
        <v>17</v>
      </c>
      <c r="E4311" t="s">
        <v>32</v>
      </c>
      <c r="F4311" t="s">
        <v>1797</v>
      </c>
      <c r="G4311">
        <v>579744517</v>
      </c>
      <c r="H4311" s="1">
        <v>40216</v>
      </c>
      <c r="I4311">
        <v>8141</v>
      </c>
      <c r="J4311">
        <v>421.89</v>
      </c>
      <c r="K4311">
        <v>364.69</v>
      </c>
      <c r="L4311">
        <v>3434606.49</v>
      </c>
      <c r="M4311">
        <v>2968941.29</v>
      </c>
      <c r="N4311">
        <v>465665.2</v>
      </c>
    </row>
    <row r="4312" spans="1:14" x14ac:dyDescent="0.25">
      <c r="A4312" t="s">
        <v>25</v>
      </c>
      <c r="B4312" t="s">
        <v>74</v>
      </c>
      <c r="C4312" t="s">
        <v>88</v>
      </c>
      <c r="D4312" t="s">
        <v>17</v>
      </c>
      <c r="E4312" t="s">
        <v>32</v>
      </c>
      <c r="F4312" t="s">
        <v>618</v>
      </c>
      <c r="G4312">
        <v>468803632</v>
      </c>
      <c r="H4312" s="1">
        <v>40219</v>
      </c>
      <c r="I4312">
        <v>8267</v>
      </c>
      <c r="J4312">
        <v>9.33</v>
      </c>
      <c r="K4312">
        <v>6.92</v>
      </c>
      <c r="L4312">
        <v>77131.11</v>
      </c>
      <c r="M4312">
        <v>57207.64</v>
      </c>
      <c r="N4312">
        <v>19923.47</v>
      </c>
    </row>
    <row r="4313" spans="1:14" x14ac:dyDescent="0.25">
      <c r="A4313" t="s">
        <v>25</v>
      </c>
      <c r="B4313" t="s">
        <v>134</v>
      </c>
      <c r="C4313" t="s">
        <v>16</v>
      </c>
      <c r="D4313" t="s">
        <v>17</v>
      </c>
      <c r="E4313" t="s">
        <v>18</v>
      </c>
      <c r="F4313" t="s">
        <v>1824</v>
      </c>
      <c r="G4313">
        <v>646981704</v>
      </c>
      <c r="H4313" t="s">
        <v>641</v>
      </c>
      <c r="I4313">
        <v>5118</v>
      </c>
      <c r="J4313">
        <v>255.28</v>
      </c>
      <c r="K4313">
        <v>159.41999999999999</v>
      </c>
      <c r="L4313">
        <v>1306523.04</v>
      </c>
      <c r="M4313">
        <v>815911.56</v>
      </c>
      <c r="N4313">
        <v>490611.48</v>
      </c>
    </row>
    <row r="4314" spans="1:14" x14ac:dyDescent="0.25">
      <c r="A4314" t="s">
        <v>38</v>
      </c>
      <c r="B4314" t="s">
        <v>190</v>
      </c>
      <c r="C4314" t="s">
        <v>131</v>
      </c>
      <c r="D4314" t="s">
        <v>17</v>
      </c>
      <c r="E4314" t="s">
        <v>45</v>
      </c>
      <c r="F4314" t="s">
        <v>147</v>
      </c>
      <c r="G4314">
        <v>647140061</v>
      </c>
      <c r="H4314" s="1">
        <v>40309</v>
      </c>
      <c r="I4314">
        <v>1980</v>
      </c>
      <c r="J4314">
        <v>668.27</v>
      </c>
      <c r="K4314">
        <v>502.54</v>
      </c>
      <c r="L4314">
        <v>1323174.6000000001</v>
      </c>
      <c r="M4314">
        <v>995029.2</v>
      </c>
      <c r="N4314">
        <v>328145.40000000002</v>
      </c>
    </row>
    <row r="4315" spans="1:14" x14ac:dyDescent="0.25">
      <c r="A4315" t="s">
        <v>25</v>
      </c>
      <c r="B4315" t="s">
        <v>134</v>
      </c>
      <c r="C4315" t="s">
        <v>113</v>
      </c>
      <c r="D4315" t="s">
        <v>17</v>
      </c>
      <c r="E4315" t="s">
        <v>32</v>
      </c>
      <c r="F4315" t="s">
        <v>598</v>
      </c>
      <c r="G4315">
        <v>972452533</v>
      </c>
      <c r="H4315" s="1">
        <v>42104</v>
      </c>
      <c r="I4315">
        <v>9169</v>
      </c>
      <c r="J4315">
        <v>154.06</v>
      </c>
      <c r="K4315">
        <v>90.93</v>
      </c>
      <c r="L4315">
        <v>1412576.14</v>
      </c>
      <c r="M4315">
        <v>833737.17</v>
      </c>
      <c r="N4315">
        <v>578838.97</v>
      </c>
    </row>
    <row r="4316" spans="1:14" x14ac:dyDescent="0.25">
      <c r="A4316" t="s">
        <v>38</v>
      </c>
      <c r="B4316" t="s">
        <v>117</v>
      </c>
      <c r="C4316" t="s">
        <v>131</v>
      </c>
      <c r="D4316" t="s">
        <v>22</v>
      </c>
      <c r="E4316" t="s">
        <v>18</v>
      </c>
      <c r="F4316" s="1">
        <v>42492</v>
      </c>
      <c r="G4316">
        <v>846405446</v>
      </c>
      <c r="H4316" s="1">
        <v>42616</v>
      </c>
      <c r="I4316">
        <v>9035</v>
      </c>
      <c r="J4316">
        <v>668.27</v>
      </c>
      <c r="K4316">
        <v>502.54</v>
      </c>
      <c r="L4316">
        <v>6037819.4500000002</v>
      </c>
      <c r="M4316">
        <v>4540448.9000000004</v>
      </c>
      <c r="N4316">
        <v>1497370.55</v>
      </c>
    </row>
    <row r="4317" spans="1:14" x14ac:dyDescent="0.25">
      <c r="A4317" t="s">
        <v>14</v>
      </c>
      <c r="B4317" t="s">
        <v>81</v>
      </c>
      <c r="C4317" t="s">
        <v>40</v>
      </c>
      <c r="D4317" t="s">
        <v>17</v>
      </c>
      <c r="E4317" t="s">
        <v>45</v>
      </c>
      <c r="F4317" s="1">
        <v>42100</v>
      </c>
      <c r="G4317">
        <v>462797629</v>
      </c>
      <c r="H4317" t="s">
        <v>1146</v>
      </c>
      <c r="I4317">
        <v>958</v>
      </c>
      <c r="J4317">
        <v>81.73</v>
      </c>
      <c r="K4317">
        <v>56.67</v>
      </c>
      <c r="L4317">
        <v>78297.34</v>
      </c>
      <c r="M4317">
        <v>54289.86</v>
      </c>
      <c r="N4317">
        <v>24007.48</v>
      </c>
    </row>
    <row r="4318" spans="1:14" x14ac:dyDescent="0.25">
      <c r="A4318" t="s">
        <v>25</v>
      </c>
      <c r="B4318" t="s">
        <v>72</v>
      </c>
      <c r="C4318" t="s">
        <v>40</v>
      </c>
      <c r="D4318" t="s">
        <v>22</v>
      </c>
      <c r="E4318" t="s">
        <v>18</v>
      </c>
      <c r="F4318" s="1">
        <v>40456</v>
      </c>
      <c r="G4318">
        <v>535740411</v>
      </c>
      <c r="H4318" s="1">
        <v>40365</v>
      </c>
      <c r="I4318">
        <v>6348</v>
      </c>
      <c r="J4318">
        <v>81.73</v>
      </c>
      <c r="K4318">
        <v>56.67</v>
      </c>
      <c r="L4318">
        <v>518822.04</v>
      </c>
      <c r="M4318">
        <v>359741.16</v>
      </c>
      <c r="N4318">
        <v>159080.88</v>
      </c>
    </row>
    <row r="4319" spans="1:14" x14ac:dyDescent="0.25">
      <c r="A4319" t="s">
        <v>38</v>
      </c>
      <c r="B4319" t="s">
        <v>83</v>
      </c>
      <c r="C4319" t="s">
        <v>69</v>
      </c>
      <c r="D4319" t="s">
        <v>17</v>
      </c>
      <c r="E4319" t="s">
        <v>45</v>
      </c>
      <c r="F4319" t="s">
        <v>84</v>
      </c>
      <c r="G4319">
        <v>949657618</v>
      </c>
      <c r="H4319" t="s">
        <v>570</v>
      </c>
      <c r="I4319">
        <v>3648</v>
      </c>
      <c r="J4319">
        <v>421.89</v>
      </c>
      <c r="K4319">
        <v>364.69</v>
      </c>
      <c r="L4319">
        <v>1539054.72</v>
      </c>
      <c r="M4319">
        <v>1330389.1200000001</v>
      </c>
      <c r="N4319">
        <v>208665.60000000001</v>
      </c>
    </row>
    <row r="4320" spans="1:14" x14ac:dyDescent="0.25">
      <c r="A4320" t="s">
        <v>25</v>
      </c>
      <c r="B4320" t="s">
        <v>615</v>
      </c>
      <c r="C4320" t="s">
        <v>40</v>
      </c>
      <c r="D4320" t="s">
        <v>22</v>
      </c>
      <c r="E4320" t="s">
        <v>45</v>
      </c>
      <c r="F4320" t="s">
        <v>574</v>
      </c>
      <c r="G4320">
        <v>309285581</v>
      </c>
      <c r="H4320" t="s">
        <v>501</v>
      </c>
      <c r="I4320">
        <v>3331</v>
      </c>
      <c r="J4320">
        <v>81.73</v>
      </c>
      <c r="K4320">
        <v>56.67</v>
      </c>
      <c r="L4320">
        <v>272242.63</v>
      </c>
      <c r="M4320">
        <v>188767.77</v>
      </c>
      <c r="N4320">
        <v>83474.86</v>
      </c>
    </row>
    <row r="4321" spans="1:14" x14ac:dyDescent="0.25">
      <c r="A4321" t="s">
        <v>38</v>
      </c>
      <c r="B4321" t="s">
        <v>388</v>
      </c>
      <c r="C4321" t="s">
        <v>69</v>
      </c>
      <c r="D4321" t="s">
        <v>17</v>
      </c>
      <c r="E4321" t="s">
        <v>23</v>
      </c>
      <c r="F4321" t="s">
        <v>924</v>
      </c>
      <c r="G4321">
        <v>889673125</v>
      </c>
      <c r="H4321" s="1">
        <v>42620</v>
      </c>
      <c r="I4321">
        <v>2903</v>
      </c>
      <c r="J4321">
        <v>421.89</v>
      </c>
      <c r="K4321">
        <v>364.69</v>
      </c>
      <c r="L4321">
        <v>1224746.67</v>
      </c>
      <c r="M4321">
        <v>1058695.07</v>
      </c>
      <c r="N4321">
        <v>166051.6</v>
      </c>
    </row>
    <row r="4322" spans="1:14" x14ac:dyDescent="0.25">
      <c r="A4322" t="s">
        <v>51</v>
      </c>
      <c r="B4322" t="s">
        <v>192</v>
      </c>
      <c r="C4322" t="s">
        <v>69</v>
      </c>
      <c r="D4322" t="s">
        <v>22</v>
      </c>
      <c r="E4322" t="s">
        <v>45</v>
      </c>
      <c r="F4322" t="s">
        <v>1667</v>
      </c>
      <c r="G4322">
        <v>986181581</v>
      </c>
      <c r="H4322" t="s">
        <v>1446</v>
      </c>
      <c r="I4322">
        <v>1900</v>
      </c>
      <c r="J4322">
        <v>421.89</v>
      </c>
      <c r="K4322">
        <v>364.69</v>
      </c>
      <c r="L4322">
        <v>801591</v>
      </c>
      <c r="M4322">
        <v>692911</v>
      </c>
      <c r="N4322">
        <v>108680</v>
      </c>
    </row>
    <row r="4323" spans="1:14" x14ac:dyDescent="0.25">
      <c r="A4323" t="s">
        <v>42</v>
      </c>
      <c r="B4323" t="s">
        <v>630</v>
      </c>
      <c r="C4323" t="s">
        <v>16</v>
      </c>
      <c r="D4323" t="s">
        <v>22</v>
      </c>
      <c r="E4323" t="s">
        <v>18</v>
      </c>
      <c r="F4323" t="s">
        <v>598</v>
      </c>
      <c r="G4323">
        <v>764484775</v>
      </c>
      <c r="H4323" s="1">
        <v>42072</v>
      </c>
      <c r="I4323">
        <v>6888</v>
      </c>
      <c r="J4323">
        <v>255.28</v>
      </c>
      <c r="K4323">
        <v>159.41999999999999</v>
      </c>
      <c r="L4323">
        <v>1758368.64</v>
      </c>
      <c r="M4323">
        <v>1098084.96</v>
      </c>
      <c r="N4323">
        <v>660283.68000000005</v>
      </c>
    </row>
    <row r="4324" spans="1:14" x14ac:dyDescent="0.25">
      <c r="A4324" t="s">
        <v>38</v>
      </c>
      <c r="B4324" t="s">
        <v>49</v>
      </c>
      <c r="C4324" t="s">
        <v>31</v>
      </c>
      <c r="D4324" t="s">
        <v>17</v>
      </c>
      <c r="E4324" t="s">
        <v>23</v>
      </c>
      <c r="F4324" t="s">
        <v>883</v>
      </c>
      <c r="G4324">
        <v>910569036</v>
      </c>
      <c r="H4324" t="s">
        <v>1825</v>
      </c>
      <c r="I4324">
        <v>6467</v>
      </c>
      <c r="J4324">
        <v>205.7</v>
      </c>
      <c r="K4324">
        <v>117.11</v>
      </c>
      <c r="L4324">
        <v>1330261.8999999999</v>
      </c>
      <c r="M4324">
        <v>757350.37</v>
      </c>
      <c r="N4324">
        <v>572911.53</v>
      </c>
    </row>
    <row r="4325" spans="1:14" x14ac:dyDescent="0.25">
      <c r="A4325" t="s">
        <v>25</v>
      </c>
      <c r="B4325" t="s">
        <v>529</v>
      </c>
      <c r="C4325" t="s">
        <v>16</v>
      </c>
      <c r="D4325" t="s">
        <v>22</v>
      </c>
      <c r="E4325" t="s">
        <v>23</v>
      </c>
      <c r="F4325" s="1">
        <v>41458</v>
      </c>
      <c r="G4325">
        <v>380733191</v>
      </c>
      <c r="H4325" t="s">
        <v>225</v>
      </c>
      <c r="I4325">
        <v>6267</v>
      </c>
      <c r="J4325">
        <v>255.28</v>
      </c>
      <c r="K4325">
        <v>159.41999999999999</v>
      </c>
      <c r="L4325">
        <v>1599839.76</v>
      </c>
      <c r="M4325">
        <v>999085.14</v>
      </c>
      <c r="N4325">
        <v>600754.62</v>
      </c>
    </row>
    <row r="4326" spans="1:14" x14ac:dyDescent="0.25">
      <c r="A4326" t="s">
        <v>38</v>
      </c>
      <c r="B4326" t="s">
        <v>388</v>
      </c>
      <c r="C4326" t="s">
        <v>131</v>
      </c>
      <c r="D4326" t="s">
        <v>17</v>
      </c>
      <c r="E4326" t="s">
        <v>18</v>
      </c>
      <c r="F4326" t="s">
        <v>561</v>
      </c>
      <c r="G4326">
        <v>451588571</v>
      </c>
      <c r="H4326" t="s">
        <v>1752</v>
      </c>
      <c r="I4326">
        <v>3948</v>
      </c>
      <c r="J4326">
        <v>668.27</v>
      </c>
      <c r="K4326">
        <v>502.54</v>
      </c>
      <c r="L4326">
        <v>2638329.96</v>
      </c>
      <c r="M4326">
        <v>1984027.92</v>
      </c>
      <c r="N4326">
        <v>654302.04</v>
      </c>
    </row>
    <row r="4327" spans="1:14" x14ac:dyDescent="0.25">
      <c r="A4327" t="s">
        <v>29</v>
      </c>
      <c r="B4327" t="s">
        <v>315</v>
      </c>
      <c r="C4327" t="s">
        <v>88</v>
      </c>
      <c r="D4327" t="s">
        <v>17</v>
      </c>
      <c r="E4327" t="s">
        <v>45</v>
      </c>
      <c r="F4327" t="s">
        <v>1248</v>
      </c>
      <c r="G4327">
        <v>670059001</v>
      </c>
      <c r="H4327" s="1">
        <v>42378</v>
      </c>
      <c r="I4327">
        <v>4203</v>
      </c>
      <c r="J4327">
        <v>9.33</v>
      </c>
      <c r="K4327">
        <v>6.92</v>
      </c>
      <c r="L4327">
        <v>39213.99</v>
      </c>
      <c r="M4327">
        <v>29084.76</v>
      </c>
      <c r="N4327">
        <v>10129.23</v>
      </c>
    </row>
    <row r="4328" spans="1:14" x14ac:dyDescent="0.25">
      <c r="A4328" t="s">
        <v>42</v>
      </c>
      <c r="B4328" t="s">
        <v>146</v>
      </c>
      <c r="C4328" t="s">
        <v>55</v>
      </c>
      <c r="D4328" t="s">
        <v>17</v>
      </c>
      <c r="E4328" t="s">
        <v>32</v>
      </c>
      <c r="F4328" t="s">
        <v>616</v>
      </c>
      <c r="G4328">
        <v>203380811</v>
      </c>
      <c r="H4328" t="s">
        <v>641</v>
      </c>
      <c r="I4328">
        <v>3756</v>
      </c>
      <c r="J4328">
        <v>651.21</v>
      </c>
      <c r="K4328">
        <v>524.96</v>
      </c>
      <c r="L4328">
        <v>2445944.7599999998</v>
      </c>
      <c r="M4328">
        <v>1971749.76</v>
      </c>
      <c r="N4328">
        <v>474195</v>
      </c>
    </row>
    <row r="4329" spans="1:14" x14ac:dyDescent="0.25">
      <c r="A4329" t="s">
        <v>25</v>
      </c>
      <c r="B4329" t="s">
        <v>339</v>
      </c>
      <c r="C4329" t="s">
        <v>88</v>
      </c>
      <c r="D4329" t="s">
        <v>17</v>
      </c>
      <c r="E4329" t="s">
        <v>32</v>
      </c>
      <c r="F4329" s="1">
        <v>41219</v>
      </c>
      <c r="G4329">
        <v>989102828</v>
      </c>
      <c r="H4329" s="1">
        <v>41128</v>
      </c>
      <c r="I4329">
        <v>6362</v>
      </c>
      <c r="J4329">
        <v>9.33</v>
      </c>
      <c r="K4329">
        <v>6.92</v>
      </c>
      <c r="L4329">
        <v>59357.46</v>
      </c>
      <c r="M4329">
        <v>44025.04</v>
      </c>
      <c r="N4329">
        <v>15332.42</v>
      </c>
    </row>
    <row r="4330" spans="1:14" x14ac:dyDescent="0.25">
      <c r="A4330" t="s">
        <v>51</v>
      </c>
      <c r="B4330" t="s">
        <v>258</v>
      </c>
      <c r="C4330" t="s">
        <v>88</v>
      </c>
      <c r="D4330" t="s">
        <v>22</v>
      </c>
      <c r="E4330" t="s">
        <v>45</v>
      </c>
      <c r="F4330" t="s">
        <v>643</v>
      </c>
      <c r="G4330">
        <v>985086381</v>
      </c>
      <c r="H4330" s="1">
        <v>42103</v>
      </c>
      <c r="I4330">
        <v>7806</v>
      </c>
      <c r="J4330">
        <v>9.33</v>
      </c>
      <c r="K4330">
        <v>6.92</v>
      </c>
      <c r="L4330">
        <v>72829.98</v>
      </c>
      <c r="M4330">
        <v>54017.52</v>
      </c>
      <c r="N4330">
        <v>18812.46</v>
      </c>
    </row>
    <row r="4331" spans="1:14" x14ac:dyDescent="0.25">
      <c r="A4331" t="s">
        <v>51</v>
      </c>
      <c r="B4331" t="s">
        <v>367</v>
      </c>
      <c r="C4331" t="s">
        <v>113</v>
      </c>
      <c r="D4331" t="s">
        <v>17</v>
      </c>
      <c r="E4331" t="s">
        <v>32</v>
      </c>
      <c r="F4331" s="1">
        <v>41062</v>
      </c>
      <c r="G4331">
        <v>919505298</v>
      </c>
      <c r="H4331" t="s">
        <v>1587</v>
      </c>
      <c r="I4331">
        <v>906</v>
      </c>
      <c r="J4331">
        <v>154.06</v>
      </c>
      <c r="K4331">
        <v>90.93</v>
      </c>
      <c r="L4331">
        <v>139578.35999999999</v>
      </c>
      <c r="M4331">
        <v>82382.58</v>
      </c>
      <c r="N4331">
        <v>57195.78</v>
      </c>
    </row>
    <row r="4332" spans="1:14" x14ac:dyDescent="0.25">
      <c r="A4332" t="s">
        <v>38</v>
      </c>
      <c r="B4332" t="s">
        <v>584</v>
      </c>
      <c r="C4332" t="s">
        <v>21</v>
      </c>
      <c r="D4332" t="s">
        <v>17</v>
      </c>
      <c r="E4332" t="s">
        <v>18</v>
      </c>
      <c r="F4332" s="1">
        <v>42890</v>
      </c>
      <c r="G4332">
        <v>240845906</v>
      </c>
      <c r="H4332" t="s">
        <v>594</v>
      </c>
      <c r="I4332">
        <v>511</v>
      </c>
      <c r="J4332">
        <v>152.58000000000001</v>
      </c>
      <c r="K4332">
        <v>97.44</v>
      </c>
      <c r="L4332">
        <v>77968.38</v>
      </c>
      <c r="M4332">
        <v>49791.839999999997</v>
      </c>
      <c r="N4332">
        <v>28176.54</v>
      </c>
    </row>
    <row r="4333" spans="1:14" x14ac:dyDescent="0.25">
      <c r="A4333" t="s">
        <v>51</v>
      </c>
      <c r="B4333" t="s">
        <v>231</v>
      </c>
      <c r="C4333" t="s">
        <v>55</v>
      </c>
      <c r="D4333" t="s">
        <v>22</v>
      </c>
      <c r="E4333" t="s">
        <v>45</v>
      </c>
      <c r="F4333" t="s">
        <v>158</v>
      </c>
      <c r="G4333">
        <v>267907035</v>
      </c>
      <c r="H4333" t="s">
        <v>1404</v>
      </c>
      <c r="I4333">
        <v>8500</v>
      </c>
      <c r="J4333">
        <v>651.21</v>
      </c>
      <c r="K4333">
        <v>524.96</v>
      </c>
      <c r="L4333">
        <v>5535285</v>
      </c>
      <c r="M4333">
        <v>4462160</v>
      </c>
      <c r="N4333">
        <v>1073125</v>
      </c>
    </row>
    <row r="4334" spans="1:14" x14ac:dyDescent="0.25">
      <c r="A4334" t="s">
        <v>42</v>
      </c>
      <c r="B4334" t="s">
        <v>573</v>
      </c>
      <c r="C4334" t="s">
        <v>69</v>
      </c>
      <c r="D4334" t="s">
        <v>17</v>
      </c>
      <c r="E4334" t="s">
        <v>18</v>
      </c>
      <c r="F4334" t="s">
        <v>1591</v>
      </c>
      <c r="G4334">
        <v>139800012</v>
      </c>
      <c r="H4334" t="s">
        <v>1591</v>
      </c>
      <c r="I4334">
        <v>8785</v>
      </c>
      <c r="J4334">
        <v>421.89</v>
      </c>
      <c r="K4334">
        <v>364.69</v>
      </c>
      <c r="L4334">
        <v>3706303.65</v>
      </c>
      <c r="M4334">
        <v>3203801.65</v>
      </c>
      <c r="N4334">
        <v>502502</v>
      </c>
    </row>
    <row r="4335" spans="1:14" x14ac:dyDescent="0.25">
      <c r="A4335" t="s">
        <v>51</v>
      </c>
      <c r="B4335" t="s">
        <v>487</v>
      </c>
      <c r="C4335" t="s">
        <v>69</v>
      </c>
      <c r="D4335" t="s">
        <v>17</v>
      </c>
      <c r="E4335" t="s">
        <v>23</v>
      </c>
      <c r="F4335" s="1">
        <v>42652</v>
      </c>
      <c r="G4335">
        <v>865948665</v>
      </c>
      <c r="H4335" t="s">
        <v>1301</v>
      </c>
      <c r="I4335">
        <v>2308</v>
      </c>
      <c r="J4335">
        <v>421.89</v>
      </c>
      <c r="K4335">
        <v>364.69</v>
      </c>
      <c r="L4335">
        <v>973722.12</v>
      </c>
      <c r="M4335">
        <v>841704.52</v>
      </c>
      <c r="N4335">
        <v>132017.60000000001</v>
      </c>
    </row>
    <row r="4336" spans="1:14" x14ac:dyDescent="0.25">
      <c r="A4336" t="s">
        <v>38</v>
      </c>
      <c r="B4336" t="s">
        <v>156</v>
      </c>
      <c r="C4336" t="s">
        <v>69</v>
      </c>
      <c r="D4336" t="s">
        <v>22</v>
      </c>
      <c r="E4336" t="s">
        <v>45</v>
      </c>
      <c r="F4336" s="1">
        <v>42588</v>
      </c>
      <c r="G4336">
        <v>376089322</v>
      </c>
      <c r="H4336" t="s">
        <v>269</v>
      </c>
      <c r="I4336">
        <v>2043</v>
      </c>
      <c r="J4336">
        <v>421.89</v>
      </c>
      <c r="K4336">
        <v>364.69</v>
      </c>
      <c r="L4336">
        <v>861921.27</v>
      </c>
      <c r="M4336">
        <v>745061.67</v>
      </c>
      <c r="N4336">
        <v>116859.6</v>
      </c>
    </row>
    <row r="4337" spans="1:14" x14ac:dyDescent="0.25">
      <c r="A4337" t="s">
        <v>38</v>
      </c>
      <c r="B4337" t="s">
        <v>527</v>
      </c>
      <c r="C4337" t="s">
        <v>21</v>
      </c>
      <c r="D4337" t="s">
        <v>17</v>
      </c>
      <c r="E4337" t="s">
        <v>45</v>
      </c>
      <c r="F4337" s="1">
        <v>42257</v>
      </c>
      <c r="G4337">
        <v>270270812</v>
      </c>
      <c r="H4337" t="s">
        <v>1645</v>
      </c>
      <c r="I4337">
        <v>7994</v>
      </c>
      <c r="J4337">
        <v>152.58000000000001</v>
      </c>
      <c r="K4337">
        <v>97.44</v>
      </c>
      <c r="L4337">
        <v>1219724.52</v>
      </c>
      <c r="M4337">
        <v>778935.36</v>
      </c>
      <c r="N4337">
        <v>440789.16</v>
      </c>
    </row>
    <row r="4338" spans="1:14" x14ac:dyDescent="0.25">
      <c r="A4338" t="s">
        <v>38</v>
      </c>
      <c r="B4338" t="s">
        <v>92</v>
      </c>
      <c r="C4338" t="s">
        <v>40</v>
      </c>
      <c r="D4338" t="s">
        <v>22</v>
      </c>
      <c r="E4338" t="s">
        <v>18</v>
      </c>
      <c r="F4338" s="1">
        <v>40330</v>
      </c>
      <c r="G4338">
        <v>868854463</v>
      </c>
      <c r="H4338" s="1">
        <v>40514</v>
      </c>
      <c r="I4338">
        <v>2198</v>
      </c>
      <c r="J4338">
        <v>81.73</v>
      </c>
      <c r="K4338">
        <v>56.67</v>
      </c>
      <c r="L4338">
        <v>179642.54</v>
      </c>
      <c r="M4338">
        <v>124560.66</v>
      </c>
      <c r="N4338">
        <v>55081.88</v>
      </c>
    </row>
    <row r="4339" spans="1:14" x14ac:dyDescent="0.25">
      <c r="A4339" t="s">
        <v>29</v>
      </c>
      <c r="B4339" t="s">
        <v>61</v>
      </c>
      <c r="C4339" t="s">
        <v>27</v>
      </c>
      <c r="D4339" t="s">
        <v>17</v>
      </c>
      <c r="E4339" t="s">
        <v>32</v>
      </c>
      <c r="F4339" t="s">
        <v>758</v>
      </c>
      <c r="G4339">
        <v>762514102</v>
      </c>
      <c r="H4339" t="s">
        <v>870</v>
      </c>
      <c r="I4339">
        <v>3722</v>
      </c>
      <c r="J4339">
        <v>47.45</v>
      </c>
      <c r="K4339">
        <v>31.79</v>
      </c>
      <c r="L4339">
        <v>176608.9</v>
      </c>
      <c r="M4339">
        <v>118322.38</v>
      </c>
      <c r="N4339">
        <v>58286.52</v>
      </c>
    </row>
    <row r="4340" spans="1:14" x14ac:dyDescent="0.25">
      <c r="A4340" t="s">
        <v>77</v>
      </c>
      <c r="B4340" t="s">
        <v>78</v>
      </c>
      <c r="C4340" t="s">
        <v>40</v>
      </c>
      <c r="D4340" t="s">
        <v>22</v>
      </c>
      <c r="E4340" t="s">
        <v>45</v>
      </c>
      <c r="F4340" s="1">
        <v>42067</v>
      </c>
      <c r="G4340">
        <v>862236058</v>
      </c>
      <c r="H4340" s="1">
        <v>42009</v>
      </c>
      <c r="I4340">
        <v>3665</v>
      </c>
      <c r="J4340">
        <v>81.73</v>
      </c>
      <c r="K4340">
        <v>56.67</v>
      </c>
      <c r="L4340">
        <v>299540.45</v>
      </c>
      <c r="M4340">
        <v>207695.55</v>
      </c>
      <c r="N4340">
        <v>91844.9</v>
      </c>
    </row>
    <row r="4341" spans="1:14" x14ac:dyDescent="0.25">
      <c r="A4341" t="s">
        <v>51</v>
      </c>
      <c r="B4341" t="s">
        <v>129</v>
      </c>
      <c r="C4341" t="s">
        <v>131</v>
      </c>
      <c r="D4341" t="s">
        <v>17</v>
      </c>
      <c r="E4341" t="s">
        <v>45</v>
      </c>
      <c r="F4341" s="1">
        <v>40279</v>
      </c>
      <c r="G4341">
        <v>349319159</v>
      </c>
      <c r="H4341" s="1">
        <v>40463</v>
      </c>
      <c r="I4341">
        <v>157</v>
      </c>
      <c r="J4341">
        <v>668.27</v>
      </c>
      <c r="K4341">
        <v>502.54</v>
      </c>
      <c r="L4341">
        <v>104918.39</v>
      </c>
      <c r="M4341">
        <v>78898.78</v>
      </c>
      <c r="N4341">
        <v>26019.61</v>
      </c>
    </row>
    <row r="4342" spans="1:14" x14ac:dyDescent="0.25">
      <c r="A4342" t="s">
        <v>42</v>
      </c>
      <c r="B4342" t="s">
        <v>43</v>
      </c>
      <c r="C4342" t="s">
        <v>21</v>
      </c>
      <c r="D4342" t="s">
        <v>17</v>
      </c>
      <c r="E4342" t="s">
        <v>23</v>
      </c>
      <c r="F4342" t="s">
        <v>397</v>
      </c>
      <c r="G4342">
        <v>725374734</v>
      </c>
      <c r="H4342" t="s">
        <v>524</v>
      </c>
      <c r="I4342">
        <v>3358</v>
      </c>
      <c r="J4342">
        <v>152.58000000000001</v>
      </c>
      <c r="K4342">
        <v>97.44</v>
      </c>
      <c r="L4342">
        <v>512363.64</v>
      </c>
      <c r="M4342">
        <v>327203.52</v>
      </c>
      <c r="N4342">
        <v>185160.12</v>
      </c>
    </row>
    <row r="4343" spans="1:14" x14ac:dyDescent="0.25">
      <c r="A4343" t="s">
        <v>25</v>
      </c>
      <c r="B4343" t="s">
        <v>201</v>
      </c>
      <c r="C4343" t="s">
        <v>27</v>
      </c>
      <c r="D4343" t="s">
        <v>17</v>
      </c>
      <c r="E4343" t="s">
        <v>18</v>
      </c>
      <c r="F4343" s="1">
        <v>40944</v>
      </c>
      <c r="G4343">
        <v>862326610</v>
      </c>
      <c r="H4343" t="s">
        <v>898</v>
      </c>
      <c r="I4343">
        <v>461</v>
      </c>
      <c r="J4343">
        <v>47.45</v>
      </c>
      <c r="K4343">
        <v>31.79</v>
      </c>
      <c r="L4343">
        <v>21874.45</v>
      </c>
      <c r="M4343">
        <v>14655.19</v>
      </c>
      <c r="N4343">
        <v>7219.26</v>
      </c>
    </row>
    <row r="4344" spans="1:14" x14ac:dyDescent="0.25">
      <c r="A4344" t="s">
        <v>25</v>
      </c>
      <c r="B4344" t="s">
        <v>434</v>
      </c>
      <c r="C4344" t="s">
        <v>69</v>
      </c>
      <c r="D4344" t="s">
        <v>17</v>
      </c>
      <c r="E4344" t="s">
        <v>45</v>
      </c>
      <c r="F4344" s="1">
        <v>41365</v>
      </c>
      <c r="G4344">
        <v>152411115</v>
      </c>
      <c r="H4344" t="s">
        <v>1479</v>
      </c>
      <c r="I4344">
        <v>691</v>
      </c>
      <c r="J4344">
        <v>421.89</v>
      </c>
      <c r="K4344">
        <v>364.69</v>
      </c>
      <c r="L4344">
        <v>291525.99</v>
      </c>
      <c r="M4344">
        <v>252000.79</v>
      </c>
      <c r="N4344">
        <v>39525.199999999997</v>
      </c>
    </row>
    <row r="4345" spans="1:14" x14ac:dyDescent="0.25">
      <c r="A4345" t="s">
        <v>29</v>
      </c>
      <c r="B4345" t="s">
        <v>619</v>
      </c>
      <c r="C4345" t="s">
        <v>59</v>
      </c>
      <c r="D4345" t="s">
        <v>17</v>
      </c>
      <c r="E4345" t="s">
        <v>32</v>
      </c>
      <c r="F4345" s="1">
        <v>41581</v>
      </c>
      <c r="G4345">
        <v>758177077</v>
      </c>
      <c r="H4345" t="s">
        <v>322</v>
      </c>
      <c r="I4345">
        <v>300</v>
      </c>
      <c r="J4345">
        <v>437.2</v>
      </c>
      <c r="K4345">
        <v>263.33</v>
      </c>
      <c r="L4345">
        <v>131160</v>
      </c>
      <c r="M4345">
        <v>78999</v>
      </c>
      <c r="N4345">
        <v>52161</v>
      </c>
    </row>
    <row r="4346" spans="1:14" x14ac:dyDescent="0.25">
      <c r="A4346" t="s">
        <v>25</v>
      </c>
      <c r="B4346" t="s">
        <v>196</v>
      </c>
      <c r="C4346" t="s">
        <v>55</v>
      </c>
      <c r="D4346" t="s">
        <v>22</v>
      </c>
      <c r="E4346" t="s">
        <v>23</v>
      </c>
      <c r="F4346" t="s">
        <v>1013</v>
      </c>
      <c r="G4346">
        <v>862485826</v>
      </c>
      <c r="H4346" t="s">
        <v>298</v>
      </c>
      <c r="I4346">
        <v>7577</v>
      </c>
      <c r="J4346">
        <v>651.21</v>
      </c>
      <c r="K4346">
        <v>524.96</v>
      </c>
      <c r="L4346">
        <v>4934218.17</v>
      </c>
      <c r="M4346">
        <v>3977621.92</v>
      </c>
      <c r="N4346">
        <v>956596.25</v>
      </c>
    </row>
    <row r="4347" spans="1:14" x14ac:dyDescent="0.25">
      <c r="A4347" t="s">
        <v>29</v>
      </c>
      <c r="B4347" t="s">
        <v>159</v>
      </c>
      <c r="C4347" t="s">
        <v>131</v>
      </c>
      <c r="D4347" t="s">
        <v>22</v>
      </c>
      <c r="E4347" t="s">
        <v>23</v>
      </c>
      <c r="F4347" s="1">
        <v>42980</v>
      </c>
      <c r="G4347">
        <v>518511188</v>
      </c>
      <c r="H4347" t="s">
        <v>405</v>
      </c>
      <c r="I4347">
        <v>7838</v>
      </c>
      <c r="J4347">
        <v>668.27</v>
      </c>
      <c r="K4347">
        <v>502.54</v>
      </c>
      <c r="L4347">
        <v>5237900.26</v>
      </c>
      <c r="M4347">
        <v>3938908.52</v>
      </c>
      <c r="N4347">
        <v>1298991.74</v>
      </c>
    </row>
    <row r="4348" spans="1:14" x14ac:dyDescent="0.25">
      <c r="A4348" t="s">
        <v>25</v>
      </c>
      <c r="B4348" t="s">
        <v>603</v>
      </c>
      <c r="C4348" t="s">
        <v>88</v>
      </c>
      <c r="D4348" t="s">
        <v>22</v>
      </c>
      <c r="E4348" t="s">
        <v>18</v>
      </c>
      <c r="F4348" t="s">
        <v>1368</v>
      </c>
      <c r="G4348">
        <v>299739491</v>
      </c>
      <c r="H4348" s="1">
        <v>42378</v>
      </c>
      <c r="I4348">
        <v>8431</v>
      </c>
      <c r="J4348">
        <v>9.33</v>
      </c>
      <c r="K4348">
        <v>6.92</v>
      </c>
      <c r="L4348">
        <v>78661.23</v>
      </c>
      <c r="M4348">
        <v>58342.52</v>
      </c>
      <c r="N4348">
        <v>20318.71</v>
      </c>
    </row>
    <row r="4349" spans="1:14" x14ac:dyDescent="0.25">
      <c r="A4349" t="s">
        <v>38</v>
      </c>
      <c r="B4349" t="s">
        <v>156</v>
      </c>
      <c r="C4349" t="s">
        <v>69</v>
      </c>
      <c r="D4349" t="s">
        <v>17</v>
      </c>
      <c r="E4349" t="s">
        <v>45</v>
      </c>
      <c r="F4349" t="s">
        <v>506</v>
      </c>
      <c r="G4349">
        <v>849969565</v>
      </c>
      <c r="H4349" s="1">
        <v>41707</v>
      </c>
      <c r="I4349">
        <v>3737</v>
      </c>
      <c r="J4349">
        <v>421.89</v>
      </c>
      <c r="K4349">
        <v>364.69</v>
      </c>
      <c r="L4349">
        <v>1576602.93</v>
      </c>
      <c r="M4349">
        <v>1362846.53</v>
      </c>
      <c r="N4349">
        <v>213756.4</v>
      </c>
    </row>
    <row r="4350" spans="1:14" x14ac:dyDescent="0.25">
      <c r="A4350" t="s">
        <v>25</v>
      </c>
      <c r="B4350" t="s">
        <v>418</v>
      </c>
      <c r="C4350" t="s">
        <v>69</v>
      </c>
      <c r="D4350" t="s">
        <v>22</v>
      </c>
      <c r="E4350" t="s">
        <v>32</v>
      </c>
      <c r="F4350" t="s">
        <v>826</v>
      </c>
      <c r="G4350">
        <v>633312737</v>
      </c>
      <c r="H4350" s="1">
        <v>40855</v>
      </c>
      <c r="I4350">
        <v>167</v>
      </c>
      <c r="J4350">
        <v>421.89</v>
      </c>
      <c r="K4350">
        <v>364.69</v>
      </c>
      <c r="L4350">
        <v>70455.63</v>
      </c>
      <c r="M4350">
        <v>60903.23</v>
      </c>
      <c r="N4350">
        <v>9552.4</v>
      </c>
    </row>
    <row r="4351" spans="1:14" x14ac:dyDescent="0.25">
      <c r="A4351" t="s">
        <v>25</v>
      </c>
      <c r="B4351" t="s">
        <v>266</v>
      </c>
      <c r="C4351" t="s">
        <v>55</v>
      </c>
      <c r="D4351" t="s">
        <v>22</v>
      </c>
      <c r="E4351" t="s">
        <v>23</v>
      </c>
      <c r="F4351" t="s">
        <v>1264</v>
      </c>
      <c r="G4351">
        <v>884192836</v>
      </c>
      <c r="H4351" t="s">
        <v>1183</v>
      </c>
      <c r="I4351">
        <v>1164</v>
      </c>
      <c r="J4351">
        <v>651.21</v>
      </c>
      <c r="K4351">
        <v>524.96</v>
      </c>
      <c r="L4351">
        <v>758008.44</v>
      </c>
      <c r="M4351">
        <v>611053.43999999994</v>
      </c>
      <c r="N4351">
        <v>146955</v>
      </c>
    </row>
    <row r="4352" spans="1:14" x14ac:dyDescent="0.25">
      <c r="A4352" t="s">
        <v>29</v>
      </c>
      <c r="B4352" t="s">
        <v>467</v>
      </c>
      <c r="C4352" t="s">
        <v>59</v>
      </c>
      <c r="D4352" t="s">
        <v>22</v>
      </c>
      <c r="E4352" t="s">
        <v>23</v>
      </c>
      <c r="F4352" t="s">
        <v>1767</v>
      </c>
      <c r="G4352">
        <v>657346189</v>
      </c>
      <c r="H4352" t="s">
        <v>1785</v>
      </c>
      <c r="I4352">
        <v>2200</v>
      </c>
      <c r="J4352">
        <v>437.2</v>
      </c>
      <c r="K4352">
        <v>263.33</v>
      </c>
      <c r="L4352">
        <v>961840</v>
      </c>
      <c r="M4352">
        <v>579326</v>
      </c>
      <c r="N4352">
        <v>382514</v>
      </c>
    </row>
    <row r="4353" spans="1:14" x14ac:dyDescent="0.25">
      <c r="A4353" t="s">
        <v>51</v>
      </c>
      <c r="B4353" t="s">
        <v>502</v>
      </c>
      <c r="C4353" t="s">
        <v>27</v>
      </c>
      <c r="D4353" t="s">
        <v>22</v>
      </c>
      <c r="E4353" t="s">
        <v>18</v>
      </c>
      <c r="F4353" s="1">
        <v>41673</v>
      </c>
      <c r="G4353">
        <v>877821624</v>
      </c>
      <c r="H4353" t="s">
        <v>982</v>
      </c>
      <c r="I4353">
        <v>5780</v>
      </c>
      <c r="J4353">
        <v>47.45</v>
      </c>
      <c r="K4353">
        <v>31.79</v>
      </c>
      <c r="L4353">
        <v>274261</v>
      </c>
      <c r="M4353">
        <v>183746.2</v>
      </c>
      <c r="N4353">
        <v>90514.8</v>
      </c>
    </row>
    <row r="4354" spans="1:14" x14ac:dyDescent="0.25">
      <c r="A4354" t="s">
        <v>51</v>
      </c>
      <c r="B4354" t="s">
        <v>420</v>
      </c>
      <c r="C4354" t="s">
        <v>88</v>
      </c>
      <c r="D4354" t="s">
        <v>17</v>
      </c>
      <c r="E4354" t="s">
        <v>18</v>
      </c>
      <c r="F4354" t="s">
        <v>1636</v>
      </c>
      <c r="G4354">
        <v>290980470</v>
      </c>
      <c r="H4354" s="1">
        <v>42005</v>
      </c>
      <c r="I4354">
        <v>6442</v>
      </c>
      <c r="J4354">
        <v>9.33</v>
      </c>
      <c r="K4354">
        <v>6.92</v>
      </c>
      <c r="L4354">
        <v>60103.86</v>
      </c>
      <c r="M4354">
        <v>44578.64</v>
      </c>
      <c r="N4354">
        <v>15525.22</v>
      </c>
    </row>
    <row r="4355" spans="1:14" x14ac:dyDescent="0.25">
      <c r="A4355" t="s">
        <v>42</v>
      </c>
      <c r="B4355" t="s">
        <v>103</v>
      </c>
      <c r="C4355" t="s">
        <v>88</v>
      </c>
      <c r="D4355" t="s">
        <v>17</v>
      </c>
      <c r="E4355" t="s">
        <v>45</v>
      </c>
      <c r="F4355" t="s">
        <v>1541</v>
      </c>
      <c r="G4355">
        <v>412496554</v>
      </c>
      <c r="H4355" t="s">
        <v>1233</v>
      </c>
      <c r="I4355">
        <v>5752</v>
      </c>
      <c r="J4355">
        <v>9.33</v>
      </c>
      <c r="K4355">
        <v>6.92</v>
      </c>
      <c r="L4355">
        <v>53666.16</v>
      </c>
      <c r="M4355">
        <v>39803.839999999997</v>
      </c>
      <c r="N4355">
        <v>13862.32</v>
      </c>
    </row>
    <row r="4356" spans="1:14" x14ac:dyDescent="0.25">
      <c r="A4356" t="s">
        <v>25</v>
      </c>
      <c r="B4356" t="s">
        <v>533</v>
      </c>
      <c r="C4356" t="s">
        <v>69</v>
      </c>
      <c r="D4356" t="s">
        <v>17</v>
      </c>
      <c r="E4356" t="s">
        <v>18</v>
      </c>
      <c r="F4356" s="1">
        <v>42254</v>
      </c>
      <c r="G4356">
        <v>578356206</v>
      </c>
      <c r="H4356" t="s">
        <v>1058</v>
      </c>
      <c r="I4356">
        <v>7309</v>
      </c>
      <c r="J4356">
        <v>421.89</v>
      </c>
      <c r="K4356">
        <v>364.69</v>
      </c>
      <c r="L4356">
        <v>3083594.01</v>
      </c>
      <c r="M4356">
        <v>2665519.21</v>
      </c>
      <c r="N4356">
        <v>418074.8</v>
      </c>
    </row>
    <row r="4357" spans="1:14" x14ac:dyDescent="0.25">
      <c r="A4357" t="s">
        <v>25</v>
      </c>
      <c r="B4357" t="s">
        <v>112</v>
      </c>
      <c r="C4357" t="s">
        <v>40</v>
      </c>
      <c r="D4357" t="s">
        <v>17</v>
      </c>
      <c r="E4357" t="s">
        <v>32</v>
      </c>
      <c r="F4357" t="s">
        <v>368</v>
      </c>
      <c r="G4357">
        <v>194858253</v>
      </c>
      <c r="H4357" t="s">
        <v>946</v>
      </c>
      <c r="I4357">
        <v>1742</v>
      </c>
      <c r="J4357">
        <v>81.73</v>
      </c>
      <c r="K4357">
        <v>56.67</v>
      </c>
      <c r="L4357">
        <v>142373.66</v>
      </c>
      <c r="M4357">
        <v>98719.14</v>
      </c>
      <c r="N4357">
        <v>43654.52</v>
      </c>
    </row>
    <row r="4358" spans="1:14" x14ac:dyDescent="0.25">
      <c r="A4358" t="s">
        <v>25</v>
      </c>
      <c r="B4358" t="s">
        <v>458</v>
      </c>
      <c r="C4358" t="s">
        <v>31</v>
      </c>
      <c r="D4358" t="s">
        <v>22</v>
      </c>
      <c r="E4358" t="s">
        <v>32</v>
      </c>
      <c r="F4358" t="s">
        <v>67</v>
      </c>
      <c r="G4358">
        <v>988614022</v>
      </c>
      <c r="H4358" s="1">
        <v>40848</v>
      </c>
      <c r="I4358">
        <v>1713</v>
      </c>
      <c r="J4358">
        <v>205.7</v>
      </c>
      <c r="K4358">
        <v>117.11</v>
      </c>
      <c r="L4358">
        <v>352364.1</v>
      </c>
      <c r="M4358">
        <v>200609.43</v>
      </c>
      <c r="N4358">
        <v>151754.67000000001</v>
      </c>
    </row>
    <row r="4359" spans="1:14" x14ac:dyDescent="0.25">
      <c r="A4359" t="s">
        <v>29</v>
      </c>
      <c r="B4359" t="s">
        <v>199</v>
      </c>
      <c r="C4359" t="s">
        <v>40</v>
      </c>
      <c r="D4359" t="s">
        <v>17</v>
      </c>
      <c r="E4359" t="s">
        <v>23</v>
      </c>
      <c r="F4359" t="s">
        <v>387</v>
      </c>
      <c r="G4359">
        <v>256547343</v>
      </c>
      <c r="H4359" t="s">
        <v>718</v>
      </c>
      <c r="I4359">
        <v>6915</v>
      </c>
      <c r="J4359">
        <v>81.73</v>
      </c>
      <c r="K4359">
        <v>56.67</v>
      </c>
      <c r="L4359">
        <v>565162.94999999995</v>
      </c>
      <c r="M4359">
        <v>391873.05</v>
      </c>
      <c r="N4359">
        <v>173289.9</v>
      </c>
    </row>
    <row r="4360" spans="1:14" x14ac:dyDescent="0.25">
      <c r="A4360" t="s">
        <v>29</v>
      </c>
      <c r="B4360" t="s">
        <v>545</v>
      </c>
      <c r="C4360" t="s">
        <v>113</v>
      </c>
      <c r="D4360" t="s">
        <v>22</v>
      </c>
      <c r="E4360" t="s">
        <v>18</v>
      </c>
      <c r="F4360" t="s">
        <v>127</v>
      </c>
      <c r="G4360">
        <v>315894544</v>
      </c>
      <c r="H4360" t="s">
        <v>639</v>
      </c>
      <c r="I4360">
        <v>9070</v>
      </c>
      <c r="J4360">
        <v>154.06</v>
      </c>
      <c r="K4360">
        <v>90.93</v>
      </c>
      <c r="L4360">
        <v>1397324.2</v>
      </c>
      <c r="M4360">
        <v>824735.1</v>
      </c>
      <c r="N4360">
        <v>572589.1</v>
      </c>
    </row>
    <row r="4361" spans="1:14" x14ac:dyDescent="0.25">
      <c r="A4361" t="s">
        <v>38</v>
      </c>
      <c r="B4361" t="s">
        <v>430</v>
      </c>
      <c r="C4361" t="s">
        <v>21</v>
      </c>
      <c r="D4361" t="s">
        <v>17</v>
      </c>
      <c r="E4361" t="s">
        <v>32</v>
      </c>
      <c r="F4361" s="1">
        <v>41456</v>
      </c>
      <c r="G4361">
        <v>854204452</v>
      </c>
      <c r="H4361" t="s">
        <v>321</v>
      </c>
      <c r="I4361">
        <v>6934</v>
      </c>
      <c r="J4361">
        <v>152.58000000000001</v>
      </c>
      <c r="K4361">
        <v>97.44</v>
      </c>
      <c r="L4361">
        <v>1057989.72</v>
      </c>
      <c r="M4361">
        <v>675648.96</v>
      </c>
      <c r="N4361">
        <v>382340.76</v>
      </c>
    </row>
    <row r="4362" spans="1:14" x14ac:dyDescent="0.25">
      <c r="A4362" t="s">
        <v>25</v>
      </c>
      <c r="B4362" t="s">
        <v>185</v>
      </c>
      <c r="C4362" t="s">
        <v>31</v>
      </c>
      <c r="D4362" t="s">
        <v>17</v>
      </c>
      <c r="E4362" t="s">
        <v>32</v>
      </c>
      <c r="F4362" s="1">
        <v>41913</v>
      </c>
      <c r="G4362">
        <v>279338395</v>
      </c>
      <c r="H4362" t="s">
        <v>1774</v>
      </c>
      <c r="I4362">
        <v>1293</v>
      </c>
      <c r="J4362">
        <v>205.7</v>
      </c>
      <c r="K4362">
        <v>117.11</v>
      </c>
      <c r="L4362">
        <v>265970.09999999998</v>
      </c>
      <c r="M4362">
        <v>151423.23000000001</v>
      </c>
      <c r="N4362">
        <v>114546.87</v>
      </c>
    </row>
    <row r="4363" spans="1:14" x14ac:dyDescent="0.25">
      <c r="A4363" t="s">
        <v>29</v>
      </c>
      <c r="B4363" t="s">
        <v>153</v>
      </c>
      <c r="C4363" t="s">
        <v>69</v>
      </c>
      <c r="D4363" t="s">
        <v>17</v>
      </c>
      <c r="E4363" t="s">
        <v>23</v>
      </c>
      <c r="F4363" s="1">
        <v>42284</v>
      </c>
      <c r="G4363">
        <v>669470202</v>
      </c>
      <c r="H4363" s="1">
        <v>42315</v>
      </c>
      <c r="I4363">
        <v>9965</v>
      </c>
      <c r="J4363">
        <v>421.89</v>
      </c>
      <c r="K4363">
        <v>364.69</v>
      </c>
      <c r="L4363">
        <v>4204133.8499999996</v>
      </c>
      <c r="M4363">
        <v>3634135.85</v>
      </c>
      <c r="N4363">
        <v>569998</v>
      </c>
    </row>
    <row r="4364" spans="1:14" x14ac:dyDescent="0.25">
      <c r="A4364" t="s">
        <v>25</v>
      </c>
      <c r="B4364" t="s">
        <v>87</v>
      </c>
      <c r="C4364" t="s">
        <v>16</v>
      </c>
      <c r="D4364" t="s">
        <v>22</v>
      </c>
      <c r="E4364" t="s">
        <v>18</v>
      </c>
      <c r="F4364" s="1">
        <v>41671</v>
      </c>
      <c r="G4364">
        <v>123086202</v>
      </c>
      <c r="H4364" t="s">
        <v>1826</v>
      </c>
      <c r="I4364">
        <v>2797</v>
      </c>
      <c r="J4364">
        <v>255.28</v>
      </c>
      <c r="K4364">
        <v>159.41999999999999</v>
      </c>
      <c r="L4364">
        <v>714018.16</v>
      </c>
      <c r="M4364">
        <v>445897.74</v>
      </c>
      <c r="N4364">
        <v>268120.42</v>
      </c>
    </row>
    <row r="4365" spans="1:14" x14ac:dyDescent="0.25">
      <c r="A4365" t="s">
        <v>14</v>
      </c>
      <c r="B4365" t="s">
        <v>433</v>
      </c>
      <c r="C4365" t="s">
        <v>44</v>
      </c>
      <c r="D4365" t="s">
        <v>17</v>
      </c>
      <c r="E4365" t="s">
        <v>18</v>
      </c>
      <c r="F4365" t="s">
        <v>811</v>
      </c>
      <c r="G4365">
        <v>408985221</v>
      </c>
      <c r="H4365" t="s">
        <v>1208</v>
      </c>
      <c r="I4365">
        <v>6670</v>
      </c>
      <c r="J4365">
        <v>109.28</v>
      </c>
      <c r="K4365">
        <v>35.840000000000003</v>
      </c>
      <c r="L4365">
        <v>728897.6</v>
      </c>
      <c r="M4365">
        <v>239052.79999999999</v>
      </c>
      <c r="N4365">
        <v>489844.8</v>
      </c>
    </row>
    <row r="4366" spans="1:14" x14ac:dyDescent="0.25">
      <c r="A4366" t="s">
        <v>25</v>
      </c>
      <c r="B4366" t="s">
        <v>112</v>
      </c>
      <c r="C4366" t="s">
        <v>69</v>
      </c>
      <c r="D4366" t="s">
        <v>17</v>
      </c>
      <c r="E4366" t="s">
        <v>18</v>
      </c>
      <c r="F4366" t="s">
        <v>397</v>
      </c>
      <c r="G4366">
        <v>216278588</v>
      </c>
      <c r="H4366" t="s">
        <v>397</v>
      </c>
      <c r="I4366">
        <v>495</v>
      </c>
      <c r="J4366">
        <v>421.89</v>
      </c>
      <c r="K4366">
        <v>364.69</v>
      </c>
      <c r="L4366">
        <v>208835.55</v>
      </c>
      <c r="M4366">
        <v>180521.55</v>
      </c>
      <c r="N4366">
        <v>28314</v>
      </c>
    </row>
    <row r="4367" spans="1:14" x14ac:dyDescent="0.25">
      <c r="A4367" t="s">
        <v>77</v>
      </c>
      <c r="B4367" t="s">
        <v>320</v>
      </c>
      <c r="C4367" t="s">
        <v>88</v>
      </c>
      <c r="D4367" t="s">
        <v>17</v>
      </c>
      <c r="E4367" t="s">
        <v>32</v>
      </c>
      <c r="F4367" t="s">
        <v>1314</v>
      </c>
      <c r="G4367">
        <v>104390132</v>
      </c>
      <c r="H4367" t="s">
        <v>1815</v>
      </c>
      <c r="I4367">
        <v>215</v>
      </c>
      <c r="J4367">
        <v>9.33</v>
      </c>
      <c r="K4367">
        <v>6.92</v>
      </c>
      <c r="L4367">
        <v>2005.95</v>
      </c>
      <c r="M4367">
        <v>1487.8</v>
      </c>
      <c r="N4367">
        <v>518.15</v>
      </c>
    </row>
    <row r="4368" spans="1:14" x14ac:dyDescent="0.25">
      <c r="A4368" t="s">
        <v>51</v>
      </c>
      <c r="B4368" t="s">
        <v>52</v>
      </c>
      <c r="C4368" t="s">
        <v>131</v>
      </c>
      <c r="D4368" t="s">
        <v>17</v>
      </c>
      <c r="E4368" t="s">
        <v>23</v>
      </c>
      <c r="F4368" s="1">
        <v>41581</v>
      </c>
      <c r="G4368">
        <v>253056180</v>
      </c>
      <c r="H4368" t="s">
        <v>655</v>
      </c>
      <c r="I4368">
        <v>3802</v>
      </c>
      <c r="J4368">
        <v>668.27</v>
      </c>
      <c r="K4368">
        <v>502.54</v>
      </c>
      <c r="L4368">
        <v>2540762.54</v>
      </c>
      <c r="M4368">
        <v>1910657.08</v>
      </c>
      <c r="N4368">
        <v>630105.46</v>
      </c>
    </row>
    <row r="4369" spans="1:14" x14ac:dyDescent="0.25">
      <c r="A4369" t="s">
        <v>29</v>
      </c>
      <c r="B4369" t="s">
        <v>137</v>
      </c>
      <c r="C4369" t="s">
        <v>40</v>
      </c>
      <c r="D4369" t="s">
        <v>17</v>
      </c>
      <c r="E4369" t="s">
        <v>18</v>
      </c>
      <c r="F4369" t="s">
        <v>823</v>
      </c>
      <c r="G4369">
        <v>912325561</v>
      </c>
      <c r="H4369" t="s">
        <v>823</v>
      </c>
      <c r="I4369">
        <v>6262</v>
      </c>
      <c r="J4369">
        <v>81.73</v>
      </c>
      <c r="K4369">
        <v>56.67</v>
      </c>
      <c r="L4369">
        <v>511793.26</v>
      </c>
      <c r="M4369">
        <v>354867.54</v>
      </c>
      <c r="N4369">
        <v>156925.72</v>
      </c>
    </row>
    <row r="4370" spans="1:14" x14ac:dyDescent="0.25">
      <c r="A4370" t="s">
        <v>14</v>
      </c>
      <c r="B4370" t="s">
        <v>64</v>
      </c>
      <c r="C4370" t="s">
        <v>69</v>
      </c>
      <c r="D4370" t="s">
        <v>17</v>
      </c>
      <c r="E4370" t="s">
        <v>45</v>
      </c>
      <c r="F4370" s="1">
        <v>42461</v>
      </c>
      <c r="G4370">
        <v>152559602</v>
      </c>
      <c r="H4370" t="s">
        <v>1353</v>
      </c>
      <c r="I4370">
        <v>4631</v>
      </c>
      <c r="J4370">
        <v>421.89</v>
      </c>
      <c r="K4370">
        <v>364.69</v>
      </c>
      <c r="L4370">
        <v>1953772.59</v>
      </c>
      <c r="M4370">
        <v>1688879.39</v>
      </c>
      <c r="N4370">
        <v>264893.2</v>
      </c>
    </row>
    <row r="4371" spans="1:14" x14ac:dyDescent="0.25">
      <c r="A4371" t="s">
        <v>51</v>
      </c>
      <c r="B4371" t="s">
        <v>260</v>
      </c>
      <c r="C4371" t="s">
        <v>31</v>
      </c>
      <c r="D4371" t="s">
        <v>17</v>
      </c>
      <c r="E4371" t="s">
        <v>18</v>
      </c>
      <c r="F4371" s="1">
        <v>42096</v>
      </c>
      <c r="G4371">
        <v>614432132</v>
      </c>
      <c r="H4371" t="s">
        <v>1016</v>
      </c>
      <c r="I4371">
        <v>2977</v>
      </c>
      <c r="J4371">
        <v>205.7</v>
      </c>
      <c r="K4371">
        <v>117.11</v>
      </c>
      <c r="L4371">
        <v>612368.9</v>
      </c>
      <c r="M4371">
        <v>348636.47</v>
      </c>
      <c r="N4371">
        <v>263732.43</v>
      </c>
    </row>
    <row r="4372" spans="1:14" x14ac:dyDescent="0.25">
      <c r="A4372" t="s">
        <v>14</v>
      </c>
      <c r="B4372" t="s">
        <v>81</v>
      </c>
      <c r="C4372" t="s">
        <v>131</v>
      </c>
      <c r="D4372" t="s">
        <v>22</v>
      </c>
      <c r="E4372" t="s">
        <v>23</v>
      </c>
      <c r="F4372" s="1">
        <v>41286</v>
      </c>
      <c r="G4372">
        <v>958929479</v>
      </c>
      <c r="H4372" t="s">
        <v>911</v>
      </c>
      <c r="I4372">
        <v>7397</v>
      </c>
      <c r="J4372">
        <v>668.27</v>
      </c>
      <c r="K4372">
        <v>502.54</v>
      </c>
      <c r="L4372">
        <v>4943193.1900000004</v>
      </c>
      <c r="M4372">
        <v>3717288.38</v>
      </c>
      <c r="N4372">
        <v>1225904.81</v>
      </c>
    </row>
    <row r="4373" spans="1:14" x14ac:dyDescent="0.25">
      <c r="A4373" t="s">
        <v>29</v>
      </c>
      <c r="B4373" t="s">
        <v>206</v>
      </c>
      <c r="C4373" t="s">
        <v>131</v>
      </c>
      <c r="D4373" t="s">
        <v>22</v>
      </c>
      <c r="E4373" t="s">
        <v>45</v>
      </c>
      <c r="F4373" s="1">
        <v>41922</v>
      </c>
      <c r="G4373">
        <v>817350471</v>
      </c>
      <c r="H4373" t="s">
        <v>365</v>
      </c>
      <c r="I4373">
        <v>1022</v>
      </c>
      <c r="J4373">
        <v>668.27</v>
      </c>
      <c r="K4373">
        <v>502.54</v>
      </c>
      <c r="L4373">
        <v>682971.94</v>
      </c>
      <c r="M4373">
        <v>513595.88</v>
      </c>
      <c r="N4373">
        <v>169376.06</v>
      </c>
    </row>
    <row r="4374" spans="1:14" x14ac:dyDescent="0.25">
      <c r="A4374" t="s">
        <v>14</v>
      </c>
      <c r="B4374" t="s">
        <v>94</v>
      </c>
      <c r="C4374" t="s">
        <v>55</v>
      </c>
      <c r="D4374" t="s">
        <v>17</v>
      </c>
      <c r="E4374" t="s">
        <v>32</v>
      </c>
      <c r="F4374" t="s">
        <v>233</v>
      </c>
      <c r="G4374">
        <v>341306436</v>
      </c>
      <c r="H4374" t="s">
        <v>1326</v>
      </c>
      <c r="I4374">
        <v>9014</v>
      </c>
      <c r="J4374">
        <v>651.21</v>
      </c>
      <c r="K4374">
        <v>524.96</v>
      </c>
      <c r="L4374">
        <v>5870006.9400000004</v>
      </c>
      <c r="M4374">
        <v>4731989.4400000004</v>
      </c>
      <c r="N4374">
        <v>1138017.5</v>
      </c>
    </row>
    <row r="4375" spans="1:14" x14ac:dyDescent="0.25">
      <c r="A4375" t="s">
        <v>29</v>
      </c>
      <c r="B4375" t="s">
        <v>585</v>
      </c>
      <c r="C4375" t="s">
        <v>59</v>
      </c>
      <c r="D4375" t="s">
        <v>22</v>
      </c>
      <c r="E4375" t="s">
        <v>23</v>
      </c>
      <c r="F4375" s="1">
        <v>40337</v>
      </c>
      <c r="G4375">
        <v>652721202</v>
      </c>
      <c r="H4375" t="s">
        <v>965</v>
      </c>
      <c r="I4375">
        <v>3563</v>
      </c>
      <c r="J4375">
        <v>437.2</v>
      </c>
      <c r="K4375">
        <v>263.33</v>
      </c>
      <c r="L4375">
        <v>1557743.6</v>
      </c>
      <c r="M4375">
        <v>938244.79</v>
      </c>
      <c r="N4375">
        <v>619498.81000000006</v>
      </c>
    </row>
    <row r="4376" spans="1:14" x14ac:dyDescent="0.25">
      <c r="A4376" t="s">
        <v>25</v>
      </c>
      <c r="B4376" t="s">
        <v>752</v>
      </c>
      <c r="C4376" t="s">
        <v>16</v>
      </c>
      <c r="D4376" t="s">
        <v>22</v>
      </c>
      <c r="E4376" t="s">
        <v>45</v>
      </c>
      <c r="F4376" t="s">
        <v>955</v>
      </c>
      <c r="G4376">
        <v>693831098</v>
      </c>
      <c r="H4376" t="s">
        <v>354</v>
      </c>
      <c r="I4376">
        <v>8895</v>
      </c>
      <c r="J4376">
        <v>255.28</v>
      </c>
      <c r="K4376">
        <v>159.41999999999999</v>
      </c>
      <c r="L4376">
        <v>2270715.6</v>
      </c>
      <c r="M4376">
        <v>1418040.9</v>
      </c>
      <c r="N4376">
        <v>852674.7</v>
      </c>
    </row>
    <row r="4377" spans="1:14" x14ac:dyDescent="0.25">
      <c r="A4377" t="s">
        <v>42</v>
      </c>
      <c r="B4377" t="s">
        <v>681</v>
      </c>
      <c r="C4377" t="s">
        <v>31</v>
      </c>
      <c r="D4377" t="s">
        <v>22</v>
      </c>
      <c r="E4377" t="s">
        <v>45</v>
      </c>
      <c r="F4377" s="1">
        <v>40736</v>
      </c>
      <c r="G4377">
        <v>377184951</v>
      </c>
      <c r="H4377" t="s">
        <v>1278</v>
      </c>
      <c r="I4377">
        <v>6264</v>
      </c>
      <c r="J4377">
        <v>205.7</v>
      </c>
      <c r="K4377">
        <v>117.11</v>
      </c>
      <c r="L4377">
        <v>1288504.8</v>
      </c>
      <c r="M4377">
        <v>733577.04</v>
      </c>
      <c r="N4377">
        <v>554927.76</v>
      </c>
    </row>
    <row r="4378" spans="1:14" x14ac:dyDescent="0.25">
      <c r="A4378" t="s">
        <v>14</v>
      </c>
      <c r="B4378" t="s">
        <v>433</v>
      </c>
      <c r="C4378" t="s">
        <v>113</v>
      </c>
      <c r="D4378" t="s">
        <v>17</v>
      </c>
      <c r="E4378" t="s">
        <v>45</v>
      </c>
      <c r="F4378" t="s">
        <v>1318</v>
      </c>
      <c r="G4378">
        <v>135644090</v>
      </c>
      <c r="H4378" t="s">
        <v>884</v>
      </c>
      <c r="I4378">
        <v>8955</v>
      </c>
      <c r="J4378">
        <v>154.06</v>
      </c>
      <c r="K4378">
        <v>90.93</v>
      </c>
      <c r="L4378">
        <v>1379607.3</v>
      </c>
      <c r="M4378">
        <v>814278.15</v>
      </c>
      <c r="N4378">
        <v>565329.15</v>
      </c>
    </row>
    <row r="4379" spans="1:14" x14ac:dyDescent="0.25">
      <c r="A4379" t="s">
        <v>29</v>
      </c>
      <c r="B4379" t="s">
        <v>440</v>
      </c>
      <c r="C4379" t="s">
        <v>44</v>
      </c>
      <c r="D4379" t="s">
        <v>22</v>
      </c>
      <c r="E4379" t="s">
        <v>32</v>
      </c>
      <c r="F4379" t="s">
        <v>1227</v>
      </c>
      <c r="G4379">
        <v>472382342</v>
      </c>
      <c r="H4379" s="1">
        <v>41682</v>
      </c>
      <c r="I4379">
        <v>7287</v>
      </c>
      <c r="J4379">
        <v>109.28</v>
      </c>
      <c r="K4379">
        <v>35.840000000000003</v>
      </c>
      <c r="L4379">
        <v>796323.36</v>
      </c>
      <c r="M4379">
        <v>261166.07999999999</v>
      </c>
      <c r="N4379">
        <v>535157.28</v>
      </c>
    </row>
    <row r="4380" spans="1:14" x14ac:dyDescent="0.25">
      <c r="A4380" t="s">
        <v>14</v>
      </c>
      <c r="B4380" t="s">
        <v>154</v>
      </c>
      <c r="C4380" t="s">
        <v>31</v>
      </c>
      <c r="D4380" t="s">
        <v>17</v>
      </c>
      <c r="E4380" t="s">
        <v>32</v>
      </c>
      <c r="F4380" t="s">
        <v>1501</v>
      </c>
      <c r="G4380">
        <v>610886037</v>
      </c>
      <c r="H4380" t="s">
        <v>1254</v>
      </c>
      <c r="I4380">
        <v>3608</v>
      </c>
      <c r="J4380">
        <v>205.7</v>
      </c>
      <c r="K4380">
        <v>117.11</v>
      </c>
      <c r="L4380">
        <v>742165.6</v>
      </c>
      <c r="M4380">
        <v>422532.88</v>
      </c>
      <c r="N4380">
        <v>319632.71999999997</v>
      </c>
    </row>
    <row r="4381" spans="1:14" x14ac:dyDescent="0.25">
      <c r="A4381" t="s">
        <v>29</v>
      </c>
      <c r="B4381" t="s">
        <v>121</v>
      </c>
      <c r="C4381" t="s">
        <v>59</v>
      </c>
      <c r="D4381" t="s">
        <v>22</v>
      </c>
      <c r="E4381" t="s">
        <v>23</v>
      </c>
      <c r="F4381" t="s">
        <v>404</v>
      </c>
      <c r="G4381">
        <v>744954001</v>
      </c>
      <c r="H4381" t="s">
        <v>1678</v>
      </c>
      <c r="I4381">
        <v>7298</v>
      </c>
      <c r="J4381">
        <v>437.2</v>
      </c>
      <c r="K4381">
        <v>263.33</v>
      </c>
      <c r="L4381">
        <v>3190685.6</v>
      </c>
      <c r="M4381">
        <v>1921782.34</v>
      </c>
      <c r="N4381">
        <v>1268903.26</v>
      </c>
    </row>
    <row r="4382" spans="1:14" x14ac:dyDescent="0.25">
      <c r="A4382" t="s">
        <v>38</v>
      </c>
      <c r="B4382" t="s">
        <v>388</v>
      </c>
      <c r="C4382" t="s">
        <v>40</v>
      </c>
      <c r="D4382" t="s">
        <v>22</v>
      </c>
      <c r="E4382" t="s">
        <v>18</v>
      </c>
      <c r="F4382" s="1">
        <v>41010</v>
      </c>
      <c r="G4382">
        <v>688697564</v>
      </c>
      <c r="H4382" s="1">
        <v>40980</v>
      </c>
      <c r="I4382">
        <v>9768</v>
      </c>
      <c r="J4382">
        <v>81.73</v>
      </c>
      <c r="K4382">
        <v>56.67</v>
      </c>
      <c r="L4382">
        <v>798338.64</v>
      </c>
      <c r="M4382">
        <v>553552.56000000006</v>
      </c>
      <c r="N4382">
        <v>244786.08</v>
      </c>
    </row>
    <row r="4383" spans="1:14" x14ac:dyDescent="0.25">
      <c r="A4383" t="s">
        <v>42</v>
      </c>
      <c r="B4383" t="s">
        <v>630</v>
      </c>
      <c r="C4383" t="s">
        <v>31</v>
      </c>
      <c r="D4383" t="s">
        <v>17</v>
      </c>
      <c r="E4383" t="s">
        <v>32</v>
      </c>
      <c r="F4383" s="1">
        <v>41185</v>
      </c>
      <c r="G4383">
        <v>326540553</v>
      </c>
      <c r="H4383" t="s">
        <v>136</v>
      </c>
      <c r="I4383">
        <v>9461</v>
      </c>
      <c r="J4383">
        <v>205.7</v>
      </c>
      <c r="K4383">
        <v>117.11</v>
      </c>
      <c r="L4383">
        <v>1946127.7</v>
      </c>
      <c r="M4383">
        <v>1107977.71</v>
      </c>
      <c r="N4383">
        <v>838149.99</v>
      </c>
    </row>
    <row r="4384" spans="1:14" x14ac:dyDescent="0.25">
      <c r="A4384" t="s">
        <v>25</v>
      </c>
      <c r="B4384" t="s">
        <v>458</v>
      </c>
      <c r="C4384" t="s">
        <v>31</v>
      </c>
      <c r="D4384" t="s">
        <v>17</v>
      </c>
      <c r="E4384" t="s">
        <v>23</v>
      </c>
      <c r="F4384" s="1">
        <v>40187</v>
      </c>
      <c r="G4384">
        <v>963219296</v>
      </c>
      <c r="H4384" t="s">
        <v>1360</v>
      </c>
      <c r="I4384">
        <v>6850</v>
      </c>
      <c r="J4384">
        <v>205.7</v>
      </c>
      <c r="K4384">
        <v>117.11</v>
      </c>
      <c r="L4384">
        <v>1409045</v>
      </c>
      <c r="M4384">
        <v>802203.5</v>
      </c>
      <c r="N4384">
        <v>606841.5</v>
      </c>
    </row>
    <row r="4385" spans="1:14" x14ac:dyDescent="0.25">
      <c r="A4385" t="s">
        <v>51</v>
      </c>
      <c r="B4385" t="s">
        <v>299</v>
      </c>
      <c r="C4385" t="s">
        <v>31</v>
      </c>
      <c r="D4385" t="s">
        <v>22</v>
      </c>
      <c r="E4385" t="s">
        <v>23</v>
      </c>
      <c r="F4385" s="1">
        <v>42318</v>
      </c>
      <c r="G4385">
        <v>373782622</v>
      </c>
      <c r="H4385" t="s">
        <v>452</v>
      </c>
      <c r="I4385">
        <v>9439</v>
      </c>
      <c r="J4385">
        <v>205.7</v>
      </c>
      <c r="K4385">
        <v>117.11</v>
      </c>
      <c r="L4385">
        <v>1941602.3</v>
      </c>
      <c r="M4385">
        <v>1105401.29</v>
      </c>
      <c r="N4385">
        <v>836201.01</v>
      </c>
    </row>
    <row r="4386" spans="1:14" x14ac:dyDescent="0.25">
      <c r="A4386" t="s">
        <v>14</v>
      </c>
      <c r="B4386" t="s">
        <v>370</v>
      </c>
      <c r="C4386" t="s">
        <v>113</v>
      </c>
      <c r="D4386" t="s">
        <v>17</v>
      </c>
      <c r="E4386" t="s">
        <v>32</v>
      </c>
      <c r="F4386" t="s">
        <v>287</v>
      </c>
      <c r="G4386">
        <v>453591859</v>
      </c>
      <c r="H4386" s="1">
        <v>41553</v>
      </c>
      <c r="I4386">
        <v>6766</v>
      </c>
      <c r="J4386">
        <v>154.06</v>
      </c>
      <c r="K4386">
        <v>90.93</v>
      </c>
      <c r="L4386">
        <v>1042369.96</v>
      </c>
      <c r="M4386">
        <v>615232.38</v>
      </c>
      <c r="N4386">
        <v>427137.58</v>
      </c>
    </row>
    <row r="4387" spans="1:14" x14ac:dyDescent="0.25">
      <c r="A4387" t="s">
        <v>25</v>
      </c>
      <c r="B4387" t="s">
        <v>72</v>
      </c>
      <c r="C4387" t="s">
        <v>113</v>
      </c>
      <c r="D4387" t="s">
        <v>22</v>
      </c>
      <c r="E4387" t="s">
        <v>18</v>
      </c>
      <c r="F4387" s="1">
        <v>42715</v>
      </c>
      <c r="G4387">
        <v>468320834</v>
      </c>
      <c r="H4387" t="s">
        <v>236</v>
      </c>
      <c r="I4387">
        <v>5397</v>
      </c>
      <c r="J4387">
        <v>154.06</v>
      </c>
      <c r="K4387">
        <v>90.93</v>
      </c>
      <c r="L4387">
        <v>831461.82</v>
      </c>
      <c r="M4387">
        <v>490749.21</v>
      </c>
      <c r="N4387">
        <v>340712.61</v>
      </c>
    </row>
    <row r="4388" spans="1:14" x14ac:dyDescent="0.25">
      <c r="A4388" t="s">
        <v>25</v>
      </c>
      <c r="B4388" t="s">
        <v>533</v>
      </c>
      <c r="C4388" t="s">
        <v>31</v>
      </c>
      <c r="D4388" t="s">
        <v>17</v>
      </c>
      <c r="E4388" t="s">
        <v>18</v>
      </c>
      <c r="F4388" t="s">
        <v>34</v>
      </c>
      <c r="G4388">
        <v>203955876</v>
      </c>
      <c r="H4388" t="s">
        <v>184</v>
      </c>
      <c r="I4388">
        <v>3931</v>
      </c>
      <c r="J4388">
        <v>205.7</v>
      </c>
      <c r="K4388">
        <v>117.11</v>
      </c>
      <c r="L4388">
        <v>808606.7</v>
      </c>
      <c r="M4388">
        <v>460359.41</v>
      </c>
      <c r="N4388">
        <v>348247.29</v>
      </c>
    </row>
    <row r="4389" spans="1:14" x14ac:dyDescent="0.25">
      <c r="A4389" t="s">
        <v>51</v>
      </c>
      <c r="B4389" t="s">
        <v>192</v>
      </c>
      <c r="C4389" t="s">
        <v>16</v>
      </c>
      <c r="D4389" t="s">
        <v>22</v>
      </c>
      <c r="E4389" t="s">
        <v>23</v>
      </c>
      <c r="F4389" t="s">
        <v>1221</v>
      </c>
      <c r="G4389">
        <v>416795814</v>
      </c>
      <c r="H4389" t="s">
        <v>1609</v>
      </c>
      <c r="I4389">
        <v>7998</v>
      </c>
      <c r="J4389">
        <v>255.28</v>
      </c>
      <c r="K4389">
        <v>159.41999999999999</v>
      </c>
      <c r="L4389">
        <v>2041729.44</v>
      </c>
      <c r="M4389">
        <v>1275041.1599999999</v>
      </c>
      <c r="N4389">
        <v>766688.28</v>
      </c>
    </row>
    <row r="4390" spans="1:14" x14ac:dyDescent="0.25">
      <c r="A4390" t="s">
        <v>25</v>
      </c>
      <c r="B4390" t="s">
        <v>386</v>
      </c>
      <c r="C4390" t="s">
        <v>21</v>
      </c>
      <c r="D4390" t="s">
        <v>22</v>
      </c>
      <c r="E4390" t="s">
        <v>45</v>
      </c>
      <c r="F4390" s="1">
        <v>42675</v>
      </c>
      <c r="G4390">
        <v>583451974</v>
      </c>
      <c r="H4390" s="1">
        <v>42492</v>
      </c>
      <c r="I4390">
        <v>5260</v>
      </c>
      <c r="J4390">
        <v>152.58000000000001</v>
      </c>
      <c r="K4390">
        <v>97.44</v>
      </c>
      <c r="L4390">
        <v>802570.8</v>
      </c>
      <c r="M4390">
        <v>512534.4</v>
      </c>
      <c r="N4390">
        <v>290036.40000000002</v>
      </c>
    </row>
    <row r="4391" spans="1:14" x14ac:dyDescent="0.25">
      <c r="A4391" t="s">
        <v>25</v>
      </c>
      <c r="B4391" t="s">
        <v>112</v>
      </c>
      <c r="C4391" t="s">
        <v>44</v>
      </c>
      <c r="D4391" t="s">
        <v>17</v>
      </c>
      <c r="E4391" t="s">
        <v>18</v>
      </c>
      <c r="F4391" t="s">
        <v>916</v>
      </c>
      <c r="G4391">
        <v>250848186</v>
      </c>
      <c r="H4391" s="1">
        <v>41458</v>
      </c>
      <c r="I4391">
        <v>407</v>
      </c>
      <c r="J4391">
        <v>109.28</v>
      </c>
      <c r="K4391">
        <v>35.840000000000003</v>
      </c>
      <c r="L4391">
        <v>44476.959999999999</v>
      </c>
      <c r="M4391">
        <v>14586.88</v>
      </c>
      <c r="N4391">
        <v>29890.080000000002</v>
      </c>
    </row>
    <row r="4392" spans="1:14" x14ac:dyDescent="0.25">
      <c r="A4392" t="s">
        <v>51</v>
      </c>
      <c r="B4392" t="s">
        <v>219</v>
      </c>
      <c r="C4392" t="s">
        <v>69</v>
      </c>
      <c r="D4392" t="s">
        <v>17</v>
      </c>
      <c r="E4392" t="s">
        <v>18</v>
      </c>
      <c r="F4392" t="s">
        <v>1020</v>
      </c>
      <c r="G4392">
        <v>386220777</v>
      </c>
      <c r="H4392" t="s">
        <v>1827</v>
      </c>
      <c r="I4392">
        <v>165</v>
      </c>
      <c r="J4392">
        <v>421.89</v>
      </c>
      <c r="K4392">
        <v>364.69</v>
      </c>
      <c r="L4392">
        <v>69611.850000000006</v>
      </c>
      <c r="M4392">
        <v>60173.85</v>
      </c>
      <c r="N4392">
        <v>9438</v>
      </c>
    </row>
    <row r="4393" spans="1:14" x14ac:dyDescent="0.25">
      <c r="A4393" t="s">
        <v>38</v>
      </c>
      <c r="B4393" t="s">
        <v>1268</v>
      </c>
      <c r="C4393" t="s">
        <v>59</v>
      </c>
      <c r="D4393" t="s">
        <v>17</v>
      </c>
      <c r="E4393" t="s">
        <v>45</v>
      </c>
      <c r="F4393" s="1">
        <v>42773</v>
      </c>
      <c r="G4393">
        <v>227118575</v>
      </c>
      <c r="H4393" s="1">
        <v>42774</v>
      </c>
      <c r="I4393">
        <v>8288</v>
      </c>
      <c r="J4393">
        <v>437.2</v>
      </c>
      <c r="K4393">
        <v>263.33</v>
      </c>
      <c r="L4393">
        <v>3623513.6</v>
      </c>
      <c r="M4393">
        <v>2182479.04</v>
      </c>
      <c r="N4393">
        <v>1441034.56</v>
      </c>
    </row>
    <row r="4394" spans="1:14" x14ac:dyDescent="0.25">
      <c r="A4394" t="s">
        <v>42</v>
      </c>
      <c r="B4394" t="s">
        <v>552</v>
      </c>
      <c r="C4394" t="s">
        <v>88</v>
      </c>
      <c r="D4394" t="s">
        <v>22</v>
      </c>
      <c r="E4394" t="s">
        <v>18</v>
      </c>
      <c r="F4394" t="s">
        <v>479</v>
      </c>
      <c r="G4394">
        <v>431402909</v>
      </c>
      <c r="H4394" t="s">
        <v>688</v>
      </c>
      <c r="I4394">
        <v>562</v>
      </c>
      <c r="J4394">
        <v>9.33</v>
      </c>
      <c r="K4394">
        <v>6.92</v>
      </c>
      <c r="L4394">
        <v>5243.46</v>
      </c>
      <c r="M4394">
        <v>3889.04</v>
      </c>
      <c r="N4394">
        <v>1354.42</v>
      </c>
    </row>
    <row r="4395" spans="1:14" x14ac:dyDescent="0.25">
      <c r="A4395" t="s">
        <v>51</v>
      </c>
      <c r="B4395" t="s">
        <v>52</v>
      </c>
      <c r="C4395" t="s">
        <v>69</v>
      </c>
      <c r="D4395" t="s">
        <v>22</v>
      </c>
      <c r="E4395" t="s">
        <v>32</v>
      </c>
      <c r="F4395" s="1">
        <v>42342</v>
      </c>
      <c r="G4395">
        <v>827247607</v>
      </c>
      <c r="H4395" t="s">
        <v>1577</v>
      </c>
      <c r="I4395">
        <v>9805</v>
      </c>
      <c r="J4395">
        <v>421.89</v>
      </c>
      <c r="K4395">
        <v>364.69</v>
      </c>
      <c r="L4395">
        <v>4136631.45</v>
      </c>
      <c r="M4395">
        <v>3575785.45</v>
      </c>
      <c r="N4395">
        <v>560846</v>
      </c>
    </row>
    <row r="4396" spans="1:14" x14ac:dyDescent="0.25">
      <c r="A4396" t="s">
        <v>25</v>
      </c>
      <c r="B4396" t="s">
        <v>374</v>
      </c>
      <c r="C4396" t="s">
        <v>69</v>
      </c>
      <c r="D4396" t="s">
        <v>17</v>
      </c>
      <c r="E4396" t="s">
        <v>23</v>
      </c>
      <c r="F4396" s="1">
        <v>40523</v>
      </c>
      <c r="G4396">
        <v>863138997</v>
      </c>
      <c r="H4396" t="s">
        <v>1110</v>
      </c>
      <c r="I4396">
        <v>865</v>
      </c>
      <c r="J4396">
        <v>421.89</v>
      </c>
      <c r="K4396">
        <v>364.69</v>
      </c>
      <c r="L4396">
        <v>364934.85</v>
      </c>
      <c r="M4396">
        <v>315456.84999999998</v>
      </c>
      <c r="N4396">
        <v>49478</v>
      </c>
    </row>
    <row r="4397" spans="1:14" x14ac:dyDescent="0.25">
      <c r="A4397" t="s">
        <v>14</v>
      </c>
      <c r="B4397" t="s">
        <v>154</v>
      </c>
      <c r="C4397" t="s">
        <v>21</v>
      </c>
      <c r="D4397" t="s">
        <v>22</v>
      </c>
      <c r="E4397" t="s">
        <v>32</v>
      </c>
      <c r="F4397" s="1">
        <v>40940</v>
      </c>
      <c r="G4397">
        <v>957875907</v>
      </c>
      <c r="H4397" t="s">
        <v>1828</v>
      </c>
      <c r="I4397">
        <v>5622</v>
      </c>
      <c r="J4397">
        <v>152.58000000000001</v>
      </c>
      <c r="K4397">
        <v>97.44</v>
      </c>
      <c r="L4397">
        <v>857804.76</v>
      </c>
      <c r="M4397">
        <v>547807.68000000005</v>
      </c>
      <c r="N4397">
        <v>309997.08</v>
      </c>
    </row>
    <row r="4398" spans="1:14" x14ac:dyDescent="0.25">
      <c r="A4398" t="s">
        <v>14</v>
      </c>
      <c r="B4398" t="s">
        <v>433</v>
      </c>
      <c r="C4398" t="s">
        <v>44</v>
      </c>
      <c r="D4398" t="s">
        <v>22</v>
      </c>
      <c r="E4398" t="s">
        <v>32</v>
      </c>
      <c r="F4398" t="s">
        <v>1480</v>
      </c>
      <c r="G4398">
        <v>250569665</v>
      </c>
      <c r="H4398" s="1">
        <v>42952</v>
      </c>
      <c r="I4398">
        <v>7987</v>
      </c>
      <c r="J4398">
        <v>109.28</v>
      </c>
      <c r="K4398">
        <v>35.840000000000003</v>
      </c>
      <c r="L4398">
        <v>872819.36</v>
      </c>
      <c r="M4398">
        <v>286254.08000000002</v>
      </c>
      <c r="N4398">
        <v>586565.28</v>
      </c>
    </row>
    <row r="4399" spans="1:14" x14ac:dyDescent="0.25">
      <c r="A4399" t="s">
        <v>51</v>
      </c>
      <c r="B4399" t="s">
        <v>848</v>
      </c>
      <c r="C4399" t="s">
        <v>21</v>
      </c>
      <c r="D4399" t="s">
        <v>17</v>
      </c>
      <c r="E4399" t="s">
        <v>45</v>
      </c>
      <c r="F4399" s="1">
        <v>42038</v>
      </c>
      <c r="G4399">
        <v>650644099</v>
      </c>
      <c r="H4399" t="s">
        <v>1829</v>
      </c>
      <c r="I4399">
        <v>8903</v>
      </c>
      <c r="J4399">
        <v>152.58000000000001</v>
      </c>
      <c r="K4399">
        <v>97.44</v>
      </c>
      <c r="L4399">
        <v>1358419.74</v>
      </c>
      <c r="M4399">
        <v>867508.32</v>
      </c>
      <c r="N4399">
        <v>490911.42</v>
      </c>
    </row>
    <row r="4400" spans="1:14" x14ac:dyDescent="0.25">
      <c r="A4400" t="s">
        <v>29</v>
      </c>
      <c r="B4400" t="s">
        <v>440</v>
      </c>
      <c r="C4400" t="s">
        <v>88</v>
      </c>
      <c r="D4400" t="s">
        <v>22</v>
      </c>
      <c r="E4400" t="s">
        <v>45</v>
      </c>
      <c r="F4400" t="s">
        <v>1767</v>
      </c>
      <c r="G4400">
        <v>987835538</v>
      </c>
      <c r="H4400" s="1">
        <v>40454</v>
      </c>
      <c r="I4400">
        <v>1342</v>
      </c>
      <c r="J4400">
        <v>9.33</v>
      </c>
      <c r="K4400">
        <v>6.92</v>
      </c>
      <c r="L4400">
        <v>12520.86</v>
      </c>
      <c r="M4400">
        <v>9286.64</v>
      </c>
      <c r="N4400">
        <v>3234.22</v>
      </c>
    </row>
    <row r="4401" spans="1:14" x14ac:dyDescent="0.25">
      <c r="A4401" t="s">
        <v>38</v>
      </c>
      <c r="B4401" t="s">
        <v>117</v>
      </c>
      <c r="C4401" t="s">
        <v>59</v>
      </c>
      <c r="D4401" t="s">
        <v>17</v>
      </c>
      <c r="E4401" t="s">
        <v>45</v>
      </c>
      <c r="F4401" s="1">
        <v>40608</v>
      </c>
      <c r="G4401">
        <v>162192809</v>
      </c>
      <c r="H4401" t="s">
        <v>1462</v>
      </c>
      <c r="I4401">
        <v>5311</v>
      </c>
      <c r="J4401">
        <v>437.2</v>
      </c>
      <c r="K4401">
        <v>263.33</v>
      </c>
      <c r="L4401">
        <v>2321969.2000000002</v>
      </c>
      <c r="M4401">
        <v>1398545.63</v>
      </c>
      <c r="N4401">
        <v>923423.57</v>
      </c>
    </row>
    <row r="4402" spans="1:14" x14ac:dyDescent="0.25">
      <c r="A4402" t="s">
        <v>51</v>
      </c>
      <c r="B4402" t="s">
        <v>350</v>
      </c>
      <c r="C4402" t="s">
        <v>44</v>
      </c>
      <c r="D4402" t="s">
        <v>22</v>
      </c>
      <c r="E4402" t="s">
        <v>45</v>
      </c>
      <c r="F4402" t="s">
        <v>380</v>
      </c>
      <c r="G4402">
        <v>294077241</v>
      </c>
      <c r="H4402" t="s">
        <v>870</v>
      </c>
      <c r="I4402">
        <v>2845</v>
      </c>
      <c r="J4402">
        <v>109.28</v>
      </c>
      <c r="K4402">
        <v>35.840000000000003</v>
      </c>
      <c r="L4402">
        <v>310901.59999999998</v>
      </c>
      <c r="M4402">
        <v>101964.8</v>
      </c>
      <c r="N4402">
        <v>208936.8</v>
      </c>
    </row>
    <row r="4403" spans="1:14" x14ac:dyDescent="0.25">
      <c r="A4403" t="s">
        <v>51</v>
      </c>
      <c r="B4403" t="s">
        <v>128</v>
      </c>
      <c r="C4403" t="s">
        <v>16</v>
      </c>
      <c r="D4403" t="s">
        <v>22</v>
      </c>
      <c r="E4403" t="s">
        <v>32</v>
      </c>
      <c r="F4403" t="s">
        <v>1087</v>
      </c>
      <c r="G4403">
        <v>874162662</v>
      </c>
      <c r="H4403" t="s">
        <v>110</v>
      </c>
      <c r="I4403">
        <v>3012</v>
      </c>
      <c r="J4403">
        <v>255.28</v>
      </c>
      <c r="K4403">
        <v>159.41999999999999</v>
      </c>
      <c r="L4403">
        <v>768903.36</v>
      </c>
      <c r="M4403">
        <v>480173.04</v>
      </c>
      <c r="N4403">
        <v>288730.32</v>
      </c>
    </row>
    <row r="4404" spans="1:14" x14ac:dyDescent="0.25">
      <c r="A4404" t="s">
        <v>77</v>
      </c>
      <c r="B4404" t="s">
        <v>622</v>
      </c>
      <c r="C4404" t="s">
        <v>27</v>
      </c>
      <c r="D4404" t="s">
        <v>22</v>
      </c>
      <c r="E4404" t="s">
        <v>23</v>
      </c>
      <c r="F4404" t="s">
        <v>1255</v>
      </c>
      <c r="G4404">
        <v>113435399</v>
      </c>
      <c r="H4404" s="1">
        <v>41253</v>
      </c>
      <c r="I4404">
        <v>6910</v>
      </c>
      <c r="J4404">
        <v>47.45</v>
      </c>
      <c r="K4404">
        <v>31.79</v>
      </c>
      <c r="L4404">
        <v>327879.5</v>
      </c>
      <c r="M4404">
        <v>219668.9</v>
      </c>
      <c r="N4404">
        <v>108210.6</v>
      </c>
    </row>
    <row r="4405" spans="1:14" x14ac:dyDescent="0.25">
      <c r="A4405" t="s">
        <v>14</v>
      </c>
      <c r="B4405" t="s">
        <v>433</v>
      </c>
      <c r="C4405" t="s">
        <v>69</v>
      </c>
      <c r="D4405" t="s">
        <v>22</v>
      </c>
      <c r="E4405" t="s">
        <v>45</v>
      </c>
      <c r="F4405" t="s">
        <v>289</v>
      </c>
      <c r="G4405">
        <v>793194282</v>
      </c>
      <c r="H4405" t="s">
        <v>1359</v>
      </c>
      <c r="I4405">
        <v>2669</v>
      </c>
      <c r="J4405">
        <v>421.89</v>
      </c>
      <c r="K4405">
        <v>364.69</v>
      </c>
      <c r="L4405">
        <v>1126024.4099999999</v>
      </c>
      <c r="M4405">
        <v>973357.61</v>
      </c>
      <c r="N4405">
        <v>152666.79999999999</v>
      </c>
    </row>
    <row r="4406" spans="1:14" x14ac:dyDescent="0.25">
      <c r="A4406" t="s">
        <v>42</v>
      </c>
      <c r="B4406" t="s">
        <v>150</v>
      </c>
      <c r="C4406" t="s">
        <v>88</v>
      </c>
      <c r="D4406" t="s">
        <v>22</v>
      </c>
      <c r="E4406" t="s">
        <v>23</v>
      </c>
      <c r="F4406" t="s">
        <v>1229</v>
      </c>
      <c r="G4406">
        <v>815050637</v>
      </c>
      <c r="H4406" s="1">
        <v>40727</v>
      </c>
      <c r="I4406">
        <v>451</v>
      </c>
      <c r="J4406">
        <v>9.33</v>
      </c>
      <c r="K4406">
        <v>6.92</v>
      </c>
      <c r="L4406">
        <v>4207.83</v>
      </c>
      <c r="M4406">
        <v>3120.92</v>
      </c>
      <c r="N4406">
        <v>1086.9100000000001</v>
      </c>
    </row>
    <row r="4407" spans="1:14" x14ac:dyDescent="0.25">
      <c r="A4407" t="s">
        <v>29</v>
      </c>
      <c r="B4407" t="s">
        <v>30</v>
      </c>
      <c r="C4407" t="s">
        <v>88</v>
      </c>
      <c r="D4407" t="s">
        <v>17</v>
      </c>
      <c r="E4407" t="s">
        <v>18</v>
      </c>
      <c r="F4407" s="1">
        <v>41039</v>
      </c>
      <c r="G4407">
        <v>850928294</v>
      </c>
      <c r="H4407" s="1">
        <v>41162</v>
      </c>
      <c r="I4407">
        <v>7447</v>
      </c>
      <c r="J4407">
        <v>9.33</v>
      </c>
      <c r="K4407">
        <v>6.92</v>
      </c>
      <c r="L4407">
        <v>69480.509999999995</v>
      </c>
      <c r="M4407">
        <v>51533.24</v>
      </c>
      <c r="N4407">
        <v>17947.27</v>
      </c>
    </row>
    <row r="4408" spans="1:14" x14ac:dyDescent="0.25">
      <c r="A4408" t="s">
        <v>38</v>
      </c>
      <c r="B4408" t="s">
        <v>288</v>
      </c>
      <c r="C4408" t="s">
        <v>21</v>
      </c>
      <c r="D4408" t="s">
        <v>17</v>
      </c>
      <c r="E4408" t="s">
        <v>18</v>
      </c>
      <c r="F4408" t="s">
        <v>612</v>
      </c>
      <c r="G4408">
        <v>293063580</v>
      </c>
      <c r="H4408" t="s">
        <v>612</v>
      </c>
      <c r="I4408">
        <v>2881</v>
      </c>
      <c r="J4408">
        <v>152.58000000000001</v>
      </c>
      <c r="K4408">
        <v>97.44</v>
      </c>
      <c r="L4408">
        <v>439582.98</v>
      </c>
      <c r="M4408">
        <v>280724.64</v>
      </c>
      <c r="N4408">
        <v>158858.34</v>
      </c>
    </row>
    <row r="4409" spans="1:14" x14ac:dyDescent="0.25">
      <c r="A4409" t="s">
        <v>29</v>
      </c>
      <c r="B4409" t="s">
        <v>271</v>
      </c>
      <c r="C4409" t="s">
        <v>27</v>
      </c>
      <c r="D4409" t="s">
        <v>17</v>
      </c>
      <c r="E4409" t="s">
        <v>45</v>
      </c>
      <c r="F4409" t="s">
        <v>1289</v>
      </c>
      <c r="G4409">
        <v>404005324</v>
      </c>
      <c r="H4409" t="s">
        <v>753</v>
      </c>
      <c r="I4409">
        <v>3008</v>
      </c>
      <c r="J4409">
        <v>47.45</v>
      </c>
      <c r="K4409">
        <v>31.79</v>
      </c>
      <c r="L4409">
        <v>142729.60000000001</v>
      </c>
      <c r="M4409">
        <v>95624.320000000007</v>
      </c>
      <c r="N4409">
        <v>47105.279999999999</v>
      </c>
    </row>
    <row r="4410" spans="1:14" x14ac:dyDescent="0.25">
      <c r="A4410" t="s">
        <v>25</v>
      </c>
      <c r="B4410" t="s">
        <v>204</v>
      </c>
      <c r="C4410" t="s">
        <v>131</v>
      </c>
      <c r="D4410" t="s">
        <v>17</v>
      </c>
      <c r="E4410" t="s">
        <v>18</v>
      </c>
      <c r="F4410" t="s">
        <v>1063</v>
      </c>
      <c r="G4410">
        <v>266614854</v>
      </c>
      <c r="H4410" s="1">
        <v>41557</v>
      </c>
      <c r="I4410">
        <v>6115</v>
      </c>
      <c r="J4410">
        <v>668.27</v>
      </c>
      <c r="K4410">
        <v>502.54</v>
      </c>
      <c r="L4410">
        <v>4086471.05</v>
      </c>
      <c r="M4410">
        <v>3073032.1</v>
      </c>
      <c r="N4410">
        <v>1013438.95</v>
      </c>
    </row>
    <row r="4411" spans="1:14" x14ac:dyDescent="0.25">
      <c r="A4411" t="s">
        <v>25</v>
      </c>
      <c r="B4411" t="s">
        <v>529</v>
      </c>
      <c r="C4411" t="s">
        <v>131</v>
      </c>
      <c r="D4411" t="s">
        <v>22</v>
      </c>
      <c r="E4411" t="s">
        <v>32</v>
      </c>
      <c r="F4411" t="s">
        <v>244</v>
      </c>
      <c r="G4411">
        <v>834065997</v>
      </c>
      <c r="H4411" t="s">
        <v>1379</v>
      </c>
      <c r="I4411">
        <v>7518</v>
      </c>
      <c r="J4411">
        <v>668.27</v>
      </c>
      <c r="K4411">
        <v>502.54</v>
      </c>
      <c r="L4411">
        <v>5024053.8600000003</v>
      </c>
      <c r="M4411">
        <v>3778095.72</v>
      </c>
      <c r="N4411">
        <v>1245958.1399999999</v>
      </c>
    </row>
    <row r="4412" spans="1:14" x14ac:dyDescent="0.25">
      <c r="A4412" t="s">
        <v>25</v>
      </c>
      <c r="B4412" t="s">
        <v>363</v>
      </c>
      <c r="C4412" t="s">
        <v>88</v>
      </c>
      <c r="D4412" t="s">
        <v>22</v>
      </c>
      <c r="E4412" t="s">
        <v>18</v>
      </c>
      <c r="F4412" t="s">
        <v>509</v>
      </c>
      <c r="G4412">
        <v>879845082</v>
      </c>
      <c r="H4412" s="1">
        <v>40183</v>
      </c>
      <c r="I4412">
        <v>4567</v>
      </c>
      <c r="J4412">
        <v>9.33</v>
      </c>
      <c r="K4412">
        <v>6.92</v>
      </c>
      <c r="L4412">
        <v>42610.11</v>
      </c>
      <c r="M4412">
        <v>31603.64</v>
      </c>
      <c r="N4412">
        <v>11006.47</v>
      </c>
    </row>
    <row r="4413" spans="1:14" x14ac:dyDescent="0.25">
      <c r="A4413" t="s">
        <v>38</v>
      </c>
      <c r="B4413" t="s">
        <v>388</v>
      </c>
      <c r="C4413" t="s">
        <v>131</v>
      </c>
      <c r="D4413" t="s">
        <v>22</v>
      </c>
      <c r="E4413" t="s">
        <v>18</v>
      </c>
      <c r="F4413" t="s">
        <v>1347</v>
      </c>
      <c r="G4413">
        <v>147750937</v>
      </c>
      <c r="H4413" s="1">
        <v>42887</v>
      </c>
      <c r="I4413">
        <v>1641</v>
      </c>
      <c r="J4413">
        <v>668.27</v>
      </c>
      <c r="K4413">
        <v>502.54</v>
      </c>
      <c r="L4413">
        <v>1096631.07</v>
      </c>
      <c r="M4413">
        <v>824668.14</v>
      </c>
      <c r="N4413">
        <v>271962.93</v>
      </c>
    </row>
    <row r="4414" spans="1:14" x14ac:dyDescent="0.25">
      <c r="A4414" t="s">
        <v>51</v>
      </c>
      <c r="B4414" t="s">
        <v>276</v>
      </c>
      <c r="C4414" t="s">
        <v>16</v>
      </c>
      <c r="D4414" t="s">
        <v>17</v>
      </c>
      <c r="E4414" t="s">
        <v>18</v>
      </c>
      <c r="F4414" s="1">
        <v>41855</v>
      </c>
      <c r="G4414">
        <v>701894891</v>
      </c>
      <c r="H4414" t="s">
        <v>1074</v>
      </c>
      <c r="I4414">
        <v>5151</v>
      </c>
      <c r="J4414">
        <v>255.28</v>
      </c>
      <c r="K4414">
        <v>159.41999999999999</v>
      </c>
      <c r="L4414">
        <v>1314947.28</v>
      </c>
      <c r="M4414">
        <v>821172.42</v>
      </c>
      <c r="N4414">
        <v>493774.86</v>
      </c>
    </row>
    <row r="4415" spans="1:14" x14ac:dyDescent="0.25">
      <c r="A4415" t="s">
        <v>51</v>
      </c>
      <c r="B4415" t="s">
        <v>182</v>
      </c>
      <c r="C4415" t="s">
        <v>40</v>
      </c>
      <c r="D4415" t="s">
        <v>17</v>
      </c>
      <c r="E4415" t="s">
        <v>23</v>
      </c>
      <c r="F4415" s="1">
        <v>42040</v>
      </c>
      <c r="G4415">
        <v>176700770</v>
      </c>
      <c r="H4415" t="s">
        <v>1782</v>
      </c>
      <c r="I4415">
        <v>8539</v>
      </c>
      <c r="J4415">
        <v>81.73</v>
      </c>
      <c r="K4415">
        <v>56.67</v>
      </c>
      <c r="L4415">
        <v>697892.47</v>
      </c>
      <c r="M4415">
        <v>483905.13</v>
      </c>
      <c r="N4415">
        <v>213987.34</v>
      </c>
    </row>
    <row r="4416" spans="1:14" x14ac:dyDescent="0.25">
      <c r="A4416" t="s">
        <v>14</v>
      </c>
      <c r="B4416" t="s">
        <v>154</v>
      </c>
      <c r="C4416" t="s">
        <v>88</v>
      </c>
      <c r="D4416" t="s">
        <v>22</v>
      </c>
      <c r="E4416" t="s">
        <v>45</v>
      </c>
      <c r="F4416" t="s">
        <v>946</v>
      </c>
      <c r="G4416">
        <v>326904904</v>
      </c>
      <c r="H4416" t="s">
        <v>774</v>
      </c>
      <c r="I4416">
        <v>7281</v>
      </c>
      <c r="J4416">
        <v>9.33</v>
      </c>
      <c r="K4416">
        <v>6.92</v>
      </c>
      <c r="L4416">
        <v>67931.73</v>
      </c>
      <c r="M4416">
        <v>50384.52</v>
      </c>
      <c r="N4416">
        <v>17547.21</v>
      </c>
    </row>
    <row r="4417" spans="1:14" x14ac:dyDescent="0.25">
      <c r="A4417" t="s">
        <v>38</v>
      </c>
      <c r="B4417" t="s">
        <v>85</v>
      </c>
      <c r="C4417" t="s">
        <v>16</v>
      </c>
      <c r="D4417" t="s">
        <v>17</v>
      </c>
      <c r="E4417" t="s">
        <v>45</v>
      </c>
      <c r="F4417" t="s">
        <v>1071</v>
      </c>
      <c r="G4417">
        <v>277556121</v>
      </c>
      <c r="H4417" t="s">
        <v>861</v>
      </c>
      <c r="I4417">
        <v>3879</v>
      </c>
      <c r="J4417">
        <v>255.28</v>
      </c>
      <c r="K4417">
        <v>159.41999999999999</v>
      </c>
      <c r="L4417">
        <v>990231.12</v>
      </c>
      <c r="M4417">
        <v>618390.18000000005</v>
      </c>
      <c r="N4417">
        <v>371840.94</v>
      </c>
    </row>
    <row r="4418" spans="1:14" x14ac:dyDescent="0.25">
      <c r="A4418" t="s">
        <v>38</v>
      </c>
      <c r="B4418" t="s">
        <v>329</v>
      </c>
      <c r="C4418" t="s">
        <v>131</v>
      </c>
      <c r="D4418" t="s">
        <v>17</v>
      </c>
      <c r="E4418" t="s">
        <v>18</v>
      </c>
      <c r="F4418" t="s">
        <v>810</v>
      </c>
      <c r="G4418">
        <v>574015748</v>
      </c>
      <c r="H4418" s="1">
        <v>41122</v>
      </c>
      <c r="I4418">
        <v>2871</v>
      </c>
      <c r="J4418">
        <v>668.27</v>
      </c>
      <c r="K4418">
        <v>502.54</v>
      </c>
      <c r="L4418">
        <v>1918603.17</v>
      </c>
      <c r="M4418">
        <v>1442792.34</v>
      </c>
      <c r="N4418">
        <v>475810.83</v>
      </c>
    </row>
    <row r="4419" spans="1:14" x14ac:dyDescent="0.25">
      <c r="A4419" t="s">
        <v>51</v>
      </c>
      <c r="B4419" t="s">
        <v>420</v>
      </c>
      <c r="C4419" t="s">
        <v>59</v>
      </c>
      <c r="D4419" t="s">
        <v>22</v>
      </c>
      <c r="E4419" t="s">
        <v>32</v>
      </c>
      <c r="F4419" s="1">
        <v>42165</v>
      </c>
      <c r="G4419">
        <v>931957614</v>
      </c>
      <c r="H4419" t="s">
        <v>396</v>
      </c>
      <c r="I4419">
        <v>5823</v>
      </c>
      <c r="J4419">
        <v>437.2</v>
      </c>
      <c r="K4419">
        <v>263.33</v>
      </c>
      <c r="L4419">
        <v>2545815.6</v>
      </c>
      <c r="M4419">
        <v>1533370.59</v>
      </c>
      <c r="N4419">
        <v>1012445.01</v>
      </c>
    </row>
    <row r="4420" spans="1:14" x14ac:dyDescent="0.25">
      <c r="A4420" t="s">
        <v>29</v>
      </c>
      <c r="B4420" t="s">
        <v>153</v>
      </c>
      <c r="C4420" t="s">
        <v>31</v>
      </c>
      <c r="D4420" t="s">
        <v>17</v>
      </c>
      <c r="E4420" t="s">
        <v>32</v>
      </c>
      <c r="F4420" t="s">
        <v>916</v>
      </c>
      <c r="G4420">
        <v>687368047</v>
      </c>
      <c r="H4420" t="s">
        <v>321</v>
      </c>
      <c r="I4420">
        <v>6335</v>
      </c>
      <c r="J4420">
        <v>205.7</v>
      </c>
      <c r="K4420">
        <v>117.11</v>
      </c>
      <c r="L4420">
        <v>1303109.5</v>
      </c>
      <c r="M4420">
        <v>741891.85</v>
      </c>
      <c r="N4420">
        <v>561217.65</v>
      </c>
    </row>
    <row r="4421" spans="1:14" x14ac:dyDescent="0.25">
      <c r="A4421" t="s">
        <v>25</v>
      </c>
      <c r="B4421" t="s">
        <v>569</v>
      </c>
      <c r="C4421" t="s">
        <v>59</v>
      </c>
      <c r="D4421" t="s">
        <v>22</v>
      </c>
      <c r="E4421" t="s">
        <v>18</v>
      </c>
      <c r="F4421" t="s">
        <v>526</v>
      </c>
      <c r="G4421">
        <v>146545875</v>
      </c>
      <c r="H4421" s="1">
        <v>41091</v>
      </c>
      <c r="I4421">
        <v>5036</v>
      </c>
      <c r="J4421">
        <v>437.2</v>
      </c>
      <c r="K4421">
        <v>263.33</v>
      </c>
      <c r="L4421">
        <v>2201739.2000000002</v>
      </c>
      <c r="M4421">
        <v>1326129.8799999999</v>
      </c>
      <c r="N4421">
        <v>875609.32</v>
      </c>
    </row>
    <row r="4422" spans="1:14" x14ac:dyDescent="0.25">
      <c r="A4422" t="s">
        <v>38</v>
      </c>
      <c r="B4422" t="s">
        <v>39</v>
      </c>
      <c r="C4422" t="s">
        <v>21</v>
      </c>
      <c r="D4422" t="s">
        <v>22</v>
      </c>
      <c r="E4422" t="s">
        <v>23</v>
      </c>
      <c r="F4422" s="1">
        <v>41587</v>
      </c>
      <c r="G4422">
        <v>136102426</v>
      </c>
      <c r="H4422" t="s">
        <v>1063</v>
      </c>
      <c r="I4422">
        <v>4587</v>
      </c>
      <c r="J4422">
        <v>152.58000000000001</v>
      </c>
      <c r="K4422">
        <v>97.44</v>
      </c>
      <c r="L4422">
        <v>699884.46</v>
      </c>
      <c r="M4422">
        <v>446957.28</v>
      </c>
      <c r="N4422">
        <v>252927.18</v>
      </c>
    </row>
    <row r="4423" spans="1:14" x14ac:dyDescent="0.25">
      <c r="A4423" t="s">
        <v>29</v>
      </c>
      <c r="B4423" t="s">
        <v>243</v>
      </c>
      <c r="C4423" t="s">
        <v>131</v>
      </c>
      <c r="D4423" t="s">
        <v>17</v>
      </c>
      <c r="E4423" t="s">
        <v>23</v>
      </c>
      <c r="F4423" t="s">
        <v>334</v>
      </c>
      <c r="G4423">
        <v>652961528</v>
      </c>
      <c r="H4423" t="s">
        <v>80</v>
      </c>
      <c r="I4423">
        <v>4681</v>
      </c>
      <c r="J4423">
        <v>668.27</v>
      </c>
      <c r="K4423">
        <v>502.54</v>
      </c>
      <c r="L4423">
        <v>3128171.87</v>
      </c>
      <c r="M4423">
        <v>2352389.7400000002</v>
      </c>
      <c r="N4423">
        <v>775782.13</v>
      </c>
    </row>
    <row r="4424" spans="1:14" x14ac:dyDescent="0.25">
      <c r="A4424" t="s">
        <v>25</v>
      </c>
      <c r="B4424" t="s">
        <v>752</v>
      </c>
      <c r="C4424" t="s">
        <v>16</v>
      </c>
      <c r="D4424" t="s">
        <v>22</v>
      </c>
      <c r="E4424" t="s">
        <v>23</v>
      </c>
      <c r="F4424" t="s">
        <v>1596</v>
      </c>
      <c r="G4424">
        <v>414359509</v>
      </c>
      <c r="H4424" s="1">
        <v>41952</v>
      </c>
      <c r="I4424">
        <v>7042</v>
      </c>
      <c r="J4424">
        <v>255.28</v>
      </c>
      <c r="K4424">
        <v>159.41999999999999</v>
      </c>
      <c r="L4424">
        <v>1797681.76</v>
      </c>
      <c r="M4424">
        <v>1122635.6399999999</v>
      </c>
      <c r="N4424">
        <v>675046.12</v>
      </c>
    </row>
    <row r="4425" spans="1:14" x14ac:dyDescent="0.25">
      <c r="A4425" t="s">
        <v>14</v>
      </c>
      <c r="B4425" t="s">
        <v>432</v>
      </c>
      <c r="C4425" t="s">
        <v>113</v>
      </c>
      <c r="D4425" t="s">
        <v>17</v>
      </c>
      <c r="E4425" t="s">
        <v>32</v>
      </c>
      <c r="F4425" t="s">
        <v>743</v>
      </c>
      <c r="G4425">
        <v>907845199</v>
      </c>
      <c r="H4425" s="1">
        <v>40219</v>
      </c>
      <c r="I4425">
        <v>423</v>
      </c>
      <c r="J4425">
        <v>154.06</v>
      </c>
      <c r="K4425">
        <v>90.93</v>
      </c>
      <c r="L4425">
        <v>65167.38</v>
      </c>
      <c r="M4425">
        <v>38463.39</v>
      </c>
      <c r="N4425">
        <v>26703.99</v>
      </c>
    </row>
    <row r="4426" spans="1:14" x14ac:dyDescent="0.25">
      <c r="A4426" t="s">
        <v>38</v>
      </c>
      <c r="B4426" t="s">
        <v>83</v>
      </c>
      <c r="C4426" t="s">
        <v>131</v>
      </c>
      <c r="D4426" t="s">
        <v>22</v>
      </c>
      <c r="E4426" t="s">
        <v>18</v>
      </c>
      <c r="F4426" s="1">
        <v>40546</v>
      </c>
      <c r="G4426">
        <v>541279923</v>
      </c>
      <c r="H4426" t="s">
        <v>1402</v>
      </c>
      <c r="I4426">
        <v>5613</v>
      </c>
      <c r="J4426">
        <v>668.27</v>
      </c>
      <c r="K4426">
        <v>502.54</v>
      </c>
      <c r="L4426">
        <v>3750999.51</v>
      </c>
      <c r="M4426">
        <v>2820757.02</v>
      </c>
      <c r="N4426">
        <v>930242.49</v>
      </c>
    </row>
    <row r="4427" spans="1:14" x14ac:dyDescent="0.25">
      <c r="A4427" t="s">
        <v>14</v>
      </c>
      <c r="B4427" t="s">
        <v>372</v>
      </c>
      <c r="C4427" t="s">
        <v>113</v>
      </c>
      <c r="D4427" t="s">
        <v>22</v>
      </c>
      <c r="E4427" t="s">
        <v>18</v>
      </c>
      <c r="F4427" t="s">
        <v>300</v>
      </c>
      <c r="G4427">
        <v>492837512</v>
      </c>
      <c r="H4427" t="s">
        <v>1830</v>
      </c>
      <c r="I4427">
        <v>427</v>
      </c>
      <c r="J4427">
        <v>154.06</v>
      </c>
      <c r="K4427">
        <v>90.93</v>
      </c>
      <c r="L4427">
        <v>65783.62</v>
      </c>
      <c r="M4427">
        <v>38827.11</v>
      </c>
      <c r="N4427">
        <v>26956.51</v>
      </c>
    </row>
    <row r="4428" spans="1:14" x14ac:dyDescent="0.25">
      <c r="A4428" t="s">
        <v>42</v>
      </c>
      <c r="B4428" t="s">
        <v>174</v>
      </c>
      <c r="C4428" t="s">
        <v>88</v>
      </c>
      <c r="D4428" t="s">
        <v>22</v>
      </c>
      <c r="E4428" t="s">
        <v>23</v>
      </c>
      <c r="F4428" s="1">
        <v>42010</v>
      </c>
      <c r="G4428">
        <v>661004292</v>
      </c>
      <c r="H4428" s="1">
        <v>42192</v>
      </c>
      <c r="I4428">
        <v>4714</v>
      </c>
      <c r="J4428">
        <v>9.33</v>
      </c>
      <c r="K4428">
        <v>6.92</v>
      </c>
      <c r="L4428">
        <v>43981.62</v>
      </c>
      <c r="M4428">
        <v>32620.880000000001</v>
      </c>
      <c r="N4428">
        <v>11360.74</v>
      </c>
    </row>
    <row r="4429" spans="1:14" x14ac:dyDescent="0.25">
      <c r="A4429" t="s">
        <v>51</v>
      </c>
      <c r="B4429" t="s">
        <v>350</v>
      </c>
      <c r="C4429" t="s">
        <v>131</v>
      </c>
      <c r="D4429" t="s">
        <v>17</v>
      </c>
      <c r="E4429" t="s">
        <v>32</v>
      </c>
      <c r="F4429" s="1">
        <v>42768</v>
      </c>
      <c r="G4429">
        <v>114579093</v>
      </c>
      <c r="H4429" t="s">
        <v>1698</v>
      </c>
      <c r="I4429">
        <v>5355</v>
      </c>
      <c r="J4429">
        <v>668.27</v>
      </c>
      <c r="K4429">
        <v>502.54</v>
      </c>
      <c r="L4429">
        <v>3578585.85</v>
      </c>
      <c r="M4429">
        <v>2691101.7</v>
      </c>
      <c r="N4429">
        <v>887484.15</v>
      </c>
    </row>
    <row r="4430" spans="1:14" x14ac:dyDescent="0.25">
      <c r="A4430" t="s">
        <v>14</v>
      </c>
      <c r="B4430" t="s">
        <v>154</v>
      </c>
      <c r="C4430" t="s">
        <v>113</v>
      </c>
      <c r="D4430" t="s">
        <v>22</v>
      </c>
      <c r="E4430" t="s">
        <v>18</v>
      </c>
      <c r="F4430" t="s">
        <v>46</v>
      </c>
      <c r="G4430">
        <v>242673242</v>
      </c>
      <c r="H4430" t="s">
        <v>778</v>
      </c>
      <c r="I4430">
        <v>1260</v>
      </c>
      <c r="J4430">
        <v>154.06</v>
      </c>
      <c r="K4430">
        <v>90.93</v>
      </c>
      <c r="L4430">
        <v>194115.6</v>
      </c>
      <c r="M4430">
        <v>114571.8</v>
      </c>
      <c r="N4430">
        <v>79543.8</v>
      </c>
    </row>
    <row r="4431" spans="1:14" x14ac:dyDescent="0.25">
      <c r="A4431" t="s">
        <v>29</v>
      </c>
      <c r="B4431" t="s">
        <v>323</v>
      </c>
      <c r="C4431" t="s">
        <v>88</v>
      </c>
      <c r="D4431" t="s">
        <v>17</v>
      </c>
      <c r="E4431" t="s">
        <v>18</v>
      </c>
      <c r="F4431" s="1">
        <v>41130</v>
      </c>
      <c r="G4431">
        <v>704710566</v>
      </c>
      <c r="H4431" t="s">
        <v>1646</v>
      </c>
      <c r="I4431">
        <v>8372</v>
      </c>
      <c r="J4431">
        <v>9.33</v>
      </c>
      <c r="K4431">
        <v>6.92</v>
      </c>
      <c r="L4431">
        <v>78110.759999999995</v>
      </c>
      <c r="M4431">
        <v>57934.239999999998</v>
      </c>
      <c r="N4431">
        <v>20176.52</v>
      </c>
    </row>
    <row r="4432" spans="1:14" x14ac:dyDescent="0.25">
      <c r="A4432" t="s">
        <v>29</v>
      </c>
      <c r="B4432" t="s">
        <v>206</v>
      </c>
      <c r="C4432" t="s">
        <v>31</v>
      </c>
      <c r="D4432" t="s">
        <v>17</v>
      </c>
      <c r="E4432" t="s">
        <v>32</v>
      </c>
      <c r="F4432" t="s">
        <v>951</v>
      </c>
      <c r="G4432">
        <v>780427396</v>
      </c>
      <c r="H4432" t="s">
        <v>1103</v>
      </c>
      <c r="I4432">
        <v>4664</v>
      </c>
      <c r="J4432">
        <v>205.7</v>
      </c>
      <c r="K4432">
        <v>117.11</v>
      </c>
      <c r="L4432">
        <v>959384.8</v>
      </c>
      <c r="M4432">
        <v>546201.04</v>
      </c>
      <c r="N4432">
        <v>413183.76</v>
      </c>
    </row>
    <row r="4433" spans="1:14" x14ac:dyDescent="0.25">
      <c r="A4433" t="s">
        <v>14</v>
      </c>
      <c r="B4433" t="s">
        <v>20</v>
      </c>
      <c r="C4433" t="s">
        <v>69</v>
      </c>
      <c r="D4433" t="s">
        <v>22</v>
      </c>
      <c r="E4433" t="s">
        <v>23</v>
      </c>
      <c r="F4433" s="1">
        <v>42187</v>
      </c>
      <c r="G4433">
        <v>719872558</v>
      </c>
      <c r="H4433" t="s">
        <v>1212</v>
      </c>
      <c r="I4433">
        <v>5142</v>
      </c>
      <c r="J4433">
        <v>421.89</v>
      </c>
      <c r="K4433">
        <v>364.69</v>
      </c>
      <c r="L4433">
        <v>2169358.38</v>
      </c>
      <c r="M4433">
        <v>1875235.98</v>
      </c>
      <c r="N4433">
        <v>294122.40000000002</v>
      </c>
    </row>
    <row r="4434" spans="1:14" x14ac:dyDescent="0.25">
      <c r="A4434" t="s">
        <v>51</v>
      </c>
      <c r="B4434" t="s">
        <v>575</v>
      </c>
      <c r="C4434" t="s">
        <v>88</v>
      </c>
      <c r="D4434" t="s">
        <v>17</v>
      </c>
      <c r="E4434" t="s">
        <v>32</v>
      </c>
      <c r="F4434" t="s">
        <v>1593</v>
      </c>
      <c r="G4434">
        <v>393407380</v>
      </c>
      <c r="H4434" t="s">
        <v>322</v>
      </c>
      <c r="I4434">
        <v>6841</v>
      </c>
      <c r="J4434">
        <v>9.33</v>
      </c>
      <c r="K4434">
        <v>6.92</v>
      </c>
      <c r="L4434">
        <v>63826.53</v>
      </c>
      <c r="M4434">
        <v>47339.72</v>
      </c>
      <c r="N4434">
        <v>16486.810000000001</v>
      </c>
    </row>
    <row r="4435" spans="1:14" x14ac:dyDescent="0.25">
      <c r="A4435" t="s">
        <v>51</v>
      </c>
      <c r="B4435" t="s">
        <v>542</v>
      </c>
      <c r="C4435" t="s">
        <v>44</v>
      </c>
      <c r="D4435" t="s">
        <v>17</v>
      </c>
      <c r="E4435" t="s">
        <v>23</v>
      </c>
      <c r="F4435" t="s">
        <v>241</v>
      </c>
      <c r="G4435">
        <v>641705691</v>
      </c>
      <c r="H4435" s="1">
        <v>41102</v>
      </c>
      <c r="I4435">
        <v>3829</v>
      </c>
      <c r="J4435">
        <v>109.28</v>
      </c>
      <c r="K4435">
        <v>35.840000000000003</v>
      </c>
      <c r="L4435">
        <v>418433.12</v>
      </c>
      <c r="M4435">
        <v>137231.35999999999</v>
      </c>
      <c r="N4435">
        <v>281201.76</v>
      </c>
    </row>
    <row r="4436" spans="1:14" x14ac:dyDescent="0.25">
      <c r="A4436" t="s">
        <v>38</v>
      </c>
      <c r="B4436" t="s">
        <v>190</v>
      </c>
      <c r="C4436" t="s">
        <v>40</v>
      </c>
      <c r="D4436" t="s">
        <v>22</v>
      </c>
      <c r="E4436" t="s">
        <v>18</v>
      </c>
      <c r="F4436" s="1">
        <v>40763</v>
      </c>
      <c r="G4436">
        <v>125753819</v>
      </c>
      <c r="H4436" t="s">
        <v>735</v>
      </c>
      <c r="I4436">
        <v>2205</v>
      </c>
      <c r="J4436">
        <v>81.73</v>
      </c>
      <c r="K4436">
        <v>56.67</v>
      </c>
      <c r="L4436">
        <v>180214.65</v>
      </c>
      <c r="M4436">
        <v>124957.35</v>
      </c>
      <c r="N4436">
        <v>55257.3</v>
      </c>
    </row>
    <row r="4437" spans="1:14" x14ac:dyDescent="0.25">
      <c r="A4437" t="s">
        <v>25</v>
      </c>
      <c r="B4437" t="s">
        <v>242</v>
      </c>
      <c r="C4437" t="s">
        <v>16</v>
      </c>
      <c r="D4437" t="s">
        <v>22</v>
      </c>
      <c r="E4437" t="s">
        <v>32</v>
      </c>
      <c r="F4437" t="s">
        <v>949</v>
      </c>
      <c r="G4437">
        <v>276850593</v>
      </c>
      <c r="H4437" s="1">
        <v>40611</v>
      </c>
      <c r="I4437">
        <v>5097</v>
      </c>
      <c r="J4437">
        <v>255.28</v>
      </c>
      <c r="K4437">
        <v>159.41999999999999</v>
      </c>
      <c r="L4437">
        <v>1301162.1599999999</v>
      </c>
      <c r="M4437">
        <v>812563.74</v>
      </c>
      <c r="N4437">
        <v>488598.42</v>
      </c>
    </row>
    <row r="4438" spans="1:14" x14ac:dyDescent="0.25">
      <c r="A4438" t="s">
        <v>29</v>
      </c>
      <c r="B4438" t="s">
        <v>153</v>
      </c>
      <c r="C4438" t="s">
        <v>55</v>
      </c>
      <c r="D4438" t="s">
        <v>17</v>
      </c>
      <c r="E4438" t="s">
        <v>45</v>
      </c>
      <c r="F4438" s="1">
        <v>42648</v>
      </c>
      <c r="G4438">
        <v>346607339</v>
      </c>
      <c r="H4438" t="s">
        <v>1355</v>
      </c>
      <c r="I4438">
        <v>7669</v>
      </c>
      <c r="J4438">
        <v>651.21</v>
      </c>
      <c r="K4438">
        <v>524.96</v>
      </c>
      <c r="L4438">
        <v>4994129.49</v>
      </c>
      <c r="M4438">
        <v>4025918.24</v>
      </c>
      <c r="N4438">
        <v>968211.25</v>
      </c>
    </row>
    <row r="4439" spans="1:14" x14ac:dyDescent="0.25">
      <c r="A4439" t="s">
        <v>25</v>
      </c>
      <c r="B4439" t="s">
        <v>529</v>
      </c>
      <c r="C4439" t="s">
        <v>31</v>
      </c>
      <c r="D4439" t="s">
        <v>17</v>
      </c>
      <c r="E4439" t="s">
        <v>32</v>
      </c>
      <c r="F4439" s="1">
        <v>40667</v>
      </c>
      <c r="G4439">
        <v>556947886</v>
      </c>
      <c r="H4439" t="s">
        <v>368</v>
      </c>
      <c r="I4439">
        <v>2111</v>
      </c>
      <c r="J4439">
        <v>205.7</v>
      </c>
      <c r="K4439">
        <v>117.11</v>
      </c>
      <c r="L4439">
        <v>434232.7</v>
      </c>
      <c r="M4439">
        <v>247219.21</v>
      </c>
      <c r="N4439">
        <v>187013.49</v>
      </c>
    </row>
    <row r="4440" spans="1:14" x14ac:dyDescent="0.25">
      <c r="A4440" t="s">
        <v>51</v>
      </c>
      <c r="B4440" t="s">
        <v>223</v>
      </c>
      <c r="C4440" t="s">
        <v>16</v>
      </c>
      <c r="D4440" t="s">
        <v>22</v>
      </c>
      <c r="E4440" t="s">
        <v>23</v>
      </c>
      <c r="F4440" s="1">
        <v>41520</v>
      </c>
      <c r="G4440">
        <v>750108563</v>
      </c>
      <c r="H4440" t="s">
        <v>82</v>
      </c>
      <c r="I4440">
        <v>2648</v>
      </c>
      <c r="J4440">
        <v>255.28</v>
      </c>
      <c r="K4440">
        <v>159.41999999999999</v>
      </c>
      <c r="L4440">
        <v>675981.44</v>
      </c>
      <c r="M4440">
        <v>422144.16</v>
      </c>
      <c r="N4440">
        <v>253837.28</v>
      </c>
    </row>
    <row r="4441" spans="1:14" x14ac:dyDescent="0.25">
      <c r="A4441" t="s">
        <v>14</v>
      </c>
      <c r="B4441" t="s">
        <v>154</v>
      </c>
      <c r="C4441" t="s">
        <v>55</v>
      </c>
      <c r="D4441" t="s">
        <v>22</v>
      </c>
      <c r="E4441" t="s">
        <v>45</v>
      </c>
      <c r="F4441" t="s">
        <v>1831</v>
      </c>
      <c r="G4441">
        <v>838638198</v>
      </c>
      <c r="H4441" s="1">
        <v>41313</v>
      </c>
      <c r="I4441">
        <v>534</v>
      </c>
      <c r="J4441">
        <v>651.21</v>
      </c>
      <c r="K4441">
        <v>524.96</v>
      </c>
      <c r="L4441">
        <v>347746.14</v>
      </c>
      <c r="M4441">
        <v>280328.64</v>
      </c>
      <c r="N4441">
        <v>67417.5</v>
      </c>
    </row>
    <row r="4442" spans="1:14" x14ac:dyDescent="0.25">
      <c r="A4442" t="s">
        <v>29</v>
      </c>
      <c r="B4442" t="s">
        <v>137</v>
      </c>
      <c r="C4442" t="s">
        <v>59</v>
      </c>
      <c r="D4442" t="s">
        <v>17</v>
      </c>
      <c r="E4442" t="s">
        <v>45</v>
      </c>
      <c r="F4442" t="s">
        <v>1604</v>
      </c>
      <c r="G4442">
        <v>355398118</v>
      </c>
      <c r="H4442" t="s">
        <v>1238</v>
      </c>
      <c r="I4442">
        <v>9056</v>
      </c>
      <c r="J4442">
        <v>437.2</v>
      </c>
      <c r="K4442">
        <v>263.33</v>
      </c>
      <c r="L4442">
        <v>3959283.2</v>
      </c>
      <c r="M4442">
        <v>2384716.48</v>
      </c>
      <c r="N4442">
        <v>1574566.72</v>
      </c>
    </row>
    <row r="4443" spans="1:14" x14ac:dyDescent="0.25">
      <c r="A4443" t="s">
        <v>51</v>
      </c>
      <c r="B4443" t="s">
        <v>664</v>
      </c>
      <c r="C4443" t="s">
        <v>113</v>
      </c>
      <c r="D4443" t="s">
        <v>22</v>
      </c>
      <c r="E4443" t="s">
        <v>45</v>
      </c>
      <c r="F4443" t="s">
        <v>693</v>
      </c>
      <c r="G4443">
        <v>703562152</v>
      </c>
      <c r="H4443" s="1">
        <v>41892</v>
      </c>
      <c r="I4443">
        <v>8530</v>
      </c>
      <c r="J4443">
        <v>154.06</v>
      </c>
      <c r="K4443">
        <v>90.93</v>
      </c>
      <c r="L4443">
        <v>1314131.8</v>
      </c>
      <c r="M4443">
        <v>775632.9</v>
      </c>
      <c r="N4443">
        <v>538498.9</v>
      </c>
    </row>
    <row r="4444" spans="1:14" x14ac:dyDescent="0.25">
      <c r="A4444" t="s">
        <v>42</v>
      </c>
      <c r="B4444" t="s">
        <v>90</v>
      </c>
      <c r="C4444" t="s">
        <v>131</v>
      </c>
      <c r="D4444" t="s">
        <v>22</v>
      </c>
      <c r="E4444" t="s">
        <v>18</v>
      </c>
      <c r="F4444" s="1">
        <v>40788</v>
      </c>
      <c r="G4444">
        <v>206616628</v>
      </c>
      <c r="H4444" t="s">
        <v>1234</v>
      </c>
      <c r="I4444">
        <v>1306</v>
      </c>
      <c r="J4444">
        <v>668.27</v>
      </c>
      <c r="K4444">
        <v>502.54</v>
      </c>
      <c r="L4444">
        <v>872760.62</v>
      </c>
      <c r="M4444">
        <v>656317.24</v>
      </c>
      <c r="N4444">
        <v>216443.38</v>
      </c>
    </row>
    <row r="4445" spans="1:14" x14ac:dyDescent="0.25">
      <c r="A4445" t="s">
        <v>77</v>
      </c>
      <c r="B4445" t="s">
        <v>622</v>
      </c>
      <c r="C4445" t="s">
        <v>27</v>
      </c>
      <c r="D4445" t="s">
        <v>17</v>
      </c>
      <c r="E4445" t="s">
        <v>23</v>
      </c>
      <c r="F4445" t="s">
        <v>1045</v>
      </c>
      <c r="G4445">
        <v>858360373</v>
      </c>
      <c r="H4445" s="1">
        <v>41251</v>
      </c>
      <c r="I4445">
        <v>6764</v>
      </c>
      <c r="J4445">
        <v>47.45</v>
      </c>
      <c r="K4445">
        <v>31.79</v>
      </c>
      <c r="L4445">
        <v>320951.8</v>
      </c>
      <c r="M4445">
        <v>215027.56</v>
      </c>
      <c r="N4445">
        <v>105924.24</v>
      </c>
    </row>
    <row r="4446" spans="1:14" x14ac:dyDescent="0.25">
      <c r="A4446" t="s">
        <v>29</v>
      </c>
      <c r="B4446" t="s">
        <v>35</v>
      </c>
      <c r="C4446" t="s">
        <v>44</v>
      </c>
      <c r="D4446" t="s">
        <v>17</v>
      </c>
      <c r="E4446" t="s">
        <v>32</v>
      </c>
      <c r="F4446" t="s">
        <v>1020</v>
      </c>
      <c r="G4446">
        <v>672904717</v>
      </c>
      <c r="H4446" t="s">
        <v>1441</v>
      </c>
      <c r="I4446">
        <v>6314</v>
      </c>
      <c r="J4446">
        <v>109.28</v>
      </c>
      <c r="K4446">
        <v>35.840000000000003</v>
      </c>
      <c r="L4446">
        <v>689993.92</v>
      </c>
      <c r="M4446">
        <v>226293.76000000001</v>
      </c>
      <c r="N4446">
        <v>463700.16</v>
      </c>
    </row>
    <row r="4447" spans="1:14" x14ac:dyDescent="0.25">
      <c r="A4447" t="s">
        <v>51</v>
      </c>
      <c r="B4447" t="s">
        <v>525</v>
      </c>
      <c r="C4447" t="s">
        <v>27</v>
      </c>
      <c r="D4447" t="s">
        <v>22</v>
      </c>
      <c r="E4447" t="s">
        <v>45</v>
      </c>
      <c r="F4447" t="s">
        <v>1372</v>
      </c>
      <c r="G4447">
        <v>434673488</v>
      </c>
      <c r="H4447" s="1">
        <v>41984</v>
      </c>
      <c r="I4447">
        <v>8399</v>
      </c>
      <c r="J4447">
        <v>47.45</v>
      </c>
      <c r="K4447">
        <v>31.79</v>
      </c>
      <c r="L4447">
        <v>398532.55</v>
      </c>
      <c r="M4447">
        <v>267004.21000000002</v>
      </c>
      <c r="N4447">
        <v>131528.34</v>
      </c>
    </row>
    <row r="4448" spans="1:14" x14ac:dyDescent="0.25">
      <c r="A4448" t="s">
        <v>25</v>
      </c>
      <c r="B4448" t="s">
        <v>234</v>
      </c>
      <c r="C4448" t="s">
        <v>131</v>
      </c>
      <c r="D4448" t="s">
        <v>17</v>
      </c>
      <c r="E4448" t="s">
        <v>23</v>
      </c>
      <c r="F4448" t="s">
        <v>136</v>
      </c>
      <c r="G4448">
        <v>548403012</v>
      </c>
      <c r="H4448" s="1">
        <v>41003</v>
      </c>
      <c r="I4448">
        <v>3493</v>
      </c>
      <c r="J4448">
        <v>668.27</v>
      </c>
      <c r="K4448">
        <v>502.54</v>
      </c>
      <c r="L4448">
        <v>2334267.11</v>
      </c>
      <c r="M4448">
        <v>1755372.22</v>
      </c>
      <c r="N4448">
        <v>578894.89</v>
      </c>
    </row>
    <row r="4449" spans="1:14" x14ac:dyDescent="0.25">
      <c r="A4449" t="s">
        <v>51</v>
      </c>
      <c r="B4449" t="s">
        <v>223</v>
      </c>
      <c r="C4449" t="s">
        <v>44</v>
      </c>
      <c r="D4449" t="s">
        <v>22</v>
      </c>
      <c r="E4449" t="s">
        <v>18</v>
      </c>
      <c r="F4449" t="s">
        <v>37</v>
      </c>
      <c r="G4449">
        <v>589142119</v>
      </c>
      <c r="H4449" t="s">
        <v>643</v>
      </c>
      <c r="I4449">
        <v>9100</v>
      </c>
      <c r="J4449">
        <v>109.28</v>
      </c>
      <c r="K4449">
        <v>35.840000000000003</v>
      </c>
      <c r="L4449">
        <v>994448</v>
      </c>
      <c r="M4449">
        <v>326144</v>
      </c>
      <c r="N4449">
        <v>668304</v>
      </c>
    </row>
    <row r="4450" spans="1:14" x14ac:dyDescent="0.25">
      <c r="A4450" t="s">
        <v>25</v>
      </c>
      <c r="B4450" t="s">
        <v>234</v>
      </c>
      <c r="C4450" t="s">
        <v>113</v>
      </c>
      <c r="D4450" t="s">
        <v>17</v>
      </c>
      <c r="E4450" t="s">
        <v>32</v>
      </c>
      <c r="F4450" s="1">
        <v>40368</v>
      </c>
      <c r="G4450">
        <v>652252137</v>
      </c>
      <c r="H4450" t="s">
        <v>742</v>
      </c>
      <c r="I4450">
        <v>4757</v>
      </c>
      <c r="J4450">
        <v>154.06</v>
      </c>
      <c r="K4450">
        <v>90.93</v>
      </c>
      <c r="L4450">
        <v>732863.42</v>
      </c>
      <c r="M4450">
        <v>432554.01</v>
      </c>
      <c r="N4450">
        <v>300309.40999999997</v>
      </c>
    </row>
    <row r="4451" spans="1:14" x14ac:dyDescent="0.25">
      <c r="A4451" t="s">
        <v>51</v>
      </c>
      <c r="B4451" t="s">
        <v>487</v>
      </c>
      <c r="C4451" t="s">
        <v>21</v>
      </c>
      <c r="D4451" t="s">
        <v>17</v>
      </c>
      <c r="E4451" t="s">
        <v>23</v>
      </c>
      <c r="F4451" t="s">
        <v>1832</v>
      </c>
      <c r="G4451">
        <v>903406894</v>
      </c>
      <c r="H4451" s="1">
        <v>40788</v>
      </c>
      <c r="I4451">
        <v>7030</v>
      </c>
      <c r="J4451">
        <v>152.58000000000001</v>
      </c>
      <c r="K4451">
        <v>97.44</v>
      </c>
      <c r="L4451">
        <v>1072637.3999999999</v>
      </c>
      <c r="M4451">
        <v>685003.2</v>
      </c>
      <c r="N4451">
        <v>387634.2</v>
      </c>
    </row>
    <row r="4452" spans="1:14" x14ac:dyDescent="0.25">
      <c r="A4452" t="s">
        <v>51</v>
      </c>
      <c r="B4452" t="s">
        <v>115</v>
      </c>
      <c r="C4452" t="s">
        <v>113</v>
      </c>
      <c r="D4452" t="s">
        <v>22</v>
      </c>
      <c r="E4452" t="s">
        <v>45</v>
      </c>
      <c r="F4452" t="s">
        <v>1441</v>
      </c>
      <c r="G4452">
        <v>228592717</v>
      </c>
      <c r="H4452" s="1">
        <v>42074</v>
      </c>
      <c r="I4452">
        <v>4520</v>
      </c>
      <c r="J4452">
        <v>154.06</v>
      </c>
      <c r="K4452">
        <v>90.93</v>
      </c>
      <c r="L4452">
        <v>696351.2</v>
      </c>
      <c r="M4452">
        <v>411003.6</v>
      </c>
      <c r="N4452">
        <v>285347.59999999998</v>
      </c>
    </row>
    <row r="4453" spans="1:14" x14ac:dyDescent="0.25">
      <c r="A4453" t="s">
        <v>25</v>
      </c>
      <c r="B4453" t="s">
        <v>242</v>
      </c>
      <c r="C4453" t="s">
        <v>59</v>
      </c>
      <c r="D4453" t="s">
        <v>17</v>
      </c>
      <c r="E4453" t="s">
        <v>18</v>
      </c>
      <c r="F4453" t="s">
        <v>902</v>
      </c>
      <c r="G4453">
        <v>284108436</v>
      </c>
      <c r="H4453" s="1">
        <v>41702</v>
      </c>
      <c r="I4453">
        <v>2854</v>
      </c>
      <c r="J4453">
        <v>437.2</v>
      </c>
      <c r="K4453">
        <v>263.33</v>
      </c>
      <c r="L4453">
        <v>1247768.8</v>
      </c>
      <c r="M4453">
        <v>751543.82</v>
      </c>
      <c r="N4453">
        <v>496224.98</v>
      </c>
    </row>
    <row r="4454" spans="1:14" x14ac:dyDescent="0.25">
      <c r="A4454" t="s">
        <v>51</v>
      </c>
      <c r="B4454" t="s">
        <v>258</v>
      </c>
      <c r="C4454" t="s">
        <v>31</v>
      </c>
      <c r="D4454" t="s">
        <v>22</v>
      </c>
      <c r="E4454" t="s">
        <v>23</v>
      </c>
      <c r="F4454" t="s">
        <v>1389</v>
      </c>
      <c r="G4454">
        <v>546565377</v>
      </c>
      <c r="H4454" s="1">
        <v>40550</v>
      </c>
      <c r="I4454">
        <v>9696</v>
      </c>
      <c r="J4454">
        <v>205.7</v>
      </c>
      <c r="K4454">
        <v>117.11</v>
      </c>
      <c r="L4454">
        <v>1994467.2</v>
      </c>
      <c r="M4454">
        <v>1135498.56</v>
      </c>
      <c r="N4454">
        <v>858968.64</v>
      </c>
    </row>
    <row r="4455" spans="1:14" x14ac:dyDescent="0.25">
      <c r="A4455" t="s">
        <v>51</v>
      </c>
      <c r="B4455" t="s">
        <v>305</v>
      </c>
      <c r="C4455" t="s">
        <v>55</v>
      </c>
      <c r="D4455" t="s">
        <v>17</v>
      </c>
      <c r="E4455" t="s">
        <v>45</v>
      </c>
      <c r="F4455" t="s">
        <v>162</v>
      </c>
      <c r="G4455">
        <v>562887370</v>
      </c>
      <c r="H4455" s="1">
        <v>40392</v>
      </c>
      <c r="I4455">
        <v>9736</v>
      </c>
      <c r="J4455">
        <v>651.21</v>
      </c>
      <c r="K4455">
        <v>524.96</v>
      </c>
      <c r="L4455">
        <v>6340180.5599999996</v>
      </c>
      <c r="M4455">
        <v>5111010.5599999996</v>
      </c>
      <c r="N4455">
        <v>1229170</v>
      </c>
    </row>
    <row r="4456" spans="1:14" x14ac:dyDescent="0.25">
      <c r="A4456" t="s">
        <v>51</v>
      </c>
      <c r="B4456" t="s">
        <v>164</v>
      </c>
      <c r="C4456" t="s">
        <v>21</v>
      </c>
      <c r="D4456" t="s">
        <v>17</v>
      </c>
      <c r="E4456" t="s">
        <v>32</v>
      </c>
      <c r="F4456" t="s">
        <v>1589</v>
      </c>
      <c r="G4456">
        <v>400310742</v>
      </c>
      <c r="H4456" t="s">
        <v>1833</v>
      </c>
      <c r="I4456">
        <v>9699</v>
      </c>
      <c r="J4456">
        <v>152.58000000000001</v>
      </c>
      <c r="K4456">
        <v>97.44</v>
      </c>
      <c r="L4456">
        <v>1479873.42</v>
      </c>
      <c r="M4456">
        <v>945070.56</v>
      </c>
      <c r="N4456">
        <v>534802.86</v>
      </c>
    </row>
    <row r="4457" spans="1:14" x14ac:dyDescent="0.25">
      <c r="A4457" t="s">
        <v>38</v>
      </c>
      <c r="B4457" t="s">
        <v>388</v>
      </c>
      <c r="C4457" t="s">
        <v>88</v>
      </c>
      <c r="D4457" t="s">
        <v>17</v>
      </c>
      <c r="E4457" t="s">
        <v>45</v>
      </c>
      <c r="F4457" t="s">
        <v>1804</v>
      </c>
      <c r="G4457">
        <v>196384322</v>
      </c>
      <c r="H4457" t="s">
        <v>1253</v>
      </c>
      <c r="I4457">
        <v>3340</v>
      </c>
      <c r="J4457">
        <v>9.33</v>
      </c>
      <c r="K4457">
        <v>6.92</v>
      </c>
      <c r="L4457">
        <v>31162.2</v>
      </c>
      <c r="M4457">
        <v>23112.799999999999</v>
      </c>
      <c r="N4457">
        <v>8049.4</v>
      </c>
    </row>
    <row r="4458" spans="1:14" x14ac:dyDescent="0.25">
      <c r="A4458" t="s">
        <v>38</v>
      </c>
      <c r="B4458" t="s">
        <v>346</v>
      </c>
      <c r="C4458" t="s">
        <v>113</v>
      </c>
      <c r="D4458" t="s">
        <v>22</v>
      </c>
      <c r="E4458" t="s">
        <v>23</v>
      </c>
      <c r="F4458" t="s">
        <v>1725</v>
      </c>
      <c r="G4458">
        <v>608969438</v>
      </c>
      <c r="H4458" t="s">
        <v>1678</v>
      </c>
      <c r="I4458">
        <v>6444</v>
      </c>
      <c r="J4458">
        <v>154.06</v>
      </c>
      <c r="K4458">
        <v>90.93</v>
      </c>
      <c r="L4458">
        <v>992762.64</v>
      </c>
      <c r="M4458">
        <v>585952.92000000004</v>
      </c>
      <c r="N4458">
        <v>406809.72</v>
      </c>
    </row>
    <row r="4459" spans="1:14" x14ac:dyDescent="0.25">
      <c r="A4459" t="s">
        <v>51</v>
      </c>
      <c r="B4459" t="s">
        <v>575</v>
      </c>
      <c r="C4459" t="s">
        <v>27</v>
      </c>
      <c r="D4459" t="s">
        <v>22</v>
      </c>
      <c r="E4459" t="s">
        <v>23</v>
      </c>
      <c r="F4459" s="1">
        <v>40821</v>
      </c>
      <c r="G4459">
        <v>566239917</v>
      </c>
      <c r="H4459" s="1">
        <v>40883</v>
      </c>
      <c r="I4459">
        <v>1829</v>
      </c>
      <c r="J4459">
        <v>47.45</v>
      </c>
      <c r="K4459">
        <v>31.79</v>
      </c>
      <c r="L4459">
        <v>86786.05</v>
      </c>
      <c r="M4459">
        <v>58143.91</v>
      </c>
      <c r="N4459">
        <v>28642.14</v>
      </c>
    </row>
    <row r="4460" spans="1:14" x14ac:dyDescent="0.25">
      <c r="A4460" t="s">
        <v>25</v>
      </c>
      <c r="B4460" t="s">
        <v>266</v>
      </c>
      <c r="C4460" t="s">
        <v>113</v>
      </c>
      <c r="D4460" t="s">
        <v>22</v>
      </c>
      <c r="E4460" t="s">
        <v>45</v>
      </c>
      <c r="F4460" s="1">
        <v>41036</v>
      </c>
      <c r="G4460">
        <v>416682088</v>
      </c>
      <c r="H4460" t="s">
        <v>929</v>
      </c>
      <c r="I4460">
        <v>4344</v>
      </c>
      <c r="J4460">
        <v>154.06</v>
      </c>
      <c r="K4460">
        <v>90.93</v>
      </c>
      <c r="L4460">
        <v>669236.64</v>
      </c>
      <c r="M4460">
        <v>394999.92</v>
      </c>
      <c r="N4460">
        <v>274236.71999999997</v>
      </c>
    </row>
    <row r="4461" spans="1:14" x14ac:dyDescent="0.25">
      <c r="A4461" t="s">
        <v>25</v>
      </c>
      <c r="B4461" t="s">
        <v>252</v>
      </c>
      <c r="C4461" t="s">
        <v>113</v>
      </c>
      <c r="D4461" t="s">
        <v>22</v>
      </c>
      <c r="E4461" t="s">
        <v>18</v>
      </c>
      <c r="F4461" s="1">
        <v>40402</v>
      </c>
      <c r="G4461">
        <v>579094779</v>
      </c>
      <c r="H4461" s="1">
        <v>40494</v>
      </c>
      <c r="I4461">
        <v>5869</v>
      </c>
      <c r="J4461">
        <v>154.06</v>
      </c>
      <c r="K4461">
        <v>90.93</v>
      </c>
      <c r="L4461">
        <v>904178.14</v>
      </c>
      <c r="M4461">
        <v>533668.17000000004</v>
      </c>
      <c r="N4461">
        <v>370509.97</v>
      </c>
    </row>
    <row r="4462" spans="1:14" x14ac:dyDescent="0.25">
      <c r="A4462" t="s">
        <v>25</v>
      </c>
      <c r="B4462" t="s">
        <v>26</v>
      </c>
      <c r="C4462" t="s">
        <v>88</v>
      </c>
      <c r="D4462" t="s">
        <v>17</v>
      </c>
      <c r="E4462" t="s">
        <v>18</v>
      </c>
      <c r="F4462" s="1">
        <v>40919</v>
      </c>
      <c r="G4462">
        <v>192589318</v>
      </c>
      <c r="H4462" t="s">
        <v>717</v>
      </c>
      <c r="I4462">
        <v>314</v>
      </c>
      <c r="J4462">
        <v>9.33</v>
      </c>
      <c r="K4462">
        <v>6.92</v>
      </c>
      <c r="L4462">
        <v>2929.62</v>
      </c>
      <c r="M4462">
        <v>2172.88</v>
      </c>
      <c r="N4462">
        <v>756.74</v>
      </c>
    </row>
    <row r="4463" spans="1:14" x14ac:dyDescent="0.25">
      <c r="A4463" t="s">
        <v>51</v>
      </c>
      <c r="B4463" t="s">
        <v>593</v>
      </c>
      <c r="C4463" t="s">
        <v>55</v>
      </c>
      <c r="D4463" t="s">
        <v>17</v>
      </c>
      <c r="E4463" t="s">
        <v>18</v>
      </c>
      <c r="F4463" s="1">
        <v>41945</v>
      </c>
      <c r="G4463">
        <v>266589534</v>
      </c>
      <c r="H4463" s="1">
        <v>41673</v>
      </c>
      <c r="I4463">
        <v>8622</v>
      </c>
      <c r="J4463">
        <v>651.21</v>
      </c>
      <c r="K4463">
        <v>524.96</v>
      </c>
      <c r="L4463">
        <v>5614732.6200000001</v>
      </c>
      <c r="M4463">
        <v>4526205.12</v>
      </c>
      <c r="N4463">
        <v>1088527.5</v>
      </c>
    </row>
    <row r="4464" spans="1:14" x14ac:dyDescent="0.25">
      <c r="A4464" t="s">
        <v>51</v>
      </c>
      <c r="B4464" t="s">
        <v>502</v>
      </c>
      <c r="C4464" t="s">
        <v>59</v>
      </c>
      <c r="D4464" t="s">
        <v>22</v>
      </c>
      <c r="E4464" t="s">
        <v>32</v>
      </c>
      <c r="F4464" t="s">
        <v>1834</v>
      </c>
      <c r="G4464">
        <v>530831754</v>
      </c>
      <c r="H4464" t="s">
        <v>428</v>
      </c>
      <c r="I4464">
        <v>3767</v>
      </c>
      <c r="J4464">
        <v>437.2</v>
      </c>
      <c r="K4464">
        <v>263.33</v>
      </c>
      <c r="L4464">
        <v>1646932.4</v>
      </c>
      <c r="M4464">
        <v>991964.11</v>
      </c>
      <c r="N4464">
        <v>654968.29</v>
      </c>
    </row>
    <row r="4465" spans="1:14" x14ac:dyDescent="0.25">
      <c r="A4465" t="s">
        <v>25</v>
      </c>
      <c r="B4465" t="s">
        <v>609</v>
      </c>
      <c r="C4465" t="s">
        <v>131</v>
      </c>
      <c r="D4465" t="s">
        <v>22</v>
      </c>
      <c r="E4465" t="s">
        <v>18</v>
      </c>
      <c r="F4465" s="1">
        <v>42340</v>
      </c>
      <c r="G4465">
        <v>785364806</v>
      </c>
      <c r="H4465" t="s">
        <v>1016</v>
      </c>
      <c r="I4465">
        <v>5754</v>
      </c>
      <c r="J4465">
        <v>668.27</v>
      </c>
      <c r="K4465">
        <v>502.54</v>
      </c>
      <c r="L4465">
        <v>3845225.58</v>
      </c>
      <c r="M4465">
        <v>2891615.16</v>
      </c>
      <c r="N4465">
        <v>953610.42</v>
      </c>
    </row>
    <row r="4466" spans="1:14" x14ac:dyDescent="0.25">
      <c r="A4466" t="s">
        <v>25</v>
      </c>
      <c r="B4466" t="s">
        <v>185</v>
      </c>
      <c r="C4466" t="s">
        <v>16</v>
      </c>
      <c r="D4466" t="s">
        <v>22</v>
      </c>
      <c r="E4466" t="s">
        <v>18</v>
      </c>
      <c r="F4466" t="s">
        <v>1219</v>
      </c>
      <c r="G4466">
        <v>450550019</v>
      </c>
      <c r="H4466" s="1">
        <v>40940</v>
      </c>
      <c r="I4466">
        <v>6618</v>
      </c>
      <c r="J4466">
        <v>255.28</v>
      </c>
      <c r="K4466">
        <v>159.41999999999999</v>
      </c>
      <c r="L4466">
        <v>1689443.04</v>
      </c>
      <c r="M4466">
        <v>1055041.56</v>
      </c>
      <c r="N4466">
        <v>634401.48</v>
      </c>
    </row>
    <row r="4467" spans="1:14" x14ac:dyDescent="0.25">
      <c r="A4467" t="s">
        <v>25</v>
      </c>
      <c r="B4467" t="s">
        <v>74</v>
      </c>
      <c r="C4467" t="s">
        <v>113</v>
      </c>
      <c r="D4467" t="s">
        <v>22</v>
      </c>
      <c r="E4467" t="s">
        <v>23</v>
      </c>
      <c r="F4467" t="s">
        <v>880</v>
      </c>
      <c r="G4467">
        <v>817061221</v>
      </c>
      <c r="H4467" t="s">
        <v>478</v>
      </c>
      <c r="I4467">
        <v>5427</v>
      </c>
      <c r="J4467">
        <v>154.06</v>
      </c>
      <c r="K4467">
        <v>90.93</v>
      </c>
      <c r="L4467">
        <v>836083.62</v>
      </c>
      <c r="M4467">
        <v>493477.11</v>
      </c>
      <c r="N4467">
        <v>342606.51</v>
      </c>
    </row>
    <row r="4468" spans="1:14" x14ac:dyDescent="0.25">
      <c r="A4468" t="s">
        <v>14</v>
      </c>
      <c r="B4468" t="s">
        <v>488</v>
      </c>
      <c r="C4468" t="s">
        <v>55</v>
      </c>
      <c r="D4468" t="s">
        <v>17</v>
      </c>
      <c r="E4468" t="s">
        <v>45</v>
      </c>
      <c r="F4468" t="s">
        <v>1187</v>
      </c>
      <c r="G4468">
        <v>995884740</v>
      </c>
      <c r="H4468" t="s">
        <v>971</v>
      </c>
      <c r="I4468">
        <v>3280</v>
      </c>
      <c r="J4468">
        <v>651.21</v>
      </c>
      <c r="K4468">
        <v>524.96</v>
      </c>
      <c r="L4468">
        <v>2135968.7999999998</v>
      </c>
      <c r="M4468">
        <v>1721868.8</v>
      </c>
      <c r="N4468">
        <v>414100</v>
      </c>
    </row>
    <row r="4469" spans="1:14" x14ac:dyDescent="0.25">
      <c r="A4469" t="s">
        <v>25</v>
      </c>
      <c r="B4469" t="s">
        <v>569</v>
      </c>
      <c r="C4469" t="s">
        <v>55</v>
      </c>
      <c r="D4469" t="s">
        <v>17</v>
      </c>
      <c r="E4469" t="s">
        <v>45</v>
      </c>
      <c r="F4469" t="s">
        <v>1492</v>
      </c>
      <c r="G4469">
        <v>168319404</v>
      </c>
      <c r="H4469" s="1">
        <v>41185</v>
      </c>
      <c r="I4469">
        <v>8307</v>
      </c>
      <c r="J4469">
        <v>651.21</v>
      </c>
      <c r="K4469">
        <v>524.96</v>
      </c>
      <c r="L4469">
        <v>5409601.4699999997</v>
      </c>
      <c r="M4469">
        <v>4360842.72</v>
      </c>
      <c r="N4469">
        <v>1048758.75</v>
      </c>
    </row>
    <row r="4470" spans="1:14" x14ac:dyDescent="0.25">
      <c r="A4470" t="s">
        <v>29</v>
      </c>
      <c r="B4470" t="s">
        <v>121</v>
      </c>
      <c r="C4470" t="s">
        <v>27</v>
      </c>
      <c r="D4470" t="s">
        <v>22</v>
      </c>
      <c r="E4470" t="s">
        <v>45</v>
      </c>
      <c r="F4470" t="s">
        <v>1442</v>
      </c>
      <c r="G4470">
        <v>735976541</v>
      </c>
      <c r="H4470" t="s">
        <v>1027</v>
      </c>
      <c r="I4470">
        <v>668</v>
      </c>
      <c r="J4470">
        <v>47.45</v>
      </c>
      <c r="K4470">
        <v>31.79</v>
      </c>
      <c r="L4470">
        <v>31696.6</v>
      </c>
      <c r="M4470">
        <v>21235.72</v>
      </c>
      <c r="N4470">
        <v>10460.879999999999</v>
      </c>
    </row>
    <row r="4471" spans="1:14" x14ac:dyDescent="0.25">
      <c r="A4471" t="s">
        <v>51</v>
      </c>
      <c r="B4471" t="s">
        <v>100</v>
      </c>
      <c r="C4471" t="s">
        <v>44</v>
      </c>
      <c r="D4471" t="s">
        <v>22</v>
      </c>
      <c r="E4471" t="s">
        <v>23</v>
      </c>
      <c r="F4471" t="s">
        <v>635</v>
      </c>
      <c r="G4471">
        <v>670779979</v>
      </c>
      <c r="H4471" s="1">
        <v>41526</v>
      </c>
      <c r="I4471">
        <v>7557</v>
      </c>
      <c r="J4471">
        <v>109.28</v>
      </c>
      <c r="K4471">
        <v>35.840000000000003</v>
      </c>
      <c r="L4471">
        <v>825828.96</v>
      </c>
      <c r="M4471">
        <v>270842.88</v>
      </c>
      <c r="N4471">
        <v>554986.07999999996</v>
      </c>
    </row>
    <row r="4472" spans="1:14" x14ac:dyDescent="0.25">
      <c r="A4472" t="s">
        <v>42</v>
      </c>
      <c r="B4472" t="s">
        <v>146</v>
      </c>
      <c r="C4472" t="s">
        <v>55</v>
      </c>
      <c r="D4472" t="s">
        <v>17</v>
      </c>
      <c r="E4472" t="s">
        <v>23</v>
      </c>
      <c r="F4472" s="1">
        <v>42461</v>
      </c>
      <c r="G4472">
        <v>264966046</v>
      </c>
      <c r="H4472" s="1">
        <v>42492</v>
      </c>
      <c r="I4472">
        <v>8196</v>
      </c>
      <c r="J4472">
        <v>651.21</v>
      </c>
      <c r="K4472">
        <v>524.96</v>
      </c>
      <c r="L4472">
        <v>5337317.16</v>
      </c>
      <c r="M4472">
        <v>4302572.16</v>
      </c>
      <c r="N4472">
        <v>1034745</v>
      </c>
    </row>
    <row r="4473" spans="1:14" x14ac:dyDescent="0.25">
      <c r="A4473" t="s">
        <v>25</v>
      </c>
      <c r="B4473" t="s">
        <v>556</v>
      </c>
      <c r="C4473" t="s">
        <v>44</v>
      </c>
      <c r="D4473" t="s">
        <v>17</v>
      </c>
      <c r="E4473" t="s">
        <v>23</v>
      </c>
      <c r="F4473" s="1">
        <v>42619</v>
      </c>
      <c r="G4473">
        <v>781083571</v>
      </c>
      <c r="H4473" t="s">
        <v>444</v>
      </c>
      <c r="I4473">
        <v>8841</v>
      </c>
      <c r="J4473">
        <v>109.28</v>
      </c>
      <c r="K4473">
        <v>35.840000000000003</v>
      </c>
      <c r="L4473">
        <v>966144.48</v>
      </c>
      <c r="M4473">
        <v>316861.44</v>
      </c>
      <c r="N4473">
        <v>649283.04</v>
      </c>
    </row>
    <row r="4474" spans="1:14" x14ac:dyDescent="0.25">
      <c r="A4474" t="s">
        <v>25</v>
      </c>
      <c r="B4474" t="s">
        <v>196</v>
      </c>
      <c r="C4474" t="s">
        <v>31</v>
      </c>
      <c r="D4474" t="s">
        <v>22</v>
      </c>
      <c r="E4474" t="s">
        <v>18</v>
      </c>
      <c r="F4474" t="s">
        <v>1088</v>
      </c>
      <c r="G4474">
        <v>401993882</v>
      </c>
      <c r="H4474" s="1">
        <v>40851</v>
      </c>
      <c r="I4474">
        <v>7778</v>
      </c>
      <c r="J4474">
        <v>205.7</v>
      </c>
      <c r="K4474">
        <v>117.11</v>
      </c>
      <c r="L4474">
        <v>1599934.6</v>
      </c>
      <c r="M4474">
        <v>910881.58</v>
      </c>
      <c r="N4474">
        <v>689053.02</v>
      </c>
    </row>
    <row r="4475" spans="1:14" x14ac:dyDescent="0.25">
      <c r="A4475" t="s">
        <v>14</v>
      </c>
      <c r="B4475" t="s">
        <v>383</v>
      </c>
      <c r="C4475" t="s">
        <v>21</v>
      </c>
      <c r="D4475" t="s">
        <v>22</v>
      </c>
      <c r="E4475" t="s">
        <v>32</v>
      </c>
      <c r="F4475" s="1">
        <v>42559</v>
      </c>
      <c r="G4475">
        <v>980870807</v>
      </c>
      <c r="H4475" s="1">
        <v>42622</v>
      </c>
      <c r="I4475">
        <v>324</v>
      </c>
      <c r="J4475">
        <v>152.58000000000001</v>
      </c>
      <c r="K4475">
        <v>97.44</v>
      </c>
      <c r="L4475">
        <v>49435.92</v>
      </c>
      <c r="M4475">
        <v>31570.560000000001</v>
      </c>
      <c r="N4475">
        <v>17865.36</v>
      </c>
    </row>
    <row r="4476" spans="1:14" x14ac:dyDescent="0.25">
      <c r="A4476" t="s">
        <v>25</v>
      </c>
      <c r="B4476" t="s">
        <v>418</v>
      </c>
      <c r="C4476" t="s">
        <v>55</v>
      </c>
      <c r="D4476" t="s">
        <v>17</v>
      </c>
      <c r="E4476" t="s">
        <v>32</v>
      </c>
      <c r="F4476" t="s">
        <v>207</v>
      </c>
      <c r="G4476">
        <v>391200673</v>
      </c>
      <c r="H4476" t="s">
        <v>1417</v>
      </c>
      <c r="I4476">
        <v>3827</v>
      </c>
      <c r="J4476">
        <v>651.21</v>
      </c>
      <c r="K4476">
        <v>524.96</v>
      </c>
      <c r="L4476">
        <v>2492180.67</v>
      </c>
      <c r="M4476">
        <v>2009021.92</v>
      </c>
      <c r="N4476">
        <v>483158.75</v>
      </c>
    </row>
    <row r="4477" spans="1:14" x14ac:dyDescent="0.25">
      <c r="A4477" t="s">
        <v>38</v>
      </c>
      <c r="B4477" t="s">
        <v>177</v>
      </c>
      <c r="C4477" t="s">
        <v>16</v>
      </c>
      <c r="D4477" t="s">
        <v>22</v>
      </c>
      <c r="E4477" t="s">
        <v>45</v>
      </c>
      <c r="F4477" s="1">
        <v>40911</v>
      </c>
      <c r="G4477">
        <v>176782310</v>
      </c>
      <c r="H4477" t="s">
        <v>135</v>
      </c>
      <c r="I4477">
        <v>2669</v>
      </c>
      <c r="J4477">
        <v>255.28</v>
      </c>
      <c r="K4477">
        <v>159.41999999999999</v>
      </c>
      <c r="L4477">
        <v>681342.32</v>
      </c>
      <c r="M4477">
        <v>425491.98</v>
      </c>
      <c r="N4477">
        <v>255850.34</v>
      </c>
    </row>
    <row r="4478" spans="1:14" x14ac:dyDescent="0.25">
      <c r="A4478" t="s">
        <v>38</v>
      </c>
      <c r="B4478" t="s">
        <v>156</v>
      </c>
      <c r="C4478" t="s">
        <v>21</v>
      </c>
      <c r="D4478" t="s">
        <v>22</v>
      </c>
      <c r="E4478" t="s">
        <v>18</v>
      </c>
      <c r="F4478" t="s">
        <v>1113</v>
      </c>
      <c r="G4478">
        <v>601727044</v>
      </c>
      <c r="H4478" t="s">
        <v>331</v>
      </c>
      <c r="I4478">
        <v>3259</v>
      </c>
      <c r="J4478">
        <v>152.58000000000001</v>
      </c>
      <c r="K4478">
        <v>97.44</v>
      </c>
      <c r="L4478">
        <v>497258.22</v>
      </c>
      <c r="M4478">
        <v>317556.96000000002</v>
      </c>
      <c r="N4478">
        <v>179701.26</v>
      </c>
    </row>
    <row r="4479" spans="1:14" x14ac:dyDescent="0.25">
      <c r="A4479" t="s">
        <v>29</v>
      </c>
      <c r="B4479" t="s">
        <v>199</v>
      </c>
      <c r="C4479" t="s">
        <v>16</v>
      </c>
      <c r="D4479" t="s">
        <v>17</v>
      </c>
      <c r="E4479" t="s">
        <v>18</v>
      </c>
      <c r="F4479" s="1">
        <v>40490</v>
      </c>
      <c r="G4479">
        <v>200458705</v>
      </c>
      <c r="H4479" t="s">
        <v>1708</v>
      </c>
      <c r="I4479">
        <v>9040</v>
      </c>
      <c r="J4479">
        <v>255.28</v>
      </c>
      <c r="K4479">
        <v>159.41999999999999</v>
      </c>
      <c r="L4479">
        <v>2307731.2000000002</v>
      </c>
      <c r="M4479">
        <v>1441156.8</v>
      </c>
      <c r="N4479">
        <v>866574.4</v>
      </c>
    </row>
    <row r="4480" spans="1:14" x14ac:dyDescent="0.25">
      <c r="A4480" t="s">
        <v>38</v>
      </c>
      <c r="B4480" t="s">
        <v>58</v>
      </c>
      <c r="C4480" t="s">
        <v>55</v>
      </c>
      <c r="D4480" t="s">
        <v>22</v>
      </c>
      <c r="E4480" t="s">
        <v>23</v>
      </c>
      <c r="F4480" s="1">
        <v>41458</v>
      </c>
      <c r="G4480">
        <v>727713620</v>
      </c>
      <c r="H4480" t="s">
        <v>1835</v>
      </c>
      <c r="I4480">
        <v>5486</v>
      </c>
      <c r="J4480">
        <v>651.21</v>
      </c>
      <c r="K4480">
        <v>524.96</v>
      </c>
      <c r="L4480">
        <v>3572538.06</v>
      </c>
      <c r="M4480">
        <v>2879930.56</v>
      </c>
      <c r="N4480">
        <v>692607.5</v>
      </c>
    </row>
    <row r="4481" spans="1:14" x14ac:dyDescent="0.25">
      <c r="A4481" t="s">
        <v>25</v>
      </c>
      <c r="B4481" t="s">
        <v>142</v>
      </c>
      <c r="C4481" t="s">
        <v>113</v>
      </c>
      <c r="D4481" t="s">
        <v>22</v>
      </c>
      <c r="E4481" t="s">
        <v>18</v>
      </c>
      <c r="F4481" t="s">
        <v>1378</v>
      </c>
      <c r="G4481">
        <v>408540618</v>
      </c>
      <c r="H4481" t="s">
        <v>1188</v>
      </c>
      <c r="I4481">
        <v>5102</v>
      </c>
      <c r="J4481">
        <v>154.06</v>
      </c>
      <c r="K4481">
        <v>90.93</v>
      </c>
      <c r="L4481">
        <v>786014.12</v>
      </c>
      <c r="M4481">
        <v>463924.86</v>
      </c>
      <c r="N4481">
        <v>322089.26</v>
      </c>
    </row>
    <row r="4482" spans="1:14" x14ac:dyDescent="0.25">
      <c r="A4482" t="s">
        <v>14</v>
      </c>
      <c r="B4482" t="s">
        <v>226</v>
      </c>
      <c r="C4482" t="s">
        <v>88</v>
      </c>
      <c r="D4482" t="s">
        <v>17</v>
      </c>
      <c r="E4482" t="s">
        <v>45</v>
      </c>
      <c r="F4482" s="1">
        <v>42768</v>
      </c>
      <c r="G4482">
        <v>688301026</v>
      </c>
      <c r="H4482" s="1">
        <v>42738</v>
      </c>
      <c r="I4482">
        <v>2424</v>
      </c>
      <c r="J4482">
        <v>9.33</v>
      </c>
      <c r="K4482">
        <v>6.92</v>
      </c>
      <c r="L4482">
        <v>22615.919999999998</v>
      </c>
      <c r="M4482">
        <v>16774.080000000002</v>
      </c>
      <c r="N4482">
        <v>5841.84</v>
      </c>
    </row>
    <row r="4483" spans="1:14" x14ac:dyDescent="0.25">
      <c r="A4483" t="s">
        <v>51</v>
      </c>
      <c r="B4483" t="s">
        <v>575</v>
      </c>
      <c r="C4483" t="s">
        <v>88</v>
      </c>
      <c r="D4483" t="s">
        <v>17</v>
      </c>
      <c r="E4483" t="s">
        <v>32</v>
      </c>
      <c r="F4483" t="s">
        <v>833</v>
      </c>
      <c r="G4483">
        <v>382668673</v>
      </c>
      <c r="H4483" s="1">
        <v>40271</v>
      </c>
      <c r="I4483">
        <v>9019</v>
      </c>
      <c r="J4483">
        <v>9.33</v>
      </c>
      <c r="K4483">
        <v>6.92</v>
      </c>
      <c r="L4483">
        <v>84147.27</v>
      </c>
      <c r="M4483">
        <v>62411.48</v>
      </c>
      <c r="N4483">
        <v>21735.79</v>
      </c>
    </row>
    <row r="4484" spans="1:14" x14ac:dyDescent="0.25">
      <c r="A4484" t="s">
        <v>42</v>
      </c>
      <c r="B4484" t="s">
        <v>476</v>
      </c>
      <c r="C4484" t="s">
        <v>27</v>
      </c>
      <c r="D4484" t="s">
        <v>22</v>
      </c>
      <c r="E4484" t="s">
        <v>45</v>
      </c>
      <c r="F4484" t="s">
        <v>249</v>
      </c>
      <c r="G4484">
        <v>627629888</v>
      </c>
      <c r="H4484" t="s">
        <v>1794</v>
      </c>
      <c r="I4484">
        <v>8486</v>
      </c>
      <c r="J4484">
        <v>47.45</v>
      </c>
      <c r="K4484">
        <v>31.79</v>
      </c>
      <c r="L4484">
        <v>402660.7</v>
      </c>
      <c r="M4484">
        <v>269769.94</v>
      </c>
      <c r="N4484">
        <v>132890.76</v>
      </c>
    </row>
    <row r="4485" spans="1:14" x14ac:dyDescent="0.25">
      <c r="A4485" t="s">
        <v>14</v>
      </c>
      <c r="B4485" t="s">
        <v>372</v>
      </c>
      <c r="C4485" t="s">
        <v>27</v>
      </c>
      <c r="D4485" t="s">
        <v>17</v>
      </c>
      <c r="E4485" t="s">
        <v>18</v>
      </c>
      <c r="F4485" t="s">
        <v>1343</v>
      </c>
      <c r="G4485">
        <v>829483497</v>
      </c>
      <c r="H4485" t="s">
        <v>1836</v>
      </c>
      <c r="I4485">
        <v>1454</v>
      </c>
      <c r="J4485">
        <v>47.45</v>
      </c>
      <c r="K4485">
        <v>31.79</v>
      </c>
      <c r="L4485">
        <v>68992.3</v>
      </c>
      <c r="M4485">
        <v>46222.66</v>
      </c>
      <c r="N4485">
        <v>22769.64</v>
      </c>
    </row>
    <row r="4486" spans="1:14" x14ac:dyDescent="0.25">
      <c r="A4486" t="s">
        <v>29</v>
      </c>
      <c r="B4486" t="s">
        <v>121</v>
      </c>
      <c r="C4486" t="s">
        <v>44</v>
      </c>
      <c r="D4486" t="s">
        <v>22</v>
      </c>
      <c r="E4486" t="s">
        <v>18</v>
      </c>
      <c r="F4486" t="s">
        <v>892</v>
      </c>
      <c r="G4486">
        <v>914840829</v>
      </c>
      <c r="H4486" t="s">
        <v>1399</v>
      </c>
      <c r="I4486">
        <v>586</v>
      </c>
      <c r="J4486">
        <v>109.28</v>
      </c>
      <c r="K4486">
        <v>35.840000000000003</v>
      </c>
      <c r="L4486">
        <v>64038.080000000002</v>
      </c>
      <c r="M4486">
        <v>21002.240000000002</v>
      </c>
      <c r="N4486">
        <v>43035.839999999997</v>
      </c>
    </row>
    <row r="4487" spans="1:14" x14ac:dyDescent="0.25">
      <c r="A4487" t="s">
        <v>42</v>
      </c>
      <c r="B4487" t="s">
        <v>290</v>
      </c>
      <c r="C4487" t="s">
        <v>16</v>
      </c>
      <c r="D4487" t="s">
        <v>17</v>
      </c>
      <c r="E4487" t="s">
        <v>45</v>
      </c>
      <c r="F4487" s="1">
        <v>41826</v>
      </c>
      <c r="G4487">
        <v>880625712</v>
      </c>
      <c r="H4487" t="s">
        <v>954</v>
      </c>
      <c r="I4487">
        <v>5573</v>
      </c>
      <c r="J4487">
        <v>255.28</v>
      </c>
      <c r="K4487">
        <v>159.41999999999999</v>
      </c>
      <c r="L4487">
        <v>1422675.44</v>
      </c>
      <c r="M4487">
        <v>888447.66</v>
      </c>
      <c r="N4487">
        <v>534227.78</v>
      </c>
    </row>
    <row r="4488" spans="1:14" x14ac:dyDescent="0.25">
      <c r="A4488" t="s">
        <v>42</v>
      </c>
      <c r="B4488" t="s">
        <v>174</v>
      </c>
      <c r="C4488" t="s">
        <v>27</v>
      </c>
      <c r="D4488" t="s">
        <v>22</v>
      </c>
      <c r="E4488" t="s">
        <v>32</v>
      </c>
      <c r="F4488" t="s">
        <v>1065</v>
      </c>
      <c r="G4488">
        <v>344074475</v>
      </c>
      <c r="H4488" t="s">
        <v>1065</v>
      </c>
      <c r="I4488">
        <v>8138</v>
      </c>
      <c r="J4488">
        <v>47.45</v>
      </c>
      <c r="K4488">
        <v>31.79</v>
      </c>
      <c r="L4488">
        <v>386148.1</v>
      </c>
      <c r="M4488">
        <v>258707.02</v>
      </c>
      <c r="N4488">
        <v>127441.08</v>
      </c>
    </row>
    <row r="4489" spans="1:14" x14ac:dyDescent="0.25">
      <c r="A4489" t="s">
        <v>29</v>
      </c>
      <c r="B4489" t="s">
        <v>393</v>
      </c>
      <c r="C4489" t="s">
        <v>16</v>
      </c>
      <c r="D4489" t="s">
        <v>17</v>
      </c>
      <c r="E4489" t="s">
        <v>45</v>
      </c>
      <c r="F4489" s="1">
        <v>42436</v>
      </c>
      <c r="G4489">
        <v>792735946</v>
      </c>
      <c r="H4489" s="1">
        <v>42467</v>
      </c>
      <c r="I4489">
        <v>7038</v>
      </c>
      <c r="J4489">
        <v>255.28</v>
      </c>
      <c r="K4489">
        <v>159.41999999999999</v>
      </c>
      <c r="L4489">
        <v>1796660.64</v>
      </c>
      <c r="M4489">
        <v>1121997.96</v>
      </c>
      <c r="N4489">
        <v>674662.68</v>
      </c>
    </row>
    <row r="4490" spans="1:14" x14ac:dyDescent="0.25">
      <c r="A4490" t="s">
        <v>29</v>
      </c>
      <c r="B4490" t="s">
        <v>619</v>
      </c>
      <c r="C4490" t="s">
        <v>113</v>
      </c>
      <c r="D4490" t="s">
        <v>17</v>
      </c>
      <c r="E4490" t="s">
        <v>32</v>
      </c>
      <c r="F4490" s="1">
        <v>42495</v>
      </c>
      <c r="G4490">
        <v>634471452</v>
      </c>
      <c r="H4490" t="s">
        <v>1355</v>
      </c>
      <c r="I4490">
        <v>3057</v>
      </c>
      <c r="J4490">
        <v>154.06</v>
      </c>
      <c r="K4490">
        <v>90.93</v>
      </c>
      <c r="L4490">
        <v>470961.42</v>
      </c>
      <c r="M4490">
        <v>277973.01</v>
      </c>
      <c r="N4490">
        <v>192988.41</v>
      </c>
    </row>
    <row r="4491" spans="1:14" x14ac:dyDescent="0.25">
      <c r="A4491" t="s">
        <v>38</v>
      </c>
      <c r="B4491" t="s">
        <v>388</v>
      </c>
      <c r="C4491" t="s">
        <v>88</v>
      </c>
      <c r="D4491" t="s">
        <v>22</v>
      </c>
      <c r="E4491" t="s">
        <v>18</v>
      </c>
      <c r="F4491" s="1">
        <v>42039</v>
      </c>
      <c r="G4491">
        <v>147454822</v>
      </c>
      <c r="H4491" t="s">
        <v>1152</v>
      </c>
      <c r="I4491">
        <v>4013</v>
      </c>
      <c r="J4491">
        <v>9.33</v>
      </c>
      <c r="K4491">
        <v>6.92</v>
      </c>
      <c r="L4491">
        <v>37441.29</v>
      </c>
      <c r="M4491">
        <v>27769.96</v>
      </c>
      <c r="N4491">
        <v>9671.33</v>
      </c>
    </row>
    <row r="4492" spans="1:14" x14ac:dyDescent="0.25">
      <c r="A4492" t="s">
        <v>51</v>
      </c>
      <c r="B4492" t="s">
        <v>223</v>
      </c>
      <c r="C4492" t="s">
        <v>44</v>
      </c>
      <c r="D4492" t="s">
        <v>17</v>
      </c>
      <c r="E4492" t="s">
        <v>32</v>
      </c>
      <c r="F4492" t="s">
        <v>1749</v>
      </c>
      <c r="G4492">
        <v>130172383</v>
      </c>
      <c r="H4492" t="s">
        <v>1749</v>
      </c>
      <c r="I4492">
        <v>9756</v>
      </c>
      <c r="J4492">
        <v>109.28</v>
      </c>
      <c r="K4492">
        <v>35.840000000000003</v>
      </c>
      <c r="L4492">
        <v>1066135.68</v>
      </c>
      <c r="M4492">
        <v>349655.03999999998</v>
      </c>
      <c r="N4492">
        <v>716480.64</v>
      </c>
    </row>
    <row r="4493" spans="1:14" x14ac:dyDescent="0.25">
      <c r="A4493" t="s">
        <v>29</v>
      </c>
      <c r="B4493" t="s">
        <v>199</v>
      </c>
      <c r="C4493" t="s">
        <v>21</v>
      </c>
      <c r="D4493" t="s">
        <v>22</v>
      </c>
      <c r="E4493" t="s">
        <v>45</v>
      </c>
      <c r="F4493" s="1">
        <v>42494</v>
      </c>
      <c r="G4493">
        <v>551422965</v>
      </c>
      <c r="H4493" t="s">
        <v>1420</v>
      </c>
      <c r="I4493">
        <v>7164</v>
      </c>
      <c r="J4493">
        <v>152.58000000000001</v>
      </c>
      <c r="K4493">
        <v>97.44</v>
      </c>
      <c r="L4493">
        <v>1093083.1200000001</v>
      </c>
      <c r="M4493">
        <v>698060.16</v>
      </c>
      <c r="N4493">
        <v>395022.96</v>
      </c>
    </row>
    <row r="4494" spans="1:14" x14ac:dyDescent="0.25">
      <c r="A4494" t="s">
        <v>51</v>
      </c>
      <c r="B4494" t="s">
        <v>350</v>
      </c>
      <c r="C4494" t="s">
        <v>55</v>
      </c>
      <c r="D4494" t="s">
        <v>22</v>
      </c>
      <c r="E4494" t="s">
        <v>32</v>
      </c>
      <c r="F4494" t="s">
        <v>620</v>
      </c>
      <c r="G4494">
        <v>100317895</v>
      </c>
      <c r="H4494" t="s">
        <v>1554</v>
      </c>
      <c r="I4494">
        <v>5149</v>
      </c>
      <c r="J4494">
        <v>651.21</v>
      </c>
      <c r="K4494">
        <v>524.96</v>
      </c>
      <c r="L4494">
        <v>3353080.29</v>
      </c>
      <c r="M4494">
        <v>2703019.04</v>
      </c>
      <c r="N4494">
        <v>650061.25</v>
      </c>
    </row>
    <row r="4495" spans="1:14" x14ac:dyDescent="0.25">
      <c r="A4495" t="s">
        <v>51</v>
      </c>
      <c r="B4495" t="s">
        <v>414</v>
      </c>
      <c r="C4495" t="s">
        <v>55</v>
      </c>
      <c r="D4495" t="s">
        <v>22</v>
      </c>
      <c r="E4495" t="s">
        <v>18</v>
      </c>
      <c r="F4495" t="s">
        <v>1424</v>
      </c>
      <c r="G4495">
        <v>236281001</v>
      </c>
      <c r="H4495" t="s">
        <v>526</v>
      </c>
      <c r="I4495">
        <v>9654</v>
      </c>
      <c r="J4495">
        <v>651.21</v>
      </c>
      <c r="K4495">
        <v>524.96</v>
      </c>
      <c r="L4495">
        <v>6286781.3399999999</v>
      </c>
      <c r="M4495">
        <v>5067963.84</v>
      </c>
      <c r="N4495">
        <v>1218817.5</v>
      </c>
    </row>
    <row r="4496" spans="1:14" x14ac:dyDescent="0.25">
      <c r="A4496" t="s">
        <v>25</v>
      </c>
      <c r="B4496" t="s">
        <v>142</v>
      </c>
      <c r="C4496" t="s">
        <v>40</v>
      </c>
      <c r="D4496" t="s">
        <v>17</v>
      </c>
      <c r="E4496" t="s">
        <v>32</v>
      </c>
      <c r="F4496" t="s">
        <v>1490</v>
      </c>
      <c r="G4496">
        <v>239048612</v>
      </c>
      <c r="H4496" t="s">
        <v>1369</v>
      </c>
      <c r="I4496">
        <v>8651</v>
      </c>
      <c r="J4496">
        <v>81.73</v>
      </c>
      <c r="K4496">
        <v>56.67</v>
      </c>
      <c r="L4496">
        <v>707046.23</v>
      </c>
      <c r="M4496">
        <v>490252.17</v>
      </c>
      <c r="N4496">
        <v>216794.06</v>
      </c>
    </row>
    <row r="4497" spans="1:14" x14ac:dyDescent="0.25">
      <c r="A4497" t="s">
        <v>38</v>
      </c>
      <c r="B4497" t="s">
        <v>346</v>
      </c>
      <c r="C4497" t="s">
        <v>131</v>
      </c>
      <c r="D4497" t="s">
        <v>17</v>
      </c>
      <c r="E4497" t="s">
        <v>23</v>
      </c>
      <c r="F4497" t="s">
        <v>1837</v>
      </c>
      <c r="G4497">
        <v>358669555</v>
      </c>
      <c r="H4497" s="1">
        <v>40610</v>
      </c>
      <c r="I4497">
        <v>7147</v>
      </c>
      <c r="J4497">
        <v>668.27</v>
      </c>
      <c r="K4497">
        <v>502.54</v>
      </c>
      <c r="L4497">
        <v>4776125.6900000004</v>
      </c>
      <c r="M4497">
        <v>3591653.38</v>
      </c>
      <c r="N4497">
        <v>1184472.31</v>
      </c>
    </row>
    <row r="4498" spans="1:14" x14ac:dyDescent="0.25">
      <c r="A4498" t="s">
        <v>42</v>
      </c>
      <c r="B4498" t="s">
        <v>565</v>
      </c>
      <c r="C4498" t="s">
        <v>31</v>
      </c>
      <c r="D4498" t="s">
        <v>17</v>
      </c>
      <c r="E4498" t="s">
        <v>18</v>
      </c>
      <c r="F4498" t="s">
        <v>468</v>
      </c>
      <c r="G4498">
        <v>465505158</v>
      </c>
      <c r="H4498" s="1">
        <v>40310</v>
      </c>
      <c r="I4498">
        <v>2176</v>
      </c>
      <c r="J4498">
        <v>205.7</v>
      </c>
      <c r="K4498">
        <v>117.11</v>
      </c>
      <c r="L4498">
        <v>447603.20000000001</v>
      </c>
      <c r="M4498">
        <v>254831.35999999999</v>
      </c>
      <c r="N4498">
        <v>192771.84</v>
      </c>
    </row>
    <row r="4499" spans="1:14" x14ac:dyDescent="0.25">
      <c r="A4499" t="s">
        <v>29</v>
      </c>
      <c r="B4499" t="s">
        <v>440</v>
      </c>
      <c r="C4499" t="s">
        <v>131</v>
      </c>
      <c r="D4499" t="s">
        <v>17</v>
      </c>
      <c r="E4499" t="s">
        <v>32</v>
      </c>
      <c r="F4499" t="s">
        <v>948</v>
      </c>
      <c r="G4499">
        <v>500229251</v>
      </c>
      <c r="H4499" t="s">
        <v>1568</v>
      </c>
      <c r="I4499">
        <v>7806</v>
      </c>
      <c r="J4499">
        <v>668.27</v>
      </c>
      <c r="K4499">
        <v>502.54</v>
      </c>
      <c r="L4499">
        <v>5216515.62</v>
      </c>
      <c r="M4499">
        <v>3922827.24</v>
      </c>
      <c r="N4499">
        <v>1293688.3799999999</v>
      </c>
    </row>
    <row r="4500" spans="1:14" x14ac:dyDescent="0.25">
      <c r="A4500" t="s">
        <v>51</v>
      </c>
      <c r="B4500" t="s">
        <v>100</v>
      </c>
      <c r="C4500" t="s">
        <v>131</v>
      </c>
      <c r="D4500" t="s">
        <v>22</v>
      </c>
      <c r="E4500" t="s">
        <v>45</v>
      </c>
      <c r="F4500" t="s">
        <v>1480</v>
      </c>
      <c r="G4500">
        <v>923828160</v>
      </c>
      <c r="H4500" s="1">
        <v>42800</v>
      </c>
      <c r="I4500">
        <v>137</v>
      </c>
      <c r="J4500">
        <v>668.27</v>
      </c>
      <c r="K4500">
        <v>502.54</v>
      </c>
      <c r="L4500">
        <v>91552.99</v>
      </c>
      <c r="M4500">
        <v>68847.98</v>
      </c>
      <c r="N4500">
        <v>22705.01</v>
      </c>
    </row>
    <row r="4501" spans="1:14" x14ac:dyDescent="0.25">
      <c r="A4501" t="s">
        <v>51</v>
      </c>
      <c r="B4501" t="s">
        <v>350</v>
      </c>
      <c r="C4501" t="s">
        <v>40</v>
      </c>
      <c r="D4501" t="s">
        <v>17</v>
      </c>
      <c r="E4501" t="s">
        <v>32</v>
      </c>
      <c r="F4501" t="s">
        <v>1551</v>
      </c>
      <c r="G4501">
        <v>467600715</v>
      </c>
      <c r="H4501" t="s">
        <v>1368</v>
      </c>
      <c r="I4501">
        <v>2297</v>
      </c>
      <c r="J4501">
        <v>81.73</v>
      </c>
      <c r="K4501">
        <v>56.67</v>
      </c>
      <c r="L4501">
        <v>187733.81</v>
      </c>
      <c r="M4501">
        <v>130170.99</v>
      </c>
      <c r="N4501">
        <v>57562.82</v>
      </c>
    </row>
    <row r="4502" spans="1:14" x14ac:dyDescent="0.25">
      <c r="A4502" t="s">
        <v>51</v>
      </c>
      <c r="B4502" t="s">
        <v>276</v>
      </c>
      <c r="C4502" t="s">
        <v>131</v>
      </c>
      <c r="D4502" t="s">
        <v>22</v>
      </c>
      <c r="E4502" t="s">
        <v>45</v>
      </c>
      <c r="F4502" t="s">
        <v>1726</v>
      </c>
      <c r="G4502">
        <v>183158242</v>
      </c>
      <c r="H4502" s="1">
        <v>41094</v>
      </c>
      <c r="I4502">
        <v>9449</v>
      </c>
      <c r="J4502">
        <v>668.27</v>
      </c>
      <c r="K4502">
        <v>502.54</v>
      </c>
      <c r="L4502">
        <v>6314483.2300000004</v>
      </c>
      <c r="M4502">
        <v>4748500.46</v>
      </c>
      <c r="N4502">
        <v>1565982.77</v>
      </c>
    </row>
    <row r="4503" spans="1:14" x14ac:dyDescent="0.25">
      <c r="A4503" t="s">
        <v>25</v>
      </c>
      <c r="B4503" t="s">
        <v>603</v>
      </c>
      <c r="C4503" t="s">
        <v>59</v>
      </c>
      <c r="D4503" t="s">
        <v>22</v>
      </c>
      <c r="E4503" t="s">
        <v>23</v>
      </c>
      <c r="F4503" t="s">
        <v>572</v>
      </c>
      <c r="G4503">
        <v>292424571</v>
      </c>
      <c r="H4503" s="1">
        <v>41035</v>
      </c>
      <c r="I4503">
        <v>3784</v>
      </c>
      <c r="J4503">
        <v>437.2</v>
      </c>
      <c r="K4503">
        <v>263.33</v>
      </c>
      <c r="L4503">
        <v>1654364.8</v>
      </c>
      <c r="M4503">
        <v>996440.72</v>
      </c>
      <c r="N4503">
        <v>657924.07999999996</v>
      </c>
    </row>
    <row r="4504" spans="1:14" x14ac:dyDescent="0.25">
      <c r="A4504" t="s">
        <v>42</v>
      </c>
      <c r="B4504" t="s">
        <v>630</v>
      </c>
      <c r="C4504" t="s">
        <v>59</v>
      </c>
      <c r="D4504" t="s">
        <v>17</v>
      </c>
      <c r="E4504" t="s">
        <v>45</v>
      </c>
      <c r="F4504" t="s">
        <v>368</v>
      </c>
      <c r="G4504">
        <v>637636029</v>
      </c>
      <c r="H4504" t="s">
        <v>1684</v>
      </c>
      <c r="I4504">
        <v>9526</v>
      </c>
      <c r="J4504">
        <v>437.2</v>
      </c>
      <c r="K4504">
        <v>263.33</v>
      </c>
      <c r="L4504">
        <v>4164767.2</v>
      </c>
      <c r="M4504">
        <v>2508481.58</v>
      </c>
      <c r="N4504">
        <v>1656285.62</v>
      </c>
    </row>
    <row r="4505" spans="1:14" x14ac:dyDescent="0.25">
      <c r="A4505" t="s">
        <v>25</v>
      </c>
      <c r="B4505" t="s">
        <v>47</v>
      </c>
      <c r="C4505" t="s">
        <v>27</v>
      </c>
      <c r="D4505" t="s">
        <v>17</v>
      </c>
      <c r="E4505" t="s">
        <v>18</v>
      </c>
      <c r="F4505" t="s">
        <v>1315</v>
      </c>
      <c r="G4505">
        <v>231341445</v>
      </c>
      <c r="H4505" s="1">
        <v>42195</v>
      </c>
      <c r="I4505">
        <v>7929</v>
      </c>
      <c r="J4505">
        <v>47.45</v>
      </c>
      <c r="K4505">
        <v>31.79</v>
      </c>
      <c r="L4505">
        <v>376231.05</v>
      </c>
      <c r="M4505">
        <v>252062.91</v>
      </c>
      <c r="N4505">
        <v>124168.14</v>
      </c>
    </row>
    <row r="4506" spans="1:14" x14ac:dyDescent="0.25">
      <c r="A4506" t="s">
        <v>51</v>
      </c>
      <c r="B4506" t="s">
        <v>877</v>
      </c>
      <c r="C4506" t="s">
        <v>88</v>
      </c>
      <c r="D4506" t="s">
        <v>17</v>
      </c>
      <c r="E4506" t="s">
        <v>23</v>
      </c>
      <c r="F4506" t="s">
        <v>478</v>
      </c>
      <c r="G4506">
        <v>406402146</v>
      </c>
      <c r="H4506" t="s">
        <v>277</v>
      </c>
      <c r="I4506">
        <v>2281</v>
      </c>
      <c r="J4506">
        <v>9.33</v>
      </c>
      <c r="K4506">
        <v>6.92</v>
      </c>
      <c r="L4506">
        <v>21281.73</v>
      </c>
      <c r="M4506">
        <v>15784.52</v>
      </c>
      <c r="N4506">
        <v>5497.21</v>
      </c>
    </row>
    <row r="4507" spans="1:14" x14ac:dyDescent="0.25">
      <c r="A4507" t="s">
        <v>14</v>
      </c>
      <c r="B4507" t="s">
        <v>627</v>
      </c>
      <c r="C4507" t="s">
        <v>59</v>
      </c>
      <c r="D4507" t="s">
        <v>22</v>
      </c>
      <c r="E4507" t="s">
        <v>23</v>
      </c>
      <c r="F4507" t="s">
        <v>484</v>
      </c>
      <c r="G4507">
        <v>765991961</v>
      </c>
      <c r="H4507" t="s">
        <v>1132</v>
      </c>
      <c r="I4507">
        <v>2898</v>
      </c>
      <c r="J4507">
        <v>437.2</v>
      </c>
      <c r="K4507">
        <v>263.33</v>
      </c>
      <c r="L4507">
        <v>1267005.6000000001</v>
      </c>
      <c r="M4507">
        <v>763130.34</v>
      </c>
      <c r="N4507">
        <v>503875.26</v>
      </c>
    </row>
    <row r="4508" spans="1:14" x14ac:dyDescent="0.25">
      <c r="A4508" t="s">
        <v>25</v>
      </c>
      <c r="B4508" t="s">
        <v>211</v>
      </c>
      <c r="C4508" t="s">
        <v>55</v>
      </c>
      <c r="D4508" t="s">
        <v>17</v>
      </c>
      <c r="E4508" t="s">
        <v>18</v>
      </c>
      <c r="F4508" s="1">
        <v>41519</v>
      </c>
      <c r="G4508">
        <v>533597218</v>
      </c>
      <c r="H4508" t="s">
        <v>1143</v>
      </c>
      <c r="I4508">
        <v>2130</v>
      </c>
      <c r="J4508">
        <v>651.21</v>
      </c>
      <c r="K4508">
        <v>524.96</v>
      </c>
      <c r="L4508">
        <v>1387077.3</v>
      </c>
      <c r="M4508">
        <v>1118164.8</v>
      </c>
      <c r="N4508">
        <v>268912.5</v>
      </c>
    </row>
    <row r="4509" spans="1:14" x14ac:dyDescent="0.25">
      <c r="A4509" t="s">
        <v>29</v>
      </c>
      <c r="B4509" t="s">
        <v>61</v>
      </c>
      <c r="C4509" t="s">
        <v>27</v>
      </c>
      <c r="D4509" t="s">
        <v>22</v>
      </c>
      <c r="E4509" t="s">
        <v>45</v>
      </c>
      <c r="F4509" t="s">
        <v>460</v>
      </c>
      <c r="G4509">
        <v>803016746</v>
      </c>
      <c r="H4509" t="s">
        <v>539</v>
      </c>
      <c r="I4509">
        <v>9355</v>
      </c>
      <c r="J4509">
        <v>47.45</v>
      </c>
      <c r="K4509">
        <v>31.79</v>
      </c>
      <c r="L4509">
        <v>443894.75</v>
      </c>
      <c r="M4509">
        <v>297395.45</v>
      </c>
      <c r="N4509">
        <v>146499.29999999999</v>
      </c>
    </row>
    <row r="4510" spans="1:14" x14ac:dyDescent="0.25">
      <c r="A4510" t="s">
        <v>29</v>
      </c>
      <c r="B4510" t="s">
        <v>137</v>
      </c>
      <c r="C4510" t="s">
        <v>31</v>
      </c>
      <c r="D4510" t="s">
        <v>22</v>
      </c>
      <c r="E4510" t="s">
        <v>18</v>
      </c>
      <c r="F4510" s="1">
        <v>40611</v>
      </c>
      <c r="G4510">
        <v>488361871</v>
      </c>
      <c r="H4510" t="s">
        <v>735</v>
      </c>
      <c r="I4510">
        <v>5985</v>
      </c>
      <c r="J4510">
        <v>205.7</v>
      </c>
      <c r="K4510">
        <v>117.11</v>
      </c>
      <c r="L4510">
        <v>1231114.5</v>
      </c>
      <c r="M4510">
        <v>700903.35</v>
      </c>
      <c r="N4510">
        <v>530211.15</v>
      </c>
    </row>
    <row r="4511" spans="1:14" x14ac:dyDescent="0.25">
      <c r="A4511" t="s">
        <v>51</v>
      </c>
      <c r="B4511" t="s">
        <v>128</v>
      </c>
      <c r="C4511" t="s">
        <v>21</v>
      </c>
      <c r="D4511" t="s">
        <v>22</v>
      </c>
      <c r="E4511" t="s">
        <v>45</v>
      </c>
      <c r="F4511" t="s">
        <v>685</v>
      </c>
      <c r="G4511">
        <v>374056422</v>
      </c>
      <c r="H4511" s="1">
        <v>40334</v>
      </c>
      <c r="I4511">
        <v>463</v>
      </c>
      <c r="J4511">
        <v>152.58000000000001</v>
      </c>
      <c r="K4511">
        <v>97.44</v>
      </c>
      <c r="L4511">
        <v>70644.539999999994</v>
      </c>
      <c r="M4511">
        <v>45114.720000000001</v>
      </c>
      <c r="N4511">
        <v>25529.82</v>
      </c>
    </row>
    <row r="4512" spans="1:14" x14ac:dyDescent="0.25">
      <c r="A4512" t="s">
        <v>51</v>
      </c>
      <c r="B4512" t="s">
        <v>223</v>
      </c>
      <c r="C4512" t="s">
        <v>69</v>
      </c>
      <c r="D4512" t="s">
        <v>22</v>
      </c>
      <c r="E4512" t="s">
        <v>45</v>
      </c>
      <c r="F4512" s="1">
        <v>41733</v>
      </c>
      <c r="G4512">
        <v>864836728</v>
      </c>
      <c r="H4512" s="1">
        <v>41917</v>
      </c>
      <c r="I4512">
        <v>3261</v>
      </c>
      <c r="J4512">
        <v>421.89</v>
      </c>
      <c r="K4512">
        <v>364.69</v>
      </c>
      <c r="L4512">
        <v>1375783.29</v>
      </c>
      <c r="M4512">
        <v>1189254.0900000001</v>
      </c>
      <c r="N4512">
        <v>186529.2</v>
      </c>
    </row>
    <row r="4513" spans="1:14" x14ac:dyDescent="0.25">
      <c r="A4513" t="s">
        <v>77</v>
      </c>
      <c r="B4513" t="s">
        <v>794</v>
      </c>
      <c r="C4513" t="s">
        <v>131</v>
      </c>
      <c r="D4513" t="s">
        <v>22</v>
      </c>
      <c r="E4513" t="s">
        <v>45</v>
      </c>
      <c r="F4513" t="s">
        <v>1267</v>
      </c>
      <c r="G4513">
        <v>635751616</v>
      </c>
      <c r="H4513" t="s">
        <v>235</v>
      </c>
      <c r="I4513">
        <v>1886</v>
      </c>
      <c r="J4513">
        <v>668.27</v>
      </c>
      <c r="K4513">
        <v>502.54</v>
      </c>
      <c r="L4513">
        <v>1260357.22</v>
      </c>
      <c r="M4513">
        <v>947790.44</v>
      </c>
      <c r="N4513">
        <v>312566.78000000003</v>
      </c>
    </row>
    <row r="4514" spans="1:14" x14ac:dyDescent="0.25">
      <c r="A4514" t="s">
        <v>25</v>
      </c>
      <c r="B4514" t="s">
        <v>752</v>
      </c>
      <c r="C4514" t="s">
        <v>69</v>
      </c>
      <c r="D4514" t="s">
        <v>22</v>
      </c>
      <c r="E4514" t="s">
        <v>23</v>
      </c>
      <c r="F4514" t="s">
        <v>855</v>
      </c>
      <c r="G4514">
        <v>682162415</v>
      </c>
      <c r="H4514" t="s">
        <v>1196</v>
      </c>
      <c r="I4514">
        <v>5873</v>
      </c>
      <c r="J4514">
        <v>421.89</v>
      </c>
      <c r="K4514">
        <v>364.69</v>
      </c>
      <c r="L4514">
        <v>2477759.9700000002</v>
      </c>
      <c r="M4514">
        <v>2141824.37</v>
      </c>
      <c r="N4514">
        <v>335935.6</v>
      </c>
    </row>
    <row r="4515" spans="1:14" x14ac:dyDescent="0.25">
      <c r="A4515" t="s">
        <v>29</v>
      </c>
      <c r="B4515" t="s">
        <v>137</v>
      </c>
      <c r="C4515" t="s">
        <v>69</v>
      </c>
      <c r="D4515" t="s">
        <v>17</v>
      </c>
      <c r="E4515" t="s">
        <v>18</v>
      </c>
      <c r="F4515" s="1">
        <v>41277</v>
      </c>
      <c r="G4515">
        <v>269742953</v>
      </c>
      <c r="H4515" t="s">
        <v>1198</v>
      </c>
      <c r="I4515">
        <v>1789</v>
      </c>
      <c r="J4515">
        <v>421.89</v>
      </c>
      <c r="K4515">
        <v>364.69</v>
      </c>
      <c r="L4515">
        <v>754761.21</v>
      </c>
      <c r="M4515">
        <v>652430.41</v>
      </c>
      <c r="N4515">
        <v>102330.8</v>
      </c>
    </row>
    <row r="4516" spans="1:14" x14ac:dyDescent="0.25">
      <c r="A4516" t="s">
        <v>29</v>
      </c>
      <c r="B4516" t="s">
        <v>467</v>
      </c>
      <c r="C4516" t="s">
        <v>44</v>
      </c>
      <c r="D4516" t="s">
        <v>17</v>
      </c>
      <c r="E4516" t="s">
        <v>18</v>
      </c>
      <c r="F4516" s="1">
        <v>41822</v>
      </c>
      <c r="G4516">
        <v>984479558</v>
      </c>
      <c r="H4516" s="1">
        <v>41975</v>
      </c>
      <c r="I4516">
        <v>8233</v>
      </c>
      <c r="J4516">
        <v>109.28</v>
      </c>
      <c r="K4516">
        <v>35.840000000000003</v>
      </c>
      <c r="L4516">
        <v>899702.24</v>
      </c>
      <c r="M4516">
        <v>295070.71999999997</v>
      </c>
      <c r="N4516">
        <v>604631.52</v>
      </c>
    </row>
    <row r="4517" spans="1:14" x14ac:dyDescent="0.25">
      <c r="A4517" t="s">
        <v>29</v>
      </c>
      <c r="B4517" t="s">
        <v>199</v>
      </c>
      <c r="C4517" t="s">
        <v>69</v>
      </c>
      <c r="D4517" t="s">
        <v>17</v>
      </c>
      <c r="E4517" t="s">
        <v>45</v>
      </c>
      <c r="F4517" t="s">
        <v>1838</v>
      </c>
      <c r="G4517">
        <v>882671058</v>
      </c>
      <c r="H4517" t="s">
        <v>817</v>
      </c>
      <c r="I4517">
        <v>836</v>
      </c>
      <c r="J4517">
        <v>421.89</v>
      </c>
      <c r="K4517">
        <v>364.69</v>
      </c>
      <c r="L4517">
        <v>352700.04</v>
      </c>
      <c r="M4517">
        <v>304880.84000000003</v>
      </c>
      <c r="N4517">
        <v>47819.199999999997</v>
      </c>
    </row>
    <row r="4518" spans="1:14" x14ac:dyDescent="0.25">
      <c r="A4518" t="s">
        <v>29</v>
      </c>
      <c r="B4518" t="s">
        <v>494</v>
      </c>
      <c r="C4518" t="s">
        <v>131</v>
      </c>
      <c r="D4518" t="s">
        <v>17</v>
      </c>
      <c r="E4518" t="s">
        <v>45</v>
      </c>
      <c r="F4518" t="s">
        <v>1012</v>
      </c>
      <c r="G4518">
        <v>340928781</v>
      </c>
      <c r="H4518" s="1">
        <v>42248</v>
      </c>
      <c r="I4518">
        <v>7257</v>
      </c>
      <c r="J4518">
        <v>668.27</v>
      </c>
      <c r="K4518">
        <v>502.54</v>
      </c>
      <c r="L4518">
        <v>4849635.3899999997</v>
      </c>
      <c r="M4518">
        <v>3646932.78</v>
      </c>
      <c r="N4518">
        <v>1202702.6100000001</v>
      </c>
    </row>
    <row r="4519" spans="1:14" x14ac:dyDescent="0.25">
      <c r="A4519" t="s">
        <v>25</v>
      </c>
      <c r="B4519" t="s">
        <v>533</v>
      </c>
      <c r="C4519" t="s">
        <v>113</v>
      </c>
      <c r="D4519" t="s">
        <v>22</v>
      </c>
      <c r="E4519" t="s">
        <v>23</v>
      </c>
      <c r="F4519" t="s">
        <v>1170</v>
      </c>
      <c r="G4519">
        <v>706176555</v>
      </c>
      <c r="H4519" t="s">
        <v>1669</v>
      </c>
      <c r="I4519">
        <v>2190</v>
      </c>
      <c r="J4519">
        <v>154.06</v>
      </c>
      <c r="K4519">
        <v>90.93</v>
      </c>
      <c r="L4519">
        <v>337391.4</v>
      </c>
      <c r="M4519">
        <v>199136.7</v>
      </c>
      <c r="N4519">
        <v>138254.70000000001</v>
      </c>
    </row>
    <row r="4520" spans="1:14" x14ac:dyDescent="0.25">
      <c r="A4520" t="s">
        <v>51</v>
      </c>
      <c r="B4520" t="s">
        <v>169</v>
      </c>
      <c r="C4520" t="s">
        <v>113</v>
      </c>
      <c r="D4520" t="s">
        <v>22</v>
      </c>
      <c r="E4520" t="s">
        <v>45</v>
      </c>
      <c r="F4520" s="1">
        <v>40828</v>
      </c>
      <c r="G4520">
        <v>245650708</v>
      </c>
      <c r="H4520" s="1">
        <v>41153</v>
      </c>
      <c r="I4520">
        <v>2358</v>
      </c>
      <c r="J4520">
        <v>154.06</v>
      </c>
      <c r="K4520">
        <v>90.93</v>
      </c>
      <c r="L4520">
        <v>363273.48</v>
      </c>
      <c r="M4520">
        <v>214412.94</v>
      </c>
      <c r="N4520">
        <v>148860.54</v>
      </c>
    </row>
    <row r="4521" spans="1:14" x14ac:dyDescent="0.25">
      <c r="A4521" t="s">
        <v>38</v>
      </c>
      <c r="B4521" t="s">
        <v>85</v>
      </c>
      <c r="C4521" t="s">
        <v>40</v>
      </c>
      <c r="D4521" t="s">
        <v>17</v>
      </c>
      <c r="E4521" t="s">
        <v>45</v>
      </c>
      <c r="F4521" t="s">
        <v>1453</v>
      </c>
      <c r="G4521">
        <v>896900069</v>
      </c>
      <c r="H4521" s="1">
        <v>41620</v>
      </c>
      <c r="I4521">
        <v>1516</v>
      </c>
      <c r="J4521">
        <v>81.73</v>
      </c>
      <c r="K4521">
        <v>56.67</v>
      </c>
      <c r="L4521">
        <v>123902.68</v>
      </c>
      <c r="M4521">
        <v>85911.72</v>
      </c>
      <c r="N4521">
        <v>37990.959999999999</v>
      </c>
    </row>
    <row r="4522" spans="1:14" x14ac:dyDescent="0.25">
      <c r="A4522" t="s">
        <v>77</v>
      </c>
      <c r="B4522" t="s">
        <v>320</v>
      </c>
      <c r="C4522" t="s">
        <v>131</v>
      </c>
      <c r="D4522" t="s">
        <v>17</v>
      </c>
      <c r="E4522" t="s">
        <v>32</v>
      </c>
      <c r="F4522" t="s">
        <v>1676</v>
      </c>
      <c r="G4522">
        <v>617785966</v>
      </c>
      <c r="H4522" s="1">
        <v>42129</v>
      </c>
      <c r="I4522">
        <v>5451</v>
      </c>
      <c r="J4522">
        <v>668.27</v>
      </c>
      <c r="K4522">
        <v>502.54</v>
      </c>
      <c r="L4522">
        <v>3642739.77</v>
      </c>
      <c r="M4522">
        <v>2739345.54</v>
      </c>
      <c r="N4522">
        <v>903394.23</v>
      </c>
    </row>
    <row r="4523" spans="1:14" x14ac:dyDescent="0.25">
      <c r="A4523" t="s">
        <v>51</v>
      </c>
      <c r="B4523" t="s">
        <v>164</v>
      </c>
      <c r="C4523" t="s">
        <v>69</v>
      </c>
      <c r="D4523" t="s">
        <v>22</v>
      </c>
      <c r="E4523" t="s">
        <v>32</v>
      </c>
      <c r="F4523" t="s">
        <v>1838</v>
      </c>
      <c r="G4523">
        <v>136482226</v>
      </c>
      <c r="H4523" t="s">
        <v>876</v>
      </c>
      <c r="I4523">
        <v>6979</v>
      </c>
      <c r="J4523">
        <v>421.89</v>
      </c>
      <c r="K4523">
        <v>364.69</v>
      </c>
      <c r="L4523">
        <v>2944370.31</v>
      </c>
      <c r="M4523">
        <v>2545171.5099999998</v>
      </c>
      <c r="N4523">
        <v>399198.8</v>
      </c>
    </row>
    <row r="4524" spans="1:14" x14ac:dyDescent="0.25">
      <c r="A4524" t="s">
        <v>51</v>
      </c>
      <c r="B4524" t="s">
        <v>223</v>
      </c>
      <c r="C4524" t="s">
        <v>55</v>
      </c>
      <c r="D4524" t="s">
        <v>17</v>
      </c>
      <c r="E4524" t="s">
        <v>18</v>
      </c>
      <c r="F4524" t="s">
        <v>512</v>
      </c>
      <c r="G4524">
        <v>701475179</v>
      </c>
      <c r="H4524" s="1">
        <v>41768</v>
      </c>
      <c r="I4524">
        <v>949</v>
      </c>
      <c r="J4524">
        <v>651.21</v>
      </c>
      <c r="K4524">
        <v>524.96</v>
      </c>
      <c r="L4524">
        <v>617998.29</v>
      </c>
      <c r="M4524">
        <v>498187.04</v>
      </c>
      <c r="N4524">
        <v>119811.25</v>
      </c>
    </row>
    <row r="4525" spans="1:14" x14ac:dyDescent="0.25">
      <c r="A4525" t="s">
        <v>29</v>
      </c>
      <c r="B4525" t="s">
        <v>485</v>
      </c>
      <c r="C4525" t="s">
        <v>31</v>
      </c>
      <c r="D4525" t="s">
        <v>22</v>
      </c>
      <c r="E4525" t="s">
        <v>32</v>
      </c>
      <c r="F4525" s="1">
        <v>40303</v>
      </c>
      <c r="G4525">
        <v>931563651</v>
      </c>
      <c r="H4525" t="s">
        <v>1416</v>
      </c>
      <c r="I4525">
        <v>9241</v>
      </c>
      <c r="J4525">
        <v>205.7</v>
      </c>
      <c r="K4525">
        <v>117.11</v>
      </c>
      <c r="L4525">
        <v>1900873.7</v>
      </c>
      <c r="M4525">
        <v>1082213.51</v>
      </c>
      <c r="N4525">
        <v>818660.19</v>
      </c>
    </row>
    <row r="4526" spans="1:14" x14ac:dyDescent="0.25">
      <c r="A4526" t="s">
        <v>29</v>
      </c>
      <c r="B4526" t="s">
        <v>585</v>
      </c>
      <c r="C4526" t="s">
        <v>27</v>
      </c>
      <c r="D4526" t="s">
        <v>17</v>
      </c>
      <c r="E4526" t="s">
        <v>18</v>
      </c>
      <c r="F4526" t="s">
        <v>1420</v>
      </c>
      <c r="G4526">
        <v>865858972</v>
      </c>
      <c r="H4526" t="s">
        <v>1073</v>
      </c>
      <c r="I4526">
        <v>5766</v>
      </c>
      <c r="J4526">
        <v>47.45</v>
      </c>
      <c r="K4526">
        <v>31.79</v>
      </c>
      <c r="L4526">
        <v>273596.7</v>
      </c>
      <c r="M4526">
        <v>183301.14</v>
      </c>
      <c r="N4526">
        <v>90295.56</v>
      </c>
    </row>
    <row r="4527" spans="1:14" x14ac:dyDescent="0.25">
      <c r="A4527" t="s">
        <v>42</v>
      </c>
      <c r="B4527" t="s">
        <v>107</v>
      </c>
      <c r="C4527" t="s">
        <v>88</v>
      </c>
      <c r="D4527" t="s">
        <v>22</v>
      </c>
      <c r="E4527" t="s">
        <v>18</v>
      </c>
      <c r="F4527" t="s">
        <v>1752</v>
      </c>
      <c r="G4527">
        <v>613784968</v>
      </c>
      <c r="H4527" t="s">
        <v>1473</v>
      </c>
      <c r="I4527">
        <v>1467</v>
      </c>
      <c r="J4527">
        <v>9.33</v>
      </c>
      <c r="K4527">
        <v>6.92</v>
      </c>
      <c r="L4527">
        <v>13687.11</v>
      </c>
      <c r="M4527">
        <v>10151.64</v>
      </c>
      <c r="N4527">
        <v>3535.47</v>
      </c>
    </row>
    <row r="4528" spans="1:14" x14ac:dyDescent="0.25">
      <c r="A4528" t="s">
        <v>51</v>
      </c>
      <c r="B4528" t="s">
        <v>350</v>
      </c>
      <c r="C4528" t="s">
        <v>88</v>
      </c>
      <c r="D4528" t="s">
        <v>17</v>
      </c>
      <c r="E4528" t="s">
        <v>45</v>
      </c>
      <c r="F4528" t="s">
        <v>257</v>
      </c>
      <c r="G4528">
        <v>805077970</v>
      </c>
      <c r="H4528" t="s">
        <v>1406</v>
      </c>
      <c r="I4528">
        <v>9317</v>
      </c>
      <c r="J4528">
        <v>9.33</v>
      </c>
      <c r="K4528">
        <v>6.92</v>
      </c>
      <c r="L4528">
        <v>86927.61</v>
      </c>
      <c r="M4528">
        <v>64473.64</v>
      </c>
      <c r="N4528">
        <v>22453.97</v>
      </c>
    </row>
    <row r="4529" spans="1:14" x14ac:dyDescent="0.25">
      <c r="A4529" t="s">
        <v>25</v>
      </c>
      <c r="B4529" t="s">
        <v>112</v>
      </c>
      <c r="C4529" t="s">
        <v>55</v>
      </c>
      <c r="D4529" t="s">
        <v>22</v>
      </c>
      <c r="E4529" t="s">
        <v>45</v>
      </c>
      <c r="F4529" t="s">
        <v>999</v>
      </c>
      <c r="G4529">
        <v>339786803</v>
      </c>
      <c r="H4529" t="s">
        <v>1281</v>
      </c>
      <c r="I4529">
        <v>9321</v>
      </c>
      <c r="J4529">
        <v>651.21</v>
      </c>
      <c r="K4529">
        <v>524.96</v>
      </c>
      <c r="L4529">
        <v>6069928.4100000001</v>
      </c>
      <c r="M4529">
        <v>4893152.16</v>
      </c>
      <c r="N4529">
        <v>1176776.25</v>
      </c>
    </row>
    <row r="4530" spans="1:14" x14ac:dyDescent="0.25">
      <c r="A4530" t="s">
        <v>38</v>
      </c>
      <c r="B4530" t="s">
        <v>190</v>
      </c>
      <c r="C4530" t="s">
        <v>69</v>
      </c>
      <c r="D4530" t="s">
        <v>17</v>
      </c>
      <c r="E4530" t="s">
        <v>23</v>
      </c>
      <c r="F4530" t="s">
        <v>1796</v>
      </c>
      <c r="G4530">
        <v>438272798</v>
      </c>
      <c r="H4530" t="s">
        <v>669</v>
      </c>
      <c r="I4530">
        <v>3515</v>
      </c>
      <c r="J4530">
        <v>421.89</v>
      </c>
      <c r="K4530">
        <v>364.69</v>
      </c>
      <c r="L4530">
        <v>1482943.35</v>
      </c>
      <c r="M4530">
        <v>1281885.3500000001</v>
      </c>
      <c r="N4530">
        <v>201058</v>
      </c>
    </row>
    <row r="4531" spans="1:14" x14ac:dyDescent="0.25">
      <c r="A4531" t="s">
        <v>29</v>
      </c>
      <c r="B4531" t="s">
        <v>467</v>
      </c>
      <c r="C4531" t="s">
        <v>21</v>
      </c>
      <c r="D4531" t="s">
        <v>17</v>
      </c>
      <c r="E4531" t="s">
        <v>18</v>
      </c>
      <c r="F4531" t="s">
        <v>856</v>
      </c>
      <c r="G4531">
        <v>591209781</v>
      </c>
      <c r="H4531" s="1">
        <v>42433</v>
      </c>
      <c r="I4531">
        <v>967</v>
      </c>
      <c r="J4531">
        <v>152.58000000000001</v>
      </c>
      <c r="K4531">
        <v>97.44</v>
      </c>
      <c r="L4531">
        <v>147544.85999999999</v>
      </c>
      <c r="M4531">
        <v>94224.48</v>
      </c>
      <c r="N4531">
        <v>53320.38</v>
      </c>
    </row>
    <row r="4532" spans="1:14" x14ac:dyDescent="0.25">
      <c r="A4532" t="s">
        <v>51</v>
      </c>
      <c r="B4532" t="s">
        <v>417</v>
      </c>
      <c r="C4532" t="s">
        <v>59</v>
      </c>
      <c r="D4532" t="s">
        <v>17</v>
      </c>
      <c r="E4532" t="s">
        <v>32</v>
      </c>
      <c r="F4532" s="1">
        <v>42408</v>
      </c>
      <c r="G4532">
        <v>809584081</v>
      </c>
      <c r="H4532" t="s">
        <v>330</v>
      </c>
      <c r="I4532">
        <v>2775</v>
      </c>
      <c r="J4532">
        <v>437.2</v>
      </c>
      <c r="K4532">
        <v>263.33</v>
      </c>
      <c r="L4532">
        <v>1213230</v>
      </c>
      <c r="M4532">
        <v>730740.75</v>
      </c>
      <c r="N4532">
        <v>482489.25</v>
      </c>
    </row>
    <row r="4533" spans="1:14" x14ac:dyDescent="0.25">
      <c r="A4533" t="s">
        <v>25</v>
      </c>
      <c r="B4533" t="s">
        <v>242</v>
      </c>
      <c r="C4533" t="s">
        <v>40</v>
      </c>
      <c r="D4533" t="s">
        <v>22</v>
      </c>
      <c r="E4533" t="s">
        <v>23</v>
      </c>
      <c r="F4533" t="s">
        <v>1286</v>
      </c>
      <c r="G4533">
        <v>274694526</v>
      </c>
      <c r="H4533" s="1">
        <v>43044</v>
      </c>
      <c r="I4533">
        <v>7069</v>
      </c>
      <c r="J4533">
        <v>81.73</v>
      </c>
      <c r="K4533">
        <v>56.67</v>
      </c>
      <c r="L4533">
        <v>577749.37</v>
      </c>
      <c r="M4533">
        <v>400600.23</v>
      </c>
      <c r="N4533">
        <v>177149.14</v>
      </c>
    </row>
    <row r="4534" spans="1:14" x14ac:dyDescent="0.25">
      <c r="A4534" t="s">
        <v>38</v>
      </c>
      <c r="B4534" t="s">
        <v>58</v>
      </c>
      <c r="C4534" t="s">
        <v>131</v>
      </c>
      <c r="D4534" t="s">
        <v>17</v>
      </c>
      <c r="E4534" t="s">
        <v>32</v>
      </c>
      <c r="F4534" t="s">
        <v>1640</v>
      </c>
      <c r="G4534">
        <v>488152444</v>
      </c>
      <c r="H4534" t="s">
        <v>1640</v>
      </c>
      <c r="I4534">
        <v>4011</v>
      </c>
      <c r="J4534">
        <v>668.27</v>
      </c>
      <c r="K4534">
        <v>502.54</v>
      </c>
      <c r="L4534">
        <v>2680430.9700000002</v>
      </c>
      <c r="M4534">
        <v>2015687.94</v>
      </c>
      <c r="N4534">
        <v>664743.03</v>
      </c>
    </row>
    <row r="4535" spans="1:14" x14ac:dyDescent="0.25">
      <c r="A4535" t="s">
        <v>77</v>
      </c>
      <c r="B4535" t="s">
        <v>320</v>
      </c>
      <c r="C4535" t="s">
        <v>55</v>
      </c>
      <c r="D4535" t="s">
        <v>22</v>
      </c>
      <c r="E4535" t="s">
        <v>32</v>
      </c>
      <c r="F4535" t="s">
        <v>1734</v>
      </c>
      <c r="G4535">
        <v>321881663</v>
      </c>
      <c r="H4535" t="s">
        <v>1318</v>
      </c>
      <c r="I4535">
        <v>792</v>
      </c>
      <c r="J4535">
        <v>651.21</v>
      </c>
      <c r="K4535">
        <v>524.96</v>
      </c>
      <c r="L4535">
        <v>515758.32</v>
      </c>
      <c r="M4535">
        <v>415768.32000000001</v>
      </c>
      <c r="N4535">
        <v>99990</v>
      </c>
    </row>
    <row r="4536" spans="1:14" x14ac:dyDescent="0.25">
      <c r="A4536" t="s">
        <v>51</v>
      </c>
      <c r="B4536" t="s">
        <v>52</v>
      </c>
      <c r="C4536" t="s">
        <v>88</v>
      </c>
      <c r="D4536" t="s">
        <v>22</v>
      </c>
      <c r="E4536" t="s">
        <v>32</v>
      </c>
      <c r="F4536" s="1">
        <v>41796</v>
      </c>
      <c r="G4536">
        <v>968118512</v>
      </c>
      <c r="H4536" t="s">
        <v>1531</v>
      </c>
      <c r="I4536">
        <v>6636</v>
      </c>
      <c r="J4536">
        <v>9.33</v>
      </c>
      <c r="K4536">
        <v>6.92</v>
      </c>
      <c r="L4536">
        <v>61913.88</v>
      </c>
      <c r="M4536">
        <v>45921.120000000003</v>
      </c>
      <c r="N4536">
        <v>15992.76</v>
      </c>
    </row>
    <row r="4537" spans="1:14" x14ac:dyDescent="0.25">
      <c r="A4537" t="s">
        <v>14</v>
      </c>
      <c r="B4537" t="s">
        <v>213</v>
      </c>
      <c r="C4537" t="s">
        <v>21</v>
      </c>
      <c r="D4537" t="s">
        <v>22</v>
      </c>
      <c r="E4537" t="s">
        <v>23</v>
      </c>
      <c r="F4537" t="s">
        <v>1568</v>
      </c>
      <c r="G4537">
        <v>989411818</v>
      </c>
      <c r="H4537" t="s">
        <v>1387</v>
      </c>
      <c r="I4537">
        <v>7799</v>
      </c>
      <c r="J4537">
        <v>152.58000000000001</v>
      </c>
      <c r="K4537">
        <v>97.44</v>
      </c>
      <c r="L4537">
        <v>1189971.42</v>
      </c>
      <c r="M4537">
        <v>759934.56</v>
      </c>
      <c r="N4537">
        <v>430036.86</v>
      </c>
    </row>
    <row r="4538" spans="1:14" x14ac:dyDescent="0.25">
      <c r="A4538" t="s">
        <v>14</v>
      </c>
      <c r="B4538" t="s">
        <v>98</v>
      </c>
      <c r="C4538" t="s">
        <v>131</v>
      </c>
      <c r="D4538" t="s">
        <v>22</v>
      </c>
      <c r="E4538" t="s">
        <v>32</v>
      </c>
      <c r="F4538" s="1">
        <v>42410</v>
      </c>
      <c r="G4538">
        <v>368622910</v>
      </c>
      <c r="H4538" s="1">
        <v>42500</v>
      </c>
      <c r="I4538">
        <v>2566</v>
      </c>
      <c r="J4538">
        <v>668.27</v>
      </c>
      <c r="K4538">
        <v>502.54</v>
      </c>
      <c r="L4538">
        <v>1714780.82</v>
      </c>
      <c r="M4538">
        <v>1289517.6399999999</v>
      </c>
      <c r="N4538">
        <v>425263.18</v>
      </c>
    </row>
    <row r="4539" spans="1:14" x14ac:dyDescent="0.25">
      <c r="A4539" t="s">
        <v>51</v>
      </c>
      <c r="B4539" t="s">
        <v>274</v>
      </c>
      <c r="C4539" t="s">
        <v>88</v>
      </c>
      <c r="D4539" t="s">
        <v>22</v>
      </c>
      <c r="E4539" t="s">
        <v>45</v>
      </c>
      <c r="F4539" t="s">
        <v>1839</v>
      </c>
      <c r="G4539">
        <v>958925616</v>
      </c>
      <c r="H4539" s="1">
        <v>42796</v>
      </c>
      <c r="I4539">
        <v>6254</v>
      </c>
      <c r="J4539">
        <v>9.33</v>
      </c>
      <c r="K4539">
        <v>6.92</v>
      </c>
      <c r="L4539">
        <v>58349.82</v>
      </c>
      <c r="M4539">
        <v>43277.68</v>
      </c>
      <c r="N4539">
        <v>15072.14</v>
      </c>
    </row>
    <row r="4540" spans="1:14" x14ac:dyDescent="0.25">
      <c r="A4540" t="s">
        <v>25</v>
      </c>
      <c r="B4540" t="s">
        <v>418</v>
      </c>
      <c r="C4540" t="s">
        <v>44</v>
      </c>
      <c r="D4540" t="s">
        <v>17</v>
      </c>
      <c r="E4540" t="s">
        <v>18</v>
      </c>
      <c r="F4540" t="s">
        <v>1680</v>
      </c>
      <c r="G4540">
        <v>633806264</v>
      </c>
      <c r="H4540" t="s">
        <v>1448</v>
      </c>
      <c r="I4540">
        <v>6213</v>
      </c>
      <c r="J4540">
        <v>109.28</v>
      </c>
      <c r="K4540">
        <v>35.840000000000003</v>
      </c>
      <c r="L4540">
        <v>678956.64</v>
      </c>
      <c r="M4540">
        <v>222673.92000000001</v>
      </c>
      <c r="N4540">
        <v>456282.72</v>
      </c>
    </row>
    <row r="4541" spans="1:14" x14ac:dyDescent="0.25">
      <c r="A4541" t="s">
        <v>38</v>
      </c>
      <c r="B4541" t="s">
        <v>117</v>
      </c>
      <c r="C4541" t="s">
        <v>40</v>
      </c>
      <c r="D4541" t="s">
        <v>22</v>
      </c>
      <c r="E4541" t="s">
        <v>45</v>
      </c>
      <c r="F4541" t="s">
        <v>955</v>
      </c>
      <c r="G4541">
        <v>937063682</v>
      </c>
      <c r="H4541" s="1">
        <v>42223</v>
      </c>
      <c r="I4541">
        <v>6822</v>
      </c>
      <c r="J4541">
        <v>81.73</v>
      </c>
      <c r="K4541">
        <v>56.67</v>
      </c>
      <c r="L4541">
        <v>557562.06000000006</v>
      </c>
      <c r="M4541">
        <v>386602.74</v>
      </c>
      <c r="N4541">
        <v>170959.32</v>
      </c>
    </row>
    <row r="4542" spans="1:14" x14ac:dyDescent="0.25">
      <c r="A4542" t="s">
        <v>51</v>
      </c>
      <c r="B4542" t="s">
        <v>575</v>
      </c>
      <c r="C4542" t="s">
        <v>44</v>
      </c>
      <c r="D4542" t="s">
        <v>17</v>
      </c>
      <c r="E4542" t="s">
        <v>32</v>
      </c>
      <c r="F4542" t="s">
        <v>1309</v>
      </c>
      <c r="G4542">
        <v>332809197</v>
      </c>
      <c r="H4542" t="s">
        <v>993</v>
      </c>
      <c r="I4542">
        <v>4492</v>
      </c>
      <c r="J4542">
        <v>109.28</v>
      </c>
      <c r="K4542">
        <v>35.840000000000003</v>
      </c>
      <c r="L4542">
        <v>490885.76</v>
      </c>
      <c r="M4542">
        <v>160993.28</v>
      </c>
      <c r="N4542">
        <v>329892.47999999998</v>
      </c>
    </row>
    <row r="4543" spans="1:14" x14ac:dyDescent="0.25">
      <c r="A4543" t="s">
        <v>25</v>
      </c>
      <c r="B4543" t="s">
        <v>426</v>
      </c>
      <c r="C4543" t="s">
        <v>40</v>
      </c>
      <c r="D4543" t="s">
        <v>17</v>
      </c>
      <c r="E4543" t="s">
        <v>23</v>
      </c>
      <c r="F4543" s="1">
        <v>41498</v>
      </c>
      <c r="G4543">
        <v>955466639</v>
      </c>
      <c r="H4543" t="s">
        <v>777</v>
      </c>
      <c r="I4543">
        <v>2666</v>
      </c>
      <c r="J4543">
        <v>81.73</v>
      </c>
      <c r="K4543">
        <v>56.67</v>
      </c>
      <c r="L4543">
        <v>217892.18</v>
      </c>
      <c r="M4543">
        <v>151082.22</v>
      </c>
      <c r="N4543">
        <v>66809.960000000006</v>
      </c>
    </row>
    <row r="4544" spans="1:14" x14ac:dyDescent="0.25">
      <c r="A4544" t="s">
        <v>51</v>
      </c>
      <c r="B4544" t="s">
        <v>231</v>
      </c>
      <c r="C4544" t="s">
        <v>27</v>
      </c>
      <c r="D4544" t="s">
        <v>22</v>
      </c>
      <c r="E4544" t="s">
        <v>23</v>
      </c>
      <c r="F4544" t="s">
        <v>1099</v>
      </c>
      <c r="G4544">
        <v>959772336</v>
      </c>
      <c r="H4544" t="s">
        <v>581</v>
      </c>
      <c r="I4544">
        <v>6817</v>
      </c>
      <c r="J4544">
        <v>47.45</v>
      </c>
      <c r="K4544">
        <v>31.79</v>
      </c>
      <c r="L4544">
        <v>323466.65000000002</v>
      </c>
      <c r="M4544">
        <v>216712.43</v>
      </c>
      <c r="N4544">
        <v>106754.22</v>
      </c>
    </row>
    <row r="4545" spans="1:14" x14ac:dyDescent="0.25">
      <c r="A4545" t="s">
        <v>51</v>
      </c>
      <c r="B4545" t="s">
        <v>219</v>
      </c>
      <c r="C4545" t="s">
        <v>21</v>
      </c>
      <c r="D4545" t="s">
        <v>17</v>
      </c>
      <c r="E4545" t="s">
        <v>32</v>
      </c>
      <c r="F4545" s="1">
        <v>41643</v>
      </c>
      <c r="G4545">
        <v>370775115</v>
      </c>
      <c r="H4545" t="s">
        <v>1041</v>
      </c>
      <c r="I4545">
        <v>9451</v>
      </c>
      <c r="J4545">
        <v>152.58000000000001</v>
      </c>
      <c r="K4545">
        <v>97.44</v>
      </c>
      <c r="L4545">
        <v>1442033.58</v>
      </c>
      <c r="M4545">
        <v>920905.44</v>
      </c>
      <c r="N4545">
        <v>521128.14</v>
      </c>
    </row>
    <row r="4546" spans="1:14" x14ac:dyDescent="0.25">
      <c r="A4546" t="s">
        <v>29</v>
      </c>
      <c r="B4546" t="s">
        <v>199</v>
      </c>
      <c r="C4546" t="s">
        <v>31</v>
      </c>
      <c r="D4546" t="s">
        <v>17</v>
      </c>
      <c r="E4546" t="s">
        <v>23</v>
      </c>
      <c r="F4546" s="1">
        <v>42310</v>
      </c>
      <c r="G4546">
        <v>633836305</v>
      </c>
      <c r="H4546" t="s">
        <v>1359</v>
      </c>
      <c r="I4546">
        <v>5103</v>
      </c>
      <c r="J4546">
        <v>205.7</v>
      </c>
      <c r="K4546">
        <v>117.11</v>
      </c>
      <c r="L4546">
        <v>1049687.1000000001</v>
      </c>
      <c r="M4546">
        <v>597612.32999999996</v>
      </c>
      <c r="N4546">
        <v>452074.77</v>
      </c>
    </row>
    <row r="4547" spans="1:14" x14ac:dyDescent="0.25">
      <c r="A4547" t="s">
        <v>51</v>
      </c>
      <c r="B4547" t="s">
        <v>182</v>
      </c>
      <c r="C4547" t="s">
        <v>40</v>
      </c>
      <c r="D4547" t="s">
        <v>17</v>
      </c>
      <c r="E4547" t="s">
        <v>45</v>
      </c>
      <c r="F4547" t="s">
        <v>1692</v>
      </c>
      <c r="G4547">
        <v>564629733</v>
      </c>
      <c r="H4547" t="s">
        <v>980</v>
      </c>
      <c r="I4547">
        <v>5340</v>
      </c>
      <c r="J4547">
        <v>81.73</v>
      </c>
      <c r="K4547">
        <v>56.67</v>
      </c>
      <c r="L4547">
        <v>436438.2</v>
      </c>
      <c r="M4547">
        <v>302617.8</v>
      </c>
      <c r="N4547">
        <v>133820.4</v>
      </c>
    </row>
    <row r="4548" spans="1:14" x14ac:dyDescent="0.25">
      <c r="A4548" t="s">
        <v>51</v>
      </c>
      <c r="B4548" t="s">
        <v>420</v>
      </c>
      <c r="C4548" t="s">
        <v>27</v>
      </c>
      <c r="D4548" t="s">
        <v>22</v>
      </c>
      <c r="E4548" t="s">
        <v>23</v>
      </c>
      <c r="F4548" t="s">
        <v>439</v>
      </c>
      <c r="G4548">
        <v>399141728</v>
      </c>
      <c r="H4548" t="s">
        <v>1840</v>
      </c>
      <c r="I4548">
        <v>3762</v>
      </c>
      <c r="J4548">
        <v>47.45</v>
      </c>
      <c r="K4548">
        <v>31.79</v>
      </c>
      <c r="L4548">
        <v>178506.9</v>
      </c>
      <c r="M4548">
        <v>119593.98</v>
      </c>
      <c r="N4548">
        <v>58912.92</v>
      </c>
    </row>
    <row r="4549" spans="1:14" x14ac:dyDescent="0.25">
      <c r="A4549" t="s">
        <v>51</v>
      </c>
      <c r="B4549" t="s">
        <v>350</v>
      </c>
      <c r="C4549" t="s">
        <v>21</v>
      </c>
      <c r="D4549" t="s">
        <v>17</v>
      </c>
      <c r="E4549" t="s">
        <v>32</v>
      </c>
      <c r="F4549" t="s">
        <v>499</v>
      </c>
      <c r="G4549">
        <v>443671119</v>
      </c>
      <c r="H4549" s="1">
        <v>41705</v>
      </c>
      <c r="I4549">
        <v>998</v>
      </c>
      <c r="J4549">
        <v>152.58000000000001</v>
      </c>
      <c r="K4549">
        <v>97.44</v>
      </c>
      <c r="L4549">
        <v>152274.84</v>
      </c>
      <c r="M4549">
        <v>97245.119999999995</v>
      </c>
      <c r="N4549">
        <v>55029.72</v>
      </c>
    </row>
    <row r="4550" spans="1:14" x14ac:dyDescent="0.25">
      <c r="A4550" t="s">
        <v>42</v>
      </c>
      <c r="B4550" t="s">
        <v>290</v>
      </c>
      <c r="C4550" t="s">
        <v>21</v>
      </c>
      <c r="D4550" t="s">
        <v>22</v>
      </c>
      <c r="E4550" t="s">
        <v>18</v>
      </c>
      <c r="F4550" s="1">
        <v>41549</v>
      </c>
      <c r="G4550">
        <v>624829232</v>
      </c>
      <c r="H4550" t="s">
        <v>1593</v>
      </c>
      <c r="I4550">
        <v>9710</v>
      </c>
      <c r="J4550">
        <v>152.58000000000001</v>
      </c>
      <c r="K4550">
        <v>97.44</v>
      </c>
      <c r="L4550">
        <v>1481551.8</v>
      </c>
      <c r="M4550">
        <v>946142.4</v>
      </c>
      <c r="N4550">
        <v>535409.4</v>
      </c>
    </row>
    <row r="4551" spans="1:14" x14ac:dyDescent="0.25">
      <c r="A4551" t="s">
        <v>29</v>
      </c>
      <c r="B4551" t="s">
        <v>393</v>
      </c>
      <c r="C4551" t="s">
        <v>55</v>
      </c>
      <c r="D4551" t="s">
        <v>22</v>
      </c>
      <c r="E4551" t="s">
        <v>32</v>
      </c>
      <c r="F4551" t="s">
        <v>1492</v>
      </c>
      <c r="G4551">
        <v>939539897</v>
      </c>
      <c r="H4551" s="1">
        <v>40971</v>
      </c>
      <c r="I4551">
        <v>9589</v>
      </c>
      <c r="J4551">
        <v>651.21</v>
      </c>
      <c r="K4551">
        <v>524.96</v>
      </c>
      <c r="L4551">
        <v>6244452.6900000004</v>
      </c>
      <c r="M4551">
        <v>5033841.4400000004</v>
      </c>
      <c r="N4551">
        <v>1210611.25</v>
      </c>
    </row>
    <row r="4552" spans="1:14" x14ac:dyDescent="0.25">
      <c r="A4552" t="s">
        <v>14</v>
      </c>
      <c r="B4552" t="s">
        <v>383</v>
      </c>
      <c r="C4552" t="s">
        <v>16</v>
      </c>
      <c r="D4552" t="s">
        <v>22</v>
      </c>
      <c r="E4552" t="s">
        <v>23</v>
      </c>
      <c r="F4552" s="1">
        <v>40790</v>
      </c>
      <c r="G4552">
        <v>105039441</v>
      </c>
      <c r="H4552" t="s">
        <v>1043</v>
      </c>
      <c r="I4552">
        <v>2360</v>
      </c>
      <c r="J4552">
        <v>255.28</v>
      </c>
      <c r="K4552">
        <v>159.41999999999999</v>
      </c>
      <c r="L4552">
        <v>602460.80000000005</v>
      </c>
      <c r="M4552">
        <v>376231.2</v>
      </c>
      <c r="N4552">
        <v>226229.6</v>
      </c>
    </row>
    <row r="4553" spans="1:14" x14ac:dyDescent="0.25">
      <c r="A4553" t="s">
        <v>77</v>
      </c>
      <c r="B4553" t="s">
        <v>78</v>
      </c>
      <c r="C4553" t="s">
        <v>27</v>
      </c>
      <c r="D4553" t="s">
        <v>22</v>
      </c>
      <c r="E4553" t="s">
        <v>45</v>
      </c>
      <c r="F4553" s="1">
        <v>42097</v>
      </c>
      <c r="G4553">
        <v>508876693</v>
      </c>
      <c r="H4553" t="s">
        <v>1047</v>
      </c>
      <c r="I4553">
        <v>6777</v>
      </c>
      <c r="J4553">
        <v>47.45</v>
      </c>
      <c r="K4553">
        <v>31.79</v>
      </c>
      <c r="L4553">
        <v>321568.65000000002</v>
      </c>
      <c r="M4553">
        <v>215440.83</v>
      </c>
      <c r="N4553">
        <v>106127.82</v>
      </c>
    </row>
    <row r="4554" spans="1:14" x14ac:dyDescent="0.25">
      <c r="A4554" t="s">
        <v>51</v>
      </c>
      <c r="B4554" t="s">
        <v>305</v>
      </c>
      <c r="C4554" t="s">
        <v>88</v>
      </c>
      <c r="D4554" t="s">
        <v>22</v>
      </c>
      <c r="E4554" t="s">
        <v>45</v>
      </c>
      <c r="F4554" s="1">
        <v>41765</v>
      </c>
      <c r="G4554">
        <v>558912980</v>
      </c>
      <c r="H4554" s="1">
        <v>41705</v>
      </c>
      <c r="I4554">
        <v>3626</v>
      </c>
      <c r="J4554">
        <v>9.33</v>
      </c>
      <c r="K4554">
        <v>6.92</v>
      </c>
      <c r="L4554">
        <v>33830.58</v>
      </c>
      <c r="M4554">
        <v>25091.919999999998</v>
      </c>
      <c r="N4554">
        <v>8738.66</v>
      </c>
    </row>
    <row r="4555" spans="1:14" x14ac:dyDescent="0.25">
      <c r="A4555" t="s">
        <v>51</v>
      </c>
      <c r="B4555" t="s">
        <v>525</v>
      </c>
      <c r="C4555" t="s">
        <v>69</v>
      </c>
      <c r="D4555" t="s">
        <v>17</v>
      </c>
      <c r="E4555" t="s">
        <v>32</v>
      </c>
      <c r="F4555" t="s">
        <v>1087</v>
      </c>
      <c r="G4555">
        <v>533322131</v>
      </c>
      <c r="H4555" t="s">
        <v>1135</v>
      </c>
      <c r="I4555">
        <v>725</v>
      </c>
      <c r="J4555">
        <v>421.89</v>
      </c>
      <c r="K4555">
        <v>364.69</v>
      </c>
      <c r="L4555">
        <v>305870.25</v>
      </c>
      <c r="M4555">
        <v>264400.25</v>
      </c>
      <c r="N4555">
        <v>41470</v>
      </c>
    </row>
    <row r="4556" spans="1:14" x14ac:dyDescent="0.25">
      <c r="A4556" t="s">
        <v>25</v>
      </c>
      <c r="B4556" t="s">
        <v>266</v>
      </c>
      <c r="C4556" t="s">
        <v>55</v>
      </c>
      <c r="D4556" t="s">
        <v>17</v>
      </c>
      <c r="E4556" t="s">
        <v>32</v>
      </c>
      <c r="F4556" t="s">
        <v>729</v>
      </c>
      <c r="G4556">
        <v>330590474</v>
      </c>
      <c r="H4556" t="s">
        <v>1520</v>
      </c>
      <c r="I4556">
        <v>7923</v>
      </c>
      <c r="J4556">
        <v>651.21</v>
      </c>
      <c r="K4556">
        <v>524.96</v>
      </c>
      <c r="L4556">
        <v>5159536.83</v>
      </c>
      <c r="M4556">
        <v>4159258.08</v>
      </c>
      <c r="N4556">
        <v>1000278.75</v>
      </c>
    </row>
    <row r="4557" spans="1:14" x14ac:dyDescent="0.25">
      <c r="A4557" t="s">
        <v>25</v>
      </c>
      <c r="B4557" t="s">
        <v>242</v>
      </c>
      <c r="C4557" t="s">
        <v>59</v>
      </c>
      <c r="D4557" t="s">
        <v>22</v>
      </c>
      <c r="E4557" t="s">
        <v>23</v>
      </c>
      <c r="F4557" t="s">
        <v>1459</v>
      </c>
      <c r="G4557">
        <v>819516837</v>
      </c>
      <c r="H4557" t="s">
        <v>319</v>
      </c>
      <c r="I4557">
        <v>2098</v>
      </c>
      <c r="J4557">
        <v>437.2</v>
      </c>
      <c r="K4557">
        <v>263.33</v>
      </c>
      <c r="L4557">
        <v>917245.6</v>
      </c>
      <c r="M4557">
        <v>552466.34</v>
      </c>
      <c r="N4557">
        <v>364779.26</v>
      </c>
    </row>
    <row r="4558" spans="1:14" x14ac:dyDescent="0.25">
      <c r="A4558" t="s">
        <v>29</v>
      </c>
      <c r="B4558" t="s">
        <v>271</v>
      </c>
      <c r="C4558" t="s">
        <v>131</v>
      </c>
      <c r="D4558" t="s">
        <v>22</v>
      </c>
      <c r="E4558" t="s">
        <v>45</v>
      </c>
      <c r="F4558" s="1">
        <v>40431</v>
      </c>
      <c r="G4558">
        <v>689212548</v>
      </c>
      <c r="H4558" s="1">
        <v>40461</v>
      </c>
      <c r="I4558">
        <v>2164</v>
      </c>
      <c r="J4558">
        <v>668.27</v>
      </c>
      <c r="K4558">
        <v>502.54</v>
      </c>
      <c r="L4558">
        <v>1446136.28</v>
      </c>
      <c r="M4558">
        <v>1087496.56</v>
      </c>
      <c r="N4558">
        <v>358639.72</v>
      </c>
    </row>
    <row r="4559" spans="1:14" x14ac:dyDescent="0.25">
      <c r="A4559" t="s">
        <v>25</v>
      </c>
      <c r="B4559" t="s">
        <v>339</v>
      </c>
      <c r="C4559" t="s">
        <v>21</v>
      </c>
      <c r="D4559" t="s">
        <v>22</v>
      </c>
      <c r="E4559" t="s">
        <v>23</v>
      </c>
      <c r="F4559" t="s">
        <v>704</v>
      </c>
      <c r="G4559">
        <v>499101436</v>
      </c>
      <c r="H4559" t="s">
        <v>1494</v>
      </c>
      <c r="I4559">
        <v>4061</v>
      </c>
      <c r="J4559">
        <v>152.58000000000001</v>
      </c>
      <c r="K4559">
        <v>97.44</v>
      </c>
      <c r="L4559">
        <v>619627.38</v>
      </c>
      <c r="M4559">
        <v>395703.84</v>
      </c>
      <c r="N4559">
        <v>223923.54</v>
      </c>
    </row>
    <row r="4560" spans="1:14" x14ac:dyDescent="0.25">
      <c r="A4560" t="s">
        <v>42</v>
      </c>
      <c r="B4560" t="s">
        <v>146</v>
      </c>
      <c r="C4560" t="s">
        <v>113</v>
      </c>
      <c r="D4560" t="s">
        <v>17</v>
      </c>
      <c r="E4560" t="s">
        <v>45</v>
      </c>
      <c r="F4560" s="1">
        <v>40852</v>
      </c>
      <c r="G4560">
        <v>428919827</v>
      </c>
      <c r="H4560" t="s">
        <v>1134</v>
      </c>
      <c r="I4560">
        <v>5763</v>
      </c>
      <c r="J4560">
        <v>154.06</v>
      </c>
      <c r="K4560">
        <v>90.93</v>
      </c>
      <c r="L4560">
        <v>887847.78</v>
      </c>
      <c r="M4560">
        <v>524029.59</v>
      </c>
      <c r="N4560">
        <v>363818.19</v>
      </c>
    </row>
    <row r="4561" spans="1:14" x14ac:dyDescent="0.25">
      <c r="A4561" t="s">
        <v>51</v>
      </c>
      <c r="B4561" t="s">
        <v>638</v>
      </c>
      <c r="C4561" t="s">
        <v>27</v>
      </c>
      <c r="D4561" t="s">
        <v>17</v>
      </c>
      <c r="E4561" t="s">
        <v>45</v>
      </c>
      <c r="F4561" t="s">
        <v>1590</v>
      </c>
      <c r="G4561">
        <v>728716552</v>
      </c>
      <c r="H4561" t="s">
        <v>1323</v>
      </c>
      <c r="I4561">
        <v>2276</v>
      </c>
      <c r="J4561">
        <v>47.45</v>
      </c>
      <c r="K4561">
        <v>31.79</v>
      </c>
      <c r="L4561">
        <v>107996.2</v>
      </c>
      <c r="M4561">
        <v>72354.039999999994</v>
      </c>
      <c r="N4561">
        <v>35642.160000000003</v>
      </c>
    </row>
    <row r="4562" spans="1:14" x14ac:dyDescent="0.25">
      <c r="A4562" t="s">
        <v>38</v>
      </c>
      <c r="B4562" t="s">
        <v>430</v>
      </c>
      <c r="C4562" t="s">
        <v>59</v>
      </c>
      <c r="D4562" t="s">
        <v>17</v>
      </c>
      <c r="E4562" t="s">
        <v>32</v>
      </c>
      <c r="F4562" s="1">
        <v>42408</v>
      </c>
      <c r="G4562">
        <v>368852937</v>
      </c>
      <c r="H4562" t="s">
        <v>1729</v>
      </c>
      <c r="I4562">
        <v>636</v>
      </c>
      <c r="J4562">
        <v>437.2</v>
      </c>
      <c r="K4562">
        <v>263.33</v>
      </c>
      <c r="L4562">
        <v>278059.2</v>
      </c>
      <c r="M4562">
        <v>167477.88</v>
      </c>
      <c r="N4562">
        <v>110581.32</v>
      </c>
    </row>
    <row r="4563" spans="1:14" x14ac:dyDescent="0.25">
      <c r="A4563" t="s">
        <v>25</v>
      </c>
      <c r="B4563" t="s">
        <v>529</v>
      </c>
      <c r="C4563" t="s">
        <v>44</v>
      </c>
      <c r="D4563" t="s">
        <v>17</v>
      </c>
      <c r="E4563" t="s">
        <v>23</v>
      </c>
      <c r="F4563" t="s">
        <v>1039</v>
      </c>
      <c r="G4563">
        <v>190002810</v>
      </c>
      <c r="H4563" s="1">
        <v>42863</v>
      </c>
      <c r="I4563">
        <v>4909</v>
      </c>
      <c r="J4563">
        <v>109.28</v>
      </c>
      <c r="K4563">
        <v>35.840000000000003</v>
      </c>
      <c r="L4563">
        <v>536455.52</v>
      </c>
      <c r="M4563">
        <v>175938.56</v>
      </c>
      <c r="N4563">
        <v>360516.96</v>
      </c>
    </row>
    <row r="4564" spans="1:14" x14ac:dyDescent="0.25">
      <c r="A4564" t="s">
        <v>25</v>
      </c>
      <c r="B4564" t="s">
        <v>458</v>
      </c>
      <c r="C4564" t="s">
        <v>27</v>
      </c>
      <c r="D4564" t="s">
        <v>22</v>
      </c>
      <c r="E4564" t="s">
        <v>18</v>
      </c>
      <c r="F4564" t="s">
        <v>70</v>
      </c>
      <c r="G4564">
        <v>653152501</v>
      </c>
      <c r="H4564" t="s">
        <v>1588</v>
      </c>
      <c r="I4564">
        <v>1194</v>
      </c>
      <c r="J4564">
        <v>47.45</v>
      </c>
      <c r="K4564">
        <v>31.79</v>
      </c>
      <c r="L4564">
        <v>56655.3</v>
      </c>
      <c r="M4564">
        <v>37957.26</v>
      </c>
      <c r="N4564">
        <v>18698.04</v>
      </c>
    </row>
    <row r="4565" spans="1:14" x14ac:dyDescent="0.25">
      <c r="A4565" t="s">
        <v>25</v>
      </c>
      <c r="B4565" t="s">
        <v>72</v>
      </c>
      <c r="C4565" t="s">
        <v>113</v>
      </c>
      <c r="D4565" t="s">
        <v>22</v>
      </c>
      <c r="E4565" t="s">
        <v>23</v>
      </c>
      <c r="F4565" s="1">
        <v>41887</v>
      </c>
      <c r="G4565">
        <v>489600837</v>
      </c>
      <c r="H4565" s="1">
        <v>41888</v>
      </c>
      <c r="I4565">
        <v>2622</v>
      </c>
      <c r="J4565">
        <v>154.06</v>
      </c>
      <c r="K4565">
        <v>90.93</v>
      </c>
      <c r="L4565">
        <v>403945.32</v>
      </c>
      <c r="M4565">
        <v>238418.46</v>
      </c>
      <c r="N4565">
        <v>165526.85999999999</v>
      </c>
    </row>
    <row r="4566" spans="1:14" x14ac:dyDescent="0.25">
      <c r="A4566" t="s">
        <v>25</v>
      </c>
      <c r="B4566" t="s">
        <v>96</v>
      </c>
      <c r="C4566" t="s">
        <v>16</v>
      </c>
      <c r="D4566" t="s">
        <v>17</v>
      </c>
      <c r="E4566" t="s">
        <v>18</v>
      </c>
      <c r="F4566" s="1">
        <v>42491</v>
      </c>
      <c r="G4566">
        <v>750959146</v>
      </c>
      <c r="H4566" t="s">
        <v>621</v>
      </c>
      <c r="I4566">
        <v>4354</v>
      </c>
      <c r="J4566">
        <v>255.28</v>
      </c>
      <c r="K4566">
        <v>159.41999999999999</v>
      </c>
      <c r="L4566">
        <v>1111489.1200000001</v>
      </c>
      <c r="M4566">
        <v>694114.68</v>
      </c>
      <c r="N4566">
        <v>417374.44</v>
      </c>
    </row>
    <row r="4567" spans="1:14" x14ac:dyDescent="0.25">
      <c r="A4567" t="s">
        <v>51</v>
      </c>
      <c r="B4567" t="s">
        <v>578</v>
      </c>
      <c r="C4567" t="s">
        <v>55</v>
      </c>
      <c r="D4567" t="s">
        <v>22</v>
      </c>
      <c r="E4567" t="s">
        <v>45</v>
      </c>
      <c r="F4567" s="1">
        <v>41671</v>
      </c>
      <c r="G4567">
        <v>759151256</v>
      </c>
      <c r="H4567" t="s">
        <v>1089</v>
      </c>
      <c r="I4567">
        <v>8581</v>
      </c>
      <c r="J4567">
        <v>651.21</v>
      </c>
      <c r="K4567">
        <v>524.96</v>
      </c>
      <c r="L4567">
        <v>5588033.0099999998</v>
      </c>
      <c r="M4567">
        <v>4504681.76</v>
      </c>
      <c r="N4567">
        <v>1083351.25</v>
      </c>
    </row>
    <row r="4568" spans="1:14" x14ac:dyDescent="0.25">
      <c r="A4568" t="s">
        <v>25</v>
      </c>
      <c r="B4568" t="s">
        <v>47</v>
      </c>
      <c r="C4568" t="s">
        <v>40</v>
      </c>
      <c r="D4568" t="s">
        <v>22</v>
      </c>
      <c r="E4568" t="s">
        <v>32</v>
      </c>
      <c r="F4568" s="1">
        <v>40513</v>
      </c>
      <c r="G4568">
        <v>356413495</v>
      </c>
      <c r="H4568" t="s">
        <v>84</v>
      </c>
      <c r="I4568">
        <v>9528</v>
      </c>
      <c r="J4568">
        <v>81.73</v>
      </c>
      <c r="K4568">
        <v>56.67</v>
      </c>
      <c r="L4568">
        <v>778723.44</v>
      </c>
      <c r="M4568">
        <v>539951.76</v>
      </c>
      <c r="N4568">
        <v>238771.68</v>
      </c>
    </row>
    <row r="4569" spans="1:14" x14ac:dyDescent="0.25">
      <c r="A4569" t="s">
        <v>29</v>
      </c>
      <c r="B4569" t="s">
        <v>199</v>
      </c>
      <c r="C4569" t="s">
        <v>40</v>
      </c>
      <c r="D4569" t="s">
        <v>17</v>
      </c>
      <c r="E4569" t="s">
        <v>45</v>
      </c>
      <c r="F4569" t="s">
        <v>247</v>
      </c>
      <c r="G4569">
        <v>355294692</v>
      </c>
      <c r="H4569" s="1">
        <v>40522</v>
      </c>
      <c r="I4569">
        <v>8450</v>
      </c>
      <c r="J4569">
        <v>81.73</v>
      </c>
      <c r="K4569">
        <v>56.67</v>
      </c>
      <c r="L4569">
        <v>690618.5</v>
      </c>
      <c r="M4569">
        <v>478861.5</v>
      </c>
      <c r="N4569">
        <v>211757</v>
      </c>
    </row>
    <row r="4570" spans="1:14" x14ac:dyDescent="0.25">
      <c r="A4570" t="s">
        <v>25</v>
      </c>
      <c r="B4570" t="s">
        <v>47</v>
      </c>
      <c r="C4570" t="s">
        <v>55</v>
      </c>
      <c r="D4570" t="s">
        <v>22</v>
      </c>
      <c r="E4570" t="s">
        <v>32</v>
      </c>
      <c r="F4570" t="s">
        <v>1295</v>
      </c>
      <c r="G4570">
        <v>288656175</v>
      </c>
      <c r="H4570" t="s">
        <v>1006</v>
      </c>
      <c r="I4570">
        <v>8632</v>
      </c>
      <c r="J4570">
        <v>651.21</v>
      </c>
      <c r="K4570">
        <v>524.96</v>
      </c>
      <c r="L4570">
        <v>5621244.7199999997</v>
      </c>
      <c r="M4570">
        <v>4531454.72</v>
      </c>
      <c r="N4570">
        <v>1089790</v>
      </c>
    </row>
    <row r="4571" spans="1:14" x14ac:dyDescent="0.25">
      <c r="A4571" t="s">
        <v>25</v>
      </c>
      <c r="B4571" t="s">
        <v>185</v>
      </c>
      <c r="C4571" t="s">
        <v>59</v>
      </c>
      <c r="D4571" t="s">
        <v>22</v>
      </c>
      <c r="E4571" t="s">
        <v>23</v>
      </c>
      <c r="F4571" t="s">
        <v>817</v>
      </c>
      <c r="G4571">
        <v>659671771</v>
      </c>
      <c r="H4571" t="s">
        <v>804</v>
      </c>
      <c r="I4571">
        <v>391</v>
      </c>
      <c r="J4571">
        <v>437.2</v>
      </c>
      <c r="K4571">
        <v>263.33</v>
      </c>
      <c r="L4571">
        <v>170945.2</v>
      </c>
      <c r="M4571">
        <v>102962.03</v>
      </c>
      <c r="N4571">
        <v>67983.17</v>
      </c>
    </row>
    <row r="4572" spans="1:14" x14ac:dyDescent="0.25">
      <c r="A4572" t="s">
        <v>42</v>
      </c>
      <c r="B4572" t="s">
        <v>103</v>
      </c>
      <c r="C4572" t="s">
        <v>113</v>
      </c>
      <c r="D4572" t="s">
        <v>17</v>
      </c>
      <c r="E4572" t="s">
        <v>32</v>
      </c>
      <c r="F4572" s="1">
        <v>42043</v>
      </c>
      <c r="G4572">
        <v>691827809</v>
      </c>
      <c r="H4572" t="s">
        <v>1841</v>
      </c>
      <c r="I4572">
        <v>6078</v>
      </c>
      <c r="J4572">
        <v>154.06</v>
      </c>
      <c r="K4572">
        <v>90.93</v>
      </c>
      <c r="L4572">
        <v>936376.68</v>
      </c>
      <c r="M4572">
        <v>552672.54</v>
      </c>
      <c r="N4572">
        <v>383704.14</v>
      </c>
    </row>
    <row r="4573" spans="1:14" x14ac:dyDescent="0.25">
      <c r="A4573" t="s">
        <v>51</v>
      </c>
      <c r="B4573" t="s">
        <v>487</v>
      </c>
      <c r="C4573" t="s">
        <v>16</v>
      </c>
      <c r="D4573" t="s">
        <v>17</v>
      </c>
      <c r="E4573" t="s">
        <v>23</v>
      </c>
      <c r="F4573" t="s">
        <v>699</v>
      </c>
      <c r="G4573">
        <v>578923118</v>
      </c>
      <c r="H4573" t="s">
        <v>1566</v>
      </c>
      <c r="I4573">
        <v>5070</v>
      </c>
      <c r="J4573">
        <v>255.28</v>
      </c>
      <c r="K4573">
        <v>159.41999999999999</v>
      </c>
      <c r="L4573">
        <v>1294269.6000000001</v>
      </c>
      <c r="M4573">
        <v>808259.4</v>
      </c>
      <c r="N4573">
        <v>486010.2</v>
      </c>
    </row>
    <row r="4574" spans="1:14" x14ac:dyDescent="0.25">
      <c r="A4574" t="s">
        <v>38</v>
      </c>
      <c r="B4574" t="s">
        <v>190</v>
      </c>
      <c r="C4574" t="s">
        <v>131</v>
      </c>
      <c r="D4574" t="s">
        <v>17</v>
      </c>
      <c r="E4574" t="s">
        <v>45</v>
      </c>
      <c r="F4574" s="1">
        <v>42012</v>
      </c>
      <c r="G4574">
        <v>135069024</v>
      </c>
      <c r="H4574" s="1">
        <v>42012</v>
      </c>
      <c r="I4574">
        <v>8781</v>
      </c>
      <c r="J4574">
        <v>668.27</v>
      </c>
      <c r="K4574">
        <v>502.54</v>
      </c>
      <c r="L4574">
        <v>5868078.8700000001</v>
      </c>
      <c r="M4574">
        <v>4412803.74</v>
      </c>
      <c r="N4574">
        <v>1455275.13</v>
      </c>
    </row>
    <row r="4575" spans="1:14" x14ac:dyDescent="0.25">
      <c r="A4575" t="s">
        <v>14</v>
      </c>
      <c r="B4575" t="s">
        <v>208</v>
      </c>
      <c r="C4575" t="s">
        <v>16</v>
      </c>
      <c r="D4575" t="s">
        <v>17</v>
      </c>
      <c r="E4575" t="s">
        <v>18</v>
      </c>
      <c r="F4575" t="s">
        <v>952</v>
      </c>
      <c r="G4575">
        <v>144689357</v>
      </c>
      <c r="H4575" s="1">
        <v>41620</v>
      </c>
      <c r="I4575">
        <v>5651</v>
      </c>
      <c r="J4575">
        <v>255.28</v>
      </c>
      <c r="K4575">
        <v>159.41999999999999</v>
      </c>
      <c r="L4575">
        <v>1442587.28</v>
      </c>
      <c r="M4575">
        <v>900882.42</v>
      </c>
      <c r="N4575">
        <v>541704.86</v>
      </c>
    </row>
    <row r="4576" spans="1:14" x14ac:dyDescent="0.25">
      <c r="A4576" t="s">
        <v>51</v>
      </c>
      <c r="B4576" t="s">
        <v>274</v>
      </c>
      <c r="C4576" t="s">
        <v>69</v>
      </c>
      <c r="D4576" t="s">
        <v>22</v>
      </c>
      <c r="E4576" t="s">
        <v>23</v>
      </c>
      <c r="F4576" s="1">
        <v>42500</v>
      </c>
      <c r="G4576">
        <v>112520444</v>
      </c>
      <c r="H4576" s="1">
        <v>42715</v>
      </c>
      <c r="I4576">
        <v>6155</v>
      </c>
      <c r="J4576">
        <v>421.89</v>
      </c>
      <c r="K4576">
        <v>364.69</v>
      </c>
      <c r="L4576">
        <v>2596732.9500000002</v>
      </c>
      <c r="M4576">
        <v>2244666.9500000002</v>
      </c>
      <c r="N4576">
        <v>352066</v>
      </c>
    </row>
    <row r="4577" spans="1:14" x14ac:dyDescent="0.25">
      <c r="A4577" t="s">
        <v>25</v>
      </c>
      <c r="B4577" t="s">
        <v>172</v>
      </c>
      <c r="C4577" t="s">
        <v>44</v>
      </c>
      <c r="D4577" t="s">
        <v>22</v>
      </c>
      <c r="E4577" t="s">
        <v>45</v>
      </c>
      <c r="F4577" t="s">
        <v>1369</v>
      </c>
      <c r="G4577">
        <v>513611114</v>
      </c>
      <c r="H4577" s="1">
        <v>42499</v>
      </c>
      <c r="I4577">
        <v>7797</v>
      </c>
      <c r="J4577">
        <v>109.28</v>
      </c>
      <c r="K4577">
        <v>35.840000000000003</v>
      </c>
      <c r="L4577">
        <v>852056.16</v>
      </c>
      <c r="M4577">
        <v>279444.47999999998</v>
      </c>
      <c r="N4577">
        <v>572611.68000000005</v>
      </c>
    </row>
    <row r="4578" spans="1:14" x14ac:dyDescent="0.25">
      <c r="A4578" t="s">
        <v>25</v>
      </c>
      <c r="B4578" t="s">
        <v>185</v>
      </c>
      <c r="C4578" t="s">
        <v>27</v>
      </c>
      <c r="D4578" t="s">
        <v>22</v>
      </c>
      <c r="E4578" t="s">
        <v>18</v>
      </c>
      <c r="F4578" t="s">
        <v>191</v>
      </c>
      <c r="G4578">
        <v>543322694</v>
      </c>
      <c r="H4578" s="1">
        <v>41645</v>
      </c>
      <c r="I4578">
        <v>114</v>
      </c>
      <c r="J4578">
        <v>47.45</v>
      </c>
      <c r="K4578">
        <v>31.79</v>
      </c>
      <c r="L4578">
        <v>5409.3</v>
      </c>
      <c r="M4578">
        <v>3624.06</v>
      </c>
      <c r="N4578">
        <v>1785.24</v>
      </c>
    </row>
    <row r="4579" spans="1:14" x14ac:dyDescent="0.25">
      <c r="A4579" t="s">
        <v>14</v>
      </c>
      <c r="B4579" t="s">
        <v>357</v>
      </c>
      <c r="C4579" t="s">
        <v>55</v>
      </c>
      <c r="D4579" t="s">
        <v>17</v>
      </c>
      <c r="E4579" t="s">
        <v>18</v>
      </c>
      <c r="F4579" t="s">
        <v>1561</v>
      </c>
      <c r="G4579">
        <v>367329013</v>
      </c>
      <c r="H4579" t="s">
        <v>254</v>
      </c>
      <c r="I4579">
        <v>9673</v>
      </c>
      <c r="J4579">
        <v>651.21</v>
      </c>
      <c r="K4579">
        <v>524.96</v>
      </c>
      <c r="L4579">
        <v>6299154.3300000001</v>
      </c>
      <c r="M4579">
        <v>5077938.08</v>
      </c>
      <c r="N4579">
        <v>1221216.25</v>
      </c>
    </row>
    <row r="4580" spans="1:14" x14ac:dyDescent="0.25">
      <c r="A4580" t="s">
        <v>25</v>
      </c>
      <c r="B4580" t="s">
        <v>256</v>
      </c>
      <c r="C4580" t="s">
        <v>113</v>
      </c>
      <c r="D4580" t="s">
        <v>22</v>
      </c>
      <c r="E4580" t="s">
        <v>23</v>
      </c>
      <c r="F4580" s="1">
        <v>41071</v>
      </c>
      <c r="G4580">
        <v>671616399</v>
      </c>
      <c r="H4580" s="1">
        <v>41194</v>
      </c>
      <c r="I4580">
        <v>5072</v>
      </c>
      <c r="J4580">
        <v>154.06</v>
      </c>
      <c r="K4580">
        <v>90.93</v>
      </c>
      <c r="L4580">
        <v>781392.32</v>
      </c>
      <c r="M4580">
        <v>461196.96</v>
      </c>
      <c r="N4580">
        <v>320195.36</v>
      </c>
    </row>
    <row r="4581" spans="1:14" x14ac:dyDescent="0.25">
      <c r="A4581" t="s">
        <v>51</v>
      </c>
      <c r="B4581" t="s">
        <v>192</v>
      </c>
      <c r="C4581" t="s">
        <v>16</v>
      </c>
      <c r="D4581" t="s">
        <v>17</v>
      </c>
      <c r="E4581" t="s">
        <v>45</v>
      </c>
      <c r="F4581" s="1">
        <v>43042</v>
      </c>
      <c r="G4581">
        <v>412483680</v>
      </c>
      <c r="H4581" t="s">
        <v>1549</v>
      </c>
      <c r="I4581">
        <v>1942</v>
      </c>
      <c r="J4581">
        <v>255.28</v>
      </c>
      <c r="K4581">
        <v>159.41999999999999</v>
      </c>
      <c r="L4581">
        <v>495753.76</v>
      </c>
      <c r="M4581">
        <v>309593.64</v>
      </c>
      <c r="N4581">
        <v>186160.12</v>
      </c>
    </row>
    <row r="4582" spans="1:14" x14ac:dyDescent="0.25">
      <c r="A4582" t="s">
        <v>14</v>
      </c>
      <c r="B4582" t="s">
        <v>488</v>
      </c>
      <c r="C4582" t="s">
        <v>113</v>
      </c>
      <c r="D4582" t="s">
        <v>17</v>
      </c>
      <c r="E4582" t="s">
        <v>23</v>
      </c>
      <c r="F4582" t="s">
        <v>1072</v>
      </c>
      <c r="G4582">
        <v>866542184</v>
      </c>
      <c r="H4582" t="s">
        <v>946</v>
      </c>
      <c r="I4582">
        <v>7944</v>
      </c>
      <c r="J4582">
        <v>154.06</v>
      </c>
      <c r="K4582">
        <v>90.93</v>
      </c>
      <c r="L4582">
        <v>1223852.6399999999</v>
      </c>
      <c r="M4582">
        <v>722347.92</v>
      </c>
      <c r="N4582">
        <v>501504.72</v>
      </c>
    </row>
    <row r="4583" spans="1:14" x14ac:dyDescent="0.25">
      <c r="A4583" t="s">
        <v>42</v>
      </c>
      <c r="B4583" t="s">
        <v>552</v>
      </c>
      <c r="C4583" t="s">
        <v>55</v>
      </c>
      <c r="D4583" t="s">
        <v>17</v>
      </c>
      <c r="E4583" t="s">
        <v>45</v>
      </c>
      <c r="F4583" t="s">
        <v>1842</v>
      </c>
      <c r="G4583">
        <v>680715739</v>
      </c>
      <c r="H4583" s="1">
        <v>41458</v>
      </c>
      <c r="I4583">
        <v>7769</v>
      </c>
      <c r="J4583">
        <v>651.21</v>
      </c>
      <c r="K4583">
        <v>524.96</v>
      </c>
      <c r="L4583">
        <v>5059250.49</v>
      </c>
      <c r="M4583">
        <v>4078414.24</v>
      </c>
      <c r="N4583">
        <v>980836.25</v>
      </c>
    </row>
    <row r="4584" spans="1:14" x14ac:dyDescent="0.25">
      <c r="A4584" t="s">
        <v>42</v>
      </c>
      <c r="B4584" t="s">
        <v>90</v>
      </c>
      <c r="C4584" t="s">
        <v>16</v>
      </c>
      <c r="D4584" t="s">
        <v>22</v>
      </c>
      <c r="E4584" t="s">
        <v>23</v>
      </c>
      <c r="F4584" t="s">
        <v>958</v>
      </c>
      <c r="G4584">
        <v>822240674</v>
      </c>
      <c r="H4584" t="s">
        <v>659</v>
      </c>
      <c r="I4584">
        <v>8142</v>
      </c>
      <c r="J4584">
        <v>255.28</v>
      </c>
      <c r="K4584">
        <v>159.41999999999999</v>
      </c>
      <c r="L4584">
        <v>2078489.76</v>
      </c>
      <c r="M4584">
        <v>1297997.6399999999</v>
      </c>
      <c r="N4584">
        <v>780492.12</v>
      </c>
    </row>
    <row r="4585" spans="1:14" x14ac:dyDescent="0.25">
      <c r="A4585" t="s">
        <v>38</v>
      </c>
      <c r="B4585" t="s">
        <v>329</v>
      </c>
      <c r="C4585" t="s">
        <v>16</v>
      </c>
      <c r="D4585" t="s">
        <v>22</v>
      </c>
      <c r="E4585" t="s">
        <v>32</v>
      </c>
      <c r="F4585" t="s">
        <v>1455</v>
      </c>
      <c r="G4585">
        <v>528665816</v>
      </c>
      <c r="H4585" t="s">
        <v>706</v>
      </c>
      <c r="I4585">
        <v>2818</v>
      </c>
      <c r="J4585">
        <v>255.28</v>
      </c>
      <c r="K4585">
        <v>159.41999999999999</v>
      </c>
      <c r="L4585">
        <v>719379.04</v>
      </c>
      <c r="M4585">
        <v>449245.56</v>
      </c>
      <c r="N4585">
        <v>270133.48</v>
      </c>
    </row>
    <row r="4586" spans="1:14" x14ac:dyDescent="0.25">
      <c r="A4586" t="s">
        <v>42</v>
      </c>
      <c r="B4586" t="s">
        <v>565</v>
      </c>
      <c r="C4586" t="s">
        <v>59</v>
      </c>
      <c r="D4586" t="s">
        <v>22</v>
      </c>
      <c r="E4586" t="s">
        <v>23</v>
      </c>
      <c r="F4586" t="s">
        <v>1272</v>
      </c>
      <c r="G4586">
        <v>457852494</v>
      </c>
      <c r="H4586" s="1">
        <v>41283</v>
      </c>
      <c r="I4586">
        <v>7582</v>
      </c>
      <c r="J4586">
        <v>437.2</v>
      </c>
      <c r="K4586">
        <v>263.33</v>
      </c>
      <c r="L4586">
        <v>3314850.4</v>
      </c>
      <c r="M4586">
        <v>1996568.06</v>
      </c>
      <c r="N4586">
        <v>1318282.3400000001</v>
      </c>
    </row>
    <row r="4587" spans="1:14" x14ac:dyDescent="0.25">
      <c r="A4587" t="s">
        <v>42</v>
      </c>
      <c r="B4587" t="s">
        <v>290</v>
      </c>
      <c r="C4587" t="s">
        <v>88</v>
      </c>
      <c r="D4587" t="s">
        <v>17</v>
      </c>
      <c r="E4587" t="s">
        <v>18</v>
      </c>
      <c r="F4587" s="1">
        <v>40975</v>
      </c>
      <c r="G4587">
        <v>437974536</v>
      </c>
      <c r="H4587" s="1">
        <v>41189</v>
      </c>
      <c r="I4587">
        <v>5253</v>
      </c>
      <c r="J4587">
        <v>9.33</v>
      </c>
      <c r="K4587">
        <v>6.92</v>
      </c>
      <c r="L4587">
        <v>49010.49</v>
      </c>
      <c r="M4587">
        <v>36350.76</v>
      </c>
      <c r="N4587">
        <v>12659.73</v>
      </c>
    </row>
    <row r="4588" spans="1:14" x14ac:dyDescent="0.25">
      <c r="A4588" t="s">
        <v>42</v>
      </c>
      <c r="B4588" t="s">
        <v>290</v>
      </c>
      <c r="C4588" t="s">
        <v>131</v>
      </c>
      <c r="D4588" t="s">
        <v>22</v>
      </c>
      <c r="E4588" t="s">
        <v>23</v>
      </c>
      <c r="F4588" t="s">
        <v>519</v>
      </c>
      <c r="G4588">
        <v>817518270</v>
      </c>
      <c r="H4588" t="s">
        <v>1549</v>
      </c>
      <c r="I4588">
        <v>678</v>
      </c>
      <c r="J4588">
        <v>668.27</v>
      </c>
      <c r="K4588">
        <v>502.54</v>
      </c>
      <c r="L4588">
        <v>453087.06</v>
      </c>
      <c r="M4588">
        <v>340722.12</v>
      </c>
      <c r="N4588">
        <v>112364.94</v>
      </c>
    </row>
    <row r="4589" spans="1:14" x14ac:dyDescent="0.25">
      <c r="A4589" t="s">
        <v>42</v>
      </c>
      <c r="B4589" t="s">
        <v>290</v>
      </c>
      <c r="C4589" t="s">
        <v>31</v>
      </c>
      <c r="D4589" t="s">
        <v>22</v>
      </c>
      <c r="E4589" t="s">
        <v>23</v>
      </c>
      <c r="F4589" t="s">
        <v>961</v>
      </c>
      <c r="G4589">
        <v>215282523</v>
      </c>
      <c r="H4589" s="1">
        <v>40394</v>
      </c>
      <c r="I4589">
        <v>5738</v>
      </c>
      <c r="J4589">
        <v>205.7</v>
      </c>
      <c r="K4589">
        <v>117.11</v>
      </c>
      <c r="L4589">
        <v>1180306.6000000001</v>
      </c>
      <c r="M4589">
        <v>671977.18</v>
      </c>
      <c r="N4589">
        <v>508329.42</v>
      </c>
    </row>
    <row r="4590" spans="1:14" x14ac:dyDescent="0.25">
      <c r="A4590" t="s">
        <v>42</v>
      </c>
      <c r="B4590" t="s">
        <v>361</v>
      </c>
      <c r="C4590" t="s">
        <v>44</v>
      </c>
      <c r="D4590" t="s">
        <v>22</v>
      </c>
      <c r="E4590" t="s">
        <v>32</v>
      </c>
      <c r="F4590" s="1">
        <v>41040</v>
      </c>
      <c r="G4590">
        <v>470378625</v>
      </c>
      <c r="H4590" s="1">
        <v>41071</v>
      </c>
      <c r="I4590">
        <v>4343</v>
      </c>
      <c r="J4590">
        <v>109.28</v>
      </c>
      <c r="K4590">
        <v>35.840000000000003</v>
      </c>
      <c r="L4590">
        <v>474603.04</v>
      </c>
      <c r="M4590">
        <v>155653.12</v>
      </c>
      <c r="N4590">
        <v>318949.92</v>
      </c>
    </row>
    <row r="4591" spans="1:14" x14ac:dyDescent="0.25">
      <c r="A4591" t="s">
        <v>29</v>
      </c>
      <c r="B4591" t="s">
        <v>338</v>
      </c>
      <c r="C4591" t="s">
        <v>59</v>
      </c>
      <c r="D4591" t="s">
        <v>17</v>
      </c>
      <c r="E4591" t="s">
        <v>18</v>
      </c>
      <c r="F4591" s="1">
        <v>41400</v>
      </c>
      <c r="G4591">
        <v>792230403</v>
      </c>
      <c r="H4591" s="1">
        <v>41554</v>
      </c>
      <c r="I4591">
        <v>7436</v>
      </c>
      <c r="J4591">
        <v>437.2</v>
      </c>
      <c r="K4591">
        <v>263.33</v>
      </c>
      <c r="L4591">
        <v>3251019.2</v>
      </c>
      <c r="M4591">
        <v>1958121.88</v>
      </c>
      <c r="N4591">
        <v>1292897.32</v>
      </c>
    </row>
    <row r="4592" spans="1:14" x14ac:dyDescent="0.25">
      <c r="A4592" t="s">
        <v>51</v>
      </c>
      <c r="B4592" t="s">
        <v>129</v>
      </c>
      <c r="C4592" t="s">
        <v>40</v>
      </c>
      <c r="D4592" t="s">
        <v>17</v>
      </c>
      <c r="E4592" t="s">
        <v>45</v>
      </c>
      <c r="F4592" s="1">
        <v>42528</v>
      </c>
      <c r="G4592">
        <v>910574185</v>
      </c>
      <c r="H4592" s="1">
        <v>42712</v>
      </c>
      <c r="I4592">
        <v>7991</v>
      </c>
      <c r="J4592">
        <v>81.73</v>
      </c>
      <c r="K4592">
        <v>56.67</v>
      </c>
      <c r="L4592">
        <v>653104.43000000005</v>
      </c>
      <c r="M4592">
        <v>452849.97</v>
      </c>
      <c r="N4592">
        <v>200254.46</v>
      </c>
    </row>
    <row r="4593" spans="1:14" x14ac:dyDescent="0.25">
      <c r="A4593" t="s">
        <v>14</v>
      </c>
      <c r="B4593" t="s">
        <v>488</v>
      </c>
      <c r="C4593" t="s">
        <v>88</v>
      </c>
      <c r="D4593" t="s">
        <v>22</v>
      </c>
      <c r="E4593" t="s">
        <v>23</v>
      </c>
      <c r="F4593" s="1">
        <v>42618</v>
      </c>
      <c r="G4593">
        <v>625458800</v>
      </c>
      <c r="H4593" t="s">
        <v>1715</v>
      </c>
      <c r="I4593">
        <v>6013</v>
      </c>
      <c r="J4593">
        <v>9.33</v>
      </c>
      <c r="K4593">
        <v>6.92</v>
      </c>
      <c r="L4593">
        <v>56101.29</v>
      </c>
      <c r="M4593">
        <v>41609.96</v>
      </c>
      <c r="N4593">
        <v>14491.33</v>
      </c>
    </row>
    <row r="4594" spans="1:14" x14ac:dyDescent="0.25">
      <c r="A4594" t="s">
        <v>42</v>
      </c>
      <c r="B4594" t="s">
        <v>552</v>
      </c>
      <c r="C4594" t="s">
        <v>59</v>
      </c>
      <c r="D4594" t="s">
        <v>17</v>
      </c>
      <c r="E4594" t="s">
        <v>32</v>
      </c>
      <c r="F4594" s="1">
        <v>42015</v>
      </c>
      <c r="G4594">
        <v>257245576</v>
      </c>
      <c r="H4594" t="s">
        <v>1167</v>
      </c>
      <c r="I4594">
        <v>3537</v>
      </c>
      <c r="J4594">
        <v>437.2</v>
      </c>
      <c r="K4594">
        <v>263.33</v>
      </c>
      <c r="L4594">
        <v>1546376.4</v>
      </c>
      <c r="M4594">
        <v>931398.21</v>
      </c>
      <c r="N4594">
        <v>614978.18999999994</v>
      </c>
    </row>
    <row r="4595" spans="1:14" x14ac:dyDescent="0.25">
      <c r="A4595" t="s">
        <v>51</v>
      </c>
      <c r="B4595" t="s">
        <v>308</v>
      </c>
      <c r="C4595" t="s">
        <v>69</v>
      </c>
      <c r="D4595" t="s">
        <v>17</v>
      </c>
      <c r="E4595" t="s">
        <v>45</v>
      </c>
      <c r="F4595" t="s">
        <v>1052</v>
      </c>
      <c r="G4595">
        <v>196608340</v>
      </c>
      <c r="H4595" t="s">
        <v>217</v>
      </c>
      <c r="I4595">
        <v>9632</v>
      </c>
      <c r="J4595">
        <v>421.89</v>
      </c>
      <c r="K4595">
        <v>364.69</v>
      </c>
      <c r="L4595">
        <v>4063644.48</v>
      </c>
      <c r="M4595">
        <v>3512694.08</v>
      </c>
      <c r="N4595">
        <v>550950.40000000002</v>
      </c>
    </row>
    <row r="4596" spans="1:14" x14ac:dyDescent="0.25">
      <c r="A4596" t="s">
        <v>51</v>
      </c>
      <c r="B4596" t="s">
        <v>299</v>
      </c>
      <c r="C4596" t="s">
        <v>31</v>
      </c>
      <c r="D4596" t="s">
        <v>17</v>
      </c>
      <c r="E4596" t="s">
        <v>18</v>
      </c>
      <c r="F4596" t="s">
        <v>1099</v>
      </c>
      <c r="G4596">
        <v>454533421</v>
      </c>
      <c r="H4596" t="s">
        <v>1303</v>
      </c>
      <c r="I4596">
        <v>5395</v>
      </c>
      <c r="J4596">
        <v>205.7</v>
      </c>
      <c r="K4596">
        <v>117.11</v>
      </c>
      <c r="L4596">
        <v>1109751.5</v>
      </c>
      <c r="M4596">
        <v>631808.44999999995</v>
      </c>
      <c r="N4596">
        <v>477943.05</v>
      </c>
    </row>
    <row r="4597" spans="1:14" x14ac:dyDescent="0.25">
      <c r="A4597" t="s">
        <v>25</v>
      </c>
      <c r="B4597" t="s">
        <v>458</v>
      </c>
      <c r="C4597" t="s">
        <v>27</v>
      </c>
      <c r="D4597" t="s">
        <v>22</v>
      </c>
      <c r="E4597" t="s">
        <v>32</v>
      </c>
      <c r="F4597" t="s">
        <v>1676</v>
      </c>
      <c r="G4597">
        <v>212319648</v>
      </c>
      <c r="H4597" t="s">
        <v>1576</v>
      </c>
      <c r="I4597">
        <v>8957</v>
      </c>
      <c r="J4597">
        <v>47.45</v>
      </c>
      <c r="K4597">
        <v>31.79</v>
      </c>
      <c r="L4597">
        <v>425009.65</v>
      </c>
      <c r="M4597">
        <v>284743.03000000003</v>
      </c>
      <c r="N4597">
        <v>140266.62</v>
      </c>
    </row>
    <row r="4598" spans="1:14" x14ac:dyDescent="0.25">
      <c r="A4598" t="s">
        <v>25</v>
      </c>
      <c r="B4598" t="s">
        <v>256</v>
      </c>
      <c r="C4598" t="s">
        <v>131</v>
      </c>
      <c r="D4598" t="s">
        <v>17</v>
      </c>
      <c r="E4598" t="s">
        <v>32</v>
      </c>
      <c r="F4598" t="s">
        <v>401</v>
      </c>
      <c r="G4598">
        <v>971578347</v>
      </c>
      <c r="H4598" t="s">
        <v>1530</v>
      </c>
      <c r="I4598">
        <v>478</v>
      </c>
      <c r="J4598">
        <v>668.27</v>
      </c>
      <c r="K4598">
        <v>502.54</v>
      </c>
      <c r="L4598">
        <v>319433.06</v>
      </c>
      <c r="M4598">
        <v>240214.12</v>
      </c>
      <c r="N4598">
        <v>79218.94</v>
      </c>
    </row>
    <row r="4599" spans="1:14" x14ac:dyDescent="0.25">
      <c r="A4599" t="s">
        <v>25</v>
      </c>
      <c r="B4599" t="s">
        <v>469</v>
      </c>
      <c r="C4599" t="s">
        <v>88</v>
      </c>
      <c r="D4599" t="s">
        <v>22</v>
      </c>
      <c r="E4599" t="s">
        <v>32</v>
      </c>
      <c r="F4599" t="s">
        <v>927</v>
      </c>
      <c r="G4599">
        <v>704233348</v>
      </c>
      <c r="H4599" t="s">
        <v>808</v>
      </c>
      <c r="I4599">
        <v>7152</v>
      </c>
      <c r="J4599">
        <v>9.33</v>
      </c>
      <c r="K4599">
        <v>6.92</v>
      </c>
      <c r="L4599">
        <v>66728.160000000003</v>
      </c>
      <c r="M4599">
        <v>49491.839999999997</v>
      </c>
      <c r="N4599">
        <v>17236.32</v>
      </c>
    </row>
    <row r="4600" spans="1:14" x14ac:dyDescent="0.25">
      <c r="A4600" t="s">
        <v>14</v>
      </c>
      <c r="B4600" t="s">
        <v>372</v>
      </c>
      <c r="C4600" t="s">
        <v>59</v>
      </c>
      <c r="D4600" t="s">
        <v>17</v>
      </c>
      <c r="E4600" t="s">
        <v>23</v>
      </c>
      <c r="F4600" t="s">
        <v>1567</v>
      </c>
      <c r="G4600">
        <v>602520978</v>
      </c>
      <c r="H4600" t="s">
        <v>408</v>
      </c>
      <c r="I4600">
        <v>8202</v>
      </c>
      <c r="J4600">
        <v>437.2</v>
      </c>
      <c r="K4600">
        <v>263.33</v>
      </c>
      <c r="L4600">
        <v>3585914.4</v>
      </c>
      <c r="M4600">
        <v>2159832.66</v>
      </c>
      <c r="N4600">
        <v>1426081.74</v>
      </c>
    </row>
    <row r="4601" spans="1:14" x14ac:dyDescent="0.25">
      <c r="A4601" t="s">
        <v>51</v>
      </c>
      <c r="B4601" t="s">
        <v>327</v>
      </c>
      <c r="C4601" t="s">
        <v>59</v>
      </c>
      <c r="D4601" t="s">
        <v>17</v>
      </c>
      <c r="E4601" t="s">
        <v>45</v>
      </c>
      <c r="F4601" s="1">
        <v>41699</v>
      </c>
      <c r="G4601">
        <v>128990066</v>
      </c>
      <c r="H4601" t="s">
        <v>996</v>
      </c>
      <c r="I4601">
        <v>9882</v>
      </c>
      <c r="J4601">
        <v>437.2</v>
      </c>
      <c r="K4601">
        <v>263.33</v>
      </c>
      <c r="L4601">
        <v>4320410.4000000004</v>
      </c>
      <c r="M4601">
        <v>2602227.06</v>
      </c>
      <c r="N4601">
        <v>1718183.34</v>
      </c>
    </row>
    <row r="4602" spans="1:14" x14ac:dyDescent="0.25">
      <c r="A4602" t="s">
        <v>51</v>
      </c>
      <c r="B4602" t="s">
        <v>575</v>
      </c>
      <c r="C4602" t="s">
        <v>69</v>
      </c>
      <c r="D4602" t="s">
        <v>17</v>
      </c>
      <c r="E4602" t="s">
        <v>45</v>
      </c>
      <c r="F4602" s="1">
        <v>42341</v>
      </c>
      <c r="G4602">
        <v>166501939</v>
      </c>
      <c r="H4602" t="s">
        <v>682</v>
      </c>
      <c r="I4602">
        <v>479</v>
      </c>
      <c r="J4602">
        <v>421.89</v>
      </c>
      <c r="K4602">
        <v>364.69</v>
      </c>
      <c r="L4602">
        <v>202085.31</v>
      </c>
      <c r="M4602">
        <v>174686.51</v>
      </c>
      <c r="N4602">
        <v>27398.799999999999</v>
      </c>
    </row>
    <row r="4603" spans="1:14" x14ac:dyDescent="0.25">
      <c r="A4603" t="s">
        <v>25</v>
      </c>
      <c r="B4603" t="s">
        <v>74</v>
      </c>
      <c r="C4603" t="s">
        <v>21</v>
      </c>
      <c r="D4603" t="s">
        <v>17</v>
      </c>
      <c r="E4603" t="s">
        <v>23</v>
      </c>
      <c r="F4603" t="s">
        <v>1664</v>
      </c>
      <c r="G4603">
        <v>768230426</v>
      </c>
      <c r="H4603" t="s">
        <v>1033</v>
      </c>
      <c r="I4603">
        <v>5310</v>
      </c>
      <c r="J4603">
        <v>152.58000000000001</v>
      </c>
      <c r="K4603">
        <v>97.44</v>
      </c>
      <c r="L4603">
        <v>810199.8</v>
      </c>
      <c r="M4603">
        <v>517406.4</v>
      </c>
      <c r="N4603">
        <v>292793.40000000002</v>
      </c>
    </row>
    <row r="4604" spans="1:14" x14ac:dyDescent="0.25">
      <c r="A4604" t="s">
        <v>25</v>
      </c>
      <c r="B4604" t="s">
        <v>112</v>
      </c>
      <c r="C4604" t="s">
        <v>88</v>
      </c>
      <c r="D4604" t="s">
        <v>22</v>
      </c>
      <c r="E4604" t="s">
        <v>18</v>
      </c>
      <c r="F4604" t="s">
        <v>145</v>
      </c>
      <c r="G4604">
        <v>707661855</v>
      </c>
      <c r="H4604" t="s">
        <v>1249</v>
      </c>
      <c r="I4604">
        <v>1723</v>
      </c>
      <c r="J4604">
        <v>9.33</v>
      </c>
      <c r="K4604">
        <v>6.92</v>
      </c>
      <c r="L4604">
        <v>16075.59</v>
      </c>
      <c r="M4604">
        <v>11923.16</v>
      </c>
      <c r="N4604">
        <v>4152.43</v>
      </c>
    </row>
    <row r="4605" spans="1:14" x14ac:dyDescent="0.25">
      <c r="A4605" t="s">
        <v>25</v>
      </c>
      <c r="B4605" t="s">
        <v>343</v>
      </c>
      <c r="C4605" t="s">
        <v>88</v>
      </c>
      <c r="D4605" t="s">
        <v>22</v>
      </c>
      <c r="E4605" t="s">
        <v>18</v>
      </c>
      <c r="F4605" s="1">
        <v>40764</v>
      </c>
      <c r="G4605">
        <v>628595054</v>
      </c>
      <c r="H4605" t="s">
        <v>995</v>
      </c>
      <c r="I4605">
        <v>4100</v>
      </c>
      <c r="J4605">
        <v>9.33</v>
      </c>
      <c r="K4605">
        <v>6.92</v>
      </c>
      <c r="L4605">
        <v>38253</v>
      </c>
      <c r="M4605">
        <v>28372</v>
      </c>
      <c r="N4605">
        <v>9881</v>
      </c>
    </row>
    <row r="4606" spans="1:14" x14ac:dyDescent="0.25">
      <c r="A4606" t="s">
        <v>25</v>
      </c>
      <c r="B4606" t="s">
        <v>462</v>
      </c>
      <c r="C4606" t="s">
        <v>27</v>
      </c>
      <c r="D4606" t="s">
        <v>22</v>
      </c>
      <c r="E4606" t="s">
        <v>45</v>
      </c>
      <c r="F4606" t="s">
        <v>570</v>
      </c>
      <c r="G4606">
        <v>795141351</v>
      </c>
      <c r="H4606" t="s">
        <v>1639</v>
      </c>
      <c r="I4606">
        <v>8850</v>
      </c>
      <c r="J4606">
        <v>47.45</v>
      </c>
      <c r="K4606">
        <v>31.79</v>
      </c>
      <c r="L4606">
        <v>419932.5</v>
      </c>
      <c r="M4606">
        <v>281341.5</v>
      </c>
      <c r="N4606">
        <v>138591</v>
      </c>
    </row>
    <row r="4607" spans="1:14" x14ac:dyDescent="0.25">
      <c r="A4607" t="s">
        <v>42</v>
      </c>
      <c r="B4607" t="s">
        <v>150</v>
      </c>
      <c r="C4607" t="s">
        <v>113</v>
      </c>
      <c r="D4607" t="s">
        <v>22</v>
      </c>
      <c r="E4607" t="s">
        <v>23</v>
      </c>
      <c r="F4607" s="1">
        <v>40181</v>
      </c>
      <c r="G4607">
        <v>641724574</v>
      </c>
      <c r="H4607" t="s">
        <v>1640</v>
      </c>
      <c r="I4607">
        <v>9417</v>
      </c>
      <c r="J4607">
        <v>154.06</v>
      </c>
      <c r="K4607">
        <v>90.93</v>
      </c>
      <c r="L4607">
        <v>1450783.02</v>
      </c>
      <c r="M4607">
        <v>856287.81</v>
      </c>
      <c r="N4607">
        <v>594495.21</v>
      </c>
    </row>
    <row r="4608" spans="1:14" x14ac:dyDescent="0.25">
      <c r="A4608" t="s">
        <v>51</v>
      </c>
      <c r="B4608" t="s">
        <v>115</v>
      </c>
      <c r="C4608" t="s">
        <v>69</v>
      </c>
      <c r="D4608" t="s">
        <v>22</v>
      </c>
      <c r="E4608" t="s">
        <v>45</v>
      </c>
      <c r="F4608" t="s">
        <v>978</v>
      </c>
      <c r="G4608">
        <v>123081052</v>
      </c>
      <c r="H4608" s="1">
        <v>40247</v>
      </c>
      <c r="I4608">
        <v>1273</v>
      </c>
      <c r="J4608">
        <v>421.89</v>
      </c>
      <c r="K4608">
        <v>364.69</v>
      </c>
      <c r="L4608">
        <v>537065.97</v>
      </c>
      <c r="M4608">
        <v>464250.37</v>
      </c>
      <c r="N4608">
        <v>72815.600000000006</v>
      </c>
    </row>
    <row r="4609" spans="1:14" x14ac:dyDescent="0.25">
      <c r="A4609" t="s">
        <v>25</v>
      </c>
      <c r="B4609" t="s">
        <v>140</v>
      </c>
      <c r="C4609" t="s">
        <v>69</v>
      </c>
      <c r="D4609" t="s">
        <v>22</v>
      </c>
      <c r="E4609" t="s">
        <v>18</v>
      </c>
      <c r="F4609" t="s">
        <v>1760</v>
      </c>
      <c r="G4609">
        <v>164259612</v>
      </c>
      <c r="H4609" t="s">
        <v>1621</v>
      </c>
      <c r="I4609">
        <v>6924</v>
      </c>
      <c r="J4609">
        <v>421.89</v>
      </c>
      <c r="K4609">
        <v>364.69</v>
      </c>
      <c r="L4609">
        <v>2921166.36</v>
      </c>
      <c r="M4609">
        <v>2525113.56</v>
      </c>
      <c r="N4609">
        <v>396052.8</v>
      </c>
    </row>
    <row r="4610" spans="1:14" x14ac:dyDescent="0.25">
      <c r="A4610" t="s">
        <v>14</v>
      </c>
      <c r="B4610" t="s">
        <v>372</v>
      </c>
      <c r="C4610" t="s">
        <v>16</v>
      </c>
      <c r="D4610" t="s">
        <v>17</v>
      </c>
      <c r="E4610" t="s">
        <v>45</v>
      </c>
      <c r="F4610" s="1">
        <v>41586</v>
      </c>
      <c r="G4610">
        <v>410621583</v>
      </c>
      <c r="H4610" s="1">
        <v>41434</v>
      </c>
      <c r="I4610">
        <v>906</v>
      </c>
      <c r="J4610">
        <v>255.28</v>
      </c>
      <c r="K4610">
        <v>159.41999999999999</v>
      </c>
      <c r="L4610">
        <v>231283.68</v>
      </c>
      <c r="M4610">
        <v>144434.51999999999</v>
      </c>
      <c r="N4610">
        <v>86849.16</v>
      </c>
    </row>
    <row r="4611" spans="1:14" x14ac:dyDescent="0.25">
      <c r="A4611" t="s">
        <v>51</v>
      </c>
      <c r="B4611" t="s">
        <v>525</v>
      </c>
      <c r="C4611" t="s">
        <v>16</v>
      </c>
      <c r="D4611" t="s">
        <v>17</v>
      </c>
      <c r="E4611" t="s">
        <v>32</v>
      </c>
      <c r="F4611" s="1">
        <v>42010</v>
      </c>
      <c r="G4611">
        <v>577840793</v>
      </c>
      <c r="H4611" s="1">
        <v>42254</v>
      </c>
      <c r="I4611">
        <v>4786</v>
      </c>
      <c r="J4611">
        <v>255.28</v>
      </c>
      <c r="K4611">
        <v>159.41999999999999</v>
      </c>
      <c r="L4611">
        <v>1221770.08</v>
      </c>
      <c r="M4611">
        <v>762984.12</v>
      </c>
      <c r="N4611">
        <v>458785.96</v>
      </c>
    </row>
    <row r="4612" spans="1:14" x14ac:dyDescent="0.25">
      <c r="A4612" t="s">
        <v>51</v>
      </c>
      <c r="B4612" t="s">
        <v>367</v>
      </c>
      <c r="C4612" t="s">
        <v>31</v>
      </c>
      <c r="D4612" t="s">
        <v>17</v>
      </c>
      <c r="E4612" t="s">
        <v>45</v>
      </c>
      <c r="F4612" s="1">
        <v>42646</v>
      </c>
      <c r="G4612">
        <v>901903569</v>
      </c>
      <c r="H4612" t="s">
        <v>1000</v>
      </c>
      <c r="I4612">
        <v>2163</v>
      </c>
      <c r="J4612">
        <v>205.7</v>
      </c>
      <c r="K4612">
        <v>117.11</v>
      </c>
      <c r="L4612">
        <v>444929.1</v>
      </c>
      <c r="M4612">
        <v>253308.93</v>
      </c>
      <c r="N4612">
        <v>191620.17</v>
      </c>
    </row>
    <row r="4613" spans="1:14" x14ac:dyDescent="0.25">
      <c r="A4613" t="s">
        <v>29</v>
      </c>
      <c r="B4613" t="s">
        <v>206</v>
      </c>
      <c r="C4613" t="s">
        <v>16</v>
      </c>
      <c r="D4613" t="s">
        <v>17</v>
      </c>
      <c r="E4613" t="s">
        <v>18</v>
      </c>
      <c r="F4613" s="1">
        <v>42374</v>
      </c>
      <c r="G4613">
        <v>789108741</v>
      </c>
      <c r="H4613" t="s">
        <v>709</v>
      </c>
      <c r="I4613">
        <v>3667</v>
      </c>
      <c r="J4613">
        <v>255.28</v>
      </c>
      <c r="K4613">
        <v>159.41999999999999</v>
      </c>
      <c r="L4613">
        <v>936111.76</v>
      </c>
      <c r="M4613">
        <v>584593.14</v>
      </c>
      <c r="N4613">
        <v>351518.62</v>
      </c>
    </row>
    <row r="4614" spans="1:14" x14ac:dyDescent="0.25">
      <c r="A4614" t="s">
        <v>42</v>
      </c>
      <c r="B4614" t="s">
        <v>630</v>
      </c>
      <c r="C4614" t="s">
        <v>31</v>
      </c>
      <c r="D4614" t="s">
        <v>22</v>
      </c>
      <c r="E4614" t="s">
        <v>32</v>
      </c>
      <c r="F4614" t="s">
        <v>118</v>
      </c>
      <c r="G4614">
        <v>166067636</v>
      </c>
      <c r="H4614" s="1">
        <v>42772</v>
      </c>
      <c r="I4614">
        <v>1959</v>
      </c>
      <c r="J4614">
        <v>205.7</v>
      </c>
      <c r="K4614">
        <v>117.11</v>
      </c>
      <c r="L4614">
        <v>402966.3</v>
      </c>
      <c r="M4614">
        <v>229418.49</v>
      </c>
      <c r="N4614">
        <v>173547.81</v>
      </c>
    </row>
    <row r="4615" spans="1:14" x14ac:dyDescent="0.25">
      <c r="A4615" t="s">
        <v>29</v>
      </c>
      <c r="B4615" t="s">
        <v>153</v>
      </c>
      <c r="C4615" t="s">
        <v>31</v>
      </c>
      <c r="D4615" t="s">
        <v>22</v>
      </c>
      <c r="E4615" t="s">
        <v>18</v>
      </c>
      <c r="F4615" t="s">
        <v>366</v>
      </c>
      <c r="G4615">
        <v>829704082</v>
      </c>
      <c r="H4615" s="1">
        <v>40214</v>
      </c>
      <c r="I4615">
        <v>6730</v>
      </c>
      <c r="J4615">
        <v>205.7</v>
      </c>
      <c r="K4615">
        <v>117.11</v>
      </c>
      <c r="L4615">
        <v>1384361</v>
      </c>
      <c r="M4615">
        <v>788150.3</v>
      </c>
      <c r="N4615">
        <v>596210.69999999995</v>
      </c>
    </row>
    <row r="4616" spans="1:14" x14ac:dyDescent="0.25">
      <c r="A4616" t="s">
        <v>38</v>
      </c>
      <c r="B4616" t="s">
        <v>329</v>
      </c>
      <c r="C4616" t="s">
        <v>88</v>
      </c>
      <c r="D4616" t="s">
        <v>22</v>
      </c>
      <c r="E4616" t="s">
        <v>18</v>
      </c>
      <c r="F4616" t="s">
        <v>509</v>
      </c>
      <c r="G4616">
        <v>597254407</v>
      </c>
      <c r="H4616" t="s">
        <v>366</v>
      </c>
      <c r="I4616">
        <v>9706</v>
      </c>
      <c r="J4616">
        <v>9.33</v>
      </c>
      <c r="K4616">
        <v>6.92</v>
      </c>
      <c r="L4616">
        <v>90556.98</v>
      </c>
      <c r="M4616">
        <v>67165.52</v>
      </c>
      <c r="N4616">
        <v>23391.46</v>
      </c>
    </row>
    <row r="4617" spans="1:14" x14ac:dyDescent="0.25">
      <c r="A4617" t="s">
        <v>29</v>
      </c>
      <c r="B4617" t="s">
        <v>485</v>
      </c>
      <c r="C4617" t="s">
        <v>16</v>
      </c>
      <c r="D4617" t="s">
        <v>17</v>
      </c>
      <c r="E4617" t="s">
        <v>45</v>
      </c>
      <c r="F4617" t="s">
        <v>1085</v>
      </c>
      <c r="G4617">
        <v>956267440</v>
      </c>
      <c r="H4617" t="s">
        <v>450</v>
      </c>
      <c r="I4617">
        <v>9641</v>
      </c>
      <c r="J4617">
        <v>255.28</v>
      </c>
      <c r="K4617">
        <v>159.41999999999999</v>
      </c>
      <c r="L4617">
        <v>2461154.48</v>
      </c>
      <c r="M4617">
        <v>1536968.22</v>
      </c>
      <c r="N4617">
        <v>924186.26</v>
      </c>
    </row>
    <row r="4618" spans="1:14" x14ac:dyDescent="0.25">
      <c r="A4618" t="s">
        <v>51</v>
      </c>
      <c r="B4618" t="s">
        <v>664</v>
      </c>
      <c r="C4618" t="s">
        <v>55</v>
      </c>
      <c r="D4618" t="s">
        <v>17</v>
      </c>
      <c r="E4618" t="s">
        <v>23</v>
      </c>
      <c r="F4618" t="s">
        <v>913</v>
      </c>
      <c r="G4618">
        <v>314604508</v>
      </c>
      <c r="H4618" s="1">
        <v>41488</v>
      </c>
      <c r="I4618">
        <v>7320</v>
      </c>
      <c r="J4618">
        <v>651.21</v>
      </c>
      <c r="K4618">
        <v>524.96</v>
      </c>
      <c r="L4618">
        <v>4766857.2</v>
      </c>
      <c r="M4618">
        <v>3842707.2</v>
      </c>
      <c r="N4618">
        <v>924150</v>
      </c>
    </row>
    <row r="4619" spans="1:14" x14ac:dyDescent="0.25">
      <c r="A4619" t="s">
        <v>25</v>
      </c>
      <c r="B4619" t="s">
        <v>266</v>
      </c>
      <c r="C4619" t="s">
        <v>21</v>
      </c>
      <c r="D4619" t="s">
        <v>17</v>
      </c>
      <c r="E4619" t="s">
        <v>45</v>
      </c>
      <c r="F4619" t="s">
        <v>1128</v>
      </c>
      <c r="G4619">
        <v>750439441</v>
      </c>
      <c r="H4619" t="s">
        <v>1843</v>
      </c>
      <c r="I4619">
        <v>562</v>
      </c>
      <c r="J4619">
        <v>152.58000000000001</v>
      </c>
      <c r="K4619">
        <v>97.44</v>
      </c>
      <c r="L4619">
        <v>85749.96</v>
      </c>
      <c r="M4619">
        <v>54761.279999999999</v>
      </c>
      <c r="N4619">
        <v>30988.68</v>
      </c>
    </row>
    <row r="4620" spans="1:14" x14ac:dyDescent="0.25">
      <c r="A4620" t="s">
        <v>25</v>
      </c>
      <c r="B4620" t="s">
        <v>284</v>
      </c>
      <c r="C4620" t="s">
        <v>88</v>
      </c>
      <c r="D4620" t="s">
        <v>22</v>
      </c>
      <c r="E4620" t="s">
        <v>23</v>
      </c>
      <c r="F4620" t="s">
        <v>1227</v>
      </c>
      <c r="G4620">
        <v>362258565</v>
      </c>
      <c r="H4620" t="s">
        <v>1349</v>
      </c>
      <c r="I4620">
        <v>9214</v>
      </c>
      <c r="J4620">
        <v>9.33</v>
      </c>
      <c r="K4620">
        <v>6.92</v>
      </c>
      <c r="L4620">
        <v>85966.62</v>
      </c>
      <c r="M4620">
        <v>63760.88</v>
      </c>
      <c r="N4620">
        <v>22205.74</v>
      </c>
    </row>
    <row r="4621" spans="1:14" x14ac:dyDescent="0.25">
      <c r="A4621" t="s">
        <v>51</v>
      </c>
      <c r="B4621" t="s">
        <v>192</v>
      </c>
      <c r="C4621" t="s">
        <v>131</v>
      </c>
      <c r="D4621" t="s">
        <v>17</v>
      </c>
      <c r="E4621" t="s">
        <v>23</v>
      </c>
      <c r="F4621" s="1">
        <v>42583</v>
      </c>
      <c r="G4621">
        <v>918860709</v>
      </c>
      <c r="H4621" t="s">
        <v>757</v>
      </c>
      <c r="I4621">
        <v>158</v>
      </c>
      <c r="J4621">
        <v>668.27</v>
      </c>
      <c r="K4621">
        <v>502.54</v>
      </c>
      <c r="L4621">
        <v>105586.66</v>
      </c>
      <c r="M4621">
        <v>79401.320000000007</v>
      </c>
      <c r="N4621">
        <v>26185.34</v>
      </c>
    </row>
    <row r="4622" spans="1:14" x14ac:dyDescent="0.25">
      <c r="A4622" t="s">
        <v>25</v>
      </c>
      <c r="B4622" t="s">
        <v>569</v>
      </c>
      <c r="C4622" t="s">
        <v>31</v>
      </c>
      <c r="D4622" t="s">
        <v>17</v>
      </c>
      <c r="E4622" t="s">
        <v>45</v>
      </c>
      <c r="F4622" t="s">
        <v>1502</v>
      </c>
      <c r="G4622">
        <v>209357202</v>
      </c>
      <c r="H4622" t="s">
        <v>932</v>
      </c>
      <c r="I4622">
        <v>2303</v>
      </c>
      <c r="J4622">
        <v>205.7</v>
      </c>
      <c r="K4622">
        <v>117.11</v>
      </c>
      <c r="L4622">
        <v>473727.1</v>
      </c>
      <c r="M4622">
        <v>269704.33</v>
      </c>
      <c r="N4622">
        <v>204022.77</v>
      </c>
    </row>
    <row r="4623" spans="1:14" x14ac:dyDescent="0.25">
      <c r="A4623" t="s">
        <v>29</v>
      </c>
      <c r="B4623" t="s">
        <v>338</v>
      </c>
      <c r="C4623" t="s">
        <v>55</v>
      </c>
      <c r="D4623" t="s">
        <v>17</v>
      </c>
      <c r="E4623" t="s">
        <v>32</v>
      </c>
      <c r="F4623" t="s">
        <v>1433</v>
      </c>
      <c r="G4623">
        <v>593171870</v>
      </c>
      <c r="H4623" s="1">
        <v>40642</v>
      </c>
      <c r="I4623">
        <v>1593</v>
      </c>
      <c r="J4623">
        <v>651.21</v>
      </c>
      <c r="K4623">
        <v>524.96</v>
      </c>
      <c r="L4623">
        <v>1037377.53</v>
      </c>
      <c r="M4623">
        <v>836261.28</v>
      </c>
      <c r="N4623">
        <v>201116.25</v>
      </c>
    </row>
    <row r="4624" spans="1:14" x14ac:dyDescent="0.25">
      <c r="A4624" t="s">
        <v>25</v>
      </c>
      <c r="B4624" t="s">
        <v>211</v>
      </c>
      <c r="C4624" t="s">
        <v>59</v>
      </c>
      <c r="D4624" t="s">
        <v>22</v>
      </c>
      <c r="E4624" t="s">
        <v>32</v>
      </c>
      <c r="F4624" t="s">
        <v>646</v>
      </c>
      <c r="G4624">
        <v>450041043</v>
      </c>
      <c r="H4624" t="s">
        <v>1469</v>
      </c>
      <c r="I4624">
        <v>6000</v>
      </c>
      <c r="J4624">
        <v>437.2</v>
      </c>
      <c r="K4624">
        <v>263.33</v>
      </c>
      <c r="L4624">
        <v>2623200</v>
      </c>
      <c r="M4624">
        <v>1579980</v>
      </c>
      <c r="N4624">
        <v>1043220</v>
      </c>
    </row>
    <row r="4625" spans="1:14" x14ac:dyDescent="0.25">
      <c r="A4625" t="s">
        <v>14</v>
      </c>
      <c r="B4625" t="s">
        <v>94</v>
      </c>
      <c r="C4625" t="s">
        <v>55</v>
      </c>
      <c r="D4625" t="s">
        <v>22</v>
      </c>
      <c r="E4625" t="s">
        <v>32</v>
      </c>
      <c r="F4625" s="1">
        <v>41367</v>
      </c>
      <c r="G4625">
        <v>930013549</v>
      </c>
      <c r="H4625" s="1">
        <v>41458</v>
      </c>
      <c r="I4625">
        <v>531</v>
      </c>
      <c r="J4625">
        <v>651.21</v>
      </c>
      <c r="K4625">
        <v>524.96</v>
      </c>
      <c r="L4625">
        <v>345792.51</v>
      </c>
      <c r="M4625">
        <v>278753.76</v>
      </c>
      <c r="N4625">
        <v>67038.75</v>
      </c>
    </row>
    <row r="4626" spans="1:14" x14ac:dyDescent="0.25">
      <c r="A4626" t="s">
        <v>25</v>
      </c>
      <c r="B4626" t="s">
        <v>569</v>
      </c>
      <c r="C4626" t="s">
        <v>55</v>
      </c>
      <c r="D4626" t="s">
        <v>17</v>
      </c>
      <c r="E4626" t="s">
        <v>45</v>
      </c>
      <c r="F4626" t="s">
        <v>1339</v>
      </c>
      <c r="G4626">
        <v>103450715</v>
      </c>
      <c r="H4626" t="s">
        <v>1571</v>
      </c>
      <c r="I4626">
        <v>2220</v>
      </c>
      <c r="J4626">
        <v>651.21</v>
      </c>
      <c r="K4626">
        <v>524.96</v>
      </c>
      <c r="L4626">
        <v>1445686.2</v>
      </c>
      <c r="M4626">
        <v>1165411.2</v>
      </c>
      <c r="N4626">
        <v>280275</v>
      </c>
    </row>
    <row r="4627" spans="1:14" x14ac:dyDescent="0.25">
      <c r="A4627" t="s">
        <v>14</v>
      </c>
      <c r="B4627" t="s">
        <v>94</v>
      </c>
      <c r="C4627" t="s">
        <v>16</v>
      </c>
      <c r="D4627" t="s">
        <v>17</v>
      </c>
      <c r="E4627" t="s">
        <v>45</v>
      </c>
      <c r="F4627" s="1">
        <v>42530</v>
      </c>
      <c r="G4627">
        <v>611026370</v>
      </c>
      <c r="H4627" s="1">
        <v>42560</v>
      </c>
      <c r="I4627">
        <v>5136</v>
      </c>
      <c r="J4627">
        <v>255.28</v>
      </c>
      <c r="K4627">
        <v>159.41999999999999</v>
      </c>
      <c r="L4627">
        <v>1311118.08</v>
      </c>
      <c r="M4627">
        <v>818781.12</v>
      </c>
      <c r="N4627">
        <v>492336.96</v>
      </c>
    </row>
    <row r="4628" spans="1:14" x14ac:dyDescent="0.25">
      <c r="A4628" t="s">
        <v>29</v>
      </c>
      <c r="B4628" t="s">
        <v>338</v>
      </c>
      <c r="C4628" t="s">
        <v>55</v>
      </c>
      <c r="D4628" t="s">
        <v>17</v>
      </c>
      <c r="E4628" t="s">
        <v>23</v>
      </c>
      <c r="F4628" t="s">
        <v>642</v>
      </c>
      <c r="G4628">
        <v>213726842</v>
      </c>
      <c r="H4628" t="s">
        <v>453</v>
      </c>
      <c r="I4628">
        <v>5377</v>
      </c>
      <c r="J4628">
        <v>651.21</v>
      </c>
      <c r="K4628">
        <v>524.96</v>
      </c>
      <c r="L4628">
        <v>3501556.17</v>
      </c>
      <c r="M4628">
        <v>2822709.92</v>
      </c>
      <c r="N4628">
        <v>678846.25</v>
      </c>
    </row>
    <row r="4629" spans="1:14" x14ac:dyDescent="0.25">
      <c r="A4629" t="s">
        <v>51</v>
      </c>
      <c r="B4629" t="s">
        <v>129</v>
      </c>
      <c r="C4629" t="s">
        <v>88</v>
      </c>
      <c r="D4629" t="s">
        <v>22</v>
      </c>
      <c r="E4629" t="s">
        <v>18</v>
      </c>
      <c r="F4629" t="s">
        <v>882</v>
      </c>
      <c r="G4629">
        <v>342850959</v>
      </c>
      <c r="H4629" t="s">
        <v>205</v>
      </c>
      <c r="I4629">
        <v>6072</v>
      </c>
      <c r="J4629">
        <v>9.33</v>
      </c>
      <c r="K4629">
        <v>6.92</v>
      </c>
      <c r="L4629">
        <v>56651.76</v>
      </c>
      <c r="M4629">
        <v>42018.239999999998</v>
      </c>
      <c r="N4629">
        <v>14633.52</v>
      </c>
    </row>
    <row r="4630" spans="1:14" x14ac:dyDescent="0.25">
      <c r="A4630" t="s">
        <v>38</v>
      </c>
      <c r="B4630" t="s">
        <v>430</v>
      </c>
      <c r="C4630" t="s">
        <v>40</v>
      </c>
      <c r="D4630" t="s">
        <v>22</v>
      </c>
      <c r="E4630" t="s">
        <v>45</v>
      </c>
      <c r="F4630" s="1">
        <v>41070</v>
      </c>
      <c r="G4630">
        <v>250010049</v>
      </c>
      <c r="H4630" s="1">
        <v>41040</v>
      </c>
      <c r="I4630">
        <v>2384</v>
      </c>
      <c r="J4630">
        <v>81.73</v>
      </c>
      <c r="K4630">
        <v>56.67</v>
      </c>
      <c r="L4630">
        <v>194844.32</v>
      </c>
      <c r="M4630">
        <v>135101.28</v>
      </c>
      <c r="N4630">
        <v>59743.040000000001</v>
      </c>
    </row>
    <row r="4631" spans="1:14" x14ac:dyDescent="0.25">
      <c r="A4631" t="s">
        <v>38</v>
      </c>
      <c r="B4631" t="s">
        <v>83</v>
      </c>
      <c r="C4631" t="s">
        <v>27</v>
      </c>
      <c r="D4631" t="s">
        <v>22</v>
      </c>
      <c r="E4631" t="s">
        <v>23</v>
      </c>
      <c r="F4631" s="1">
        <v>42371</v>
      </c>
      <c r="G4631">
        <v>157127940</v>
      </c>
      <c r="H4631" s="1">
        <v>42677</v>
      </c>
      <c r="I4631">
        <v>6504</v>
      </c>
      <c r="J4631">
        <v>47.45</v>
      </c>
      <c r="K4631">
        <v>31.79</v>
      </c>
      <c r="L4631">
        <v>308614.8</v>
      </c>
      <c r="M4631">
        <v>206762.16</v>
      </c>
      <c r="N4631">
        <v>101852.64</v>
      </c>
    </row>
    <row r="4632" spans="1:14" x14ac:dyDescent="0.25">
      <c r="A4632" t="s">
        <v>51</v>
      </c>
      <c r="B4632" t="s">
        <v>417</v>
      </c>
      <c r="C4632" t="s">
        <v>31</v>
      </c>
      <c r="D4632" t="s">
        <v>17</v>
      </c>
      <c r="E4632" t="s">
        <v>18</v>
      </c>
      <c r="F4632" t="s">
        <v>1301</v>
      </c>
      <c r="G4632">
        <v>806440961</v>
      </c>
      <c r="H4632" s="1">
        <v>42470</v>
      </c>
      <c r="I4632">
        <v>2656</v>
      </c>
      <c r="J4632">
        <v>205.7</v>
      </c>
      <c r="K4632">
        <v>117.11</v>
      </c>
      <c r="L4632">
        <v>546339.19999999995</v>
      </c>
      <c r="M4632">
        <v>311044.15999999997</v>
      </c>
      <c r="N4632">
        <v>235295.04</v>
      </c>
    </row>
    <row r="4633" spans="1:14" x14ac:dyDescent="0.25">
      <c r="A4633" t="s">
        <v>42</v>
      </c>
      <c r="B4633" t="s">
        <v>681</v>
      </c>
      <c r="C4633" t="s">
        <v>69</v>
      </c>
      <c r="D4633" t="s">
        <v>22</v>
      </c>
      <c r="E4633" t="s">
        <v>23</v>
      </c>
      <c r="F4633" s="1">
        <v>41617</v>
      </c>
      <c r="G4633">
        <v>310497939</v>
      </c>
      <c r="H4633" s="1">
        <v>41588</v>
      </c>
      <c r="I4633">
        <v>2095</v>
      </c>
      <c r="J4633">
        <v>421.89</v>
      </c>
      <c r="K4633">
        <v>364.69</v>
      </c>
      <c r="L4633">
        <v>883859.55</v>
      </c>
      <c r="M4633">
        <v>764025.55</v>
      </c>
      <c r="N4633">
        <v>119834</v>
      </c>
    </row>
    <row r="4634" spans="1:14" x14ac:dyDescent="0.25">
      <c r="A4634" t="s">
        <v>42</v>
      </c>
      <c r="B4634" t="s">
        <v>90</v>
      </c>
      <c r="C4634" t="s">
        <v>21</v>
      </c>
      <c r="D4634" t="s">
        <v>17</v>
      </c>
      <c r="E4634" t="s">
        <v>23</v>
      </c>
      <c r="F4634" s="1">
        <v>41706</v>
      </c>
      <c r="G4634">
        <v>902160203</v>
      </c>
      <c r="H4634" s="1">
        <v>41828</v>
      </c>
      <c r="I4634">
        <v>8107</v>
      </c>
      <c r="J4634">
        <v>152.58000000000001</v>
      </c>
      <c r="K4634">
        <v>97.44</v>
      </c>
      <c r="L4634">
        <v>1236966.06</v>
      </c>
      <c r="M4634">
        <v>789946.08</v>
      </c>
      <c r="N4634">
        <v>447019.98</v>
      </c>
    </row>
    <row r="4635" spans="1:14" x14ac:dyDescent="0.25">
      <c r="A4635" t="s">
        <v>25</v>
      </c>
      <c r="B4635" t="s">
        <v>112</v>
      </c>
      <c r="C4635" t="s">
        <v>88</v>
      </c>
      <c r="D4635" t="s">
        <v>17</v>
      </c>
      <c r="E4635" t="s">
        <v>18</v>
      </c>
      <c r="F4635" t="s">
        <v>391</v>
      </c>
      <c r="G4635">
        <v>384601581</v>
      </c>
      <c r="H4635" t="s">
        <v>1205</v>
      </c>
      <c r="I4635">
        <v>1009</v>
      </c>
      <c r="J4635">
        <v>9.33</v>
      </c>
      <c r="K4635">
        <v>6.92</v>
      </c>
      <c r="L4635">
        <v>9413.9699999999993</v>
      </c>
      <c r="M4635">
        <v>6982.28</v>
      </c>
      <c r="N4635">
        <v>2431.69</v>
      </c>
    </row>
    <row r="4636" spans="1:14" x14ac:dyDescent="0.25">
      <c r="A4636" t="s">
        <v>14</v>
      </c>
      <c r="B4636" t="s">
        <v>488</v>
      </c>
      <c r="C4636" t="s">
        <v>69</v>
      </c>
      <c r="D4636" t="s">
        <v>17</v>
      </c>
      <c r="E4636" t="s">
        <v>18</v>
      </c>
      <c r="F4636" t="s">
        <v>1631</v>
      </c>
      <c r="G4636">
        <v>681308400</v>
      </c>
      <c r="H4636" t="s">
        <v>1574</v>
      </c>
      <c r="I4636">
        <v>3151</v>
      </c>
      <c r="J4636">
        <v>421.89</v>
      </c>
      <c r="K4636">
        <v>364.69</v>
      </c>
      <c r="L4636">
        <v>1329375.3899999999</v>
      </c>
      <c r="M4636">
        <v>1149138.19</v>
      </c>
      <c r="N4636">
        <v>180237.2</v>
      </c>
    </row>
    <row r="4637" spans="1:14" x14ac:dyDescent="0.25">
      <c r="A4637" t="s">
        <v>25</v>
      </c>
      <c r="B4637" t="s">
        <v>303</v>
      </c>
      <c r="C4637" t="s">
        <v>113</v>
      </c>
      <c r="D4637" t="s">
        <v>17</v>
      </c>
      <c r="E4637" t="s">
        <v>32</v>
      </c>
      <c r="F4637" t="s">
        <v>1789</v>
      </c>
      <c r="G4637">
        <v>186079490</v>
      </c>
      <c r="H4637" t="s">
        <v>1633</v>
      </c>
      <c r="I4637">
        <v>3911</v>
      </c>
      <c r="J4637">
        <v>154.06</v>
      </c>
      <c r="K4637">
        <v>90.93</v>
      </c>
      <c r="L4637">
        <v>602528.66</v>
      </c>
      <c r="M4637">
        <v>355627.23</v>
      </c>
      <c r="N4637">
        <v>246901.43</v>
      </c>
    </row>
    <row r="4638" spans="1:14" x14ac:dyDescent="0.25">
      <c r="A4638" t="s">
        <v>25</v>
      </c>
      <c r="B4638" t="s">
        <v>74</v>
      </c>
      <c r="C4638" t="s">
        <v>55</v>
      </c>
      <c r="D4638" t="s">
        <v>17</v>
      </c>
      <c r="E4638" t="s">
        <v>18</v>
      </c>
      <c r="F4638" t="s">
        <v>389</v>
      </c>
      <c r="G4638">
        <v>513026177</v>
      </c>
      <c r="H4638" s="1">
        <v>41035</v>
      </c>
      <c r="I4638">
        <v>4701</v>
      </c>
      <c r="J4638">
        <v>651.21</v>
      </c>
      <c r="K4638">
        <v>524.96</v>
      </c>
      <c r="L4638">
        <v>3061338.21</v>
      </c>
      <c r="M4638">
        <v>2467836.96</v>
      </c>
      <c r="N4638">
        <v>593501.25</v>
      </c>
    </row>
    <row r="4639" spans="1:14" x14ac:dyDescent="0.25">
      <c r="A4639" t="s">
        <v>14</v>
      </c>
      <c r="B4639" t="s">
        <v>98</v>
      </c>
      <c r="C4639" t="s">
        <v>55</v>
      </c>
      <c r="D4639" t="s">
        <v>17</v>
      </c>
      <c r="E4639" t="s">
        <v>45</v>
      </c>
      <c r="F4639" s="1">
        <v>40364</v>
      </c>
      <c r="G4639">
        <v>646572291</v>
      </c>
      <c r="H4639" t="s">
        <v>1844</v>
      </c>
      <c r="I4639">
        <v>3964</v>
      </c>
      <c r="J4639">
        <v>651.21</v>
      </c>
      <c r="K4639">
        <v>524.96</v>
      </c>
      <c r="L4639">
        <v>2581396.44</v>
      </c>
      <c r="M4639">
        <v>2080941.44</v>
      </c>
      <c r="N4639">
        <v>500455</v>
      </c>
    </row>
    <row r="4640" spans="1:14" x14ac:dyDescent="0.25">
      <c r="A4640" t="s">
        <v>38</v>
      </c>
      <c r="B4640" t="s">
        <v>288</v>
      </c>
      <c r="C4640" t="s">
        <v>44</v>
      </c>
      <c r="D4640" t="s">
        <v>22</v>
      </c>
      <c r="E4640" t="s">
        <v>32</v>
      </c>
      <c r="F4640" s="1">
        <v>40911</v>
      </c>
      <c r="G4640">
        <v>991454160</v>
      </c>
      <c r="H4640" t="s">
        <v>1575</v>
      </c>
      <c r="I4640">
        <v>2173</v>
      </c>
      <c r="J4640">
        <v>109.28</v>
      </c>
      <c r="K4640">
        <v>35.840000000000003</v>
      </c>
      <c r="L4640">
        <v>237465.44</v>
      </c>
      <c r="M4640">
        <v>77880.320000000007</v>
      </c>
      <c r="N4640">
        <v>159585.12</v>
      </c>
    </row>
    <row r="4641" spans="1:14" x14ac:dyDescent="0.25">
      <c r="A4641" t="s">
        <v>25</v>
      </c>
      <c r="B4641" t="s">
        <v>242</v>
      </c>
      <c r="C4641" t="s">
        <v>16</v>
      </c>
      <c r="D4641" t="s">
        <v>22</v>
      </c>
      <c r="E4641" t="s">
        <v>32</v>
      </c>
      <c r="F4641" t="s">
        <v>1138</v>
      </c>
      <c r="G4641">
        <v>222720611</v>
      </c>
      <c r="H4641" s="1">
        <v>40182</v>
      </c>
      <c r="I4641">
        <v>6833</v>
      </c>
      <c r="J4641">
        <v>255.28</v>
      </c>
      <c r="K4641">
        <v>159.41999999999999</v>
      </c>
      <c r="L4641">
        <v>1744328.24</v>
      </c>
      <c r="M4641">
        <v>1089316.8600000001</v>
      </c>
      <c r="N4641">
        <v>655011.38</v>
      </c>
    </row>
    <row r="4642" spans="1:14" x14ac:dyDescent="0.25">
      <c r="A4642" t="s">
        <v>77</v>
      </c>
      <c r="B4642" t="s">
        <v>78</v>
      </c>
      <c r="C4642" t="s">
        <v>55</v>
      </c>
      <c r="D4642" t="s">
        <v>22</v>
      </c>
      <c r="E4642" t="s">
        <v>45</v>
      </c>
      <c r="F4642" t="s">
        <v>1263</v>
      </c>
      <c r="G4642">
        <v>235732972</v>
      </c>
      <c r="H4642" t="s">
        <v>514</v>
      </c>
      <c r="I4642">
        <v>7480</v>
      </c>
      <c r="J4642">
        <v>651.21</v>
      </c>
      <c r="K4642">
        <v>524.96</v>
      </c>
      <c r="L4642">
        <v>4871050.8</v>
      </c>
      <c r="M4642">
        <v>3926700.8</v>
      </c>
      <c r="N4642">
        <v>944350</v>
      </c>
    </row>
    <row r="4643" spans="1:14" x14ac:dyDescent="0.25">
      <c r="A4643" t="s">
        <v>38</v>
      </c>
      <c r="B4643" t="s">
        <v>329</v>
      </c>
      <c r="C4643" t="s">
        <v>55</v>
      </c>
      <c r="D4643" t="s">
        <v>17</v>
      </c>
      <c r="E4643" t="s">
        <v>32</v>
      </c>
      <c r="F4643" s="1">
        <v>40821</v>
      </c>
      <c r="G4643">
        <v>296165072</v>
      </c>
      <c r="H4643" s="1">
        <v>40580</v>
      </c>
      <c r="I4643">
        <v>681</v>
      </c>
      <c r="J4643">
        <v>651.21</v>
      </c>
      <c r="K4643">
        <v>524.96</v>
      </c>
      <c r="L4643">
        <v>443474.01</v>
      </c>
      <c r="M4643">
        <v>357497.76</v>
      </c>
      <c r="N4643">
        <v>85976.25</v>
      </c>
    </row>
    <row r="4644" spans="1:14" x14ac:dyDescent="0.25">
      <c r="A4644" t="s">
        <v>51</v>
      </c>
      <c r="B4644" t="s">
        <v>734</v>
      </c>
      <c r="C4644" t="s">
        <v>31</v>
      </c>
      <c r="D4644" t="s">
        <v>17</v>
      </c>
      <c r="E4644" t="s">
        <v>32</v>
      </c>
      <c r="F4644" t="s">
        <v>362</v>
      </c>
      <c r="G4644">
        <v>190003240</v>
      </c>
      <c r="H4644" s="1">
        <v>41124</v>
      </c>
      <c r="I4644">
        <v>5036</v>
      </c>
      <c r="J4644">
        <v>205.7</v>
      </c>
      <c r="K4644">
        <v>117.11</v>
      </c>
      <c r="L4644">
        <v>1035905.2</v>
      </c>
      <c r="M4644">
        <v>589765.96</v>
      </c>
      <c r="N4644">
        <v>446139.24</v>
      </c>
    </row>
    <row r="4645" spans="1:14" x14ac:dyDescent="0.25">
      <c r="A4645" t="s">
        <v>14</v>
      </c>
      <c r="B4645" t="s">
        <v>226</v>
      </c>
      <c r="C4645" t="s">
        <v>44</v>
      </c>
      <c r="D4645" t="s">
        <v>17</v>
      </c>
      <c r="E4645" t="s">
        <v>18</v>
      </c>
      <c r="F4645" t="s">
        <v>427</v>
      </c>
      <c r="G4645">
        <v>673546302</v>
      </c>
      <c r="H4645" s="1">
        <v>40858</v>
      </c>
      <c r="I4645">
        <v>6173</v>
      </c>
      <c r="J4645">
        <v>109.28</v>
      </c>
      <c r="K4645">
        <v>35.840000000000003</v>
      </c>
      <c r="L4645">
        <v>674585.44</v>
      </c>
      <c r="M4645">
        <v>221240.32000000001</v>
      </c>
      <c r="N4645">
        <v>453345.12</v>
      </c>
    </row>
    <row r="4646" spans="1:14" x14ac:dyDescent="0.25">
      <c r="A4646" t="s">
        <v>29</v>
      </c>
      <c r="B4646" t="s">
        <v>248</v>
      </c>
      <c r="C4646" t="s">
        <v>59</v>
      </c>
      <c r="D4646" t="s">
        <v>17</v>
      </c>
      <c r="E4646" t="s">
        <v>32</v>
      </c>
      <c r="F4646" t="s">
        <v>728</v>
      </c>
      <c r="G4646">
        <v>323405587</v>
      </c>
      <c r="H4646" t="s">
        <v>1800</v>
      </c>
      <c r="I4646">
        <v>1755</v>
      </c>
      <c r="J4646">
        <v>437.2</v>
      </c>
      <c r="K4646">
        <v>263.33</v>
      </c>
      <c r="L4646">
        <v>767286</v>
      </c>
      <c r="M4646">
        <v>462144.15</v>
      </c>
      <c r="N4646">
        <v>305141.84999999998</v>
      </c>
    </row>
    <row r="4647" spans="1:14" x14ac:dyDescent="0.25">
      <c r="A4647" t="s">
        <v>14</v>
      </c>
      <c r="B4647" t="s">
        <v>488</v>
      </c>
      <c r="C4647" t="s">
        <v>131</v>
      </c>
      <c r="D4647" t="s">
        <v>22</v>
      </c>
      <c r="E4647" t="s">
        <v>32</v>
      </c>
      <c r="F4647" t="s">
        <v>1845</v>
      </c>
      <c r="G4647">
        <v>486504924</v>
      </c>
      <c r="H4647" t="s">
        <v>505</v>
      </c>
      <c r="I4647">
        <v>6473</v>
      </c>
      <c r="J4647">
        <v>668.27</v>
      </c>
      <c r="K4647">
        <v>502.54</v>
      </c>
      <c r="L4647">
        <v>4325711.71</v>
      </c>
      <c r="M4647">
        <v>3252941.42</v>
      </c>
      <c r="N4647">
        <v>1072770.29</v>
      </c>
    </row>
    <row r="4648" spans="1:14" x14ac:dyDescent="0.25">
      <c r="A4648" t="s">
        <v>38</v>
      </c>
      <c r="B4648" t="s">
        <v>584</v>
      </c>
      <c r="C4648" t="s">
        <v>21</v>
      </c>
      <c r="D4648" t="s">
        <v>17</v>
      </c>
      <c r="E4648" t="s">
        <v>45</v>
      </c>
      <c r="F4648" t="s">
        <v>854</v>
      </c>
      <c r="G4648">
        <v>330080640</v>
      </c>
      <c r="H4648" s="1">
        <v>42833</v>
      </c>
      <c r="I4648">
        <v>7051</v>
      </c>
      <c r="J4648">
        <v>152.58000000000001</v>
      </c>
      <c r="K4648">
        <v>97.44</v>
      </c>
      <c r="L4648">
        <v>1075841.58</v>
      </c>
      <c r="M4648">
        <v>687049.44</v>
      </c>
      <c r="N4648">
        <v>388792.14</v>
      </c>
    </row>
    <row r="4649" spans="1:14" x14ac:dyDescent="0.25">
      <c r="A4649" t="s">
        <v>25</v>
      </c>
      <c r="B4649" t="s">
        <v>47</v>
      </c>
      <c r="C4649" t="s">
        <v>131</v>
      </c>
      <c r="D4649" t="s">
        <v>22</v>
      </c>
      <c r="E4649" t="s">
        <v>18</v>
      </c>
      <c r="F4649" s="1">
        <v>40911</v>
      </c>
      <c r="G4649">
        <v>891681563</v>
      </c>
      <c r="H4649" t="s">
        <v>111</v>
      </c>
      <c r="I4649">
        <v>7245</v>
      </c>
      <c r="J4649">
        <v>668.27</v>
      </c>
      <c r="K4649">
        <v>502.54</v>
      </c>
      <c r="L4649">
        <v>4841616.1500000004</v>
      </c>
      <c r="M4649">
        <v>3640902.3</v>
      </c>
      <c r="N4649">
        <v>1200713.8500000001</v>
      </c>
    </row>
    <row r="4650" spans="1:14" x14ac:dyDescent="0.25">
      <c r="A4650" t="s">
        <v>25</v>
      </c>
      <c r="B4650" t="s">
        <v>339</v>
      </c>
      <c r="C4650" t="s">
        <v>27</v>
      </c>
      <c r="D4650" t="s">
        <v>22</v>
      </c>
      <c r="E4650" t="s">
        <v>18</v>
      </c>
      <c r="F4650" s="1">
        <v>41127</v>
      </c>
      <c r="G4650">
        <v>129169023</v>
      </c>
      <c r="H4650" t="s">
        <v>1687</v>
      </c>
      <c r="I4650">
        <v>2839</v>
      </c>
      <c r="J4650">
        <v>47.45</v>
      </c>
      <c r="K4650">
        <v>31.79</v>
      </c>
      <c r="L4650">
        <v>134710.54999999999</v>
      </c>
      <c r="M4650">
        <v>90251.81</v>
      </c>
      <c r="N4650">
        <v>44458.74</v>
      </c>
    </row>
    <row r="4651" spans="1:14" x14ac:dyDescent="0.25">
      <c r="A4651" t="s">
        <v>38</v>
      </c>
      <c r="B4651" t="s">
        <v>430</v>
      </c>
      <c r="C4651" t="s">
        <v>59</v>
      </c>
      <c r="D4651" t="s">
        <v>22</v>
      </c>
      <c r="E4651" t="s">
        <v>32</v>
      </c>
      <c r="F4651" s="1">
        <v>40179</v>
      </c>
      <c r="G4651">
        <v>570716845</v>
      </c>
      <c r="H4651" t="s">
        <v>1124</v>
      </c>
      <c r="I4651">
        <v>6652</v>
      </c>
      <c r="J4651">
        <v>437.2</v>
      </c>
      <c r="K4651">
        <v>263.33</v>
      </c>
      <c r="L4651">
        <v>2908254.4</v>
      </c>
      <c r="M4651">
        <v>1751671.16</v>
      </c>
      <c r="N4651">
        <v>1156583.24</v>
      </c>
    </row>
    <row r="4652" spans="1:14" x14ac:dyDescent="0.25">
      <c r="A4652" t="s">
        <v>25</v>
      </c>
      <c r="B4652" t="s">
        <v>418</v>
      </c>
      <c r="C4652" t="s">
        <v>31</v>
      </c>
      <c r="D4652" t="s">
        <v>17</v>
      </c>
      <c r="E4652" t="s">
        <v>23</v>
      </c>
      <c r="F4652" t="s">
        <v>656</v>
      </c>
      <c r="G4652">
        <v>764811360</v>
      </c>
      <c r="H4652" t="s">
        <v>690</v>
      </c>
      <c r="I4652">
        <v>3532</v>
      </c>
      <c r="J4652">
        <v>205.7</v>
      </c>
      <c r="K4652">
        <v>117.11</v>
      </c>
      <c r="L4652">
        <v>726532.4</v>
      </c>
      <c r="M4652">
        <v>413632.52</v>
      </c>
      <c r="N4652">
        <v>312899.88</v>
      </c>
    </row>
    <row r="4653" spans="1:14" x14ac:dyDescent="0.25">
      <c r="A4653" t="s">
        <v>51</v>
      </c>
      <c r="B4653" t="s">
        <v>231</v>
      </c>
      <c r="C4653" t="s">
        <v>59</v>
      </c>
      <c r="D4653" t="s">
        <v>17</v>
      </c>
      <c r="E4653" t="s">
        <v>32</v>
      </c>
      <c r="F4653" t="s">
        <v>294</v>
      </c>
      <c r="G4653">
        <v>230251395</v>
      </c>
      <c r="H4653" s="1">
        <v>40430</v>
      </c>
      <c r="I4653">
        <v>5359</v>
      </c>
      <c r="J4653">
        <v>437.2</v>
      </c>
      <c r="K4653">
        <v>263.33</v>
      </c>
      <c r="L4653">
        <v>2342954.7999999998</v>
      </c>
      <c r="M4653">
        <v>1411185.47</v>
      </c>
      <c r="N4653">
        <v>931769.33</v>
      </c>
    </row>
    <row r="4654" spans="1:14" x14ac:dyDescent="0.25">
      <c r="A4654" t="s">
        <v>51</v>
      </c>
      <c r="B4654" t="s">
        <v>192</v>
      </c>
      <c r="C4654" t="s">
        <v>44</v>
      </c>
      <c r="D4654" t="s">
        <v>17</v>
      </c>
      <c r="E4654" t="s">
        <v>45</v>
      </c>
      <c r="F4654" s="1">
        <v>42921</v>
      </c>
      <c r="G4654">
        <v>806148278</v>
      </c>
      <c r="H4654" t="s">
        <v>1648</v>
      </c>
      <c r="I4654">
        <v>6045</v>
      </c>
      <c r="J4654">
        <v>109.28</v>
      </c>
      <c r="K4654">
        <v>35.840000000000003</v>
      </c>
      <c r="L4654">
        <v>660597.6</v>
      </c>
      <c r="M4654">
        <v>216652.79999999999</v>
      </c>
      <c r="N4654">
        <v>443944.8</v>
      </c>
    </row>
    <row r="4655" spans="1:14" x14ac:dyDescent="0.25">
      <c r="A4655" t="s">
        <v>25</v>
      </c>
      <c r="B4655" t="s">
        <v>229</v>
      </c>
      <c r="C4655" t="s">
        <v>113</v>
      </c>
      <c r="D4655" t="s">
        <v>22</v>
      </c>
      <c r="E4655" t="s">
        <v>23</v>
      </c>
      <c r="F4655" t="s">
        <v>1064</v>
      </c>
      <c r="G4655">
        <v>801925837</v>
      </c>
      <c r="H4655" t="s">
        <v>1035</v>
      </c>
      <c r="I4655">
        <v>6531</v>
      </c>
      <c r="J4655">
        <v>154.06</v>
      </c>
      <c r="K4655">
        <v>90.93</v>
      </c>
      <c r="L4655">
        <v>1006165.86</v>
      </c>
      <c r="M4655">
        <v>593863.82999999996</v>
      </c>
      <c r="N4655">
        <v>412302.03</v>
      </c>
    </row>
    <row r="4656" spans="1:14" x14ac:dyDescent="0.25">
      <c r="A4656" t="s">
        <v>51</v>
      </c>
      <c r="B4656" t="s">
        <v>638</v>
      </c>
      <c r="C4656" t="s">
        <v>31</v>
      </c>
      <c r="D4656" t="s">
        <v>22</v>
      </c>
      <c r="E4656" t="s">
        <v>18</v>
      </c>
      <c r="F4656" t="s">
        <v>407</v>
      </c>
      <c r="G4656">
        <v>847320401</v>
      </c>
      <c r="H4656" s="1">
        <v>41092</v>
      </c>
      <c r="I4656">
        <v>9791</v>
      </c>
      <c r="J4656">
        <v>205.7</v>
      </c>
      <c r="K4656">
        <v>117.11</v>
      </c>
      <c r="L4656">
        <v>2014008.7</v>
      </c>
      <c r="M4656">
        <v>1146624.01</v>
      </c>
      <c r="N4656">
        <v>867384.69</v>
      </c>
    </row>
    <row r="4657" spans="1:14" x14ac:dyDescent="0.25">
      <c r="A4657" t="s">
        <v>51</v>
      </c>
      <c r="B4657" t="s">
        <v>578</v>
      </c>
      <c r="C4657" t="s">
        <v>113</v>
      </c>
      <c r="D4657" t="s">
        <v>22</v>
      </c>
      <c r="E4657" t="s">
        <v>45</v>
      </c>
      <c r="F4657" t="s">
        <v>798</v>
      </c>
      <c r="G4657">
        <v>742380797</v>
      </c>
      <c r="H4657" t="s">
        <v>1149</v>
      </c>
      <c r="I4657">
        <v>5830</v>
      </c>
      <c r="J4657">
        <v>154.06</v>
      </c>
      <c r="K4657">
        <v>90.93</v>
      </c>
      <c r="L4657">
        <v>898169.8</v>
      </c>
      <c r="M4657">
        <v>530121.9</v>
      </c>
      <c r="N4657">
        <v>368047.9</v>
      </c>
    </row>
    <row r="4658" spans="1:14" x14ac:dyDescent="0.25">
      <c r="A4658" t="s">
        <v>51</v>
      </c>
      <c r="B4658" t="s">
        <v>367</v>
      </c>
      <c r="C4658" t="s">
        <v>16</v>
      </c>
      <c r="D4658" t="s">
        <v>22</v>
      </c>
      <c r="E4658" t="s">
        <v>23</v>
      </c>
      <c r="F4658" s="1">
        <v>41860</v>
      </c>
      <c r="G4658">
        <v>807468354</v>
      </c>
      <c r="H4658" s="1">
        <v>41861</v>
      </c>
      <c r="I4658">
        <v>6685</v>
      </c>
      <c r="J4658">
        <v>255.28</v>
      </c>
      <c r="K4658">
        <v>159.41999999999999</v>
      </c>
      <c r="L4658">
        <v>1706546.8</v>
      </c>
      <c r="M4658">
        <v>1065722.7</v>
      </c>
      <c r="N4658">
        <v>640824.1</v>
      </c>
    </row>
    <row r="4659" spans="1:14" x14ac:dyDescent="0.25">
      <c r="A4659" t="s">
        <v>14</v>
      </c>
      <c r="B4659" t="s">
        <v>20</v>
      </c>
      <c r="C4659" t="s">
        <v>113</v>
      </c>
      <c r="D4659" t="s">
        <v>22</v>
      </c>
      <c r="E4659" t="s">
        <v>45</v>
      </c>
      <c r="F4659" t="s">
        <v>828</v>
      </c>
      <c r="G4659">
        <v>533256900</v>
      </c>
      <c r="H4659" t="s">
        <v>1289</v>
      </c>
      <c r="I4659">
        <v>1422</v>
      </c>
      <c r="J4659">
        <v>154.06</v>
      </c>
      <c r="K4659">
        <v>90.93</v>
      </c>
      <c r="L4659">
        <v>219073.32</v>
      </c>
      <c r="M4659">
        <v>129302.46</v>
      </c>
      <c r="N4659">
        <v>89770.86</v>
      </c>
    </row>
    <row r="4660" spans="1:14" x14ac:dyDescent="0.25">
      <c r="A4660" t="s">
        <v>29</v>
      </c>
      <c r="B4660" t="s">
        <v>153</v>
      </c>
      <c r="C4660" t="s">
        <v>31</v>
      </c>
      <c r="D4660" t="s">
        <v>17</v>
      </c>
      <c r="E4660" t="s">
        <v>32</v>
      </c>
      <c r="F4660" t="s">
        <v>133</v>
      </c>
      <c r="G4660">
        <v>830732762</v>
      </c>
      <c r="H4660" s="1">
        <v>41650</v>
      </c>
      <c r="I4660">
        <v>1140</v>
      </c>
      <c r="J4660">
        <v>205.7</v>
      </c>
      <c r="K4660">
        <v>117.11</v>
      </c>
      <c r="L4660">
        <v>234498</v>
      </c>
      <c r="M4660">
        <v>133505.4</v>
      </c>
      <c r="N4660">
        <v>100992.6</v>
      </c>
    </row>
    <row r="4661" spans="1:14" x14ac:dyDescent="0.25">
      <c r="A4661" t="s">
        <v>25</v>
      </c>
      <c r="B4661" t="s">
        <v>142</v>
      </c>
      <c r="C4661" t="s">
        <v>55</v>
      </c>
      <c r="D4661" t="s">
        <v>22</v>
      </c>
      <c r="E4661" t="s">
        <v>23</v>
      </c>
      <c r="F4661" s="1">
        <v>41405</v>
      </c>
      <c r="G4661">
        <v>881194770</v>
      </c>
      <c r="H4661" s="1">
        <v>41406</v>
      </c>
      <c r="I4661">
        <v>3969</v>
      </c>
      <c r="J4661">
        <v>651.21</v>
      </c>
      <c r="K4661">
        <v>524.96</v>
      </c>
      <c r="L4661">
        <v>2584652.4900000002</v>
      </c>
      <c r="M4661">
        <v>2083566.24</v>
      </c>
      <c r="N4661">
        <v>501086.25</v>
      </c>
    </row>
    <row r="4662" spans="1:14" x14ac:dyDescent="0.25">
      <c r="A4662" t="s">
        <v>51</v>
      </c>
      <c r="B4662" t="s">
        <v>417</v>
      </c>
      <c r="C4662" t="s">
        <v>21</v>
      </c>
      <c r="D4662" t="s">
        <v>22</v>
      </c>
      <c r="E4662" t="s">
        <v>23</v>
      </c>
      <c r="F4662" t="s">
        <v>1043</v>
      </c>
      <c r="G4662">
        <v>386254251</v>
      </c>
      <c r="H4662" t="s">
        <v>1846</v>
      </c>
      <c r="I4662">
        <v>71</v>
      </c>
      <c r="J4662">
        <v>152.58000000000001</v>
      </c>
      <c r="K4662">
        <v>97.44</v>
      </c>
      <c r="L4662">
        <v>10833.18</v>
      </c>
      <c r="M4662">
        <v>6918.24</v>
      </c>
      <c r="N4662">
        <v>3914.94</v>
      </c>
    </row>
    <row r="4663" spans="1:14" x14ac:dyDescent="0.25">
      <c r="A4663" t="s">
        <v>25</v>
      </c>
      <c r="B4663" t="s">
        <v>72</v>
      </c>
      <c r="C4663" t="s">
        <v>113</v>
      </c>
      <c r="D4663" t="s">
        <v>22</v>
      </c>
      <c r="E4663" t="s">
        <v>23</v>
      </c>
      <c r="F4663" t="s">
        <v>919</v>
      </c>
      <c r="G4663">
        <v>917835032</v>
      </c>
      <c r="H4663" s="1">
        <v>40704</v>
      </c>
      <c r="I4663">
        <v>6637</v>
      </c>
      <c r="J4663">
        <v>154.06</v>
      </c>
      <c r="K4663">
        <v>90.93</v>
      </c>
      <c r="L4663">
        <v>1022496.22</v>
      </c>
      <c r="M4663">
        <v>603502.41</v>
      </c>
      <c r="N4663">
        <v>418993.81</v>
      </c>
    </row>
    <row r="4664" spans="1:14" x14ac:dyDescent="0.25">
      <c r="A4664" t="s">
        <v>14</v>
      </c>
      <c r="B4664" t="s">
        <v>383</v>
      </c>
      <c r="C4664" t="s">
        <v>113</v>
      </c>
      <c r="D4664" t="s">
        <v>22</v>
      </c>
      <c r="E4664" t="s">
        <v>18</v>
      </c>
      <c r="F4664" s="1">
        <v>41191</v>
      </c>
      <c r="G4664">
        <v>968173444</v>
      </c>
      <c r="H4664" t="s">
        <v>706</v>
      </c>
      <c r="I4664">
        <v>2892</v>
      </c>
      <c r="J4664">
        <v>154.06</v>
      </c>
      <c r="K4664">
        <v>90.93</v>
      </c>
      <c r="L4664">
        <v>445541.52</v>
      </c>
      <c r="M4664">
        <v>262969.56</v>
      </c>
      <c r="N4664">
        <v>182571.96</v>
      </c>
    </row>
    <row r="4665" spans="1:14" x14ac:dyDescent="0.25">
      <c r="A4665" t="s">
        <v>38</v>
      </c>
      <c r="B4665" t="s">
        <v>527</v>
      </c>
      <c r="C4665" t="s">
        <v>40</v>
      </c>
      <c r="D4665" t="s">
        <v>22</v>
      </c>
      <c r="E4665" t="s">
        <v>32</v>
      </c>
      <c r="F4665" t="s">
        <v>838</v>
      </c>
      <c r="G4665">
        <v>899818313</v>
      </c>
      <c r="H4665" s="1">
        <v>42860</v>
      </c>
      <c r="I4665">
        <v>5090</v>
      </c>
      <c r="J4665">
        <v>81.73</v>
      </c>
      <c r="K4665">
        <v>56.67</v>
      </c>
      <c r="L4665">
        <v>416005.7</v>
      </c>
      <c r="M4665">
        <v>288450.3</v>
      </c>
      <c r="N4665">
        <v>127555.4</v>
      </c>
    </row>
    <row r="4666" spans="1:14" x14ac:dyDescent="0.25">
      <c r="A4666" t="s">
        <v>42</v>
      </c>
      <c r="B4666" t="s">
        <v>290</v>
      </c>
      <c r="C4666" t="s">
        <v>69</v>
      </c>
      <c r="D4666" t="s">
        <v>17</v>
      </c>
      <c r="E4666" t="s">
        <v>23</v>
      </c>
      <c r="F4666" s="1">
        <v>41822</v>
      </c>
      <c r="G4666">
        <v>695630967</v>
      </c>
      <c r="H4666" s="1">
        <v>41853</v>
      </c>
      <c r="I4666">
        <v>1516</v>
      </c>
      <c r="J4666">
        <v>421.89</v>
      </c>
      <c r="K4666">
        <v>364.69</v>
      </c>
      <c r="L4666">
        <v>639585.24</v>
      </c>
      <c r="M4666">
        <v>552870.04</v>
      </c>
      <c r="N4666">
        <v>86715.199999999997</v>
      </c>
    </row>
    <row r="4667" spans="1:14" x14ac:dyDescent="0.25">
      <c r="A4667" t="s">
        <v>51</v>
      </c>
      <c r="B4667" t="s">
        <v>525</v>
      </c>
      <c r="C4667" t="s">
        <v>40</v>
      </c>
      <c r="D4667" t="s">
        <v>22</v>
      </c>
      <c r="E4667" t="s">
        <v>23</v>
      </c>
      <c r="F4667" t="s">
        <v>984</v>
      </c>
      <c r="G4667">
        <v>408785235</v>
      </c>
      <c r="H4667" s="1">
        <v>40613</v>
      </c>
      <c r="I4667">
        <v>7490</v>
      </c>
      <c r="J4667">
        <v>81.73</v>
      </c>
      <c r="K4667">
        <v>56.67</v>
      </c>
      <c r="L4667">
        <v>612157.69999999995</v>
      </c>
      <c r="M4667">
        <v>424458.3</v>
      </c>
      <c r="N4667">
        <v>187699.4</v>
      </c>
    </row>
    <row r="4668" spans="1:14" x14ac:dyDescent="0.25">
      <c r="A4668" t="s">
        <v>77</v>
      </c>
      <c r="B4668" t="s">
        <v>622</v>
      </c>
      <c r="C4668" t="s">
        <v>16</v>
      </c>
      <c r="D4668" t="s">
        <v>17</v>
      </c>
      <c r="E4668" t="s">
        <v>32</v>
      </c>
      <c r="F4668" s="1">
        <v>41221</v>
      </c>
      <c r="G4668">
        <v>612767446</v>
      </c>
      <c r="H4668" t="s">
        <v>1578</v>
      </c>
      <c r="I4668">
        <v>359</v>
      </c>
      <c r="J4668">
        <v>255.28</v>
      </c>
      <c r="K4668">
        <v>159.41999999999999</v>
      </c>
      <c r="L4668">
        <v>91645.52</v>
      </c>
      <c r="M4668">
        <v>57231.78</v>
      </c>
      <c r="N4668">
        <v>34413.74</v>
      </c>
    </row>
    <row r="4669" spans="1:14" x14ac:dyDescent="0.25">
      <c r="A4669" t="s">
        <v>14</v>
      </c>
      <c r="B4669" t="s">
        <v>383</v>
      </c>
      <c r="C4669" t="s">
        <v>59</v>
      </c>
      <c r="D4669" t="s">
        <v>22</v>
      </c>
      <c r="E4669" t="s">
        <v>23</v>
      </c>
      <c r="F4669" s="1">
        <v>42320</v>
      </c>
      <c r="G4669">
        <v>151376426</v>
      </c>
      <c r="H4669" t="s">
        <v>1847</v>
      </c>
      <c r="I4669">
        <v>4503</v>
      </c>
      <c r="J4669">
        <v>437.2</v>
      </c>
      <c r="K4669">
        <v>263.33</v>
      </c>
      <c r="L4669">
        <v>1968711.6</v>
      </c>
      <c r="M4669">
        <v>1185774.99</v>
      </c>
      <c r="N4669">
        <v>782936.61</v>
      </c>
    </row>
    <row r="4670" spans="1:14" x14ac:dyDescent="0.25">
      <c r="A4670" t="s">
        <v>29</v>
      </c>
      <c r="B4670" t="s">
        <v>315</v>
      </c>
      <c r="C4670" t="s">
        <v>59</v>
      </c>
      <c r="D4670" t="s">
        <v>22</v>
      </c>
      <c r="E4670" t="s">
        <v>45</v>
      </c>
      <c r="F4670" s="1">
        <v>41769</v>
      </c>
      <c r="G4670">
        <v>188723504</v>
      </c>
      <c r="H4670" s="1">
        <v>41801</v>
      </c>
      <c r="I4670">
        <v>6334</v>
      </c>
      <c r="J4670">
        <v>437.2</v>
      </c>
      <c r="K4670">
        <v>263.33</v>
      </c>
      <c r="L4670">
        <v>2769224.8</v>
      </c>
      <c r="M4670">
        <v>1667932.22</v>
      </c>
      <c r="N4670">
        <v>1101292.58</v>
      </c>
    </row>
    <row r="4671" spans="1:14" x14ac:dyDescent="0.25">
      <c r="A4671" t="s">
        <v>25</v>
      </c>
      <c r="B4671" t="s">
        <v>119</v>
      </c>
      <c r="C4671" t="s">
        <v>88</v>
      </c>
      <c r="D4671" t="s">
        <v>17</v>
      </c>
      <c r="E4671" t="s">
        <v>45</v>
      </c>
      <c r="F4671" s="1">
        <v>41857</v>
      </c>
      <c r="G4671">
        <v>159232509</v>
      </c>
      <c r="H4671" t="s">
        <v>1115</v>
      </c>
      <c r="I4671">
        <v>9293</v>
      </c>
      <c r="J4671">
        <v>9.33</v>
      </c>
      <c r="K4671">
        <v>6.92</v>
      </c>
      <c r="L4671">
        <v>86703.69</v>
      </c>
      <c r="M4671">
        <v>64307.56</v>
      </c>
      <c r="N4671">
        <v>22396.13</v>
      </c>
    </row>
    <row r="4672" spans="1:14" x14ac:dyDescent="0.25">
      <c r="A4672" t="s">
        <v>25</v>
      </c>
      <c r="B4672" t="s">
        <v>204</v>
      </c>
      <c r="C4672" t="s">
        <v>113</v>
      </c>
      <c r="D4672" t="s">
        <v>17</v>
      </c>
      <c r="E4672" t="s">
        <v>32</v>
      </c>
      <c r="F4672" t="s">
        <v>1067</v>
      </c>
      <c r="G4672">
        <v>917639768</v>
      </c>
      <c r="H4672" t="s">
        <v>1184</v>
      </c>
      <c r="I4672">
        <v>8854</v>
      </c>
      <c r="J4672">
        <v>154.06</v>
      </c>
      <c r="K4672">
        <v>90.93</v>
      </c>
      <c r="L4672">
        <v>1364047.24</v>
      </c>
      <c r="M4672">
        <v>805094.22</v>
      </c>
      <c r="N4672">
        <v>558953.02</v>
      </c>
    </row>
    <row r="4673" spans="1:14" x14ac:dyDescent="0.25">
      <c r="A4673" t="s">
        <v>51</v>
      </c>
      <c r="B4673" t="s">
        <v>295</v>
      </c>
      <c r="C4673" t="s">
        <v>113</v>
      </c>
      <c r="D4673" t="s">
        <v>17</v>
      </c>
      <c r="E4673" t="s">
        <v>18</v>
      </c>
      <c r="F4673" s="1">
        <v>42378</v>
      </c>
      <c r="G4673">
        <v>688994109</v>
      </c>
      <c r="H4673" t="s">
        <v>221</v>
      </c>
      <c r="I4673">
        <v>7523</v>
      </c>
      <c r="J4673">
        <v>154.06</v>
      </c>
      <c r="K4673">
        <v>90.93</v>
      </c>
      <c r="L4673">
        <v>1158993.3799999999</v>
      </c>
      <c r="M4673">
        <v>684066.39</v>
      </c>
      <c r="N4673">
        <v>474926.99</v>
      </c>
    </row>
    <row r="4674" spans="1:14" x14ac:dyDescent="0.25">
      <c r="A4674" t="s">
        <v>38</v>
      </c>
      <c r="B4674" t="s">
        <v>156</v>
      </c>
      <c r="C4674" t="s">
        <v>59</v>
      </c>
      <c r="D4674" t="s">
        <v>22</v>
      </c>
      <c r="E4674" t="s">
        <v>18</v>
      </c>
      <c r="F4674" t="s">
        <v>1045</v>
      </c>
      <c r="G4674">
        <v>918656861</v>
      </c>
      <c r="H4674" t="s">
        <v>761</v>
      </c>
      <c r="I4674">
        <v>9835</v>
      </c>
      <c r="J4674">
        <v>437.2</v>
      </c>
      <c r="K4674">
        <v>263.33</v>
      </c>
      <c r="L4674">
        <v>4299862</v>
      </c>
      <c r="M4674">
        <v>2589850.5499999998</v>
      </c>
      <c r="N4674">
        <v>1710011.45</v>
      </c>
    </row>
    <row r="4675" spans="1:14" x14ac:dyDescent="0.25">
      <c r="A4675" t="s">
        <v>51</v>
      </c>
      <c r="B4675" t="s">
        <v>169</v>
      </c>
      <c r="C4675" t="s">
        <v>131</v>
      </c>
      <c r="D4675" t="s">
        <v>17</v>
      </c>
      <c r="E4675" t="s">
        <v>32</v>
      </c>
      <c r="F4675" t="s">
        <v>345</v>
      </c>
      <c r="G4675">
        <v>422301852</v>
      </c>
      <c r="H4675" t="s">
        <v>942</v>
      </c>
      <c r="I4675">
        <v>7357</v>
      </c>
      <c r="J4675">
        <v>668.27</v>
      </c>
      <c r="K4675">
        <v>502.54</v>
      </c>
      <c r="L4675">
        <v>4916462.3899999997</v>
      </c>
      <c r="M4675">
        <v>3697186.78</v>
      </c>
      <c r="N4675">
        <v>1219275.6100000001</v>
      </c>
    </row>
    <row r="4676" spans="1:14" x14ac:dyDescent="0.25">
      <c r="A4676" t="s">
        <v>51</v>
      </c>
      <c r="B4676" t="s">
        <v>108</v>
      </c>
      <c r="C4676" t="s">
        <v>55</v>
      </c>
      <c r="D4676" t="s">
        <v>17</v>
      </c>
      <c r="E4676" t="s">
        <v>32</v>
      </c>
      <c r="F4676" t="s">
        <v>1261</v>
      </c>
      <c r="G4676">
        <v>335915410</v>
      </c>
      <c r="H4676" t="s">
        <v>1287</v>
      </c>
      <c r="I4676">
        <v>3689</v>
      </c>
      <c r="J4676">
        <v>651.21</v>
      </c>
      <c r="K4676">
        <v>524.96</v>
      </c>
      <c r="L4676">
        <v>2402313.69</v>
      </c>
      <c r="M4676">
        <v>1936577.44</v>
      </c>
      <c r="N4676">
        <v>465736.25</v>
      </c>
    </row>
    <row r="4677" spans="1:14" x14ac:dyDescent="0.25">
      <c r="A4677" t="s">
        <v>25</v>
      </c>
      <c r="B4677" t="s">
        <v>363</v>
      </c>
      <c r="C4677" t="s">
        <v>88</v>
      </c>
      <c r="D4677" t="s">
        <v>17</v>
      </c>
      <c r="E4677" t="s">
        <v>18</v>
      </c>
      <c r="F4677" s="1">
        <v>40789</v>
      </c>
      <c r="G4677">
        <v>965796363</v>
      </c>
      <c r="H4677" t="s">
        <v>1390</v>
      </c>
      <c r="I4677">
        <v>9461</v>
      </c>
      <c r="J4677">
        <v>9.33</v>
      </c>
      <c r="K4677">
        <v>6.92</v>
      </c>
      <c r="L4677">
        <v>88271.13</v>
      </c>
      <c r="M4677">
        <v>65470.12</v>
      </c>
      <c r="N4677">
        <v>22801.01</v>
      </c>
    </row>
    <row r="4678" spans="1:14" x14ac:dyDescent="0.25">
      <c r="A4678" t="s">
        <v>29</v>
      </c>
      <c r="B4678" t="s">
        <v>243</v>
      </c>
      <c r="C4678" t="s">
        <v>40</v>
      </c>
      <c r="D4678" t="s">
        <v>17</v>
      </c>
      <c r="E4678" t="s">
        <v>45</v>
      </c>
      <c r="F4678" s="1">
        <v>41735</v>
      </c>
      <c r="G4678">
        <v>438556039</v>
      </c>
      <c r="H4678" t="s">
        <v>1848</v>
      </c>
      <c r="I4678">
        <v>7332</v>
      </c>
      <c r="J4678">
        <v>81.73</v>
      </c>
      <c r="K4678">
        <v>56.67</v>
      </c>
      <c r="L4678">
        <v>599244.36</v>
      </c>
      <c r="M4678">
        <v>415504.44</v>
      </c>
      <c r="N4678">
        <v>183739.92</v>
      </c>
    </row>
    <row r="4679" spans="1:14" x14ac:dyDescent="0.25">
      <c r="A4679" t="s">
        <v>25</v>
      </c>
      <c r="B4679" t="s">
        <v>47</v>
      </c>
      <c r="C4679" t="s">
        <v>16</v>
      </c>
      <c r="D4679" t="s">
        <v>17</v>
      </c>
      <c r="E4679" t="s">
        <v>32</v>
      </c>
      <c r="F4679" t="s">
        <v>1046</v>
      </c>
      <c r="G4679">
        <v>551118266</v>
      </c>
      <c r="H4679" t="s">
        <v>1729</v>
      </c>
      <c r="I4679">
        <v>6997</v>
      </c>
      <c r="J4679">
        <v>255.28</v>
      </c>
      <c r="K4679">
        <v>159.41999999999999</v>
      </c>
      <c r="L4679">
        <v>1786194.16</v>
      </c>
      <c r="M4679">
        <v>1115461.74</v>
      </c>
      <c r="N4679">
        <v>670732.42000000004</v>
      </c>
    </row>
    <row r="4680" spans="1:14" x14ac:dyDescent="0.25">
      <c r="A4680" t="s">
        <v>51</v>
      </c>
      <c r="B4680" t="s">
        <v>299</v>
      </c>
      <c r="C4680" t="s">
        <v>131</v>
      </c>
      <c r="D4680" t="s">
        <v>22</v>
      </c>
      <c r="E4680" t="s">
        <v>45</v>
      </c>
      <c r="F4680" s="1">
        <v>42860</v>
      </c>
      <c r="G4680">
        <v>920719373</v>
      </c>
      <c r="H4680" s="1">
        <v>42953</v>
      </c>
      <c r="I4680">
        <v>178</v>
      </c>
      <c r="J4680">
        <v>668.27</v>
      </c>
      <c r="K4680">
        <v>502.54</v>
      </c>
      <c r="L4680">
        <v>118952.06</v>
      </c>
      <c r="M4680">
        <v>89452.12</v>
      </c>
      <c r="N4680">
        <v>29499.94</v>
      </c>
    </row>
    <row r="4681" spans="1:14" x14ac:dyDescent="0.25">
      <c r="A4681" t="s">
        <v>51</v>
      </c>
      <c r="B4681" t="s">
        <v>276</v>
      </c>
      <c r="C4681" t="s">
        <v>88</v>
      </c>
      <c r="D4681" t="s">
        <v>22</v>
      </c>
      <c r="E4681" t="s">
        <v>32</v>
      </c>
      <c r="F4681" s="1">
        <v>41376</v>
      </c>
      <c r="G4681">
        <v>334908187</v>
      </c>
      <c r="H4681" s="1">
        <v>41590</v>
      </c>
      <c r="I4681">
        <v>5630</v>
      </c>
      <c r="J4681">
        <v>9.33</v>
      </c>
      <c r="K4681">
        <v>6.92</v>
      </c>
      <c r="L4681">
        <v>52527.9</v>
      </c>
      <c r="M4681">
        <v>38959.599999999999</v>
      </c>
      <c r="N4681">
        <v>13568.3</v>
      </c>
    </row>
    <row r="4682" spans="1:14" x14ac:dyDescent="0.25">
      <c r="A4682" t="s">
        <v>51</v>
      </c>
      <c r="B4682" t="s">
        <v>100</v>
      </c>
      <c r="C4682" t="s">
        <v>131</v>
      </c>
      <c r="D4682" t="s">
        <v>17</v>
      </c>
      <c r="E4682" t="s">
        <v>45</v>
      </c>
      <c r="F4682" s="1">
        <v>41030</v>
      </c>
      <c r="G4682">
        <v>801546037</v>
      </c>
      <c r="H4682" t="s">
        <v>673</v>
      </c>
      <c r="I4682">
        <v>4139</v>
      </c>
      <c r="J4682">
        <v>668.27</v>
      </c>
      <c r="K4682">
        <v>502.54</v>
      </c>
      <c r="L4682">
        <v>2765969.53</v>
      </c>
      <c r="M4682">
        <v>2080013.06</v>
      </c>
      <c r="N4682">
        <v>685956.47</v>
      </c>
    </row>
    <row r="4683" spans="1:14" x14ac:dyDescent="0.25">
      <c r="A4683" t="s">
        <v>38</v>
      </c>
      <c r="B4683" t="s">
        <v>288</v>
      </c>
      <c r="C4683" t="s">
        <v>55</v>
      </c>
      <c r="D4683" t="s">
        <v>22</v>
      </c>
      <c r="E4683" t="s">
        <v>23</v>
      </c>
      <c r="F4683" s="1">
        <v>41920</v>
      </c>
      <c r="G4683">
        <v>798806750</v>
      </c>
      <c r="H4683" t="s">
        <v>456</v>
      </c>
      <c r="I4683">
        <v>3524</v>
      </c>
      <c r="J4683">
        <v>651.21</v>
      </c>
      <c r="K4683">
        <v>524.96</v>
      </c>
      <c r="L4683">
        <v>2294864.04</v>
      </c>
      <c r="M4683">
        <v>1849959.04</v>
      </c>
      <c r="N4683">
        <v>444905</v>
      </c>
    </row>
    <row r="4684" spans="1:14" x14ac:dyDescent="0.25">
      <c r="A4684" t="s">
        <v>38</v>
      </c>
      <c r="B4684" t="s">
        <v>177</v>
      </c>
      <c r="C4684" t="s">
        <v>88</v>
      </c>
      <c r="D4684" t="s">
        <v>22</v>
      </c>
      <c r="E4684" t="s">
        <v>18</v>
      </c>
      <c r="F4684" t="s">
        <v>971</v>
      </c>
      <c r="G4684">
        <v>225176656</v>
      </c>
      <c r="H4684" s="1">
        <v>40338</v>
      </c>
      <c r="I4684">
        <v>3631</v>
      </c>
      <c r="J4684">
        <v>9.33</v>
      </c>
      <c r="K4684">
        <v>6.92</v>
      </c>
      <c r="L4684">
        <v>33877.230000000003</v>
      </c>
      <c r="M4684">
        <v>25126.52</v>
      </c>
      <c r="N4684">
        <v>8750.7099999999991</v>
      </c>
    </row>
    <row r="4685" spans="1:14" x14ac:dyDescent="0.25">
      <c r="A4685" t="s">
        <v>25</v>
      </c>
      <c r="B4685" t="s">
        <v>374</v>
      </c>
      <c r="C4685" t="s">
        <v>55</v>
      </c>
      <c r="D4685" t="s">
        <v>17</v>
      </c>
      <c r="E4685" t="s">
        <v>18</v>
      </c>
      <c r="F4685" s="1">
        <v>42651</v>
      </c>
      <c r="G4685">
        <v>849454581</v>
      </c>
      <c r="H4685" s="1">
        <v>42530</v>
      </c>
      <c r="I4685">
        <v>1342</v>
      </c>
      <c r="J4685">
        <v>651.21</v>
      </c>
      <c r="K4685">
        <v>524.96</v>
      </c>
      <c r="L4685">
        <v>873923.82</v>
      </c>
      <c r="M4685">
        <v>704496.32</v>
      </c>
      <c r="N4685">
        <v>169427.5</v>
      </c>
    </row>
    <row r="4686" spans="1:14" x14ac:dyDescent="0.25">
      <c r="A4686" t="s">
        <v>51</v>
      </c>
      <c r="B4686" t="s">
        <v>734</v>
      </c>
      <c r="C4686" t="s">
        <v>44</v>
      </c>
      <c r="D4686" t="s">
        <v>22</v>
      </c>
      <c r="E4686" t="s">
        <v>18</v>
      </c>
      <c r="F4686" t="s">
        <v>1563</v>
      </c>
      <c r="G4686">
        <v>460751855</v>
      </c>
      <c r="H4686" t="s">
        <v>987</v>
      </c>
      <c r="I4686">
        <v>5568</v>
      </c>
      <c r="J4686">
        <v>109.28</v>
      </c>
      <c r="K4686">
        <v>35.840000000000003</v>
      </c>
      <c r="L4686">
        <v>608471.04000000004</v>
      </c>
      <c r="M4686">
        <v>199557.12</v>
      </c>
      <c r="N4686">
        <v>408913.91999999998</v>
      </c>
    </row>
    <row r="4687" spans="1:14" x14ac:dyDescent="0.25">
      <c r="A4687" t="s">
        <v>42</v>
      </c>
      <c r="B4687" t="s">
        <v>681</v>
      </c>
      <c r="C4687" t="s">
        <v>59</v>
      </c>
      <c r="D4687" t="s">
        <v>22</v>
      </c>
      <c r="E4687" t="s">
        <v>32</v>
      </c>
      <c r="F4687" s="1">
        <v>41064</v>
      </c>
      <c r="G4687">
        <v>518492305</v>
      </c>
      <c r="H4687" t="s">
        <v>1174</v>
      </c>
      <c r="I4687">
        <v>2250</v>
      </c>
      <c r="J4687">
        <v>437.2</v>
      </c>
      <c r="K4687">
        <v>263.33</v>
      </c>
      <c r="L4687">
        <v>983700</v>
      </c>
      <c r="M4687">
        <v>592492.5</v>
      </c>
      <c r="N4687">
        <v>391207.5</v>
      </c>
    </row>
    <row r="4688" spans="1:14" x14ac:dyDescent="0.25">
      <c r="A4688" t="s">
        <v>29</v>
      </c>
      <c r="B4688" t="s">
        <v>356</v>
      </c>
      <c r="C4688" t="s">
        <v>113</v>
      </c>
      <c r="D4688" t="s">
        <v>17</v>
      </c>
      <c r="E4688" t="s">
        <v>32</v>
      </c>
      <c r="F4688" t="s">
        <v>404</v>
      </c>
      <c r="G4688">
        <v>302412259</v>
      </c>
      <c r="H4688" t="s">
        <v>179</v>
      </c>
      <c r="I4688">
        <v>9363</v>
      </c>
      <c r="J4688">
        <v>154.06</v>
      </c>
      <c r="K4688">
        <v>90.93</v>
      </c>
      <c r="L4688">
        <v>1442463.78</v>
      </c>
      <c r="M4688">
        <v>851377.59</v>
      </c>
      <c r="N4688">
        <v>591086.18999999994</v>
      </c>
    </row>
    <row r="4689" spans="1:14" x14ac:dyDescent="0.25">
      <c r="A4689" t="s">
        <v>25</v>
      </c>
      <c r="B4689" t="s">
        <v>785</v>
      </c>
      <c r="C4689" t="s">
        <v>31</v>
      </c>
      <c r="D4689" t="s">
        <v>22</v>
      </c>
      <c r="E4689" t="s">
        <v>18</v>
      </c>
      <c r="F4689" t="s">
        <v>613</v>
      </c>
      <c r="G4689">
        <v>962560546</v>
      </c>
      <c r="H4689" s="1">
        <v>40756</v>
      </c>
      <c r="I4689">
        <v>1911</v>
      </c>
      <c r="J4689">
        <v>205.7</v>
      </c>
      <c r="K4689">
        <v>117.11</v>
      </c>
      <c r="L4689">
        <v>393092.7</v>
      </c>
      <c r="M4689">
        <v>223797.21</v>
      </c>
      <c r="N4689">
        <v>169295.49</v>
      </c>
    </row>
    <row r="4690" spans="1:14" x14ac:dyDescent="0.25">
      <c r="A4690" t="s">
        <v>51</v>
      </c>
      <c r="B4690" t="s">
        <v>219</v>
      </c>
      <c r="C4690" t="s">
        <v>27</v>
      </c>
      <c r="D4690" t="s">
        <v>17</v>
      </c>
      <c r="E4690" t="s">
        <v>23</v>
      </c>
      <c r="F4690" t="s">
        <v>1469</v>
      </c>
      <c r="G4690">
        <v>569298493</v>
      </c>
      <c r="H4690" t="s">
        <v>1465</v>
      </c>
      <c r="I4690">
        <v>6930</v>
      </c>
      <c r="J4690">
        <v>47.45</v>
      </c>
      <c r="K4690">
        <v>31.79</v>
      </c>
      <c r="L4690">
        <v>328828.5</v>
      </c>
      <c r="M4690">
        <v>220304.7</v>
      </c>
      <c r="N4690">
        <v>108523.8</v>
      </c>
    </row>
    <row r="4691" spans="1:14" x14ac:dyDescent="0.25">
      <c r="A4691" t="s">
        <v>42</v>
      </c>
      <c r="B4691" t="s">
        <v>43</v>
      </c>
      <c r="C4691" t="s">
        <v>55</v>
      </c>
      <c r="D4691" t="s">
        <v>22</v>
      </c>
      <c r="E4691" t="s">
        <v>45</v>
      </c>
      <c r="F4691" t="s">
        <v>1696</v>
      </c>
      <c r="G4691">
        <v>863299930</v>
      </c>
      <c r="H4691" t="s">
        <v>1542</v>
      </c>
      <c r="I4691">
        <v>8488</v>
      </c>
      <c r="J4691">
        <v>651.21</v>
      </c>
      <c r="K4691">
        <v>524.96</v>
      </c>
      <c r="L4691">
        <v>5527470.4800000004</v>
      </c>
      <c r="M4691">
        <v>4455860.4800000004</v>
      </c>
      <c r="N4691">
        <v>1071610</v>
      </c>
    </row>
    <row r="4692" spans="1:14" x14ac:dyDescent="0.25">
      <c r="A4692" t="s">
        <v>51</v>
      </c>
      <c r="B4692" t="s">
        <v>231</v>
      </c>
      <c r="C4692" t="s">
        <v>31</v>
      </c>
      <c r="D4692" t="s">
        <v>17</v>
      </c>
      <c r="E4692" t="s">
        <v>32</v>
      </c>
      <c r="F4692" t="s">
        <v>409</v>
      </c>
      <c r="G4692">
        <v>505551183</v>
      </c>
      <c r="H4692" t="s">
        <v>715</v>
      </c>
      <c r="I4692">
        <v>2684</v>
      </c>
      <c r="J4692">
        <v>205.7</v>
      </c>
      <c r="K4692">
        <v>117.11</v>
      </c>
      <c r="L4692">
        <v>552098.80000000005</v>
      </c>
      <c r="M4692">
        <v>314323.24</v>
      </c>
      <c r="N4692">
        <v>237775.56</v>
      </c>
    </row>
    <row r="4693" spans="1:14" x14ac:dyDescent="0.25">
      <c r="A4693" t="s">
        <v>25</v>
      </c>
      <c r="B4693" t="s">
        <v>229</v>
      </c>
      <c r="C4693" t="s">
        <v>113</v>
      </c>
      <c r="D4693" t="s">
        <v>22</v>
      </c>
      <c r="E4693" t="s">
        <v>45</v>
      </c>
      <c r="F4693" t="s">
        <v>264</v>
      </c>
      <c r="G4693">
        <v>927351081</v>
      </c>
      <c r="H4693" s="1">
        <v>40580</v>
      </c>
      <c r="I4693">
        <v>2647</v>
      </c>
      <c r="J4693">
        <v>154.06</v>
      </c>
      <c r="K4693">
        <v>90.93</v>
      </c>
      <c r="L4693">
        <v>407796.82</v>
      </c>
      <c r="M4693">
        <v>240691.71</v>
      </c>
      <c r="N4693">
        <v>167105.10999999999</v>
      </c>
    </row>
    <row r="4694" spans="1:14" x14ac:dyDescent="0.25">
      <c r="A4694" t="s">
        <v>42</v>
      </c>
      <c r="B4694" t="s">
        <v>103</v>
      </c>
      <c r="C4694" t="s">
        <v>55</v>
      </c>
      <c r="D4694" t="s">
        <v>17</v>
      </c>
      <c r="E4694" t="s">
        <v>23</v>
      </c>
      <c r="F4694" t="s">
        <v>669</v>
      </c>
      <c r="G4694">
        <v>480310952</v>
      </c>
      <c r="H4694" s="1">
        <v>43047</v>
      </c>
      <c r="I4694">
        <v>3539</v>
      </c>
      <c r="J4694">
        <v>651.21</v>
      </c>
      <c r="K4694">
        <v>524.96</v>
      </c>
      <c r="L4694">
        <v>2304632.19</v>
      </c>
      <c r="M4694">
        <v>1857833.44</v>
      </c>
      <c r="N4694">
        <v>446798.75</v>
      </c>
    </row>
    <row r="4695" spans="1:14" x14ac:dyDescent="0.25">
      <c r="A4695" t="s">
        <v>14</v>
      </c>
      <c r="B4695" t="s">
        <v>370</v>
      </c>
      <c r="C4695" t="s">
        <v>40</v>
      </c>
      <c r="D4695" t="s">
        <v>22</v>
      </c>
      <c r="E4695" t="s">
        <v>23</v>
      </c>
      <c r="F4695" t="s">
        <v>528</v>
      </c>
      <c r="G4695">
        <v>286354625</v>
      </c>
      <c r="H4695" s="1">
        <v>40850</v>
      </c>
      <c r="I4695">
        <v>7552</v>
      </c>
      <c r="J4695">
        <v>81.73</v>
      </c>
      <c r="K4695">
        <v>56.67</v>
      </c>
      <c r="L4695">
        <v>617224.95999999996</v>
      </c>
      <c r="M4695">
        <v>427971.84000000003</v>
      </c>
      <c r="N4695">
        <v>189253.12</v>
      </c>
    </row>
    <row r="4696" spans="1:14" x14ac:dyDescent="0.25">
      <c r="A4696" t="s">
        <v>38</v>
      </c>
      <c r="B4696" t="s">
        <v>177</v>
      </c>
      <c r="C4696" t="s">
        <v>21</v>
      </c>
      <c r="D4696" t="s">
        <v>22</v>
      </c>
      <c r="E4696" t="s">
        <v>18</v>
      </c>
      <c r="F4696" s="1">
        <v>42495</v>
      </c>
      <c r="G4696">
        <v>187718427</v>
      </c>
      <c r="H4696" s="1">
        <v>42710</v>
      </c>
      <c r="I4696">
        <v>8909</v>
      </c>
      <c r="J4696">
        <v>152.58000000000001</v>
      </c>
      <c r="K4696">
        <v>97.44</v>
      </c>
      <c r="L4696">
        <v>1359335.22</v>
      </c>
      <c r="M4696">
        <v>868092.96</v>
      </c>
      <c r="N4696">
        <v>491242.26</v>
      </c>
    </row>
    <row r="4697" spans="1:14" x14ac:dyDescent="0.25">
      <c r="A4697" t="s">
        <v>51</v>
      </c>
      <c r="B4697" t="s">
        <v>578</v>
      </c>
      <c r="C4697" t="s">
        <v>40</v>
      </c>
      <c r="D4697" t="s">
        <v>17</v>
      </c>
      <c r="E4697" t="s">
        <v>45</v>
      </c>
      <c r="F4697" t="s">
        <v>1536</v>
      </c>
      <c r="G4697">
        <v>996951186</v>
      </c>
      <c r="H4697" t="s">
        <v>1480</v>
      </c>
      <c r="I4697">
        <v>8865</v>
      </c>
      <c r="J4697">
        <v>81.73</v>
      </c>
      <c r="K4697">
        <v>56.67</v>
      </c>
      <c r="L4697">
        <v>724536.45</v>
      </c>
      <c r="M4697">
        <v>502379.55</v>
      </c>
      <c r="N4697">
        <v>222156.9</v>
      </c>
    </row>
    <row r="4698" spans="1:14" x14ac:dyDescent="0.25">
      <c r="A4698" t="s">
        <v>51</v>
      </c>
      <c r="B4698" t="s">
        <v>194</v>
      </c>
      <c r="C4698" t="s">
        <v>55</v>
      </c>
      <c r="D4698" t="s">
        <v>22</v>
      </c>
      <c r="E4698" t="s">
        <v>45</v>
      </c>
      <c r="F4698" t="s">
        <v>56</v>
      </c>
      <c r="G4698">
        <v>446914231</v>
      </c>
      <c r="H4698" s="1">
        <v>41284</v>
      </c>
      <c r="I4698">
        <v>707</v>
      </c>
      <c r="J4698">
        <v>651.21</v>
      </c>
      <c r="K4698">
        <v>524.96</v>
      </c>
      <c r="L4698">
        <v>460405.47</v>
      </c>
      <c r="M4698">
        <v>371146.72</v>
      </c>
      <c r="N4698">
        <v>89258.75</v>
      </c>
    </row>
    <row r="4699" spans="1:14" x14ac:dyDescent="0.25">
      <c r="A4699" t="s">
        <v>25</v>
      </c>
      <c r="B4699" t="s">
        <v>112</v>
      </c>
      <c r="C4699" t="s">
        <v>131</v>
      </c>
      <c r="D4699" t="s">
        <v>17</v>
      </c>
      <c r="E4699" t="s">
        <v>45</v>
      </c>
      <c r="F4699" t="s">
        <v>959</v>
      </c>
      <c r="G4699">
        <v>840781390</v>
      </c>
      <c r="H4699" t="s">
        <v>1180</v>
      </c>
      <c r="I4699">
        <v>4752</v>
      </c>
      <c r="J4699">
        <v>668.27</v>
      </c>
      <c r="K4699">
        <v>502.54</v>
      </c>
      <c r="L4699">
        <v>3175619.04</v>
      </c>
      <c r="M4699">
        <v>2388070.08</v>
      </c>
      <c r="N4699">
        <v>787548.96</v>
      </c>
    </row>
    <row r="4700" spans="1:14" x14ac:dyDescent="0.25">
      <c r="A4700" t="s">
        <v>38</v>
      </c>
      <c r="B4700" t="s">
        <v>527</v>
      </c>
      <c r="C4700" t="s">
        <v>21</v>
      </c>
      <c r="D4700" t="s">
        <v>17</v>
      </c>
      <c r="E4700" t="s">
        <v>18</v>
      </c>
      <c r="F4700" t="s">
        <v>1465</v>
      </c>
      <c r="G4700">
        <v>502038991</v>
      </c>
      <c r="H4700" s="1">
        <v>41858</v>
      </c>
      <c r="I4700">
        <v>3349</v>
      </c>
      <c r="J4700">
        <v>152.58000000000001</v>
      </c>
      <c r="K4700">
        <v>97.44</v>
      </c>
      <c r="L4700">
        <v>510990.42</v>
      </c>
      <c r="M4700">
        <v>326326.56</v>
      </c>
      <c r="N4700">
        <v>184663.86</v>
      </c>
    </row>
    <row r="4701" spans="1:14" x14ac:dyDescent="0.25">
      <c r="A4701" t="s">
        <v>29</v>
      </c>
      <c r="B4701" t="s">
        <v>30</v>
      </c>
      <c r="C4701" t="s">
        <v>21</v>
      </c>
      <c r="D4701" t="s">
        <v>22</v>
      </c>
      <c r="E4701" t="s">
        <v>23</v>
      </c>
      <c r="F4701" t="s">
        <v>1741</v>
      </c>
      <c r="G4701">
        <v>524485862</v>
      </c>
      <c r="H4701" t="s">
        <v>1691</v>
      </c>
      <c r="I4701">
        <v>5877</v>
      </c>
      <c r="J4701">
        <v>152.58000000000001</v>
      </c>
      <c r="K4701">
        <v>97.44</v>
      </c>
      <c r="L4701">
        <v>896712.66</v>
      </c>
      <c r="M4701">
        <v>572654.88</v>
      </c>
      <c r="N4701">
        <v>324057.78000000003</v>
      </c>
    </row>
    <row r="4702" spans="1:14" x14ac:dyDescent="0.25">
      <c r="A4702" t="s">
        <v>25</v>
      </c>
      <c r="B4702" t="s">
        <v>426</v>
      </c>
      <c r="C4702" t="s">
        <v>113</v>
      </c>
      <c r="D4702" t="s">
        <v>17</v>
      </c>
      <c r="E4702" t="s">
        <v>45</v>
      </c>
      <c r="F4702" t="s">
        <v>1840</v>
      </c>
      <c r="G4702">
        <v>722233331</v>
      </c>
      <c r="H4702" s="1">
        <v>42890</v>
      </c>
      <c r="I4702">
        <v>3747</v>
      </c>
      <c r="J4702">
        <v>154.06</v>
      </c>
      <c r="K4702">
        <v>90.93</v>
      </c>
      <c r="L4702">
        <v>577262.81999999995</v>
      </c>
      <c r="M4702">
        <v>340714.71</v>
      </c>
      <c r="N4702">
        <v>236548.11</v>
      </c>
    </row>
    <row r="4703" spans="1:14" x14ac:dyDescent="0.25">
      <c r="A4703" t="s">
        <v>51</v>
      </c>
      <c r="B4703" t="s">
        <v>877</v>
      </c>
      <c r="C4703" t="s">
        <v>27</v>
      </c>
      <c r="D4703" t="s">
        <v>22</v>
      </c>
      <c r="E4703" t="s">
        <v>23</v>
      </c>
      <c r="F4703" s="1">
        <v>41862</v>
      </c>
      <c r="G4703">
        <v>979705226</v>
      </c>
      <c r="H4703" t="s">
        <v>152</v>
      </c>
      <c r="I4703">
        <v>5402</v>
      </c>
      <c r="J4703">
        <v>47.45</v>
      </c>
      <c r="K4703">
        <v>31.79</v>
      </c>
      <c r="L4703">
        <v>256324.9</v>
      </c>
      <c r="M4703">
        <v>171729.58</v>
      </c>
      <c r="N4703">
        <v>84595.32</v>
      </c>
    </row>
    <row r="4704" spans="1:14" x14ac:dyDescent="0.25">
      <c r="A4704" t="s">
        <v>77</v>
      </c>
      <c r="B4704" t="s">
        <v>78</v>
      </c>
      <c r="C4704" t="s">
        <v>59</v>
      </c>
      <c r="D4704" t="s">
        <v>22</v>
      </c>
      <c r="E4704" t="s">
        <v>45</v>
      </c>
      <c r="F4704" t="s">
        <v>1849</v>
      </c>
      <c r="G4704">
        <v>801637876</v>
      </c>
      <c r="H4704" s="1">
        <v>42256</v>
      </c>
      <c r="I4704">
        <v>1316</v>
      </c>
      <c r="J4704">
        <v>437.2</v>
      </c>
      <c r="K4704">
        <v>263.33</v>
      </c>
      <c r="L4704">
        <v>575355.19999999995</v>
      </c>
      <c r="M4704">
        <v>346542.28</v>
      </c>
      <c r="N4704">
        <v>228812.92</v>
      </c>
    </row>
    <row r="4705" spans="1:14" x14ac:dyDescent="0.25">
      <c r="A4705" t="s">
        <v>25</v>
      </c>
      <c r="B4705" t="s">
        <v>211</v>
      </c>
      <c r="C4705" t="s">
        <v>69</v>
      </c>
      <c r="D4705" t="s">
        <v>17</v>
      </c>
      <c r="E4705" t="s">
        <v>45</v>
      </c>
      <c r="F4705" t="s">
        <v>755</v>
      </c>
      <c r="G4705">
        <v>663080108</v>
      </c>
      <c r="H4705" s="1">
        <v>40828</v>
      </c>
      <c r="I4705">
        <v>8994</v>
      </c>
      <c r="J4705">
        <v>421.89</v>
      </c>
      <c r="K4705">
        <v>364.69</v>
      </c>
      <c r="L4705">
        <v>3794478.66</v>
      </c>
      <c r="M4705">
        <v>3280021.86</v>
      </c>
      <c r="N4705">
        <v>514456.8</v>
      </c>
    </row>
    <row r="4706" spans="1:14" x14ac:dyDescent="0.25">
      <c r="A4706" t="s">
        <v>51</v>
      </c>
      <c r="B4706" t="s">
        <v>877</v>
      </c>
      <c r="C4706" t="s">
        <v>59</v>
      </c>
      <c r="D4706" t="s">
        <v>22</v>
      </c>
      <c r="E4706" t="s">
        <v>45</v>
      </c>
      <c r="F4706" t="s">
        <v>851</v>
      </c>
      <c r="G4706">
        <v>659393250</v>
      </c>
      <c r="H4706" t="s">
        <v>1294</v>
      </c>
      <c r="I4706">
        <v>7971</v>
      </c>
      <c r="J4706">
        <v>437.2</v>
      </c>
      <c r="K4706">
        <v>263.33</v>
      </c>
      <c r="L4706">
        <v>3484921.2</v>
      </c>
      <c r="M4706">
        <v>2099003.4300000002</v>
      </c>
      <c r="N4706">
        <v>1385917.77</v>
      </c>
    </row>
    <row r="4707" spans="1:14" x14ac:dyDescent="0.25">
      <c r="A4707" t="s">
        <v>51</v>
      </c>
      <c r="B4707" t="s">
        <v>578</v>
      </c>
      <c r="C4707" t="s">
        <v>131</v>
      </c>
      <c r="D4707" t="s">
        <v>17</v>
      </c>
      <c r="E4707" t="s">
        <v>18</v>
      </c>
      <c r="F4707" s="1">
        <v>41955</v>
      </c>
      <c r="G4707">
        <v>956251132</v>
      </c>
      <c r="H4707" t="s">
        <v>819</v>
      </c>
      <c r="I4707">
        <v>4815</v>
      </c>
      <c r="J4707">
        <v>668.27</v>
      </c>
      <c r="K4707">
        <v>502.54</v>
      </c>
      <c r="L4707">
        <v>3217720.05</v>
      </c>
      <c r="M4707">
        <v>2419730.1</v>
      </c>
      <c r="N4707">
        <v>797989.95</v>
      </c>
    </row>
    <row r="4708" spans="1:14" x14ac:dyDescent="0.25">
      <c r="A4708" t="s">
        <v>25</v>
      </c>
      <c r="B4708" t="s">
        <v>218</v>
      </c>
      <c r="C4708" t="s">
        <v>31</v>
      </c>
      <c r="D4708" t="s">
        <v>17</v>
      </c>
      <c r="E4708" t="s">
        <v>32</v>
      </c>
      <c r="F4708" s="1">
        <v>40734</v>
      </c>
      <c r="G4708">
        <v>439640080</v>
      </c>
      <c r="H4708" s="1">
        <v>40585</v>
      </c>
      <c r="I4708">
        <v>8124</v>
      </c>
      <c r="J4708">
        <v>205.7</v>
      </c>
      <c r="K4708">
        <v>117.11</v>
      </c>
      <c r="L4708">
        <v>1671106.8</v>
      </c>
      <c r="M4708">
        <v>951401.64</v>
      </c>
      <c r="N4708">
        <v>719705.16</v>
      </c>
    </row>
    <row r="4709" spans="1:14" x14ac:dyDescent="0.25">
      <c r="A4709" t="s">
        <v>25</v>
      </c>
      <c r="B4709" t="s">
        <v>752</v>
      </c>
      <c r="C4709" t="s">
        <v>131</v>
      </c>
      <c r="D4709" t="s">
        <v>22</v>
      </c>
      <c r="E4709" t="s">
        <v>45</v>
      </c>
      <c r="F4709" t="s">
        <v>1273</v>
      </c>
      <c r="G4709">
        <v>765858924</v>
      </c>
      <c r="H4709" t="s">
        <v>1661</v>
      </c>
      <c r="I4709">
        <v>3530</v>
      </c>
      <c r="J4709">
        <v>668.27</v>
      </c>
      <c r="K4709">
        <v>502.54</v>
      </c>
      <c r="L4709">
        <v>2358993.1</v>
      </c>
      <c r="M4709">
        <v>1773966.2</v>
      </c>
      <c r="N4709">
        <v>585026.9</v>
      </c>
    </row>
    <row r="4710" spans="1:14" x14ac:dyDescent="0.25">
      <c r="A4710" t="s">
        <v>51</v>
      </c>
      <c r="B4710" t="s">
        <v>877</v>
      </c>
      <c r="C4710" t="s">
        <v>88</v>
      </c>
      <c r="D4710" t="s">
        <v>17</v>
      </c>
      <c r="E4710" t="s">
        <v>23</v>
      </c>
      <c r="F4710" t="s">
        <v>644</v>
      </c>
      <c r="G4710">
        <v>511518990</v>
      </c>
      <c r="H4710" t="s">
        <v>1593</v>
      </c>
      <c r="I4710">
        <v>8691</v>
      </c>
      <c r="J4710">
        <v>9.33</v>
      </c>
      <c r="K4710">
        <v>6.92</v>
      </c>
      <c r="L4710">
        <v>81087.03</v>
      </c>
      <c r="M4710">
        <v>60141.72</v>
      </c>
      <c r="N4710">
        <v>20945.310000000001</v>
      </c>
    </row>
    <row r="4711" spans="1:14" x14ac:dyDescent="0.25">
      <c r="A4711" t="s">
        <v>25</v>
      </c>
      <c r="B4711" t="s">
        <v>72</v>
      </c>
      <c r="C4711" t="s">
        <v>31</v>
      </c>
      <c r="D4711" t="s">
        <v>17</v>
      </c>
      <c r="E4711" t="s">
        <v>18</v>
      </c>
      <c r="F4711" t="s">
        <v>33</v>
      </c>
      <c r="G4711">
        <v>123544108</v>
      </c>
      <c r="H4711" t="s">
        <v>1033</v>
      </c>
      <c r="I4711">
        <v>8302</v>
      </c>
      <c r="J4711">
        <v>205.7</v>
      </c>
      <c r="K4711">
        <v>117.11</v>
      </c>
      <c r="L4711">
        <v>1707721.4</v>
      </c>
      <c r="M4711">
        <v>972247.22</v>
      </c>
      <c r="N4711">
        <v>735474.18</v>
      </c>
    </row>
    <row r="4712" spans="1:14" x14ac:dyDescent="0.25">
      <c r="A4712" t="s">
        <v>25</v>
      </c>
      <c r="B4712" t="s">
        <v>201</v>
      </c>
      <c r="C4712" t="s">
        <v>21</v>
      </c>
      <c r="D4712" t="s">
        <v>22</v>
      </c>
      <c r="E4712" t="s">
        <v>18</v>
      </c>
      <c r="F4712" s="1">
        <v>42920</v>
      </c>
      <c r="G4712">
        <v>569170606</v>
      </c>
      <c r="H4712" t="s">
        <v>1286</v>
      </c>
      <c r="I4712">
        <v>9085</v>
      </c>
      <c r="J4712">
        <v>152.58000000000001</v>
      </c>
      <c r="K4712">
        <v>97.44</v>
      </c>
      <c r="L4712">
        <v>1386189.3</v>
      </c>
      <c r="M4712">
        <v>885242.4</v>
      </c>
      <c r="N4712">
        <v>500946.9</v>
      </c>
    </row>
    <row r="4713" spans="1:14" x14ac:dyDescent="0.25">
      <c r="A4713" t="s">
        <v>25</v>
      </c>
      <c r="B4713" t="s">
        <v>142</v>
      </c>
      <c r="C4713" t="s">
        <v>40</v>
      </c>
      <c r="D4713" t="s">
        <v>17</v>
      </c>
      <c r="E4713" t="s">
        <v>32</v>
      </c>
      <c r="F4713" s="1">
        <v>41061</v>
      </c>
      <c r="G4713">
        <v>185947310</v>
      </c>
      <c r="H4713" t="s">
        <v>362</v>
      </c>
      <c r="I4713">
        <v>4796</v>
      </c>
      <c r="J4713">
        <v>81.73</v>
      </c>
      <c r="K4713">
        <v>56.67</v>
      </c>
      <c r="L4713">
        <v>391977.08</v>
      </c>
      <c r="M4713">
        <v>271789.32</v>
      </c>
      <c r="N4713">
        <v>120187.76</v>
      </c>
    </row>
    <row r="4714" spans="1:14" x14ac:dyDescent="0.25">
      <c r="A4714" t="s">
        <v>51</v>
      </c>
      <c r="B4714" t="s">
        <v>231</v>
      </c>
      <c r="C4714" t="s">
        <v>44</v>
      </c>
      <c r="D4714" t="s">
        <v>17</v>
      </c>
      <c r="E4714" t="s">
        <v>45</v>
      </c>
      <c r="F4714" t="s">
        <v>1612</v>
      </c>
      <c r="G4714">
        <v>531735551</v>
      </c>
      <c r="H4714" s="1">
        <v>40585</v>
      </c>
      <c r="I4714">
        <v>1221</v>
      </c>
      <c r="J4714">
        <v>109.28</v>
      </c>
      <c r="K4714">
        <v>35.840000000000003</v>
      </c>
      <c r="L4714">
        <v>133430.88</v>
      </c>
      <c r="M4714">
        <v>43760.639999999999</v>
      </c>
      <c r="N4714">
        <v>89670.24</v>
      </c>
    </row>
    <row r="4715" spans="1:14" x14ac:dyDescent="0.25">
      <c r="A4715" t="s">
        <v>25</v>
      </c>
      <c r="B4715" t="s">
        <v>218</v>
      </c>
      <c r="C4715" t="s">
        <v>113</v>
      </c>
      <c r="D4715" t="s">
        <v>17</v>
      </c>
      <c r="E4715" t="s">
        <v>45</v>
      </c>
      <c r="F4715" t="s">
        <v>712</v>
      </c>
      <c r="G4715">
        <v>534709155</v>
      </c>
      <c r="H4715" s="1">
        <v>42044</v>
      </c>
      <c r="I4715">
        <v>1176</v>
      </c>
      <c r="J4715">
        <v>154.06</v>
      </c>
      <c r="K4715">
        <v>90.93</v>
      </c>
      <c r="L4715">
        <v>181174.56</v>
      </c>
      <c r="M4715">
        <v>106933.68</v>
      </c>
      <c r="N4715">
        <v>74240.88</v>
      </c>
    </row>
    <row r="4716" spans="1:14" x14ac:dyDescent="0.25">
      <c r="A4716" t="s">
        <v>51</v>
      </c>
      <c r="B4716" t="s">
        <v>100</v>
      </c>
      <c r="C4716" t="s">
        <v>131</v>
      </c>
      <c r="D4716" t="s">
        <v>17</v>
      </c>
      <c r="E4716" t="s">
        <v>45</v>
      </c>
      <c r="F4716" s="1">
        <v>42464</v>
      </c>
      <c r="G4716">
        <v>543354451</v>
      </c>
      <c r="H4716" t="s">
        <v>1697</v>
      </c>
      <c r="I4716">
        <v>9511</v>
      </c>
      <c r="J4716">
        <v>668.27</v>
      </c>
      <c r="K4716">
        <v>502.54</v>
      </c>
      <c r="L4716">
        <v>6355915.9699999997</v>
      </c>
      <c r="M4716">
        <v>4779657.9400000004</v>
      </c>
      <c r="N4716">
        <v>1576258.03</v>
      </c>
    </row>
    <row r="4717" spans="1:14" x14ac:dyDescent="0.25">
      <c r="A4717" t="s">
        <v>51</v>
      </c>
      <c r="B4717" t="s">
        <v>502</v>
      </c>
      <c r="C4717" t="s">
        <v>69</v>
      </c>
      <c r="D4717" t="s">
        <v>17</v>
      </c>
      <c r="E4717" t="s">
        <v>23</v>
      </c>
      <c r="F4717" t="s">
        <v>1015</v>
      </c>
      <c r="G4717">
        <v>976470267</v>
      </c>
      <c r="H4717" s="1">
        <v>40823</v>
      </c>
      <c r="I4717">
        <v>8106</v>
      </c>
      <c r="J4717">
        <v>421.89</v>
      </c>
      <c r="K4717">
        <v>364.69</v>
      </c>
      <c r="L4717">
        <v>3419840.34</v>
      </c>
      <c r="M4717">
        <v>2956177.14</v>
      </c>
      <c r="N4717">
        <v>463663.2</v>
      </c>
    </row>
    <row r="4718" spans="1:14" x14ac:dyDescent="0.25">
      <c r="A4718" t="s">
        <v>51</v>
      </c>
      <c r="B4718" t="s">
        <v>593</v>
      </c>
      <c r="C4718" t="s">
        <v>16</v>
      </c>
      <c r="D4718" t="s">
        <v>22</v>
      </c>
      <c r="E4718" t="s">
        <v>23</v>
      </c>
      <c r="F4718" s="1">
        <v>41649</v>
      </c>
      <c r="G4718">
        <v>973167932</v>
      </c>
      <c r="H4718" t="s">
        <v>1643</v>
      </c>
      <c r="I4718">
        <v>872</v>
      </c>
      <c r="J4718">
        <v>255.28</v>
      </c>
      <c r="K4718">
        <v>159.41999999999999</v>
      </c>
      <c r="L4718">
        <v>222604.16</v>
      </c>
      <c r="M4718">
        <v>139014.24</v>
      </c>
      <c r="N4718">
        <v>83589.919999999998</v>
      </c>
    </row>
    <row r="4719" spans="1:14" x14ac:dyDescent="0.25">
      <c r="A4719" t="s">
        <v>51</v>
      </c>
      <c r="B4719" t="s">
        <v>260</v>
      </c>
      <c r="C4719" t="s">
        <v>131</v>
      </c>
      <c r="D4719" t="s">
        <v>17</v>
      </c>
      <c r="E4719" t="s">
        <v>32</v>
      </c>
      <c r="F4719" t="s">
        <v>890</v>
      </c>
      <c r="G4719">
        <v>642871272</v>
      </c>
      <c r="H4719" s="1">
        <v>41648</v>
      </c>
      <c r="I4719">
        <v>8750</v>
      </c>
      <c r="J4719">
        <v>668.27</v>
      </c>
      <c r="K4719">
        <v>502.54</v>
      </c>
      <c r="L4719">
        <v>5847362.5</v>
      </c>
      <c r="M4719">
        <v>4397225</v>
      </c>
      <c r="N4719">
        <v>1450137.5</v>
      </c>
    </row>
    <row r="4720" spans="1:14" x14ac:dyDescent="0.25">
      <c r="A4720" t="s">
        <v>42</v>
      </c>
      <c r="B4720" t="s">
        <v>290</v>
      </c>
      <c r="C4720" t="s">
        <v>21</v>
      </c>
      <c r="D4720" t="s">
        <v>22</v>
      </c>
      <c r="E4720" t="s">
        <v>45</v>
      </c>
      <c r="F4720" s="1">
        <v>42285</v>
      </c>
      <c r="G4720">
        <v>615316617</v>
      </c>
      <c r="H4720" t="s">
        <v>1544</v>
      </c>
      <c r="I4720">
        <v>4716</v>
      </c>
      <c r="J4720">
        <v>152.58000000000001</v>
      </c>
      <c r="K4720">
        <v>97.44</v>
      </c>
      <c r="L4720">
        <v>719567.28</v>
      </c>
      <c r="M4720">
        <v>459527.04</v>
      </c>
      <c r="N4720">
        <v>260040.24</v>
      </c>
    </row>
    <row r="4721" spans="1:14" x14ac:dyDescent="0.25">
      <c r="A4721" t="s">
        <v>29</v>
      </c>
      <c r="B4721" t="s">
        <v>153</v>
      </c>
      <c r="C4721" t="s">
        <v>40</v>
      </c>
      <c r="D4721" t="s">
        <v>22</v>
      </c>
      <c r="E4721" t="s">
        <v>32</v>
      </c>
      <c r="F4721" t="s">
        <v>720</v>
      </c>
      <c r="G4721">
        <v>690552794</v>
      </c>
      <c r="H4721" s="1">
        <v>40736</v>
      </c>
      <c r="I4721">
        <v>8772</v>
      </c>
      <c r="J4721">
        <v>81.73</v>
      </c>
      <c r="K4721">
        <v>56.67</v>
      </c>
      <c r="L4721">
        <v>716935.56</v>
      </c>
      <c r="M4721">
        <v>497109.24</v>
      </c>
      <c r="N4721">
        <v>219826.32</v>
      </c>
    </row>
    <row r="4722" spans="1:14" x14ac:dyDescent="0.25">
      <c r="A4722" t="s">
        <v>51</v>
      </c>
      <c r="B4722" t="s">
        <v>250</v>
      </c>
      <c r="C4722" t="s">
        <v>31</v>
      </c>
      <c r="D4722" t="s">
        <v>22</v>
      </c>
      <c r="E4722" t="s">
        <v>18</v>
      </c>
      <c r="F4722" s="1">
        <v>41730</v>
      </c>
      <c r="G4722">
        <v>288941133</v>
      </c>
      <c r="H4722" t="s">
        <v>1768</v>
      </c>
      <c r="I4722">
        <v>2957</v>
      </c>
      <c r="J4722">
        <v>205.7</v>
      </c>
      <c r="K4722">
        <v>117.11</v>
      </c>
      <c r="L4722">
        <v>608254.9</v>
      </c>
      <c r="M4722">
        <v>346294.27</v>
      </c>
      <c r="N4722">
        <v>261960.63</v>
      </c>
    </row>
    <row r="4723" spans="1:14" x14ac:dyDescent="0.25">
      <c r="A4723" t="s">
        <v>77</v>
      </c>
      <c r="B4723" t="s">
        <v>794</v>
      </c>
      <c r="C4723" t="s">
        <v>113</v>
      </c>
      <c r="D4723" t="s">
        <v>22</v>
      </c>
      <c r="E4723" t="s">
        <v>32</v>
      </c>
      <c r="F4723" s="1">
        <v>41646</v>
      </c>
      <c r="G4723">
        <v>701155459</v>
      </c>
      <c r="H4723" s="1">
        <v>41677</v>
      </c>
      <c r="I4723">
        <v>6337</v>
      </c>
      <c r="J4723">
        <v>154.06</v>
      </c>
      <c r="K4723">
        <v>90.93</v>
      </c>
      <c r="L4723">
        <v>976278.22</v>
      </c>
      <c r="M4723">
        <v>576223.41</v>
      </c>
      <c r="N4723">
        <v>400054.81</v>
      </c>
    </row>
    <row r="4724" spans="1:14" x14ac:dyDescent="0.25">
      <c r="A4724" t="s">
        <v>25</v>
      </c>
      <c r="B4724" t="s">
        <v>172</v>
      </c>
      <c r="C4724" t="s">
        <v>55</v>
      </c>
      <c r="D4724" t="s">
        <v>17</v>
      </c>
      <c r="E4724" t="s">
        <v>23</v>
      </c>
      <c r="F4724" s="1">
        <v>41890</v>
      </c>
      <c r="G4724">
        <v>138182103</v>
      </c>
      <c r="H4724" t="s">
        <v>692</v>
      </c>
      <c r="I4724">
        <v>10</v>
      </c>
      <c r="J4724">
        <v>651.21</v>
      </c>
      <c r="K4724">
        <v>524.96</v>
      </c>
      <c r="L4724">
        <v>6512.1</v>
      </c>
      <c r="M4724">
        <v>5249.6</v>
      </c>
      <c r="N4724">
        <v>1262.5</v>
      </c>
    </row>
    <row r="4725" spans="1:14" x14ac:dyDescent="0.25">
      <c r="A4725" t="s">
        <v>14</v>
      </c>
      <c r="B4725" t="s">
        <v>627</v>
      </c>
      <c r="C4725" t="s">
        <v>31</v>
      </c>
      <c r="D4725" t="s">
        <v>22</v>
      </c>
      <c r="E4725" t="s">
        <v>18</v>
      </c>
      <c r="F4725" s="1">
        <v>40950</v>
      </c>
      <c r="G4725">
        <v>481319892</v>
      </c>
      <c r="H4725" t="s">
        <v>1410</v>
      </c>
      <c r="I4725">
        <v>2107</v>
      </c>
      <c r="J4725">
        <v>205.7</v>
      </c>
      <c r="K4725">
        <v>117.11</v>
      </c>
      <c r="L4725">
        <v>433409.9</v>
      </c>
      <c r="M4725">
        <v>246750.77</v>
      </c>
      <c r="N4725">
        <v>186659.13</v>
      </c>
    </row>
    <row r="4726" spans="1:14" x14ac:dyDescent="0.25">
      <c r="A4726" t="s">
        <v>29</v>
      </c>
      <c r="B4726" t="s">
        <v>30</v>
      </c>
      <c r="C4726" t="s">
        <v>88</v>
      </c>
      <c r="D4726" t="s">
        <v>22</v>
      </c>
      <c r="E4726" t="s">
        <v>18</v>
      </c>
      <c r="F4726" s="1">
        <v>42587</v>
      </c>
      <c r="G4726">
        <v>532180154</v>
      </c>
      <c r="H4726" t="s">
        <v>1073</v>
      </c>
      <c r="I4726">
        <v>2789</v>
      </c>
      <c r="J4726">
        <v>9.33</v>
      </c>
      <c r="K4726">
        <v>6.92</v>
      </c>
      <c r="L4726">
        <v>26021.37</v>
      </c>
      <c r="M4726">
        <v>19299.88</v>
      </c>
      <c r="N4726">
        <v>6721.49</v>
      </c>
    </row>
    <row r="4727" spans="1:14" x14ac:dyDescent="0.25">
      <c r="A4727" t="s">
        <v>38</v>
      </c>
      <c r="B4727" t="s">
        <v>54</v>
      </c>
      <c r="C4727" t="s">
        <v>40</v>
      </c>
      <c r="D4727" t="s">
        <v>17</v>
      </c>
      <c r="E4727" t="s">
        <v>18</v>
      </c>
      <c r="F4727" s="1">
        <v>41676</v>
      </c>
      <c r="G4727">
        <v>962686717</v>
      </c>
      <c r="H4727" t="s">
        <v>500</v>
      </c>
      <c r="I4727">
        <v>9247</v>
      </c>
      <c r="J4727">
        <v>81.73</v>
      </c>
      <c r="K4727">
        <v>56.67</v>
      </c>
      <c r="L4727">
        <v>755757.31</v>
      </c>
      <c r="M4727">
        <v>524027.49</v>
      </c>
      <c r="N4727">
        <v>231729.82</v>
      </c>
    </row>
    <row r="4728" spans="1:14" x14ac:dyDescent="0.25">
      <c r="A4728" t="s">
        <v>14</v>
      </c>
      <c r="B4728" t="s">
        <v>383</v>
      </c>
      <c r="C4728" t="s">
        <v>131</v>
      </c>
      <c r="D4728" t="s">
        <v>22</v>
      </c>
      <c r="E4728" t="s">
        <v>45</v>
      </c>
      <c r="F4728" t="s">
        <v>230</v>
      </c>
      <c r="G4728">
        <v>265075910</v>
      </c>
      <c r="H4728" t="s">
        <v>689</v>
      </c>
      <c r="I4728">
        <v>707</v>
      </c>
      <c r="J4728">
        <v>668.27</v>
      </c>
      <c r="K4728">
        <v>502.54</v>
      </c>
      <c r="L4728">
        <v>472466.89</v>
      </c>
      <c r="M4728">
        <v>355295.78</v>
      </c>
      <c r="N4728">
        <v>117171.11</v>
      </c>
    </row>
    <row r="4729" spans="1:14" x14ac:dyDescent="0.25">
      <c r="A4729" t="s">
        <v>51</v>
      </c>
      <c r="B4729" t="s">
        <v>250</v>
      </c>
      <c r="C4729" t="s">
        <v>88</v>
      </c>
      <c r="D4729" t="s">
        <v>22</v>
      </c>
      <c r="E4729" t="s">
        <v>32</v>
      </c>
      <c r="F4729" t="s">
        <v>1005</v>
      </c>
      <c r="G4729">
        <v>601896560</v>
      </c>
      <c r="H4729" s="1">
        <v>41433</v>
      </c>
      <c r="I4729">
        <v>3422</v>
      </c>
      <c r="J4729">
        <v>9.33</v>
      </c>
      <c r="K4729">
        <v>6.92</v>
      </c>
      <c r="L4729">
        <v>31927.26</v>
      </c>
      <c r="M4729">
        <v>23680.240000000002</v>
      </c>
      <c r="N4729">
        <v>8247.02</v>
      </c>
    </row>
    <row r="4730" spans="1:14" x14ac:dyDescent="0.25">
      <c r="A4730" t="s">
        <v>38</v>
      </c>
      <c r="B4730" t="s">
        <v>451</v>
      </c>
      <c r="C4730" t="s">
        <v>131</v>
      </c>
      <c r="D4730" t="s">
        <v>22</v>
      </c>
      <c r="E4730" t="s">
        <v>23</v>
      </c>
      <c r="F4730" t="s">
        <v>282</v>
      </c>
      <c r="G4730">
        <v>156009995</v>
      </c>
      <c r="H4730" t="s">
        <v>1752</v>
      </c>
      <c r="I4730">
        <v>5679</v>
      </c>
      <c r="J4730">
        <v>668.27</v>
      </c>
      <c r="K4730">
        <v>502.54</v>
      </c>
      <c r="L4730">
        <v>3795105.33</v>
      </c>
      <c r="M4730">
        <v>2853924.66</v>
      </c>
      <c r="N4730">
        <v>941180.67</v>
      </c>
    </row>
    <row r="4731" spans="1:14" x14ac:dyDescent="0.25">
      <c r="A4731" t="s">
        <v>25</v>
      </c>
      <c r="B4731" t="s">
        <v>74</v>
      </c>
      <c r="C4731" t="s">
        <v>69</v>
      </c>
      <c r="D4731" t="s">
        <v>22</v>
      </c>
      <c r="E4731" t="s">
        <v>45</v>
      </c>
      <c r="F4731" s="1">
        <v>41556</v>
      </c>
      <c r="G4731">
        <v>780590045</v>
      </c>
      <c r="H4731" s="1">
        <v>41343</v>
      </c>
      <c r="I4731">
        <v>2796</v>
      </c>
      <c r="J4731">
        <v>421.89</v>
      </c>
      <c r="K4731">
        <v>364.69</v>
      </c>
      <c r="L4731">
        <v>1179604.44</v>
      </c>
      <c r="M4731">
        <v>1019673.24</v>
      </c>
      <c r="N4731">
        <v>159931.20000000001</v>
      </c>
    </row>
    <row r="4732" spans="1:14" x14ac:dyDescent="0.25">
      <c r="A4732" t="s">
        <v>51</v>
      </c>
      <c r="B4732" t="s">
        <v>260</v>
      </c>
      <c r="C4732" t="s">
        <v>27</v>
      </c>
      <c r="D4732" t="s">
        <v>22</v>
      </c>
      <c r="E4732" t="s">
        <v>45</v>
      </c>
      <c r="F4732" s="1">
        <v>42586</v>
      </c>
      <c r="G4732">
        <v>349123036</v>
      </c>
      <c r="H4732" t="s">
        <v>1812</v>
      </c>
      <c r="I4732">
        <v>2120</v>
      </c>
      <c r="J4732">
        <v>47.45</v>
      </c>
      <c r="K4732">
        <v>31.79</v>
      </c>
      <c r="L4732">
        <v>100594</v>
      </c>
      <c r="M4732">
        <v>67394.8</v>
      </c>
      <c r="N4732">
        <v>33199.199999999997</v>
      </c>
    </row>
    <row r="4733" spans="1:14" x14ac:dyDescent="0.25">
      <c r="A4733" t="s">
        <v>51</v>
      </c>
      <c r="B4733" t="s">
        <v>129</v>
      </c>
      <c r="C4733" t="s">
        <v>113</v>
      </c>
      <c r="D4733" t="s">
        <v>22</v>
      </c>
      <c r="E4733" t="s">
        <v>23</v>
      </c>
      <c r="F4733" s="1">
        <v>41427</v>
      </c>
      <c r="G4733">
        <v>405407798</v>
      </c>
      <c r="H4733" s="1">
        <v>41581</v>
      </c>
      <c r="I4733">
        <v>8031</v>
      </c>
      <c r="J4733">
        <v>154.06</v>
      </c>
      <c r="K4733">
        <v>90.93</v>
      </c>
      <c r="L4733">
        <v>1237255.8600000001</v>
      </c>
      <c r="M4733">
        <v>730258.83</v>
      </c>
      <c r="N4733">
        <v>506997.03</v>
      </c>
    </row>
    <row r="4734" spans="1:14" x14ac:dyDescent="0.25">
      <c r="A4734" t="s">
        <v>51</v>
      </c>
      <c r="B4734" t="s">
        <v>52</v>
      </c>
      <c r="C4734" t="s">
        <v>44</v>
      </c>
      <c r="D4734" t="s">
        <v>17</v>
      </c>
      <c r="E4734" t="s">
        <v>18</v>
      </c>
      <c r="F4734" s="1">
        <v>41247</v>
      </c>
      <c r="G4734">
        <v>313555657</v>
      </c>
      <c r="H4734" t="s">
        <v>1658</v>
      </c>
      <c r="I4734">
        <v>6942</v>
      </c>
      <c r="J4734">
        <v>109.28</v>
      </c>
      <c r="K4734">
        <v>35.840000000000003</v>
      </c>
      <c r="L4734">
        <v>758621.76</v>
      </c>
      <c r="M4734">
        <v>248801.28</v>
      </c>
      <c r="N4734">
        <v>509820.48</v>
      </c>
    </row>
    <row r="4735" spans="1:14" x14ac:dyDescent="0.25">
      <c r="A4735" t="s">
        <v>29</v>
      </c>
      <c r="B4735" t="s">
        <v>35</v>
      </c>
      <c r="C4735" t="s">
        <v>55</v>
      </c>
      <c r="D4735" t="s">
        <v>22</v>
      </c>
      <c r="E4735" t="s">
        <v>32</v>
      </c>
      <c r="F4735" s="1">
        <v>40824</v>
      </c>
      <c r="G4735">
        <v>407990443</v>
      </c>
      <c r="H4735" t="s">
        <v>1619</v>
      </c>
      <c r="I4735">
        <v>2293</v>
      </c>
      <c r="J4735">
        <v>651.21</v>
      </c>
      <c r="K4735">
        <v>524.96</v>
      </c>
      <c r="L4735">
        <v>1493224.53</v>
      </c>
      <c r="M4735">
        <v>1203733.28</v>
      </c>
      <c r="N4735">
        <v>289491.25</v>
      </c>
    </row>
    <row r="4736" spans="1:14" x14ac:dyDescent="0.25">
      <c r="A4736" t="s">
        <v>25</v>
      </c>
      <c r="B4736" t="s">
        <v>462</v>
      </c>
      <c r="C4736" t="s">
        <v>88</v>
      </c>
      <c r="D4736" t="s">
        <v>17</v>
      </c>
      <c r="E4736" t="s">
        <v>32</v>
      </c>
      <c r="F4736" s="1">
        <v>42985</v>
      </c>
      <c r="G4736">
        <v>643448483</v>
      </c>
      <c r="H4736" t="s">
        <v>1678</v>
      </c>
      <c r="I4736">
        <v>9560</v>
      </c>
      <c r="J4736">
        <v>9.33</v>
      </c>
      <c r="K4736">
        <v>6.92</v>
      </c>
      <c r="L4736">
        <v>89194.8</v>
      </c>
      <c r="M4736">
        <v>66155.199999999997</v>
      </c>
      <c r="N4736">
        <v>23039.599999999999</v>
      </c>
    </row>
    <row r="4737" spans="1:14" x14ac:dyDescent="0.25">
      <c r="A4737" t="s">
        <v>25</v>
      </c>
      <c r="B4737" t="s">
        <v>615</v>
      </c>
      <c r="C4737" t="s">
        <v>55</v>
      </c>
      <c r="D4737" t="s">
        <v>17</v>
      </c>
      <c r="E4737" t="s">
        <v>23</v>
      </c>
      <c r="F4737" s="1">
        <v>40695</v>
      </c>
      <c r="G4737">
        <v>144978606</v>
      </c>
      <c r="H4737" t="s">
        <v>558</v>
      </c>
      <c r="I4737">
        <v>1246</v>
      </c>
      <c r="J4737">
        <v>651.21</v>
      </c>
      <c r="K4737">
        <v>524.96</v>
      </c>
      <c r="L4737">
        <v>811407.66</v>
      </c>
      <c r="M4737">
        <v>654100.16</v>
      </c>
      <c r="N4737">
        <v>157307.5</v>
      </c>
    </row>
    <row r="4738" spans="1:14" x14ac:dyDescent="0.25">
      <c r="A4738" t="s">
        <v>51</v>
      </c>
      <c r="B4738" t="s">
        <v>299</v>
      </c>
      <c r="C4738" t="s">
        <v>69</v>
      </c>
      <c r="D4738" t="s">
        <v>22</v>
      </c>
      <c r="E4738" t="s">
        <v>18</v>
      </c>
      <c r="F4738" s="1">
        <v>41153</v>
      </c>
      <c r="G4738">
        <v>357942140</v>
      </c>
      <c r="H4738" t="s">
        <v>963</v>
      </c>
      <c r="I4738">
        <v>1888</v>
      </c>
      <c r="J4738">
        <v>421.89</v>
      </c>
      <c r="K4738">
        <v>364.69</v>
      </c>
      <c r="L4738">
        <v>796528.32</v>
      </c>
      <c r="M4738">
        <v>688534.72</v>
      </c>
      <c r="N4738">
        <v>107993.60000000001</v>
      </c>
    </row>
    <row r="4739" spans="1:14" x14ac:dyDescent="0.25">
      <c r="A4739" t="s">
        <v>29</v>
      </c>
      <c r="B4739" t="s">
        <v>356</v>
      </c>
      <c r="C4739" t="s">
        <v>69</v>
      </c>
      <c r="D4739" t="s">
        <v>22</v>
      </c>
      <c r="E4739" t="s">
        <v>23</v>
      </c>
      <c r="F4739" s="1">
        <v>42278</v>
      </c>
      <c r="G4739">
        <v>998012912</v>
      </c>
      <c r="H4739" t="s">
        <v>1358</v>
      </c>
      <c r="I4739">
        <v>3054</v>
      </c>
      <c r="J4739">
        <v>421.89</v>
      </c>
      <c r="K4739">
        <v>364.69</v>
      </c>
      <c r="L4739">
        <v>1288452.06</v>
      </c>
      <c r="M4739">
        <v>1113763.26</v>
      </c>
      <c r="N4739">
        <v>174688.8</v>
      </c>
    </row>
    <row r="4740" spans="1:14" x14ac:dyDescent="0.25">
      <c r="A4740" t="s">
        <v>51</v>
      </c>
      <c r="B4740" t="s">
        <v>166</v>
      </c>
      <c r="C4740" t="s">
        <v>16</v>
      </c>
      <c r="D4740" t="s">
        <v>17</v>
      </c>
      <c r="E4740" t="s">
        <v>18</v>
      </c>
      <c r="F4740" t="s">
        <v>1511</v>
      </c>
      <c r="G4740">
        <v>501177251</v>
      </c>
      <c r="H4740" t="s">
        <v>1315</v>
      </c>
      <c r="I4740">
        <v>8341</v>
      </c>
      <c r="J4740">
        <v>255.28</v>
      </c>
      <c r="K4740">
        <v>159.41999999999999</v>
      </c>
      <c r="L4740">
        <v>2129290.48</v>
      </c>
      <c r="M4740">
        <v>1329722.22</v>
      </c>
      <c r="N4740">
        <v>799568.26</v>
      </c>
    </row>
    <row r="4741" spans="1:14" x14ac:dyDescent="0.25">
      <c r="A4741" t="s">
        <v>51</v>
      </c>
      <c r="B4741" t="s">
        <v>367</v>
      </c>
      <c r="C4741" t="s">
        <v>44</v>
      </c>
      <c r="D4741" t="s">
        <v>22</v>
      </c>
      <c r="E4741" t="s">
        <v>32</v>
      </c>
      <c r="F4741" t="s">
        <v>947</v>
      </c>
      <c r="G4741">
        <v>973733985</v>
      </c>
      <c r="H4741" s="1">
        <v>41793</v>
      </c>
      <c r="I4741">
        <v>8380</v>
      </c>
      <c r="J4741">
        <v>109.28</v>
      </c>
      <c r="K4741">
        <v>35.840000000000003</v>
      </c>
      <c r="L4741">
        <v>915766.4</v>
      </c>
      <c r="M4741">
        <v>300339.20000000001</v>
      </c>
      <c r="N4741">
        <v>615427.19999999995</v>
      </c>
    </row>
    <row r="4742" spans="1:14" x14ac:dyDescent="0.25">
      <c r="A4742" t="s">
        <v>29</v>
      </c>
      <c r="B4742" t="s">
        <v>137</v>
      </c>
      <c r="C4742" t="s">
        <v>88</v>
      </c>
      <c r="D4742" t="s">
        <v>17</v>
      </c>
      <c r="E4742" t="s">
        <v>45</v>
      </c>
      <c r="F4742" s="1">
        <v>40940</v>
      </c>
      <c r="G4742">
        <v>542294442</v>
      </c>
      <c r="H4742" t="s">
        <v>729</v>
      </c>
      <c r="I4742">
        <v>5831</v>
      </c>
      <c r="J4742">
        <v>9.33</v>
      </c>
      <c r="K4742">
        <v>6.92</v>
      </c>
      <c r="L4742">
        <v>54403.23</v>
      </c>
      <c r="M4742">
        <v>40350.519999999997</v>
      </c>
      <c r="N4742">
        <v>14052.71</v>
      </c>
    </row>
    <row r="4743" spans="1:14" x14ac:dyDescent="0.25">
      <c r="A4743" t="s">
        <v>77</v>
      </c>
      <c r="B4743" t="s">
        <v>622</v>
      </c>
      <c r="C4743" t="s">
        <v>16</v>
      </c>
      <c r="D4743" t="s">
        <v>22</v>
      </c>
      <c r="E4743" t="s">
        <v>45</v>
      </c>
      <c r="F4743" t="s">
        <v>1524</v>
      </c>
      <c r="G4743">
        <v>103782451</v>
      </c>
      <c r="H4743" s="1">
        <v>42014</v>
      </c>
      <c r="I4743">
        <v>388</v>
      </c>
      <c r="J4743">
        <v>255.28</v>
      </c>
      <c r="K4743">
        <v>159.41999999999999</v>
      </c>
      <c r="L4743">
        <v>99048.639999999999</v>
      </c>
      <c r="M4743">
        <v>61854.96</v>
      </c>
      <c r="N4743">
        <v>37193.68</v>
      </c>
    </row>
    <row r="4744" spans="1:14" x14ac:dyDescent="0.25">
      <c r="A4744" t="s">
        <v>51</v>
      </c>
      <c r="B4744" t="s">
        <v>128</v>
      </c>
      <c r="C4744" t="s">
        <v>113</v>
      </c>
      <c r="D4744" t="s">
        <v>22</v>
      </c>
      <c r="E4744" t="s">
        <v>45</v>
      </c>
      <c r="F4744" t="s">
        <v>594</v>
      </c>
      <c r="G4744">
        <v>175434339</v>
      </c>
      <c r="H4744" t="s">
        <v>576</v>
      </c>
      <c r="I4744">
        <v>3774</v>
      </c>
      <c r="J4744">
        <v>154.06</v>
      </c>
      <c r="K4744">
        <v>90.93</v>
      </c>
      <c r="L4744">
        <v>581422.43999999994</v>
      </c>
      <c r="M4744">
        <v>343169.82</v>
      </c>
      <c r="N4744">
        <v>238252.62</v>
      </c>
    </row>
    <row r="4745" spans="1:14" x14ac:dyDescent="0.25">
      <c r="A4745" t="s">
        <v>25</v>
      </c>
      <c r="B4745" t="s">
        <v>211</v>
      </c>
      <c r="C4745" t="s">
        <v>131</v>
      </c>
      <c r="D4745" t="s">
        <v>17</v>
      </c>
      <c r="E4745" t="s">
        <v>18</v>
      </c>
      <c r="F4745" s="1">
        <v>41730</v>
      </c>
      <c r="G4745">
        <v>444798934</v>
      </c>
      <c r="H4745" t="s">
        <v>649</v>
      </c>
      <c r="I4745">
        <v>4744</v>
      </c>
      <c r="J4745">
        <v>668.27</v>
      </c>
      <c r="K4745">
        <v>502.54</v>
      </c>
      <c r="L4745">
        <v>3170272.88</v>
      </c>
      <c r="M4745">
        <v>2384049.7599999998</v>
      </c>
      <c r="N4745">
        <v>786223.12</v>
      </c>
    </row>
    <row r="4746" spans="1:14" x14ac:dyDescent="0.25">
      <c r="A4746" t="s">
        <v>51</v>
      </c>
      <c r="B4746" t="s">
        <v>192</v>
      </c>
      <c r="C4746" t="s">
        <v>59</v>
      </c>
      <c r="D4746" t="s">
        <v>22</v>
      </c>
      <c r="E4746" t="s">
        <v>32</v>
      </c>
      <c r="F4746" s="1">
        <v>40731</v>
      </c>
      <c r="G4746">
        <v>219737565</v>
      </c>
      <c r="H4746" t="s">
        <v>1528</v>
      </c>
      <c r="I4746">
        <v>4083</v>
      </c>
      <c r="J4746">
        <v>437.2</v>
      </c>
      <c r="K4746">
        <v>263.33</v>
      </c>
      <c r="L4746">
        <v>1785087.6</v>
      </c>
      <c r="M4746">
        <v>1075176.3899999999</v>
      </c>
      <c r="N4746">
        <v>709911.21</v>
      </c>
    </row>
    <row r="4747" spans="1:14" x14ac:dyDescent="0.25">
      <c r="A4747" t="s">
        <v>42</v>
      </c>
      <c r="B4747" t="s">
        <v>290</v>
      </c>
      <c r="C4747" t="s">
        <v>31</v>
      </c>
      <c r="D4747" t="s">
        <v>17</v>
      </c>
      <c r="E4747" t="s">
        <v>45</v>
      </c>
      <c r="F4747" t="s">
        <v>706</v>
      </c>
      <c r="G4747">
        <v>678424060</v>
      </c>
      <c r="H4747" s="1">
        <v>40979</v>
      </c>
      <c r="I4747">
        <v>9610</v>
      </c>
      <c r="J4747">
        <v>205.7</v>
      </c>
      <c r="K4747">
        <v>117.11</v>
      </c>
      <c r="L4747">
        <v>1976777</v>
      </c>
      <c r="M4747">
        <v>1125427.1000000001</v>
      </c>
      <c r="N4747">
        <v>851349.9</v>
      </c>
    </row>
    <row r="4748" spans="1:14" x14ac:dyDescent="0.25">
      <c r="A4748" t="s">
        <v>29</v>
      </c>
      <c r="B4748" t="s">
        <v>338</v>
      </c>
      <c r="C4748" t="s">
        <v>55</v>
      </c>
      <c r="D4748" t="s">
        <v>17</v>
      </c>
      <c r="E4748" t="s">
        <v>18</v>
      </c>
      <c r="F4748" s="1">
        <v>41676</v>
      </c>
      <c r="G4748">
        <v>819344747</v>
      </c>
      <c r="H4748" t="s">
        <v>1115</v>
      </c>
      <c r="I4748">
        <v>1173</v>
      </c>
      <c r="J4748">
        <v>651.21</v>
      </c>
      <c r="K4748">
        <v>524.96</v>
      </c>
      <c r="L4748">
        <v>763869.33</v>
      </c>
      <c r="M4748">
        <v>615778.07999999996</v>
      </c>
      <c r="N4748">
        <v>148091.25</v>
      </c>
    </row>
    <row r="4749" spans="1:14" x14ac:dyDescent="0.25">
      <c r="A4749" t="s">
        <v>51</v>
      </c>
      <c r="B4749" t="s">
        <v>367</v>
      </c>
      <c r="C4749" t="s">
        <v>113</v>
      </c>
      <c r="D4749" t="s">
        <v>17</v>
      </c>
      <c r="E4749" t="s">
        <v>45</v>
      </c>
      <c r="F4749" s="1">
        <v>40300</v>
      </c>
      <c r="G4749">
        <v>611298453</v>
      </c>
      <c r="H4749" t="s">
        <v>163</v>
      </c>
      <c r="I4749">
        <v>5652</v>
      </c>
      <c r="J4749">
        <v>154.06</v>
      </c>
      <c r="K4749">
        <v>90.93</v>
      </c>
      <c r="L4749">
        <v>870747.12</v>
      </c>
      <c r="M4749">
        <v>513936.36</v>
      </c>
      <c r="N4749">
        <v>356810.76</v>
      </c>
    </row>
    <row r="4750" spans="1:14" x14ac:dyDescent="0.25">
      <c r="A4750" t="s">
        <v>25</v>
      </c>
      <c r="B4750" t="s">
        <v>229</v>
      </c>
      <c r="C4750" t="s">
        <v>69</v>
      </c>
      <c r="D4750" t="s">
        <v>17</v>
      </c>
      <c r="E4750" t="s">
        <v>23</v>
      </c>
      <c r="F4750" t="s">
        <v>1550</v>
      </c>
      <c r="G4750">
        <v>543396508</v>
      </c>
      <c r="H4750" s="1">
        <v>42861</v>
      </c>
      <c r="I4750">
        <v>1957</v>
      </c>
      <c r="J4750">
        <v>421.89</v>
      </c>
      <c r="K4750">
        <v>364.69</v>
      </c>
      <c r="L4750">
        <v>825638.73</v>
      </c>
      <c r="M4750">
        <v>713698.33</v>
      </c>
      <c r="N4750">
        <v>111940.4</v>
      </c>
    </row>
    <row r="4751" spans="1:14" x14ac:dyDescent="0.25">
      <c r="A4751" t="s">
        <v>51</v>
      </c>
      <c r="B4751" t="s">
        <v>308</v>
      </c>
      <c r="C4751" t="s">
        <v>31</v>
      </c>
      <c r="D4751" t="s">
        <v>22</v>
      </c>
      <c r="E4751" t="s">
        <v>45</v>
      </c>
      <c r="F4751" s="1">
        <v>41369</v>
      </c>
      <c r="G4751">
        <v>275062739</v>
      </c>
      <c r="H4751" t="s">
        <v>176</v>
      </c>
      <c r="I4751">
        <v>6032</v>
      </c>
      <c r="J4751">
        <v>205.7</v>
      </c>
      <c r="K4751">
        <v>117.11</v>
      </c>
      <c r="L4751">
        <v>1240782.3999999999</v>
      </c>
      <c r="M4751">
        <v>706407.52</v>
      </c>
      <c r="N4751">
        <v>534374.88</v>
      </c>
    </row>
    <row r="4752" spans="1:14" x14ac:dyDescent="0.25">
      <c r="A4752" t="s">
        <v>51</v>
      </c>
      <c r="B4752" t="s">
        <v>250</v>
      </c>
      <c r="C4752" t="s">
        <v>40</v>
      </c>
      <c r="D4752" t="s">
        <v>17</v>
      </c>
      <c r="E4752" t="s">
        <v>23</v>
      </c>
      <c r="F4752" t="s">
        <v>966</v>
      </c>
      <c r="G4752">
        <v>886033475</v>
      </c>
      <c r="H4752" t="s">
        <v>1021</v>
      </c>
      <c r="I4752">
        <v>5850</v>
      </c>
      <c r="J4752">
        <v>81.73</v>
      </c>
      <c r="K4752">
        <v>56.67</v>
      </c>
      <c r="L4752">
        <v>478120.5</v>
      </c>
      <c r="M4752">
        <v>331519.5</v>
      </c>
      <c r="N4752">
        <v>146601</v>
      </c>
    </row>
    <row r="4753" spans="1:14" x14ac:dyDescent="0.25">
      <c r="A4753" t="s">
        <v>38</v>
      </c>
      <c r="B4753" t="s">
        <v>430</v>
      </c>
      <c r="C4753" t="s">
        <v>27</v>
      </c>
      <c r="D4753" t="s">
        <v>17</v>
      </c>
      <c r="E4753" t="s">
        <v>32</v>
      </c>
      <c r="F4753" s="1">
        <v>42653</v>
      </c>
      <c r="G4753">
        <v>826357543</v>
      </c>
      <c r="H4753" s="1">
        <v>42440</v>
      </c>
      <c r="I4753">
        <v>6415</v>
      </c>
      <c r="J4753">
        <v>47.45</v>
      </c>
      <c r="K4753">
        <v>31.79</v>
      </c>
      <c r="L4753">
        <v>304391.75</v>
      </c>
      <c r="M4753">
        <v>203932.85</v>
      </c>
      <c r="N4753">
        <v>100458.9</v>
      </c>
    </row>
    <row r="4754" spans="1:14" x14ac:dyDescent="0.25">
      <c r="A4754" t="s">
        <v>25</v>
      </c>
      <c r="B4754" t="s">
        <v>72</v>
      </c>
      <c r="C4754" t="s">
        <v>69</v>
      </c>
      <c r="D4754" t="s">
        <v>17</v>
      </c>
      <c r="E4754" t="s">
        <v>45</v>
      </c>
      <c r="F4754" s="1">
        <v>41436</v>
      </c>
      <c r="G4754">
        <v>866396272</v>
      </c>
      <c r="H4754" t="s">
        <v>1552</v>
      </c>
      <c r="I4754">
        <v>4765</v>
      </c>
      <c r="J4754">
        <v>421.89</v>
      </c>
      <c r="K4754">
        <v>364.69</v>
      </c>
      <c r="L4754">
        <v>2010305.85</v>
      </c>
      <c r="M4754">
        <v>1737747.85</v>
      </c>
      <c r="N4754">
        <v>272558</v>
      </c>
    </row>
    <row r="4755" spans="1:14" x14ac:dyDescent="0.25">
      <c r="A4755" t="s">
        <v>25</v>
      </c>
      <c r="B4755" t="s">
        <v>615</v>
      </c>
      <c r="C4755" t="s">
        <v>31</v>
      </c>
      <c r="D4755" t="s">
        <v>17</v>
      </c>
      <c r="E4755" t="s">
        <v>45</v>
      </c>
      <c r="F4755" s="1">
        <v>42711</v>
      </c>
      <c r="G4755">
        <v>946823489</v>
      </c>
      <c r="H4755" t="s">
        <v>566</v>
      </c>
      <c r="I4755">
        <v>4966</v>
      </c>
      <c r="J4755">
        <v>205.7</v>
      </c>
      <c r="K4755">
        <v>117.11</v>
      </c>
      <c r="L4755">
        <v>1021506.2</v>
      </c>
      <c r="M4755">
        <v>581568.26</v>
      </c>
      <c r="N4755">
        <v>439937.94</v>
      </c>
    </row>
    <row r="4756" spans="1:14" x14ac:dyDescent="0.25">
      <c r="A4756" t="s">
        <v>51</v>
      </c>
      <c r="B4756" t="s">
        <v>52</v>
      </c>
      <c r="C4756" t="s">
        <v>16</v>
      </c>
      <c r="D4756" t="s">
        <v>22</v>
      </c>
      <c r="E4756" t="s">
        <v>32</v>
      </c>
      <c r="F4756" s="1">
        <v>41860</v>
      </c>
      <c r="G4756">
        <v>628625524</v>
      </c>
      <c r="H4756" t="s">
        <v>267</v>
      </c>
      <c r="I4756">
        <v>3117</v>
      </c>
      <c r="J4756">
        <v>255.28</v>
      </c>
      <c r="K4756">
        <v>159.41999999999999</v>
      </c>
      <c r="L4756">
        <v>795707.76</v>
      </c>
      <c r="M4756">
        <v>496912.14</v>
      </c>
      <c r="N4756">
        <v>298795.62</v>
      </c>
    </row>
    <row r="4757" spans="1:14" x14ac:dyDescent="0.25">
      <c r="A4757" t="s">
        <v>29</v>
      </c>
      <c r="B4757" t="s">
        <v>159</v>
      </c>
      <c r="C4757" t="s">
        <v>131</v>
      </c>
      <c r="D4757" t="s">
        <v>22</v>
      </c>
      <c r="E4757" t="s">
        <v>45</v>
      </c>
      <c r="F4757" t="s">
        <v>978</v>
      </c>
      <c r="G4757">
        <v>443101203</v>
      </c>
      <c r="H4757" s="1">
        <v>40187</v>
      </c>
      <c r="I4757">
        <v>2347</v>
      </c>
      <c r="J4757">
        <v>668.27</v>
      </c>
      <c r="K4757">
        <v>502.54</v>
      </c>
      <c r="L4757">
        <v>1568429.69</v>
      </c>
      <c r="M4757">
        <v>1179461.3799999999</v>
      </c>
      <c r="N4757">
        <v>388968.31</v>
      </c>
    </row>
    <row r="4758" spans="1:14" x14ac:dyDescent="0.25">
      <c r="A4758" t="s">
        <v>51</v>
      </c>
      <c r="B4758" t="s">
        <v>638</v>
      </c>
      <c r="C4758" t="s">
        <v>113</v>
      </c>
      <c r="D4758" t="s">
        <v>17</v>
      </c>
      <c r="E4758" t="s">
        <v>45</v>
      </c>
      <c r="F4758" s="1">
        <v>42128</v>
      </c>
      <c r="G4758">
        <v>541861855</v>
      </c>
      <c r="H4758" s="1">
        <v>42252</v>
      </c>
      <c r="I4758">
        <v>7819</v>
      </c>
      <c r="J4758">
        <v>154.06</v>
      </c>
      <c r="K4758">
        <v>90.93</v>
      </c>
      <c r="L4758">
        <v>1204595.1399999999</v>
      </c>
      <c r="M4758">
        <v>710981.67</v>
      </c>
      <c r="N4758">
        <v>493613.47</v>
      </c>
    </row>
    <row r="4759" spans="1:14" x14ac:dyDescent="0.25">
      <c r="A4759" t="s">
        <v>29</v>
      </c>
      <c r="B4759" t="s">
        <v>153</v>
      </c>
      <c r="C4759" t="s">
        <v>55</v>
      </c>
      <c r="D4759" t="s">
        <v>17</v>
      </c>
      <c r="E4759" t="s">
        <v>45</v>
      </c>
      <c r="F4759" s="1">
        <v>41792</v>
      </c>
      <c r="G4759">
        <v>246831309</v>
      </c>
      <c r="H4759" s="1">
        <v>41762</v>
      </c>
      <c r="I4759">
        <v>1724</v>
      </c>
      <c r="J4759">
        <v>651.21</v>
      </c>
      <c r="K4759">
        <v>524.96</v>
      </c>
      <c r="L4759">
        <v>1122686.04</v>
      </c>
      <c r="M4759">
        <v>905031.04</v>
      </c>
      <c r="N4759">
        <v>217655</v>
      </c>
    </row>
    <row r="4760" spans="1:14" x14ac:dyDescent="0.25">
      <c r="A4760" t="s">
        <v>51</v>
      </c>
      <c r="B4760" t="s">
        <v>360</v>
      </c>
      <c r="C4760" t="s">
        <v>21</v>
      </c>
      <c r="D4760" t="s">
        <v>17</v>
      </c>
      <c r="E4760" t="s">
        <v>23</v>
      </c>
      <c r="F4760" s="1">
        <v>42435</v>
      </c>
      <c r="G4760">
        <v>300245893</v>
      </c>
      <c r="H4760" t="s">
        <v>1392</v>
      </c>
      <c r="I4760">
        <v>8287</v>
      </c>
      <c r="J4760">
        <v>152.58000000000001</v>
      </c>
      <c r="K4760">
        <v>97.44</v>
      </c>
      <c r="L4760">
        <v>1264430.46</v>
      </c>
      <c r="M4760">
        <v>807485.28</v>
      </c>
      <c r="N4760">
        <v>456945.18</v>
      </c>
    </row>
    <row r="4761" spans="1:14" x14ac:dyDescent="0.25">
      <c r="A4761" t="s">
        <v>51</v>
      </c>
      <c r="B4761" t="s">
        <v>108</v>
      </c>
      <c r="C4761" t="s">
        <v>21</v>
      </c>
      <c r="D4761" t="s">
        <v>22</v>
      </c>
      <c r="E4761" t="s">
        <v>23</v>
      </c>
      <c r="F4761" t="s">
        <v>1195</v>
      </c>
      <c r="G4761">
        <v>614654433</v>
      </c>
      <c r="H4761" t="s">
        <v>1071</v>
      </c>
      <c r="I4761">
        <v>8761</v>
      </c>
      <c r="J4761">
        <v>152.58000000000001</v>
      </c>
      <c r="K4761">
        <v>97.44</v>
      </c>
      <c r="L4761">
        <v>1336753.3799999999</v>
      </c>
      <c r="M4761">
        <v>853671.84</v>
      </c>
      <c r="N4761">
        <v>483081.54</v>
      </c>
    </row>
    <row r="4762" spans="1:14" x14ac:dyDescent="0.25">
      <c r="A4762" t="s">
        <v>14</v>
      </c>
      <c r="B4762" t="s">
        <v>15</v>
      </c>
      <c r="C4762" t="s">
        <v>88</v>
      </c>
      <c r="D4762" t="s">
        <v>17</v>
      </c>
      <c r="E4762" t="s">
        <v>45</v>
      </c>
      <c r="F4762" s="1">
        <v>41552</v>
      </c>
      <c r="G4762">
        <v>722918260</v>
      </c>
      <c r="H4762" t="s">
        <v>1231</v>
      </c>
      <c r="I4762">
        <v>6433</v>
      </c>
      <c r="J4762">
        <v>9.33</v>
      </c>
      <c r="K4762">
        <v>6.92</v>
      </c>
      <c r="L4762">
        <v>60019.89</v>
      </c>
      <c r="M4762">
        <v>44516.36</v>
      </c>
      <c r="N4762">
        <v>15503.53</v>
      </c>
    </row>
    <row r="4763" spans="1:14" x14ac:dyDescent="0.25">
      <c r="A4763" t="s">
        <v>25</v>
      </c>
      <c r="B4763" t="s">
        <v>142</v>
      </c>
      <c r="C4763" t="s">
        <v>59</v>
      </c>
      <c r="D4763" t="s">
        <v>17</v>
      </c>
      <c r="E4763" t="s">
        <v>45</v>
      </c>
      <c r="F4763" t="s">
        <v>1836</v>
      </c>
      <c r="G4763">
        <v>228211200</v>
      </c>
      <c r="H4763" s="1">
        <v>40980</v>
      </c>
      <c r="I4763">
        <v>1620</v>
      </c>
      <c r="J4763">
        <v>437.2</v>
      </c>
      <c r="K4763">
        <v>263.33</v>
      </c>
      <c r="L4763">
        <v>708264</v>
      </c>
      <c r="M4763">
        <v>426594.6</v>
      </c>
      <c r="N4763">
        <v>281669.40000000002</v>
      </c>
    </row>
    <row r="4764" spans="1:14" x14ac:dyDescent="0.25">
      <c r="A4764" t="s">
        <v>42</v>
      </c>
      <c r="B4764" t="s">
        <v>150</v>
      </c>
      <c r="C4764" t="s">
        <v>113</v>
      </c>
      <c r="D4764" t="s">
        <v>22</v>
      </c>
      <c r="E4764" t="s">
        <v>32</v>
      </c>
      <c r="F4764" t="s">
        <v>1850</v>
      </c>
      <c r="G4764">
        <v>154019582</v>
      </c>
      <c r="H4764" t="s">
        <v>1851</v>
      </c>
      <c r="I4764">
        <v>6672</v>
      </c>
      <c r="J4764">
        <v>154.06</v>
      </c>
      <c r="K4764">
        <v>90.93</v>
      </c>
      <c r="L4764">
        <v>1027888.32</v>
      </c>
      <c r="M4764">
        <v>606684.96</v>
      </c>
      <c r="N4764">
        <v>421203.36</v>
      </c>
    </row>
    <row r="4765" spans="1:14" x14ac:dyDescent="0.25">
      <c r="A4765" t="s">
        <v>51</v>
      </c>
      <c r="B4765" t="s">
        <v>578</v>
      </c>
      <c r="C4765" t="s">
        <v>40</v>
      </c>
      <c r="D4765" t="s">
        <v>17</v>
      </c>
      <c r="E4765" t="s">
        <v>18</v>
      </c>
      <c r="F4765" t="s">
        <v>486</v>
      </c>
      <c r="G4765">
        <v>694142234</v>
      </c>
      <c r="H4765" s="1">
        <v>42924</v>
      </c>
      <c r="I4765">
        <v>967</v>
      </c>
      <c r="J4765">
        <v>81.73</v>
      </c>
      <c r="K4765">
        <v>56.67</v>
      </c>
      <c r="L4765">
        <v>79032.91</v>
      </c>
      <c r="M4765">
        <v>54799.89</v>
      </c>
      <c r="N4765">
        <v>24233.02</v>
      </c>
    </row>
    <row r="4766" spans="1:14" x14ac:dyDescent="0.25">
      <c r="A4766" t="s">
        <v>51</v>
      </c>
      <c r="B4766" t="s">
        <v>258</v>
      </c>
      <c r="C4766" t="s">
        <v>55</v>
      </c>
      <c r="D4766" t="s">
        <v>22</v>
      </c>
      <c r="E4766" t="s">
        <v>23</v>
      </c>
      <c r="F4766" s="1">
        <v>42036</v>
      </c>
      <c r="G4766">
        <v>762690484</v>
      </c>
      <c r="H4766" t="s">
        <v>453</v>
      </c>
      <c r="I4766">
        <v>5918</v>
      </c>
      <c r="J4766">
        <v>651.21</v>
      </c>
      <c r="K4766">
        <v>524.96</v>
      </c>
      <c r="L4766">
        <v>3853860.78</v>
      </c>
      <c r="M4766">
        <v>3106713.28</v>
      </c>
      <c r="N4766">
        <v>747147.5</v>
      </c>
    </row>
    <row r="4767" spans="1:14" x14ac:dyDescent="0.25">
      <c r="A4767" t="s">
        <v>51</v>
      </c>
      <c r="B4767" t="s">
        <v>295</v>
      </c>
      <c r="C4767" t="s">
        <v>131</v>
      </c>
      <c r="D4767" t="s">
        <v>17</v>
      </c>
      <c r="E4767" t="s">
        <v>45</v>
      </c>
      <c r="F4767" s="1">
        <v>41064</v>
      </c>
      <c r="G4767">
        <v>244088160</v>
      </c>
      <c r="H4767" t="s">
        <v>1735</v>
      </c>
      <c r="I4767">
        <v>9966</v>
      </c>
      <c r="J4767">
        <v>668.27</v>
      </c>
      <c r="K4767">
        <v>502.54</v>
      </c>
      <c r="L4767">
        <v>6659978.8200000003</v>
      </c>
      <c r="M4767">
        <v>5008313.6399999997</v>
      </c>
      <c r="N4767">
        <v>1651665.18</v>
      </c>
    </row>
    <row r="4768" spans="1:14" x14ac:dyDescent="0.25">
      <c r="A4768" t="s">
        <v>42</v>
      </c>
      <c r="B4768" t="s">
        <v>552</v>
      </c>
      <c r="C4768" t="s">
        <v>44</v>
      </c>
      <c r="D4768" t="s">
        <v>22</v>
      </c>
      <c r="E4768" t="s">
        <v>32</v>
      </c>
      <c r="F4768" t="s">
        <v>810</v>
      </c>
      <c r="G4768">
        <v>443071591</v>
      </c>
      <c r="H4768" s="1">
        <v>40909</v>
      </c>
      <c r="I4768">
        <v>3585</v>
      </c>
      <c r="J4768">
        <v>109.28</v>
      </c>
      <c r="K4768">
        <v>35.840000000000003</v>
      </c>
      <c r="L4768">
        <v>391768.8</v>
      </c>
      <c r="M4768">
        <v>128486.39999999999</v>
      </c>
      <c r="N4768">
        <v>263282.40000000002</v>
      </c>
    </row>
    <row r="4769" spans="1:14" x14ac:dyDescent="0.25">
      <c r="A4769" t="s">
        <v>14</v>
      </c>
      <c r="B4769" t="s">
        <v>383</v>
      </c>
      <c r="C4769" t="s">
        <v>31</v>
      </c>
      <c r="D4769" t="s">
        <v>17</v>
      </c>
      <c r="E4769" t="s">
        <v>45</v>
      </c>
      <c r="F4769" t="s">
        <v>149</v>
      </c>
      <c r="G4769">
        <v>934689605</v>
      </c>
      <c r="H4769" t="s">
        <v>149</v>
      </c>
      <c r="I4769">
        <v>4280</v>
      </c>
      <c r="J4769">
        <v>205.7</v>
      </c>
      <c r="K4769">
        <v>117.11</v>
      </c>
      <c r="L4769">
        <v>880396</v>
      </c>
      <c r="M4769">
        <v>501230.8</v>
      </c>
      <c r="N4769">
        <v>379165.2</v>
      </c>
    </row>
    <row r="4770" spans="1:14" x14ac:dyDescent="0.25">
      <c r="A4770" t="s">
        <v>51</v>
      </c>
      <c r="B4770" t="s">
        <v>166</v>
      </c>
      <c r="C4770" t="s">
        <v>31</v>
      </c>
      <c r="D4770" t="s">
        <v>22</v>
      </c>
      <c r="E4770" t="s">
        <v>32</v>
      </c>
      <c r="F4770" s="1">
        <v>40614</v>
      </c>
      <c r="G4770">
        <v>914303529</v>
      </c>
      <c r="H4770" s="1">
        <v>40859</v>
      </c>
      <c r="I4770">
        <v>1587</v>
      </c>
      <c r="J4770">
        <v>205.7</v>
      </c>
      <c r="K4770">
        <v>117.11</v>
      </c>
      <c r="L4770">
        <v>326445.90000000002</v>
      </c>
      <c r="M4770">
        <v>185853.57</v>
      </c>
      <c r="N4770">
        <v>140592.32999999999</v>
      </c>
    </row>
    <row r="4771" spans="1:14" x14ac:dyDescent="0.25">
      <c r="A4771" t="s">
        <v>25</v>
      </c>
      <c r="B4771" t="s">
        <v>603</v>
      </c>
      <c r="C4771" t="s">
        <v>31</v>
      </c>
      <c r="D4771" t="s">
        <v>17</v>
      </c>
      <c r="E4771" t="s">
        <v>18</v>
      </c>
      <c r="F4771" s="1">
        <v>40792</v>
      </c>
      <c r="G4771">
        <v>547587192</v>
      </c>
      <c r="H4771" t="s">
        <v>1437</v>
      </c>
      <c r="I4771">
        <v>2073</v>
      </c>
      <c r="J4771">
        <v>205.7</v>
      </c>
      <c r="K4771">
        <v>117.11</v>
      </c>
      <c r="L4771">
        <v>426416.1</v>
      </c>
      <c r="M4771">
        <v>242769.03</v>
      </c>
      <c r="N4771">
        <v>183647.07</v>
      </c>
    </row>
    <row r="4772" spans="1:14" x14ac:dyDescent="0.25">
      <c r="A4772" t="s">
        <v>29</v>
      </c>
      <c r="B4772" t="s">
        <v>124</v>
      </c>
      <c r="C4772" t="s">
        <v>88</v>
      </c>
      <c r="D4772" t="s">
        <v>22</v>
      </c>
      <c r="E4772" t="s">
        <v>45</v>
      </c>
      <c r="F4772" s="1">
        <v>40736</v>
      </c>
      <c r="G4772">
        <v>520526921</v>
      </c>
      <c r="H4772" t="s">
        <v>1087</v>
      </c>
      <c r="I4772">
        <v>4338</v>
      </c>
      <c r="J4772">
        <v>9.33</v>
      </c>
      <c r="K4772">
        <v>6.92</v>
      </c>
      <c r="L4772">
        <v>40473.54</v>
      </c>
      <c r="M4772">
        <v>30018.959999999999</v>
      </c>
      <c r="N4772">
        <v>10454.58</v>
      </c>
    </row>
    <row r="4773" spans="1:14" x14ac:dyDescent="0.25">
      <c r="A4773" t="s">
        <v>25</v>
      </c>
      <c r="B4773" t="s">
        <v>469</v>
      </c>
      <c r="C4773" t="s">
        <v>44</v>
      </c>
      <c r="D4773" t="s">
        <v>17</v>
      </c>
      <c r="E4773" t="s">
        <v>45</v>
      </c>
      <c r="F4773" s="1">
        <v>40452</v>
      </c>
      <c r="G4773">
        <v>689421546</v>
      </c>
      <c r="H4773" t="s">
        <v>1168</v>
      </c>
      <c r="I4773">
        <v>4011</v>
      </c>
      <c r="J4773">
        <v>109.28</v>
      </c>
      <c r="K4773">
        <v>35.840000000000003</v>
      </c>
      <c r="L4773">
        <v>438322.08</v>
      </c>
      <c r="M4773">
        <v>143754.23999999999</v>
      </c>
      <c r="N4773">
        <v>294567.84000000003</v>
      </c>
    </row>
    <row r="4774" spans="1:14" x14ac:dyDescent="0.25">
      <c r="A4774" t="s">
        <v>25</v>
      </c>
      <c r="B4774" t="s">
        <v>556</v>
      </c>
      <c r="C4774" t="s">
        <v>69</v>
      </c>
      <c r="D4774" t="s">
        <v>17</v>
      </c>
      <c r="E4774" t="s">
        <v>18</v>
      </c>
      <c r="F4774" t="s">
        <v>1110</v>
      </c>
      <c r="G4774">
        <v>530882394</v>
      </c>
      <c r="H4774" s="1">
        <v>40576</v>
      </c>
      <c r="I4774">
        <v>8753</v>
      </c>
      <c r="J4774">
        <v>421.89</v>
      </c>
      <c r="K4774">
        <v>364.69</v>
      </c>
      <c r="L4774">
        <v>3692803.17</v>
      </c>
      <c r="M4774">
        <v>3192131.57</v>
      </c>
      <c r="N4774">
        <v>500671.6</v>
      </c>
    </row>
    <row r="4775" spans="1:14" x14ac:dyDescent="0.25">
      <c r="A4775" t="s">
        <v>29</v>
      </c>
      <c r="B4775" t="s">
        <v>30</v>
      </c>
      <c r="C4775" t="s">
        <v>44</v>
      </c>
      <c r="D4775" t="s">
        <v>17</v>
      </c>
      <c r="E4775" t="s">
        <v>32</v>
      </c>
      <c r="F4775" t="s">
        <v>1749</v>
      </c>
      <c r="G4775">
        <v>491833293</v>
      </c>
      <c r="H4775" t="s">
        <v>324</v>
      </c>
      <c r="I4775">
        <v>3256</v>
      </c>
      <c r="J4775">
        <v>109.28</v>
      </c>
      <c r="K4775">
        <v>35.840000000000003</v>
      </c>
      <c r="L4775">
        <v>355815.67999999999</v>
      </c>
      <c r="M4775">
        <v>116695.03999999999</v>
      </c>
      <c r="N4775">
        <v>239120.64000000001</v>
      </c>
    </row>
    <row r="4776" spans="1:14" x14ac:dyDescent="0.25">
      <c r="A4776" t="s">
        <v>51</v>
      </c>
      <c r="B4776" t="s">
        <v>250</v>
      </c>
      <c r="C4776" t="s">
        <v>31</v>
      </c>
      <c r="D4776" t="s">
        <v>17</v>
      </c>
      <c r="E4776" t="s">
        <v>45</v>
      </c>
      <c r="F4776" t="s">
        <v>1129</v>
      </c>
      <c r="G4776">
        <v>639510571</v>
      </c>
      <c r="H4776" s="1">
        <v>42985</v>
      </c>
      <c r="I4776">
        <v>4244</v>
      </c>
      <c r="J4776">
        <v>205.7</v>
      </c>
      <c r="K4776">
        <v>117.11</v>
      </c>
      <c r="L4776">
        <v>872990.8</v>
      </c>
      <c r="M4776">
        <v>497014.84</v>
      </c>
      <c r="N4776">
        <v>375975.96</v>
      </c>
    </row>
    <row r="4777" spans="1:14" x14ac:dyDescent="0.25">
      <c r="A4777" t="s">
        <v>51</v>
      </c>
      <c r="B4777" t="s">
        <v>417</v>
      </c>
      <c r="C4777" t="s">
        <v>40</v>
      </c>
      <c r="D4777" t="s">
        <v>22</v>
      </c>
      <c r="E4777" t="s">
        <v>23</v>
      </c>
      <c r="F4777" s="1">
        <v>40973</v>
      </c>
      <c r="G4777">
        <v>211463057</v>
      </c>
      <c r="H4777" t="s">
        <v>1238</v>
      </c>
      <c r="I4777">
        <v>5473</v>
      </c>
      <c r="J4777">
        <v>81.73</v>
      </c>
      <c r="K4777">
        <v>56.67</v>
      </c>
      <c r="L4777">
        <v>447308.29</v>
      </c>
      <c r="M4777">
        <v>310154.90999999997</v>
      </c>
      <c r="N4777">
        <v>137153.38</v>
      </c>
    </row>
    <row r="4778" spans="1:14" x14ac:dyDescent="0.25">
      <c r="A4778" t="s">
        <v>25</v>
      </c>
      <c r="B4778" t="s">
        <v>569</v>
      </c>
      <c r="C4778" t="s">
        <v>21</v>
      </c>
      <c r="D4778" t="s">
        <v>22</v>
      </c>
      <c r="E4778" t="s">
        <v>18</v>
      </c>
      <c r="F4778" s="1">
        <v>40822</v>
      </c>
      <c r="G4778">
        <v>765552079</v>
      </c>
      <c r="H4778" t="s">
        <v>826</v>
      </c>
      <c r="I4778">
        <v>2727</v>
      </c>
      <c r="J4778">
        <v>152.58000000000001</v>
      </c>
      <c r="K4778">
        <v>97.44</v>
      </c>
      <c r="L4778">
        <v>416085.66</v>
      </c>
      <c r="M4778">
        <v>265718.88</v>
      </c>
      <c r="N4778">
        <v>150366.78</v>
      </c>
    </row>
    <row r="4779" spans="1:14" x14ac:dyDescent="0.25">
      <c r="A4779" t="s">
        <v>51</v>
      </c>
      <c r="B4779" t="s">
        <v>664</v>
      </c>
      <c r="C4779" t="s">
        <v>131</v>
      </c>
      <c r="D4779" t="s">
        <v>17</v>
      </c>
      <c r="E4779" t="s">
        <v>23</v>
      </c>
      <c r="F4779" t="s">
        <v>1126</v>
      </c>
      <c r="G4779">
        <v>329951465</v>
      </c>
      <c r="H4779" s="1">
        <v>41671</v>
      </c>
      <c r="I4779">
        <v>8825</v>
      </c>
      <c r="J4779">
        <v>668.27</v>
      </c>
      <c r="K4779">
        <v>502.54</v>
      </c>
      <c r="L4779">
        <v>5897482.75</v>
      </c>
      <c r="M4779">
        <v>4434915.5</v>
      </c>
      <c r="N4779">
        <v>1462567.25</v>
      </c>
    </row>
    <row r="4780" spans="1:14" x14ac:dyDescent="0.25">
      <c r="A4780" t="s">
        <v>38</v>
      </c>
      <c r="B4780" t="s">
        <v>54</v>
      </c>
      <c r="C4780" t="s">
        <v>69</v>
      </c>
      <c r="D4780" t="s">
        <v>22</v>
      </c>
      <c r="E4780" t="s">
        <v>23</v>
      </c>
      <c r="F4780" s="1">
        <v>41222</v>
      </c>
      <c r="G4780">
        <v>153147542</v>
      </c>
      <c r="H4780" t="s">
        <v>1546</v>
      </c>
      <c r="I4780">
        <v>8616</v>
      </c>
      <c r="J4780">
        <v>421.89</v>
      </c>
      <c r="K4780">
        <v>364.69</v>
      </c>
      <c r="L4780">
        <v>3635004.24</v>
      </c>
      <c r="M4780">
        <v>3142169.04</v>
      </c>
      <c r="N4780">
        <v>492835.2</v>
      </c>
    </row>
    <row r="4781" spans="1:14" x14ac:dyDescent="0.25">
      <c r="A4781" t="s">
        <v>42</v>
      </c>
      <c r="B4781" t="s">
        <v>43</v>
      </c>
      <c r="C4781" t="s">
        <v>16</v>
      </c>
      <c r="D4781" t="s">
        <v>22</v>
      </c>
      <c r="E4781" t="s">
        <v>45</v>
      </c>
      <c r="F4781" s="1">
        <v>41252</v>
      </c>
      <c r="G4781">
        <v>653939139</v>
      </c>
      <c r="H4781" s="1">
        <v>41070</v>
      </c>
      <c r="I4781">
        <v>3978</v>
      </c>
      <c r="J4781">
        <v>255.28</v>
      </c>
      <c r="K4781">
        <v>159.41999999999999</v>
      </c>
      <c r="L4781">
        <v>1015503.84</v>
      </c>
      <c r="M4781">
        <v>634172.76</v>
      </c>
      <c r="N4781">
        <v>381331.08</v>
      </c>
    </row>
    <row r="4782" spans="1:14" x14ac:dyDescent="0.25">
      <c r="A4782" t="s">
        <v>51</v>
      </c>
      <c r="B4782" t="s">
        <v>308</v>
      </c>
      <c r="C4782" t="s">
        <v>55</v>
      </c>
      <c r="D4782" t="s">
        <v>22</v>
      </c>
      <c r="E4782" t="s">
        <v>45</v>
      </c>
      <c r="F4782" t="s">
        <v>1763</v>
      </c>
      <c r="G4782">
        <v>971437585</v>
      </c>
      <c r="H4782" s="1">
        <v>40949</v>
      </c>
      <c r="I4782">
        <v>8824</v>
      </c>
      <c r="J4782">
        <v>651.21</v>
      </c>
      <c r="K4782">
        <v>524.96</v>
      </c>
      <c r="L4782">
        <v>5746277.04</v>
      </c>
      <c r="M4782">
        <v>4632247.04</v>
      </c>
      <c r="N4782">
        <v>1114030</v>
      </c>
    </row>
    <row r="4783" spans="1:14" x14ac:dyDescent="0.25">
      <c r="A4783" t="s">
        <v>29</v>
      </c>
      <c r="B4783" t="s">
        <v>338</v>
      </c>
      <c r="C4783" t="s">
        <v>88</v>
      </c>
      <c r="D4783" t="s">
        <v>22</v>
      </c>
      <c r="E4783" t="s">
        <v>32</v>
      </c>
      <c r="F4783" t="s">
        <v>1381</v>
      </c>
      <c r="G4783">
        <v>315066707</v>
      </c>
      <c r="H4783" t="s">
        <v>653</v>
      </c>
      <c r="I4783">
        <v>4095</v>
      </c>
      <c r="J4783">
        <v>9.33</v>
      </c>
      <c r="K4783">
        <v>6.92</v>
      </c>
      <c r="L4783">
        <v>38206.35</v>
      </c>
      <c r="M4783">
        <v>28337.4</v>
      </c>
      <c r="N4783">
        <v>9868.9500000000007</v>
      </c>
    </row>
    <row r="4784" spans="1:14" x14ac:dyDescent="0.25">
      <c r="A4784" t="s">
        <v>38</v>
      </c>
      <c r="B4784" t="s">
        <v>584</v>
      </c>
      <c r="C4784" t="s">
        <v>131</v>
      </c>
      <c r="D4784" t="s">
        <v>17</v>
      </c>
      <c r="E4784" t="s">
        <v>23</v>
      </c>
      <c r="F4784" t="s">
        <v>1809</v>
      </c>
      <c r="G4784">
        <v>214562833</v>
      </c>
      <c r="H4784" s="1">
        <v>40942</v>
      </c>
      <c r="I4784">
        <v>2765</v>
      </c>
      <c r="J4784">
        <v>668.27</v>
      </c>
      <c r="K4784">
        <v>502.54</v>
      </c>
      <c r="L4784">
        <v>1847766.55</v>
      </c>
      <c r="M4784">
        <v>1389523.1</v>
      </c>
      <c r="N4784">
        <v>458243.45</v>
      </c>
    </row>
    <row r="4785" spans="1:14" x14ac:dyDescent="0.25">
      <c r="A4785" t="s">
        <v>25</v>
      </c>
      <c r="B4785" t="s">
        <v>434</v>
      </c>
      <c r="C4785" t="s">
        <v>16</v>
      </c>
      <c r="D4785" t="s">
        <v>22</v>
      </c>
      <c r="E4785" t="s">
        <v>18</v>
      </c>
      <c r="F4785" t="s">
        <v>1416</v>
      </c>
      <c r="G4785">
        <v>469974792</v>
      </c>
      <c r="H4785" t="s">
        <v>687</v>
      </c>
      <c r="I4785">
        <v>4840</v>
      </c>
      <c r="J4785">
        <v>255.28</v>
      </c>
      <c r="K4785">
        <v>159.41999999999999</v>
      </c>
      <c r="L4785">
        <v>1235555.2</v>
      </c>
      <c r="M4785">
        <v>771592.8</v>
      </c>
      <c r="N4785">
        <v>463962.4</v>
      </c>
    </row>
    <row r="4786" spans="1:14" x14ac:dyDescent="0.25">
      <c r="A4786" t="s">
        <v>14</v>
      </c>
      <c r="B4786" t="s">
        <v>66</v>
      </c>
      <c r="C4786" t="s">
        <v>88</v>
      </c>
      <c r="D4786" t="s">
        <v>22</v>
      </c>
      <c r="E4786" t="s">
        <v>45</v>
      </c>
      <c r="F4786" t="s">
        <v>1852</v>
      </c>
      <c r="G4786">
        <v>501663911</v>
      </c>
      <c r="H4786" t="s">
        <v>1148</v>
      </c>
      <c r="I4786">
        <v>2354</v>
      </c>
      <c r="J4786">
        <v>9.33</v>
      </c>
      <c r="K4786">
        <v>6.92</v>
      </c>
      <c r="L4786">
        <v>21962.82</v>
      </c>
      <c r="M4786">
        <v>16289.68</v>
      </c>
      <c r="N4786">
        <v>5673.14</v>
      </c>
    </row>
    <row r="4787" spans="1:14" x14ac:dyDescent="0.25">
      <c r="A4787" t="s">
        <v>25</v>
      </c>
      <c r="B4787" t="s">
        <v>239</v>
      </c>
      <c r="C4787" t="s">
        <v>40</v>
      </c>
      <c r="D4787" t="s">
        <v>22</v>
      </c>
      <c r="E4787" t="s">
        <v>18</v>
      </c>
      <c r="F4787" t="s">
        <v>1350</v>
      </c>
      <c r="G4787">
        <v>700304019</v>
      </c>
      <c r="H4787" t="s">
        <v>1733</v>
      </c>
      <c r="I4787">
        <v>4376</v>
      </c>
      <c r="J4787">
        <v>81.73</v>
      </c>
      <c r="K4787">
        <v>56.67</v>
      </c>
      <c r="L4787">
        <v>357650.48</v>
      </c>
      <c r="M4787">
        <v>247987.92</v>
      </c>
      <c r="N4787">
        <v>109662.56</v>
      </c>
    </row>
    <row r="4788" spans="1:14" x14ac:dyDescent="0.25">
      <c r="A4788" t="s">
        <v>51</v>
      </c>
      <c r="B4788" t="s">
        <v>129</v>
      </c>
      <c r="C4788" t="s">
        <v>21</v>
      </c>
      <c r="D4788" t="s">
        <v>22</v>
      </c>
      <c r="E4788" t="s">
        <v>32</v>
      </c>
      <c r="F4788" t="s">
        <v>663</v>
      </c>
      <c r="G4788">
        <v>176881444</v>
      </c>
      <c r="H4788" t="s">
        <v>562</v>
      </c>
      <c r="I4788">
        <v>2005</v>
      </c>
      <c r="J4788">
        <v>152.58000000000001</v>
      </c>
      <c r="K4788">
        <v>97.44</v>
      </c>
      <c r="L4788">
        <v>305922.90000000002</v>
      </c>
      <c r="M4788">
        <v>195367.2</v>
      </c>
      <c r="N4788">
        <v>110555.7</v>
      </c>
    </row>
    <row r="4789" spans="1:14" x14ac:dyDescent="0.25">
      <c r="A4789" t="s">
        <v>51</v>
      </c>
      <c r="B4789" t="s">
        <v>525</v>
      </c>
      <c r="C4789" t="s">
        <v>16</v>
      </c>
      <c r="D4789" t="s">
        <v>17</v>
      </c>
      <c r="E4789" t="s">
        <v>45</v>
      </c>
      <c r="F4789" t="s">
        <v>694</v>
      </c>
      <c r="G4789">
        <v>812695014</v>
      </c>
      <c r="H4789" s="1">
        <v>41005</v>
      </c>
      <c r="I4789">
        <v>3369</v>
      </c>
      <c r="J4789">
        <v>255.28</v>
      </c>
      <c r="K4789">
        <v>159.41999999999999</v>
      </c>
      <c r="L4789">
        <v>860038.32</v>
      </c>
      <c r="M4789">
        <v>537085.98</v>
      </c>
      <c r="N4789">
        <v>322952.34000000003</v>
      </c>
    </row>
    <row r="4790" spans="1:14" x14ac:dyDescent="0.25">
      <c r="A4790" t="s">
        <v>25</v>
      </c>
      <c r="B4790" t="s">
        <v>266</v>
      </c>
      <c r="C4790" t="s">
        <v>44</v>
      </c>
      <c r="D4790" t="s">
        <v>17</v>
      </c>
      <c r="E4790" t="s">
        <v>45</v>
      </c>
      <c r="F4790" t="s">
        <v>1010</v>
      </c>
      <c r="G4790">
        <v>509356057</v>
      </c>
      <c r="H4790" t="s">
        <v>1027</v>
      </c>
      <c r="I4790">
        <v>8631</v>
      </c>
      <c r="J4790">
        <v>109.28</v>
      </c>
      <c r="K4790">
        <v>35.840000000000003</v>
      </c>
      <c r="L4790">
        <v>943195.68</v>
      </c>
      <c r="M4790">
        <v>309335.03999999998</v>
      </c>
      <c r="N4790">
        <v>633860.64</v>
      </c>
    </row>
    <row r="4791" spans="1:14" x14ac:dyDescent="0.25">
      <c r="A4791" t="s">
        <v>25</v>
      </c>
      <c r="B4791" t="s">
        <v>284</v>
      </c>
      <c r="C4791" t="s">
        <v>16</v>
      </c>
      <c r="D4791" t="s">
        <v>22</v>
      </c>
      <c r="E4791" t="s">
        <v>18</v>
      </c>
      <c r="F4791" s="1">
        <v>40453</v>
      </c>
      <c r="G4791">
        <v>838788402</v>
      </c>
      <c r="H4791" t="s">
        <v>508</v>
      </c>
      <c r="I4791">
        <v>4983</v>
      </c>
      <c r="J4791">
        <v>255.28</v>
      </c>
      <c r="K4791">
        <v>159.41999999999999</v>
      </c>
      <c r="L4791">
        <v>1272060.24</v>
      </c>
      <c r="M4791">
        <v>794389.86</v>
      </c>
      <c r="N4791">
        <v>477670.38</v>
      </c>
    </row>
    <row r="4792" spans="1:14" x14ac:dyDescent="0.25">
      <c r="A4792" t="s">
        <v>14</v>
      </c>
      <c r="B4792" t="s">
        <v>433</v>
      </c>
      <c r="C4792" t="s">
        <v>88</v>
      </c>
      <c r="D4792" t="s">
        <v>22</v>
      </c>
      <c r="E4792" t="s">
        <v>45</v>
      </c>
      <c r="F4792" s="1">
        <v>41101</v>
      </c>
      <c r="G4792">
        <v>293228375</v>
      </c>
      <c r="H4792" t="s">
        <v>1679</v>
      </c>
      <c r="I4792">
        <v>1647</v>
      </c>
      <c r="J4792">
        <v>9.33</v>
      </c>
      <c r="K4792">
        <v>6.92</v>
      </c>
      <c r="L4792">
        <v>15366.51</v>
      </c>
      <c r="M4792">
        <v>11397.24</v>
      </c>
      <c r="N4792">
        <v>3969.27</v>
      </c>
    </row>
    <row r="4793" spans="1:14" x14ac:dyDescent="0.25">
      <c r="A4793" t="s">
        <v>38</v>
      </c>
      <c r="B4793" t="s">
        <v>430</v>
      </c>
      <c r="C4793" t="s">
        <v>31</v>
      </c>
      <c r="D4793" t="s">
        <v>17</v>
      </c>
      <c r="E4793" t="s">
        <v>23</v>
      </c>
      <c r="F4793" t="s">
        <v>833</v>
      </c>
      <c r="G4793">
        <v>135224807</v>
      </c>
      <c r="H4793" s="1">
        <v>40333</v>
      </c>
      <c r="I4793">
        <v>4880</v>
      </c>
      <c r="J4793">
        <v>205.7</v>
      </c>
      <c r="K4793">
        <v>117.11</v>
      </c>
      <c r="L4793">
        <v>1003816</v>
      </c>
      <c r="M4793">
        <v>571496.80000000005</v>
      </c>
      <c r="N4793">
        <v>432319.2</v>
      </c>
    </row>
    <row r="4794" spans="1:14" x14ac:dyDescent="0.25">
      <c r="A4794" t="s">
        <v>14</v>
      </c>
      <c r="B4794" t="s">
        <v>226</v>
      </c>
      <c r="C4794" t="s">
        <v>31</v>
      </c>
      <c r="D4794" t="s">
        <v>22</v>
      </c>
      <c r="E4794" t="s">
        <v>18</v>
      </c>
      <c r="F4794" s="1">
        <v>41399</v>
      </c>
      <c r="G4794">
        <v>347639024</v>
      </c>
      <c r="H4794" t="s">
        <v>1346</v>
      </c>
      <c r="I4794">
        <v>2967</v>
      </c>
      <c r="J4794">
        <v>205.7</v>
      </c>
      <c r="K4794">
        <v>117.11</v>
      </c>
      <c r="L4794">
        <v>610311.9</v>
      </c>
      <c r="M4794">
        <v>347465.37</v>
      </c>
      <c r="N4794">
        <v>262846.53000000003</v>
      </c>
    </row>
    <row r="4795" spans="1:14" x14ac:dyDescent="0.25">
      <c r="A4795" t="s">
        <v>51</v>
      </c>
      <c r="B4795" t="s">
        <v>231</v>
      </c>
      <c r="C4795" t="s">
        <v>131</v>
      </c>
      <c r="D4795" t="s">
        <v>17</v>
      </c>
      <c r="E4795" t="s">
        <v>23</v>
      </c>
      <c r="F4795" t="s">
        <v>855</v>
      </c>
      <c r="G4795">
        <v>983644855</v>
      </c>
      <c r="H4795" t="s">
        <v>71</v>
      </c>
      <c r="I4795">
        <v>1226</v>
      </c>
      <c r="J4795">
        <v>668.27</v>
      </c>
      <c r="K4795">
        <v>502.54</v>
      </c>
      <c r="L4795">
        <v>819299.02</v>
      </c>
      <c r="M4795">
        <v>616114.04</v>
      </c>
      <c r="N4795">
        <v>203184.98</v>
      </c>
    </row>
    <row r="4796" spans="1:14" x14ac:dyDescent="0.25">
      <c r="A4796" t="s">
        <v>42</v>
      </c>
      <c r="B4796" t="s">
        <v>174</v>
      </c>
      <c r="C4796" t="s">
        <v>16</v>
      </c>
      <c r="D4796" t="s">
        <v>17</v>
      </c>
      <c r="E4796" t="s">
        <v>45</v>
      </c>
      <c r="F4796" t="s">
        <v>783</v>
      </c>
      <c r="G4796">
        <v>816728627</v>
      </c>
      <c r="H4796" s="1">
        <v>41041</v>
      </c>
      <c r="I4796">
        <v>7005</v>
      </c>
      <c r="J4796">
        <v>255.28</v>
      </c>
      <c r="K4796">
        <v>159.41999999999999</v>
      </c>
      <c r="L4796">
        <v>1788236.4</v>
      </c>
      <c r="M4796">
        <v>1116737.1000000001</v>
      </c>
      <c r="N4796">
        <v>671499.3</v>
      </c>
    </row>
    <row r="4797" spans="1:14" x14ac:dyDescent="0.25">
      <c r="A4797" t="s">
        <v>29</v>
      </c>
      <c r="B4797" t="s">
        <v>271</v>
      </c>
      <c r="C4797" t="s">
        <v>40</v>
      </c>
      <c r="D4797" t="s">
        <v>22</v>
      </c>
      <c r="E4797" t="s">
        <v>23</v>
      </c>
      <c r="F4797" t="s">
        <v>665</v>
      </c>
      <c r="G4797">
        <v>490689170</v>
      </c>
      <c r="H4797" s="1">
        <v>40432</v>
      </c>
      <c r="I4797">
        <v>4684</v>
      </c>
      <c r="J4797">
        <v>81.73</v>
      </c>
      <c r="K4797">
        <v>56.67</v>
      </c>
      <c r="L4797">
        <v>382823.32</v>
      </c>
      <c r="M4797">
        <v>265442.28000000003</v>
      </c>
      <c r="N4797">
        <v>117381.04</v>
      </c>
    </row>
    <row r="4798" spans="1:14" x14ac:dyDescent="0.25">
      <c r="A4798" t="s">
        <v>77</v>
      </c>
      <c r="B4798" t="s">
        <v>794</v>
      </c>
      <c r="C4798" t="s">
        <v>55</v>
      </c>
      <c r="D4798" t="s">
        <v>22</v>
      </c>
      <c r="E4798" t="s">
        <v>23</v>
      </c>
      <c r="F4798" s="1">
        <v>40455</v>
      </c>
      <c r="G4798">
        <v>269637811</v>
      </c>
      <c r="H4798" s="1">
        <v>40183</v>
      </c>
      <c r="I4798">
        <v>675</v>
      </c>
      <c r="J4798">
        <v>651.21</v>
      </c>
      <c r="K4798">
        <v>524.96</v>
      </c>
      <c r="L4798">
        <v>439566.75</v>
      </c>
      <c r="M4798">
        <v>354348</v>
      </c>
      <c r="N4798">
        <v>85218.75</v>
      </c>
    </row>
    <row r="4799" spans="1:14" x14ac:dyDescent="0.25">
      <c r="A4799" t="s">
        <v>51</v>
      </c>
      <c r="B4799" t="s">
        <v>100</v>
      </c>
      <c r="C4799" t="s">
        <v>44</v>
      </c>
      <c r="D4799" t="s">
        <v>22</v>
      </c>
      <c r="E4799" t="s">
        <v>18</v>
      </c>
      <c r="F4799" t="s">
        <v>1200</v>
      </c>
      <c r="G4799">
        <v>487998378</v>
      </c>
      <c r="H4799" s="1">
        <v>42381</v>
      </c>
      <c r="I4799">
        <v>8419</v>
      </c>
      <c r="J4799">
        <v>109.28</v>
      </c>
      <c r="K4799">
        <v>35.840000000000003</v>
      </c>
      <c r="L4799">
        <v>920028.32</v>
      </c>
      <c r="M4799">
        <v>301736.96000000002</v>
      </c>
      <c r="N4799">
        <v>618291.36</v>
      </c>
    </row>
    <row r="4800" spans="1:14" x14ac:dyDescent="0.25">
      <c r="A4800" t="s">
        <v>25</v>
      </c>
      <c r="B4800" t="s">
        <v>74</v>
      </c>
      <c r="C4800" t="s">
        <v>55</v>
      </c>
      <c r="D4800" t="s">
        <v>22</v>
      </c>
      <c r="E4800" t="s">
        <v>23</v>
      </c>
      <c r="F4800" s="1">
        <v>41884</v>
      </c>
      <c r="G4800">
        <v>200507199</v>
      </c>
      <c r="H4800" t="s">
        <v>1713</v>
      </c>
      <c r="I4800">
        <v>3391</v>
      </c>
      <c r="J4800">
        <v>651.21</v>
      </c>
      <c r="K4800">
        <v>524.96</v>
      </c>
      <c r="L4800">
        <v>2208253.11</v>
      </c>
      <c r="M4800">
        <v>1780139.36</v>
      </c>
      <c r="N4800">
        <v>428113.75</v>
      </c>
    </row>
    <row r="4801" spans="1:14" x14ac:dyDescent="0.25">
      <c r="A4801" t="s">
        <v>29</v>
      </c>
      <c r="B4801" t="s">
        <v>243</v>
      </c>
      <c r="C4801" t="s">
        <v>131</v>
      </c>
      <c r="D4801" t="s">
        <v>17</v>
      </c>
      <c r="E4801" t="s">
        <v>18</v>
      </c>
      <c r="F4801" t="s">
        <v>385</v>
      </c>
      <c r="G4801">
        <v>332213103</v>
      </c>
      <c r="H4801" s="1">
        <v>41462</v>
      </c>
      <c r="I4801">
        <v>8095</v>
      </c>
      <c r="J4801">
        <v>668.27</v>
      </c>
      <c r="K4801">
        <v>502.54</v>
      </c>
      <c r="L4801">
        <v>5409645.6500000004</v>
      </c>
      <c r="M4801">
        <v>4068061.3</v>
      </c>
      <c r="N4801">
        <v>1341584.3500000001</v>
      </c>
    </row>
    <row r="4802" spans="1:14" x14ac:dyDescent="0.25">
      <c r="A4802" t="s">
        <v>14</v>
      </c>
      <c r="B4802" t="s">
        <v>433</v>
      </c>
      <c r="C4802" t="s">
        <v>16</v>
      </c>
      <c r="D4802" t="s">
        <v>17</v>
      </c>
      <c r="E4802" t="s">
        <v>18</v>
      </c>
      <c r="F4802" s="1">
        <v>40798</v>
      </c>
      <c r="G4802">
        <v>528477418</v>
      </c>
      <c r="H4802" t="s">
        <v>407</v>
      </c>
      <c r="I4802">
        <v>7067</v>
      </c>
      <c r="J4802">
        <v>255.28</v>
      </c>
      <c r="K4802">
        <v>159.41999999999999</v>
      </c>
      <c r="L4802">
        <v>1804063.76</v>
      </c>
      <c r="M4802">
        <v>1126621.1399999999</v>
      </c>
      <c r="N4802">
        <v>677442.62</v>
      </c>
    </row>
    <row r="4803" spans="1:14" x14ac:dyDescent="0.25">
      <c r="A4803" t="s">
        <v>25</v>
      </c>
      <c r="B4803" t="s">
        <v>529</v>
      </c>
      <c r="C4803" t="s">
        <v>69</v>
      </c>
      <c r="D4803" t="s">
        <v>17</v>
      </c>
      <c r="E4803" t="s">
        <v>18</v>
      </c>
      <c r="F4803" s="1">
        <v>40612</v>
      </c>
      <c r="G4803">
        <v>504973971</v>
      </c>
      <c r="H4803" s="1">
        <v>40585</v>
      </c>
      <c r="I4803">
        <v>1875</v>
      </c>
      <c r="J4803">
        <v>421.89</v>
      </c>
      <c r="K4803">
        <v>364.69</v>
      </c>
      <c r="L4803">
        <v>791043.75</v>
      </c>
      <c r="M4803">
        <v>683793.75</v>
      </c>
      <c r="N4803">
        <v>107250</v>
      </c>
    </row>
    <row r="4804" spans="1:14" x14ac:dyDescent="0.25">
      <c r="A4804" t="s">
        <v>29</v>
      </c>
      <c r="B4804" t="s">
        <v>243</v>
      </c>
      <c r="C4804" t="s">
        <v>44</v>
      </c>
      <c r="D4804" t="s">
        <v>17</v>
      </c>
      <c r="E4804" t="s">
        <v>18</v>
      </c>
      <c r="F4804" t="s">
        <v>319</v>
      </c>
      <c r="G4804">
        <v>497689092</v>
      </c>
      <c r="H4804" t="s">
        <v>1395</v>
      </c>
      <c r="I4804">
        <v>6117</v>
      </c>
      <c r="J4804">
        <v>109.28</v>
      </c>
      <c r="K4804">
        <v>35.840000000000003</v>
      </c>
      <c r="L4804">
        <v>668465.76</v>
      </c>
      <c r="M4804">
        <v>219233.28</v>
      </c>
      <c r="N4804">
        <v>449232.48</v>
      </c>
    </row>
    <row r="4805" spans="1:14" x14ac:dyDescent="0.25">
      <c r="A4805" t="s">
        <v>38</v>
      </c>
      <c r="B4805" t="s">
        <v>117</v>
      </c>
      <c r="C4805" t="s">
        <v>69</v>
      </c>
      <c r="D4805" t="s">
        <v>17</v>
      </c>
      <c r="E4805" t="s">
        <v>45</v>
      </c>
      <c r="F4805" t="s">
        <v>1178</v>
      </c>
      <c r="G4805">
        <v>812921607</v>
      </c>
      <c r="H4805" t="s">
        <v>331</v>
      </c>
      <c r="I4805">
        <v>423</v>
      </c>
      <c r="J4805">
        <v>421.89</v>
      </c>
      <c r="K4805">
        <v>364.69</v>
      </c>
      <c r="L4805">
        <v>178459.47</v>
      </c>
      <c r="M4805">
        <v>154263.87</v>
      </c>
      <c r="N4805">
        <v>24195.599999999999</v>
      </c>
    </row>
    <row r="4806" spans="1:14" x14ac:dyDescent="0.25">
      <c r="A4806" t="s">
        <v>25</v>
      </c>
      <c r="B4806" t="s">
        <v>284</v>
      </c>
      <c r="C4806" t="s">
        <v>31</v>
      </c>
      <c r="D4806" t="s">
        <v>22</v>
      </c>
      <c r="E4806" t="s">
        <v>45</v>
      </c>
      <c r="F4806" t="s">
        <v>1312</v>
      </c>
      <c r="G4806">
        <v>477282845</v>
      </c>
      <c r="H4806" s="1">
        <v>40270</v>
      </c>
      <c r="I4806">
        <v>7455</v>
      </c>
      <c r="J4806">
        <v>205.7</v>
      </c>
      <c r="K4806">
        <v>117.11</v>
      </c>
      <c r="L4806">
        <v>1533493.5</v>
      </c>
      <c r="M4806">
        <v>873055.05</v>
      </c>
      <c r="N4806">
        <v>660438.44999999995</v>
      </c>
    </row>
    <row r="4807" spans="1:14" x14ac:dyDescent="0.25">
      <c r="A4807" t="s">
        <v>51</v>
      </c>
      <c r="B4807" t="s">
        <v>578</v>
      </c>
      <c r="C4807" t="s">
        <v>88</v>
      </c>
      <c r="D4807" t="s">
        <v>17</v>
      </c>
      <c r="E4807" t="s">
        <v>23</v>
      </c>
      <c r="F4807" s="1">
        <v>42159</v>
      </c>
      <c r="G4807">
        <v>387696635</v>
      </c>
      <c r="H4807" t="s">
        <v>691</v>
      </c>
      <c r="I4807">
        <v>6905</v>
      </c>
      <c r="J4807">
        <v>9.33</v>
      </c>
      <c r="K4807">
        <v>6.92</v>
      </c>
      <c r="L4807">
        <v>64423.65</v>
      </c>
      <c r="M4807">
        <v>47782.6</v>
      </c>
      <c r="N4807">
        <v>16641.05</v>
      </c>
    </row>
    <row r="4808" spans="1:14" x14ac:dyDescent="0.25">
      <c r="A4808" t="s">
        <v>25</v>
      </c>
      <c r="B4808" t="s">
        <v>569</v>
      </c>
      <c r="C4808" t="s">
        <v>59</v>
      </c>
      <c r="D4808" t="s">
        <v>17</v>
      </c>
      <c r="E4808" t="s">
        <v>32</v>
      </c>
      <c r="F4808" s="1">
        <v>40181</v>
      </c>
      <c r="G4808">
        <v>161399304</v>
      </c>
      <c r="H4808" t="s">
        <v>788</v>
      </c>
      <c r="I4808">
        <v>496</v>
      </c>
      <c r="J4808">
        <v>437.2</v>
      </c>
      <c r="K4808">
        <v>263.33</v>
      </c>
      <c r="L4808">
        <v>216851.20000000001</v>
      </c>
      <c r="M4808">
        <v>130611.68</v>
      </c>
      <c r="N4808">
        <v>86239.52</v>
      </c>
    </row>
    <row r="4809" spans="1:14" x14ac:dyDescent="0.25">
      <c r="A4809" t="s">
        <v>38</v>
      </c>
      <c r="B4809" t="s">
        <v>346</v>
      </c>
      <c r="C4809" t="s">
        <v>113</v>
      </c>
      <c r="D4809" t="s">
        <v>17</v>
      </c>
      <c r="E4809" t="s">
        <v>18</v>
      </c>
      <c r="F4809" t="s">
        <v>827</v>
      </c>
      <c r="G4809">
        <v>385939681</v>
      </c>
      <c r="H4809" t="s">
        <v>828</v>
      </c>
      <c r="I4809">
        <v>6983</v>
      </c>
      <c r="J4809">
        <v>154.06</v>
      </c>
      <c r="K4809">
        <v>90.93</v>
      </c>
      <c r="L4809">
        <v>1075800.98</v>
      </c>
      <c r="M4809">
        <v>634964.18999999994</v>
      </c>
      <c r="N4809">
        <v>440836.79</v>
      </c>
    </row>
    <row r="4810" spans="1:14" x14ac:dyDescent="0.25">
      <c r="A4810" t="s">
        <v>42</v>
      </c>
      <c r="B4810" t="s">
        <v>361</v>
      </c>
      <c r="C4810" t="s">
        <v>21</v>
      </c>
      <c r="D4810" t="s">
        <v>22</v>
      </c>
      <c r="E4810" t="s">
        <v>18</v>
      </c>
      <c r="F4810" t="s">
        <v>607</v>
      </c>
      <c r="G4810">
        <v>369179093</v>
      </c>
      <c r="H4810" t="s">
        <v>1437</v>
      </c>
      <c r="I4810">
        <v>7153</v>
      </c>
      <c r="J4810">
        <v>152.58000000000001</v>
      </c>
      <c r="K4810">
        <v>97.44</v>
      </c>
      <c r="L4810">
        <v>1091404.74</v>
      </c>
      <c r="M4810">
        <v>696988.32</v>
      </c>
      <c r="N4810">
        <v>394416.42</v>
      </c>
    </row>
    <row r="4811" spans="1:14" x14ac:dyDescent="0.25">
      <c r="A4811" t="s">
        <v>51</v>
      </c>
      <c r="B4811" t="s">
        <v>420</v>
      </c>
      <c r="C4811" t="s">
        <v>16</v>
      </c>
      <c r="D4811" t="s">
        <v>22</v>
      </c>
      <c r="E4811" t="s">
        <v>32</v>
      </c>
      <c r="F4811" s="1">
        <v>40550</v>
      </c>
      <c r="G4811">
        <v>389291369</v>
      </c>
      <c r="H4811" s="1">
        <v>40641</v>
      </c>
      <c r="I4811">
        <v>8822</v>
      </c>
      <c r="J4811">
        <v>255.28</v>
      </c>
      <c r="K4811">
        <v>159.41999999999999</v>
      </c>
      <c r="L4811">
        <v>2252080.16</v>
      </c>
      <c r="M4811">
        <v>1406403.24</v>
      </c>
      <c r="N4811">
        <v>845676.92</v>
      </c>
    </row>
    <row r="4812" spans="1:14" x14ac:dyDescent="0.25">
      <c r="A4812" t="s">
        <v>38</v>
      </c>
      <c r="B4812" t="s">
        <v>49</v>
      </c>
      <c r="C4812" t="s">
        <v>21</v>
      </c>
      <c r="D4812" t="s">
        <v>22</v>
      </c>
      <c r="E4812" t="s">
        <v>32</v>
      </c>
      <c r="F4812" s="1">
        <v>40635</v>
      </c>
      <c r="G4812">
        <v>344762837</v>
      </c>
      <c r="H4812" t="s">
        <v>1234</v>
      </c>
      <c r="I4812">
        <v>1840</v>
      </c>
      <c r="J4812">
        <v>152.58000000000001</v>
      </c>
      <c r="K4812">
        <v>97.44</v>
      </c>
      <c r="L4812">
        <v>280747.2</v>
      </c>
      <c r="M4812">
        <v>179289.60000000001</v>
      </c>
      <c r="N4812">
        <v>101457.60000000001</v>
      </c>
    </row>
    <row r="4813" spans="1:14" x14ac:dyDescent="0.25">
      <c r="A4813" t="s">
        <v>25</v>
      </c>
      <c r="B4813" t="s">
        <v>343</v>
      </c>
      <c r="C4813" t="s">
        <v>55</v>
      </c>
      <c r="D4813" t="s">
        <v>17</v>
      </c>
      <c r="E4813" t="s">
        <v>45</v>
      </c>
      <c r="F4813" t="s">
        <v>989</v>
      </c>
      <c r="G4813">
        <v>204392325</v>
      </c>
      <c r="H4813" t="s">
        <v>1671</v>
      </c>
      <c r="I4813">
        <v>3086</v>
      </c>
      <c r="J4813">
        <v>651.21</v>
      </c>
      <c r="K4813">
        <v>524.96</v>
      </c>
      <c r="L4813">
        <v>2009634.06</v>
      </c>
      <c r="M4813">
        <v>1620026.56</v>
      </c>
      <c r="N4813">
        <v>389607.5</v>
      </c>
    </row>
    <row r="4814" spans="1:14" x14ac:dyDescent="0.25">
      <c r="A4814" t="s">
        <v>42</v>
      </c>
      <c r="B4814" t="s">
        <v>552</v>
      </c>
      <c r="C4814" t="s">
        <v>69</v>
      </c>
      <c r="D4814" t="s">
        <v>17</v>
      </c>
      <c r="E4814" t="s">
        <v>32</v>
      </c>
      <c r="F4814" s="1">
        <v>42315</v>
      </c>
      <c r="G4814">
        <v>457291162</v>
      </c>
      <c r="H4814" t="s">
        <v>460</v>
      </c>
      <c r="I4814">
        <v>1472</v>
      </c>
      <c r="J4814">
        <v>421.89</v>
      </c>
      <c r="K4814">
        <v>364.69</v>
      </c>
      <c r="L4814">
        <v>621022.07999999996</v>
      </c>
      <c r="M4814">
        <v>536823.68000000005</v>
      </c>
      <c r="N4814">
        <v>84198.399999999994</v>
      </c>
    </row>
    <row r="4815" spans="1:14" x14ac:dyDescent="0.25">
      <c r="A4815" t="s">
        <v>51</v>
      </c>
      <c r="B4815" t="s">
        <v>424</v>
      </c>
      <c r="C4815" t="s">
        <v>59</v>
      </c>
      <c r="D4815" t="s">
        <v>17</v>
      </c>
      <c r="E4815" t="s">
        <v>23</v>
      </c>
      <c r="F4815" t="s">
        <v>1636</v>
      </c>
      <c r="G4815">
        <v>762883174</v>
      </c>
      <c r="H4815" t="s">
        <v>1227</v>
      </c>
      <c r="I4815">
        <v>2939</v>
      </c>
      <c r="J4815">
        <v>437.2</v>
      </c>
      <c r="K4815">
        <v>263.33</v>
      </c>
      <c r="L4815">
        <v>1284930.8</v>
      </c>
      <c r="M4815">
        <v>773926.87</v>
      </c>
      <c r="N4815">
        <v>511003.93</v>
      </c>
    </row>
    <row r="4816" spans="1:14" x14ac:dyDescent="0.25">
      <c r="A4816" t="s">
        <v>25</v>
      </c>
      <c r="B4816" t="s">
        <v>201</v>
      </c>
      <c r="C4816" t="s">
        <v>31</v>
      </c>
      <c r="D4816" t="s">
        <v>22</v>
      </c>
      <c r="E4816" t="s">
        <v>18</v>
      </c>
      <c r="F4816" t="s">
        <v>472</v>
      </c>
      <c r="G4816">
        <v>400904691</v>
      </c>
      <c r="H4816" s="1">
        <v>40519</v>
      </c>
      <c r="I4816">
        <v>5462</v>
      </c>
      <c r="J4816">
        <v>205.7</v>
      </c>
      <c r="K4816">
        <v>117.11</v>
      </c>
      <c r="L4816">
        <v>1123533.3999999999</v>
      </c>
      <c r="M4816">
        <v>639654.81999999995</v>
      </c>
      <c r="N4816">
        <v>483878.58</v>
      </c>
    </row>
    <row r="4817" spans="1:14" x14ac:dyDescent="0.25">
      <c r="A4817" t="s">
        <v>29</v>
      </c>
      <c r="B4817" t="s">
        <v>206</v>
      </c>
      <c r="C4817" t="s">
        <v>27</v>
      </c>
      <c r="D4817" t="s">
        <v>17</v>
      </c>
      <c r="E4817" t="s">
        <v>45</v>
      </c>
      <c r="F4817" s="1">
        <v>42070</v>
      </c>
      <c r="G4817">
        <v>521404540</v>
      </c>
      <c r="H4817" s="1">
        <v>42101</v>
      </c>
      <c r="I4817">
        <v>4045</v>
      </c>
      <c r="J4817">
        <v>47.45</v>
      </c>
      <c r="K4817">
        <v>31.79</v>
      </c>
      <c r="L4817">
        <v>191935.25</v>
      </c>
      <c r="M4817">
        <v>128590.55</v>
      </c>
      <c r="N4817">
        <v>63344.7</v>
      </c>
    </row>
    <row r="4818" spans="1:14" x14ac:dyDescent="0.25">
      <c r="A4818" t="s">
        <v>51</v>
      </c>
      <c r="B4818" t="s">
        <v>525</v>
      </c>
      <c r="C4818" t="s">
        <v>113</v>
      </c>
      <c r="D4818" t="s">
        <v>22</v>
      </c>
      <c r="E4818" t="s">
        <v>18</v>
      </c>
      <c r="F4818" t="s">
        <v>952</v>
      </c>
      <c r="G4818">
        <v>994744050</v>
      </c>
      <c r="H4818" s="1">
        <v>41376</v>
      </c>
      <c r="I4818">
        <v>5725</v>
      </c>
      <c r="J4818">
        <v>154.06</v>
      </c>
      <c r="K4818">
        <v>90.93</v>
      </c>
      <c r="L4818">
        <v>881993.5</v>
      </c>
      <c r="M4818">
        <v>520574.25</v>
      </c>
      <c r="N4818">
        <v>361419.25</v>
      </c>
    </row>
    <row r="4819" spans="1:14" x14ac:dyDescent="0.25">
      <c r="A4819" t="s">
        <v>51</v>
      </c>
      <c r="B4819" t="s">
        <v>166</v>
      </c>
      <c r="C4819" t="s">
        <v>27</v>
      </c>
      <c r="D4819" t="s">
        <v>22</v>
      </c>
      <c r="E4819" t="s">
        <v>18</v>
      </c>
      <c r="F4819" t="s">
        <v>1423</v>
      </c>
      <c r="G4819">
        <v>861597049</v>
      </c>
      <c r="H4819" s="1">
        <v>42982</v>
      </c>
      <c r="I4819">
        <v>4568</v>
      </c>
      <c r="J4819">
        <v>47.45</v>
      </c>
      <c r="K4819">
        <v>31.79</v>
      </c>
      <c r="L4819">
        <v>216751.6</v>
      </c>
      <c r="M4819">
        <v>145216.72</v>
      </c>
      <c r="N4819">
        <v>71534.880000000005</v>
      </c>
    </row>
    <row r="4820" spans="1:14" x14ac:dyDescent="0.25">
      <c r="A4820" t="s">
        <v>14</v>
      </c>
      <c r="B4820" t="s">
        <v>64</v>
      </c>
      <c r="C4820" t="s">
        <v>16</v>
      </c>
      <c r="D4820" t="s">
        <v>17</v>
      </c>
      <c r="E4820" t="s">
        <v>45</v>
      </c>
      <c r="F4820" t="s">
        <v>1762</v>
      </c>
      <c r="G4820">
        <v>582949864</v>
      </c>
      <c r="H4820" s="1">
        <v>42281</v>
      </c>
      <c r="I4820">
        <v>6674</v>
      </c>
      <c r="J4820">
        <v>255.28</v>
      </c>
      <c r="K4820">
        <v>159.41999999999999</v>
      </c>
      <c r="L4820">
        <v>1703738.72</v>
      </c>
      <c r="M4820">
        <v>1063969.08</v>
      </c>
      <c r="N4820">
        <v>639769.64</v>
      </c>
    </row>
    <row r="4821" spans="1:14" x14ac:dyDescent="0.25">
      <c r="A4821" t="s">
        <v>51</v>
      </c>
      <c r="B4821" t="s">
        <v>100</v>
      </c>
      <c r="C4821" t="s">
        <v>59</v>
      </c>
      <c r="D4821" t="s">
        <v>17</v>
      </c>
      <c r="E4821" t="s">
        <v>32</v>
      </c>
      <c r="F4821" t="s">
        <v>1663</v>
      </c>
      <c r="G4821">
        <v>690101325</v>
      </c>
      <c r="H4821" t="s">
        <v>413</v>
      </c>
      <c r="I4821">
        <v>5173</v>
      </c>
      <c r="J4821">
        <v>437.2</v>
      </c>
      <c r="K4821">
        <v>263.33</v>
      </c>
      <c r="L4821">
        <v>2261635.6</v>
      </c>
      <c r="M4821">
        <v>1362206.09</v>
      </c>
      <c r="N4821">
        <v>899429.51</v>
      </c>
    </row>
    <row r="4822" spans="1:14" x14ac:dyDescent="0.25">
      <c r="A4822" t="s">
        <v>51</v>
      </c>
      <c r="B4822" t="s">
        <v>108</v>
      </c>
      <c r="C4822" t="s">
        <v>69</v>
      </c>
      <c r="D4822" t="s">
        <v>22</v>
      </c>
      <c r="E4822" t="s">
        <v>32</v>
      </c>
      <c r="F4822" s="1">
        <v>41431</v>
      </c>
      <c r="G4822">
        <v>434662759</v>
      </c>
      <c r="H4822" s="1">
        <v>41401</v>
      </c>
      <c r="I4822">
        <v>5224</v>
      </c>
      <c r="J4822">
        <v>421.89</v>
      </c>
      <c r="K4822">
        <v>364.69</v>
      </c>
      <c r="L4822">
        <v>2203953.36</v>
      </c>
      <c r="M4822">
        <v>1905140.56</v>
      </c>
      <c r="N4822">
        <v>298812.79999999999</v>
      </c>
    </row>
    <row r="4823" spans="1:14" x14ac:dyDescent="0.25">
      <c r="A4823" t="s">
        <v>51</v>
      </c>
      <c r="B4823" t="s">
        <v>151</v>
      </c>
      <c r="C4823" t="s">
        <v>55</v>
      </c>
      <c r="D4823" t="s">
        <v>22</v>
      </c>
      <c r="E4823" t="s">
        <v>32</v>
      </c>
      <c r="F4823" s="1">
        <v>40483</v>
      </c>
      <c r="G4823">
        <v>938557994</v>
      </c>
      <c r="H4823" t="s">
        <v>1223</v>
      </c>
      <c r="I4823">
        <v>9022</v>
      </c>
      <c r="J4823">
        <v>651.21</v>
      </c>
      <c r="K4823">
        <v>524.96</v>
      </c>
      <c r="L4823">
        <v>5875216.6200000001</v>
      </c>
      <c r="M4823">
        <v>4736189.12</v>
      </c>
      <c r="N4823">
        <v>1139027.5</v>
      </c>
    </row>
    <row r="4824" spans="1:14" x14ac:dyDescent="0.25">
      <c r="A4824" t="s">
        <v>25</v>
      </c>
      <c r="B4824" t="s">
        <v>140</v>
      </c>
      <c r="C4824" t="s">
        <v>27</v>
      </c>
      <c r="D4824" t="s">
        <v>22</v>
      </c>
      <c r="E4824" t="s">
        <v>32</v>
      </c>
      <c r="F4824" t="s">
        <v>236</v>
      </c>
      <c r="G4824">
        <v>244023358</v>
      </c>
      <c r="H4824" t="s">
        <v>1098</v>
      </c>
      <c r="I4824">
        <v>789</v>
      </c>
      <c r="J4824">
        <v>47.45</v>
      </c>
      <c r="K4824">
        <v>31.79</v>
      </c>
      <c r="L4824">
        <v>37438.050000000003</v>
      </c>
      <c r="M4824">
        <v>25082.31</v>
      </c>
      <c r="N4824">
        <v>12355.74</v>
      </c>
    </row>
    <row r="4825" spans="1:14" x14ac:dyDescent="0.25">
      <c r="A4825" t="s">
        <v>51</v>
      </c>
      <c r="B4825" t="s">
        <v>578</v>
      </c>
      <c r="C4825" t="s">
        <v>88</v>
      </c>
      <c r="D4825" t="s">
        <v>17</v>
      </c>
      <c r="E4825" t="s">
        <v>32</v>
      </c>
      <c r="F4825" s="1">
        <v>40489</v>
      </c>
      <c r="G4825">
        <v>963607680</v>
      </c>
      <c r="H4825" s="1">
        <v>40489</v>
      </c>
      <c r="I4825">
        <v>1781</v>
      </c>
      <c r="J4825">
        <v>9.33</v>
      </c>
      <c r="K4825">
        <v>6.92</v>
      </c>
      <c r="L4825">
        <v>16616.73</v>
      </c>
      <c r="M4825">
        <v>12324.52</v>
      </c>
      <c r="N4825">
        <v>4292.21</v>
      </c>
    </row>
    <row r="4826" spans="1:14" x14ac:dyDescent="0.25">
      <c r="A4826" t="s">
        <v>25</v>
      </c>
      <c r="B4826" t="s">
        <v>386</v>
      </c>
      <c r="C4826" t="s">
        <v>59</v>
      </c>
      <c r="D4826" t="s">
        <v>17</v>
      </c>
      <c r="E4826" t="s">
        <v>45</v>
      </c>
      <c r="F4826" t="s">
        <v>1573</v>
      </c>
      <c r="G4826">
        <v>830172288</v>
      </c>
      <c r="H4826" t="s">
        <v>1428</v>
      </c>
      <c r="I4826">
        <v>5283</v>
      </c>
      <c r="J4826">
        <v>437.2</v>
      </c>
      <c r="K4826">
        <v>263.33</v>
      </c>
      <c r="L4826">
        <v>2309727.6</v>
      </c>
      <c r="M4826">
        <v>1391172.39</v>
      </c>
      <c r="N4826">
        <v>918555.21</v>
      </c>
    </row>
    <row r="4827" spans="1:14" x14ac:dyDescent="0.25">
      <c r="A4827" t="s">
        <v>14</v>
      </c>
      <c r="B4827" t="s">
        <v>208</v>
      </c>
      <c r="C4827" t="s">
        <v>27</v>
      </c>
      <c r="D4827" t="s">
        <v>17</v>
      </c>
      <c r="E4827" t="s">
        <v>18</v>
      </c>
      <c r="F4827" s="1">
        <v>42042</v>
      </c>
      <c r="G4827">
        <v>346891009</v>
      </c>
      <c r="H4827" s="1">
        <v>42345</v>
      </c>
      <c r="I4827">
        <v>1613</v>
      </c>
      <c r="J4827">
        <v>47.45</v>
      </c>
      <c r="K4827">
        <v>31.79</v>
      </c>
      <c r="L4827">
        <v>76536.850000000006</v>
      </c>
      <c r="M4827">
        <v>51277.27</v>
      </c>
      <c r="N4827">
        <v>25259.58</v>
      </c>
    </row>
    <row r="4828" spans="1:14" x14ac:dyDescent="0.25">
      <c r="A4828" t="s">
        <v>51</v>
      </c>
      <c r="B4828" t="s">
        <v>258</v>
      </c>
      <c r="C4828" t="s">
        <v>16</v>
      </c>
      <c r="D4828" t="s">
        <v>17</v>
      </c>
      <c r="E4828" t="s">
        <v>45</v>
      </c>
      <c r="F4828" t="s">
        <v>1597</v>
      </c>
      <c r="G4828">
        <v>537250173</v>
      </c>
      <c r="H4828" t="s">
        <v>1339</v>
      </c>
      <c r="I4828">
        <v>3120</v>
      </c>
      <c r="J4828">
        <v>255.28</v>
      </c>
      <c r="K4828">
        <v>159.41999999999999</v>
      </c>
      <c r="L4828">
        <v>796473.6</v>
      </c>
      <c r="M4828">
        <v>497390.4</v>
      </c>
      <c r="N4828">
        <v>299083.2</v>
      </c>
    </row>
    <row r="4829" spans="1:14" x14ac:dyDescent="0.25">
      <c r="A4829" t="s">
        <v>51</v>
      </c>
      <c r="B4829" t="s">
        <v>223</v>
      </c>
      <c r="C4829" t="s">
        <v>55</v>
      </c>
      <c r="D4829" t="s">
        <v>22</v>
      </c>
      <c r="E4829" t="s">
        <v>18</v>
      </c>
      <c r="F4829" t="s">
        <v>1225</v>
      </c>
      <c r="G4829">
        <v>695048606</v>
      </c>
      <c r="H4829" t="s">
        <v>1106</v>
      </c>
      <c r="I4829">
        <v>9183</v>
      </c>
      <c r="J4829">
        <v>651.21</v>
      </c>
      <c r="K4829">
        <v>524.96</v>
      </c>
      <c r="L4829">
        <v>5980061.4299999997</v>
      </c>
      <c r="M4829">
        <v>4820707.68</v>
      </c>
      <c r="N4829">
        <v>1159353.75</v>
      </c>
    </row>
    <row r="4830" spans="1:14" x14ac:dyDescent="0.25">
      <c r="A4830" t="s">
        <v>29</v>
      </c>
      <c r="B4830" t="s">
        <v>61</v>
      </c>
      <c r="C4830" t="s">
        <v>44</v>
      </c>
      <c r="D4830" t="s">
        <v>22</v>
      </c>
      <c r="E4830" t="s">
        <v>45</v>
      </c>
      <c r="F4830" t="s">
        <v>1198</v>
      </c>
      <c r="G4830">
        <v>634397637</v>
      </c>
      <c r="H4830" t="s">
        <v>879</v>
      </c>
      <c r="I4830">
        <v>1213</v>
      </c>
      <c r="J4830">
        <v>109.28</v>
      </c>
      <c r="K4830">
        <v>35.840000000000003</v>
      </c>
      <c r="L4830">
        <v>132556.64000000001</v>
      </c>
      <c r="M4830">
        <v>43473.919999999998</v>
      </c>
      <c r="N4830">
        <v>89082.72</v>
      </c>
    </row>
    <row r="4831" spans="1:14" x14ac:dyDescent="0.25">
      <c r="A4831" t="s">
        <v>42</v>
      </c>
      <c r="B4831" t="s">
        <v>103</v>
      </c>
      <c r="C4831" t="s">
        <v>40</v>
      </c>
      <c r="D4831" t="s">
        <v>22</v>
      </c>
      <c r="E4831" t="s">
        <v>32</v>
      </c>
      <c r="F4831" t="s">
        <v>1822</v>
      </c>
      <c r="G4831">
        <v>239721095</v>
      </c>
      <c r="H4831" s="1">
        <v>40424</v>
      </c>
      <c r="I4831">
        <v>7654</v>
      </c>
      <c r="J4831">
        <v>81.73</v>
      </c>
      <c r="K4831">
        <v>56.67</v>
      </c>
      <c r="L4831">
        <v>625561.42000000004</v>
      </c>
      <c r="M4831">
        <v>433752.18</v>
      </c>
      <c r="N4831">
        <v>191809.24</v>
      </c>
    </row>
    <row r="4832" spans="1:14" x14ac:dyDescent="0.25">
      <c r="A4832" t="s">
        <v>25</v>
      </c>
      <c r="B4832" t="s">
        <v>386</v>
      </c>
      <c r="C4832" t="s">
        <v>69</v>
      </c>
      <c r="D4832" t="s">
        <v>22</v>
      </c>
      <c r="E4832" t="s">
        <v>32</v>
      </c>
      <c r="F4832" t="s">
        <v>1483</v>
      </c>
      <c r="G4832">
        <v>815755307</v>
      </c>
      <c r="H4832" s="1">
        <v>42619</v>
      </c>
      <c r="I4832">
        <v>8978</v>
      </c>
      <c r="J4832">
        <v>421.89</v>
      </c>
      <c r="K4832">
        <v>364.69</v>
      </c>
      <c r="L4832">
        <v>3787728.42</v>
      </c>
      <c r="M4832">
        <v>3274186.82</v>
      </c>
      <c r="N4832">
        <v>513541.6</v>
      </c>
    </row>
    <row r="4833" spans="1:14" x14ac:dyDescent="0.25">
      <c r="A4833" t="s">
        <v>51</v>
      </c>
      <c r="B4833" t="s">
        <v>424</v>
      </c>
      <c r="C4833" t="s">
        <v>27</v>
      </c>
      <c r="D4833" t="s">
        <v>22</v>
      </c>
      <c r="E4833" t="s">
        <v>32</v>
      </c>
      <c r="F4833" s="1">
        <v>42469</v>
      </c>
      <c r="G4833">
        <v>137549102</v>
      </c>
      <c r="H4833" t="s">
        <v>650</v>
      </c>
      <c r="I4833">
        <v>2691</v>
      </c>
      <c r="J4833">
        <v>47.45</v>
      </c>
      <c r="K4833">
        <v>31.79</v>
      </c>
      <c r="L4833">
        <v>127687.95</v>
      </c>
      <c r="M4833">
        <v>85546.89</v>
      </c>
      <c r="N4833">
        <v>42141.06</v>
      </c>
    </row>
    <row r="4834" spans="1:14" x14ac:dyDescent="0.25">
      <c r="A4834" t="s">
        <v>29</v>
      </c>
      <c r="B4834" t="s">
        <v>338</v>
      </c>
      <c r="C4834" t="s">
        <v>88</v>
      </c>
      <c r="D4834" t="s">
        <v>17</v>
      </c>
      <c r="E4834" t="s">
        <v>18</v>
      </c>
      <c r="F4834" t="s">
        <v>1668</v>
      </c>
      <c r="G4834">
        <v>100463807</v>
      </c>
      <c r="H4834" t="s">
        <v>364</v>
      </c>
      <c r="I4834">
        <v>8328</v>
      </c>
      <c r="J4834">
        <v>9.33</v>
      </c>
      <c r="K4834">
        <v>6.92</v>
      </c>
      <c r="L4834">
        <v>77700.240000000005</v>
      </c>
      <c r="M4834">
        <v>57629.760000000002</v>
      </c>
      <c r="N4834">
        <v>20070.48</v>
      </c>
    </row>
    <row r="4835" spans="1:14" x14ac:dyDescent="0.25">
      <c r="A4835" t="s">
        <v>25</v>
      </c>
      <c r="B4835" t="s">
        <v>72</v>
      </c>
      <c r="C4835" t="s">
        <v>44</v>
      </c>
      <c r="D4835" t="s">
        <v>17</v>
      </c>
      <c r="E4835" t="s">
        <v>18</v>
      </c>
      <c r="F4835" t="s">
        <v>548</v>
      </c>
      <c r="G4835">
        <v>870173251</v>
      </c>
      <c r="H4835" t="s">
        <v>1006</v>
      </c>
      <c r="I4835">
        <v>2457</v>
      </c>
      <c r="J4835">
        <v>109.28</v>
      </c>
      <c r="K4835">
        <v>35.840000000000003</v>
      </c>
      <c r="L4835">
        <v>268500.96000000002</v>
      </c>
      <c r="M4835">
        <v>88058.880000000005</v>
      </c>
      <c r="N4835">
        <v>180442.08</v>
      </c>
    </row>
    <row r="4836" spans="1:14" x14ac:dyDescent="0.25">
      <c r="A4836" t="s">
        <v>51</v>
      </c>
      <c r="B4836" t="s">
        <v>424</v>
      </c>
      <c r="C4836" t="s">
        <v>40</v>
      </c>
      <c r="D4836" t="s">
        <v>22</v>
      </c>
      <c r="E4836" t="s">
        <v>23</v>
      </c>
      <c r="F4836" t="s">
        <v>1603</v>
      </c>
      <c r="G4836">
        <v>432663762</v>
      </c>
      <c r="H4836" t="s">
        <v>1236</v>
      </c>
      <c r="I4836">
        <v>3677</v>
      </c>
      <c r="J4836">
        <v>81.73</v>
      </c>
      <c r="K4836">
        <v>56.67</v>
      </c>
      <c r="L4836">
        <v>300521.21000000002</v>
      </c>
      <c r="M4836">
        <v>208375.59</v>
      </c>
      <c r="N4836">
        <v>92145.62</v>
      </c>
    </row>
    <row r="4837" spans="1:14" x14ac:dyDescent="0.25">
      <c r="A4837" t="s">
        <v>25</v>
      </c>
      <c r="B4837" t="s">
        <v>462</v>
      </c>
      <c r="C4837" t="s">
        <v>16</v>
      </c>
      <c r="D4837" t="s">
        <v>17</v>
      </c>
      <c r="E4837" t="s">
        <v>18</v>
      </c>
      <c r="F4837" t="s">
        <v>1195</v>
      </c>
      <c r="G4837">
        <v>444234168</v>
      </c>
      <c r="H4837" t="s">
        <v>1069</v>
      </c>
      <c r="I4837">
        <v>7617</v>
      </c>
      <c r="J4837">
        <v>255.28</v>
      </c>
      <c r="K4837">
        <v>159.41999999999999</v>
      </c>
      <c r="L4837">
        <v>1944467.76</v>
      </c>
      <c r="M4837">
        <v>1214302.1399999999</v>
      </c>
      <c r="N4837">
        <v>730165.62</v>
      </c>
    </row>
    <row r="4838" spans="1:14" x14ac:dyDescent="0.25">
      <c r="A4838" t="s">
        <v>29</v>
      </c>
      <c r="B4838" t="s">
        <v>545</v>
      </c>
      <c r="C4838" t="s">
        <v>16</v>
      </c>
      <c r="D4838" t="s">
        <v>22</v>
      </c>
      <c r="E4838" t="s">
        <v>18</v>
      </c>
      <c r="F4838" t="s">
        <v>1706</v>
      </c>
      <c r="G4838">
        <v>381495797</v>
      </c>
      <c r="H4838" t="s">
        <v>406</v>
      </c>
      <c r="I4838">
        <v>1939</v>
      </c>
      <c r="J4838">
        <v>255.28</v>
      </c>
      <c r="K4838">
        <v>159.41999999999999</v>
      </c>
      <c r="L4838">
        <v>494987.92</v>
      </c>
      <c r="M4838">
        <v>309115.38</v>
      </c>
      <c r="N4838">
        <v>185872.54</v>
      </c>
    </row>
    <row r="4839" spans="1:14" x14ac:dyDescent="0.25">
      <c r="A4839" t="s">
        <v>51</v>
      </c>
      <c r="B4839" t="s">
        <v>327</v>
      </c>
      <c r="C4839" t="s">
        <v>69</v>
      </c>
      <c r="D4839" t="s">
        <v>22</v>
      </c>
      <c r="E4839" t="s">
        <v>23</v>
      </c>
      <c r="F4839" t="s">
        <v>1156</v>
      </c>
      <c r="G4839">
        <v>691372478</v>
      </c>
      <c r="H4839" s="1">
        <v>42920</v>
      </c>
      <c r="I4839">
        <v>1335</v>
      </c>
      <c r="J4839">
        <v>421.89</v>
      </c>
      <c r="K4839">
        <v>364.69</v>
      </c>
      <c r="L4839">
        <v>563223.15</v>
      </c>
      <c r="M4839">
        <v>486861.15</v>
      </c>
      <c r="N4839">
        <v>76362</v>
      </c>
    </row>
    <row r="4840" spans="1:14" x14ac:dyDescent="0.25">
      <c r="A4840" t="s">
        <v>29</v>
      </c>
      <c r="B4840" t="s">
        <v>30</v>
      </c>
      <c r="C4840" t="s">
        <v>69</v>
      </c>
      <c r="D4840" t="s">
        <v>22</v>
      </c>
      <c r="E4840" t="s">
        <v>18</v>
      </c>
      <c r="F4840" t="s">
        <v>1723</v>
      </c>
      <c r="G4840">
        <v>541100537</v>
      </c>
      <c r="H4840" s="1">
        <v>40337</v>
      </c>
      <c r="I4840">
        <v>2528</v>
      </c>
      <c r="J4840">
        <v>421.89</v>
      </c>
      <c r="K4840">
        <v>364.69</v>
      </c>
      <c r="L4840">
        <v>1066537.92</v>
      </c>
      <c r="M4840">
        <v>921936.32</v>
      </c>
      <c r="N4840">
        <v>144601.60000000001</v>
      </c>
    </row>
    <row r="4841" spans="1:14" x14ac:dyDescent="0.25">
      <c r="A4841" t="s">
        <v>29</v>
      </c>
      <c r="B4841" t="s">
        <v>243</v>
      </c>
      <c r="C4841" t="s">
        <v>21</v>
      </c>
      <c r="D4841" t="s">
        <v>17</v>
      </c>
      <c r="E4841" t="s">
        <v>32</v>
      </c>
      <c r="F4841" t="s">
        <v>1197</v>
      </c>
      <c r="G4841">
        <v>968228805</v>
      </c>
      <c r="H4841" s="1">
        <v>41337</v>
      </c>
      <c r="I4841">
        <v>9274</v>
      </c>
      <c r="J4841">
        <v>152.58000000000001</v>
      </c>
      <c r="K4841">
        <v>97.44</v>
      </c>
      <c r="L4841">
        <v>1415026.92</v>
      </c>
      <c r="M4841">
        <v>903658.56</v>
      </c>
      <c r="N4841">
        <v>511368.36</v>
      </c>
    </row>
    <row r="4842" spans="1:14" x14ac:dyDescent="0.25">
      <c r="A4842" t="s">
        <v>29</v>
      </c>
      <c r="B4842" t="s">
        <v>271</v>
      </c>
      <c r="C4842" t="s">
        <v>59</v>
      </c>
      <c r="D4842" t="s">
        <v>22</v>
      </c>
      <c r="E4842" t="s">
        <v>32</v>
      </c>
      <c r="F4842" t="s">
        <v>998</v>
      </c>
      <c r="G4842">
        <v>830618607</v>
      </c>
      <c r="H4842" t="s">
        <v>1433</v>
      </c>
      <c r="I4842">
        <v>7359</v>
      </c>
      <c r="J4842">
        <v>437.2</v>
      </c>
      <c r="K4842">
        <v>263.33</v>
      </c>
      <c r="L4842">
        <v>3217354.8</v>
      </c>
      <c r="M4842">
        <v>1937845.47</v>
      </c>
      <c r="N4842">
        <v>1279509.33</v>
      </c>
    </row>
    <row r="4843" spans="1:14" x14ac:dyDescent="0.25">
      <c r="A4843" t="s">
        <v>38</v>
      </c>
      <c r="B4843" t="s">
        <v>177</v>
      </c>
      <c r="C4843" t="s">
        <v>59</v>
      </c>
      <c r="D4843" t="s">
        <v>22</v>
      </c>
      <c r="E4843" t="s">
        <v>45</v>
      </c>
      <c r="F4843" t="s">
        <v>1343</v>
      </c>
      <c r="G4843">
        <v>856443774</v>
      </c>
      <c r="H4843" s="1">
        <v>41548</v>
      </c>
      <c r="I4843">
        <v>9600</v>
      </c>
      <c r="J4843">
        <v>437.2</v>
      </c>
      <c r="K4843">
        <v>263.33</v>
      </c>
      <c r="L4843">
        <v>4197120</v>
      </c>
      <c r="M4843">
        <v>2527968</v>
      </c>
      <c r="N4843">
        <v>1669152</v>
      </c>
    </row>
    <row r="4844" spans="1:14" x14ac:dyDescent="0.25">
      <c r="A4844" t="s">
        <v>51</v>
      </c>
      <c r="B4844" t="s">
        <v>295</v>
      </c>
      <c r="C4844" t="s">
        <v>69</v>
      </c>
      <c r="D4844" t="s">
        <v>22</v>
      </c>
      <c r="E4844" t="s">
        <v>32</v>
      </c>
      <c r="F4844" s="1">
        <v>42950</v>
      </c>
      <c r="G4844">
        <v>494190633</v>
      </c>
      <c r="H4844" t="s">
        <v>1286</v>
      </c>
      <c r="I4844">
        <v>845</v>
      </c>
      <c r="J4844">
        <v>421.89</v>
      </c>
      <c r="K4844">
        <v>364.69</v>
      </c>
      <c r="L4844">
        <v>356497.05</v>
      </c>
      <c r="M4844">
        <v>308163.05</v>
      </c>
      <c r="N4844">
        <v>48334</v>
      </c>
    </row>
    <row r="4845" spans="1:14" x14ac:dyDescent="0.25">
      <c r="A4845" t="s">
        <v>29</v>
      </c>
      <c r="B4845" t="s">
        <v>124</v>
      </c>
      <c r="C4845" t="s">
        <v>131</v>
      </c>
      <c r="D4845" t="s">
        <v>22</v>
      </c>
      <c r="E4845" t="s">
        <v>23</v>
      </c>
      <c r="F4845" t="s">
        <v>500</v>
      </c>
      <c r="G4845">
        <v>162658011</v>
      </c>
      <c r="H4845" t="s">
        <v>1516</v>
      </c>
      <c r="I4845">
        <v>2975</v>
      </c>
      <c r="J4845">
        <v>668.27</v>
      </c>
      <c r="K4845">
        <v>502.54</v>
      </c>
      <c r="L4845">
        <v>1988103.25</v>
      </c>
      <c r="M4845">
        <v>1495056.5</v>
      </c>
      <c r="N4845">
        <v>493046.75</v>
      </c>
    </row>
    <row r="4846" spans="1:14" x14ac:dyDescent="0.25">
      <c r="A4846" t="s">
        <v>51</v>
      </c>
      <c r="B4846" t="s">
        <v>327</v>
      </c>
      <c r="C4846" t="s">
        <v>16</v>
      </c>
      <c r="D4846" t="s">
        <v>22</v>
      </c>
      <c r="E4846" t="s">
        <v>32</v>
      </c>
      <c r="F4846" t="s">
        <v>1110</v>
      </c>
      <c r="G4846">
        <v>800957238</v>
      </c>
      <c r="H4846" t="s">
        <v>1075</v>
      </c>
      <c r="I4846">
        <v>9901</v>
      </c>
      <c r="J4846">
        <v>255.28</v>
      </c>
      <c r="K4846">
        <v>159.41999999999999</v>
      </c>
      <c r="L4846">
        <v>2527527.2799999998</v>
      </c>
      <c r="M4846">
        <v>1578417.42</v>
      </c>
      <c r="N4846">
        <v>949109.86</v>
      </c>
    </row>
    <row r="4847" spans="1:14" x14ac:dyDescent="0.25">
      <c r="A4847" t="s">
        <v>14</v>
      </c>
      <c r="B4847" t="s">
        <v>154</v>
      </c>
      <c r="C4847" t="s">
        <v>27</v>
      </c>
      <c r="D4847" t="s">
        <v>22</v>
      </c>
      <c r="E4847" t="s">
        <v>23</v>
      </c>
      <c r="F4847" s="1">
        <v>40181</v>
      </c>
      <c r="G4847">
        <v>718512141</v>
      </c>
      <c r="H4847" s="1">
        <v>40271</v>
      </c>
      <c r="I4847">
        <v>2564</v>
      </c>
      <c r="J4847">
        <v>47.45</v>
      </c>
      <c r="K4847">
        <v>31.79</v>
      </c>
      <c r="L4847">
        <v>121661.8</v>
      </c>
      <c r="M4847">
        <v>81509.56</v>
      </c>
      <c r="N4847">
        <v>40152.239999999998</v>
      </c>
    </row>
    <row r="4848" spans="1:14" x14ac:dyDescent="0.25">
      <c r="A4848" t="s">
        <v>25</v>
      </c>
      <c r="B4848" t="s">
        <v>229</v>
      </c>
      <c r="C4848" t="s">
        <v>44</v>
      </c>
      <c r="D4848" t="s">
        <v>22</v>
      </c>
      <c r="E4848" t="s">
        <v>45</v>
      </c>
      <c r="F4848" s="1">
        <v>42468</v>
      </c>
      <c r="G4848">
        <v>545059049</v>
      </c>
      <c r="H4848" s="1">
        <v>42590</v>
      </c>
      <c r="I4848">
        <v>3940</v>
      </c>
      <c r="J4848">
        <v>109.28</v>
      </c>
      <c r="K4848">
        <v>35.840000000000003</v>
      </c>
      <c r="L4848">
        <v>430563.2</v>
      </c>
      <c r="M4848">
        <v>141209.60000000001</v>
      </c>
      <c r="N4848">
        <v>289353.59999999998</v>
      </c>
    </row>
    <row r="4849" spans="1:14" x14ac:dyDescent="0.25">
      <c r="A4849" t="s">
        <v>42</v>
      </c>
      <c r="B4849" t="s">
        <v>681</v>
      </c>
      <c r="C4849" t="s">
        <v>131</v>
      </c>
      <c r="D4849" t="s">
        <v>22</v>
      </c>
      <c r="E4849" t="s">
        <v>32</v>
      </c>
      <c r="F4849" s="1">
        <v>42563</v>
      </c>
      <c r="G4849">
        <v>980646789</v>
      </c>
      <c r="H4849" t="s">
        <v>471</v>
      </c>
      <c r="I4849">
        <v>4032</v>
      </c>
      <c r="J4849">
        <v>668.27</v>
      </c>
      <c r="K4849">
        <v>502.54</v>
      </c>
      <c r="L4849">
        <v>2694464.64</v>
      </c>
      <c r="M4849">
        <v>2026241.28</v>
      </c>
      <c r="N4849">
        <v>668223.36</v>
      </c>
    </row>
    <row r="4850" spans="1:14" x14ac:dyDescent="0.25">
      <c r="A4850" t="s">
        <v>51</v>
      </c>
      <c r="B4850" t="s">
        <v>487</v>
      </c>
      <c r="C4850" t="s">
        <v>131</v>
      </c>
      <c r="D4850" t="s">
        <v>22</v>
      </c>
      <c r="E4850" t="s">
        <v>45</v>
      </c>
      <c r="F4850" t="s">
        <v>947</v>
      </c>
      <c r="G4850">
        <v>545636689</v>
      </c>
      <c r="H4850" s="1">
        <v>41641</v>
      </c>
      <c r="I4850">
        <v>4876</v>
      </c>
      <c r="J4850">
        <v>668.27</v>
      </c>
      <c r="K4850">
        <v>502.54</v>
      </c>
      <c r="L4850">
        <v>3258484.52</v>
      </c>
      <c r="M4850">
        <v>2450385.04</v>
      </c>
      <c r="N4850">
        <v>808099.48</v>
      </c>
    </row>
    <row r="4851" spans="1:14" x14ac:dyDescent="0.25">
      <c r="A4851" t="s">
        <v>25</v>
      </c>
      <c r="B4851" t="s">
        <v>234</v>
      </c>
      <c r="C4851" t="s">
        <v>16</v>
      </c>
      <c r="D4851" t="s">
        <v>22</v>
      </c>
      <c r="E4851" t="s">
        <v>18</v>
      </c>
      <c r="F4851" s="1">
        <v>42195</v>
      </c>
      <c r="G4851">
        <v>530702579</v>
      </c>
      <c r="H4851" s="1">
        <v>42258</v>
      </c>
      <c r="I4851">
        <v>5541</v>
      </c>
      <c r="J4851">
        <v>255.28</v>
      </c>
      <c r="K4851">
        <v>159.41999999999999</v>
      </c>
      <c r="L4851">
        <v>1414506.48</v>
      </c>
      <c r="M4851">
        <v>883346.22</v>
      </c>
      <c r="N4851">
        <v>531160.26</v>
      </c>
    </row>
    <row r="4852" spans="1:14" x14ac:dyDescent="0.25">
      <c r="A4852" t="s">
        <v>38</v>
      </c>
      <c r="B4852" t="s">
        <v>1268</v>
      </c>
      <c r="C4852" t="s">
        <v>69</v>
      </c>
      <c r="D4852" t="s">
        <v>22</v>
      </c>
      <c r="E4852" t="s">
        <v>23</v>
      </c>
      <c r="F4852" t="s">
        <v>1789</v>
      </c>
      <c r="G4852">
        <v>946830785</v>
      </c>
      <c r="H4852" t="s">
        <v>532</v>
      </c>
      <c r="I4852">
        <v>7125</v>
      </c>
      <c r="J4852">
        <v>421.89</v>
      </c>
      <c r="K4852">
        <v>364.69</v>
      </c>
      <c r="L4852">
        <v>3005966.25</v>
      </c>
      <c r="M4852">
        <v>2598416.25</v>
      </c>
      <c r="N4852">
        <v>407550</v>
      </c>
    </row>
    <row r="4853" spans="1:14" x14ac:dyDescent="0.25">
      <c r="A4853" t="s">
        <v>29</v>
      </c>
      <c r="B4853" t="s">
        <v>315</v>
      </c>
      <c r="C4853" t="s">
        <v>31</v>
      </c>
      <c r="D4853" t="s">
        <v>22</v>
      </c>
      <c r="E4853" t="s">
        <v>45</v>
      </c>
      <c r="F4853" t="s">
        <v>851</v>
      </c>
      <c r="G4853">
        <v>975320136</v>
      </c>
      <c r="H4853" s="1">
        <v>41248</v>
      </c>
      <c r="I4853">
        <v>7757</v>
      </c>
      <c r="J4853">
        <v>205.7</v>
      </c>
      <c r="K4853">
        <v>117.11</v>
      </c>
      <c r="L4853">
        <v>1595614.9</v>
      </c>
      <c r="M4853">
        <v>908422.27</v>
      </c>
      <c r="N4853">
        <v>687192.63</v>
      </c>
    </row>
    <row r="4854" spans="1:14" x14ac:dyDescent="0.25">
      <c r="A4854" t="s">
        <v>51</v>
      </c>
      <c r="B4854" t="s">
        <v>734</v>
      </c>
      <c r="C4854" t="s">
        <v>69</v>
      </c>
      <c r="D4854" t="s">
        <v>22</v>
      </c>
      <c r="E4854" t="s">
        <v>18</v>
      </c>
      <c r="F4854" s="1">
        <v>41161</v>
      </c>
      <c r="G4854">
        <v>317781960</v>
      </c>
      <c r="H4854" t="s">
        <v>571</v>
      </c>
      <c r="I4854">
        <v>7599</v>
      </c>
      <c r="J4854">
        <v>421.89</v>
      </c>
      <c r="K4854">
        <v>364.69</v>
      </c>
      <c r="L4854">
        <v>3205942.11</v>
      </c>
      <c r="M4854">
        <v>2771279.31</v>
      </c>
      <c r="N4854">
        <v>434662.8</v>
      </c>
    </row>
    <row r="4855" spans="1:14" x14ac:dyDescent="0.25">
      <c r="A4855" t="s">
        <v>25</v>
      </c>
      <c r="B4855" t="s">
        <v>533</v>
      </c>
      <c r="C4855" t="s">
        <v>40</v>
      </c>
      <c r="D4855" t="s">
        <v>22</v>
      </c>
      <c r="E4855" t="s">
        <v>32</v>
      </c>
      <c r="F4855" s="1">
        <v>41466</v>
      </c>
      <c r="G4855">
        <v>546140086</v>
      </c>
      <c r="H4855" t="s">
        <v>1406</v>
      </c>
      <c r="I4855">
        <v>3843</v>
      </c>
      <c r="J4855">
        <v>81.73</v>
      </c>
      <c r="K4855">
        <v>56.67</v>
      </c>
      <c r="L4855">
        <v>314088.39</v>
      </c>
      <c r="M4855">
        <v>217782.81</v>
      </c>
      <c r="N4855">
        <v>96305.58</v>
      </c>
    </row>
    <row r="4856" spans="1:14" x14ac:dyDescent="0.25">
      <c r="A4856" t="s">
        <v>51</v>
      </c>
      <c r="B4856" t="s">
        <v>194</v>
      </c>
      <c r="C4856" t="s">
        <v>27</v>
      </c>
      <c r="D4856" t="s">
        <v>22</v>
      </c>
      <c r="E4856" t="s">
        <v>32</v>
      </c>
      <c r="F4856" t="s">
        <v>1617</v>
      </c>
      <c r="G4856">
        <v>152630841</v>
      </c>
      <c r="H4856" s="1">
        <v>41283</v>
      </c>
      <c r="I4856">
        <v>5713</v>
      </c>
      <c r="J4856">
        <v>47.45</v>
      </c>
      <c r="K4856">
        <v>31.79</v>
      </c>
      <c r="L4856">
        <v>271081.84999999998</v>
      </c>
      <c r="M4856">
        <v>181616.27</v>
      </c>
      <c r="N4856">
        <v>89465.58</v>
      </c>
    </row>
    <row r="4857" spans="1:14" x14ac:dyDescent="0.25">
      <c r="A4857" t="s">
        <v>51</v>
      </c>
      <c r="B4857" t="s">
        <v>52</v>
      </c>
      <c r="C4857" t="s">
        <v>59</v>
      </c>
      <c r="D4857" t="s">
        <v>22</v>
      </c>
      <c r="E4857" t="s">
        <v>18</v>
      </c>
      <c r="F4857" t="s">
        <v>1141</v>
      </c>
      <c r="G4857">
        <v>399803054</v>
      </c>
      <c r="H4857" t="s">
        <v>1853</v>
      </c>
      <c r="I4857">
        <v>9463</v>
      </c>
      <c r="J4857">
        <v>437.2</v>
      </c>
      <c r="K4857">
        <v>263.33</v>
      </c>
      <c r="L4857">
        <v>4137223.6</v>
      </c>
      <c r="M4857">
        <v>2491891.79</v>
      </c>
      <c r="N4857">
        <v>1645331.81</v>
      </c>
    </row>
    <row r="4858" spans="1:14" x14ac:dyDescent="0.25">
      <c r="A4858" t="s">
        <v>29</v>
      </c>
      <c r="B4858" t="s">
        <v>467</v>
      </c>
      <c r="C4858" t="s">
        <v>131</v>
      </c>
      <c r="D4858" t="s">
        <v>22</v>
      </c>
      <c r="E4858" t="s">
        <v>45</v>
      </c>
      <c r="F4858" s="1">
        <v>41342</v>
      </c>
      <c r="G4858">
        <v>370518052</v>
      </c>
      <c r="H4858" s="1">
        <v>41527</v>
      </c>
      <c r="I4858">
        <v>3380</v>
      </c>
      <c r="J4858">
        <v>668.27</v>
      </c>
      <c r="K4858">
        <v>502.54</v>
      </c>
      <c r="L4858">
        <v>2258752.6</v>
      </c>
      <c r="M4858">
        <v>1698585.2</v>
      </c>
      <c r="N4858">
        <v>560167.4</v>
      </c>
    </row>
    <row r="4859" spans="1:14" x14ac:dyDescent="0.25">
      <c r="A4859" t="s">
        <v>14</v>
      </c>
      <c r="B4859" t="s">
        <v>213</v>
      </c>
      <c r="C4859" t="s">
        <v>27</v>
      </c>
      <c r="D4859" t="s">
        <v>22</v>
      </c>
      <c r="E4859" t="s">
        <v>23</v>
      </c>
      <c r="F4859" t="s">
        <v>1316</v>
      </c>
      <c r="G4859">
        <v>117949664</v>
      </c>
      <c r="H4859" t="s">
        <v>1496</v>
      </c>
      <c r="I4859">
        <v>2782</v>
      </c>
      <c r="J4859">
        <v>47.45</v>
      </c>
      <c r="K4859">
        <v>31.79</v>
      </c>
      <c r="L4859">
        <v>132005.9</v>
      </c>
      <c r="M4859">
        <v>88439.78</v>
      </c>
      <c r="N4859">
        <v>43566.12</v>
      </c>
    </row>
    <row r="4860" spans="1:14" x14ac:dyDescent="0.25">
      <c r="A4860" t="s">
        <v>25</v>
      </c>
      <c r="B4860" t="s">
        <v>609</v>
      </c>
      <c r="C4860" t="s">
        <v>113</v>
      </c>
      <c r="D4860" t="s">
        <v>22</v>
      </c>
      <c r="E4860" t="s">
        <v>18</v>
      </c>
      <c r="F4860" s="1">
        <v>42922</v>
      </c>
      <c r="G4860">
        <v>215584218</v>
      </c>
      <c r="H4860" t="s">
        <v>1818</v>
      </c>
      <c r="I4860">
        <v>5016</v>
      </c>
      <c r="J4860">
        <v>154.06</v>
      </c>
      <c r="K4860">
        <v>90.93</v>
      </c>
      <c r="L4860">
        <v>772764.96</v>
      </c>
      <c r="M4860">
        <v>456104.88</v>
      </c>
      <c r="N4860">
        <v>316660.08</v>
      </c>
    </row>
    <row r="4861" spans="1:14" x14ac:dyDescent="0.25">
      <c r="A4861" t="s">
        <v>25</v>
      </c>
      <c r="B4861" t="s">
        <v>434</v>
      </c>
      <c r="C4861" t="s">
        <v>31</v>
      </c>
      <c r="D4861" t="s">
        <v>17</v>
      </c>
      <c r="E4861" t="s">
        <v>32</v>
      </c>
      <c r="F4861" t="s">
        <v>97</v>
      </c>
      <c r="G4861">
        <v>407220542</v>
      </c>
      <c r="H4861" s="1">
        <v>42467</v>
      </c>
      <c r="I4861">
        <v>4463</v>
      </c>
      <c r="J4861">
        <v>205.7</v>
      </c>
      <c r="K4861">
        <v>117.11</v>
      </c>
      <c r="L4861">
        <v>918039.1</v>
      </c>
      <c r="M4861">
        <v>522661.93</v>
      </c>
      <c r="N4861">
        <v>395377.17</v>
      </c>
    </row>
    <row r="4862" spans="1:14" x14ac:dyDescent="0.25">
      <c r="A4862" t="s">
        <v>25</v>
      </c>
      <c r="B4862" t="s">
        <v>615</v>
      </c>
      <c r="C4862" t="s">
        <v>113</v>
      </c>
      <c r="D4862" t="s">
        <v>17</v>
      </c>
      <c r="E4862" t="s">
        <v>32</v>
      </c>
      <c r="F4862" t="s">
        <v>1466</v>
      </c>
      <c r="G4862">
        <v>956969964</v>
      </c>
      <c r="H4862" t="s">
        <v>268</v>
      </c>
      <c r="I4862">
        <v>7533</v>
      </c>
      <c r="J4862">
        <v>154.06</v>
      </c>
      <c r="K4862">
        <v>90.93</v>
      </c>
      <c r="L4862">
        <v>1160533.98</v>
      </c>
      <c r="M4862">
        <v>684975.69</v>
      </c>
      <c r="N4862">
        <v>475558.29</v>
      </c>
    </row>
    <row r="4863" spans="1:14" x14ac:dyDescent="0.25">
      <c r="A4863" t="s">
        <v>25</v>
      </c>
      <c r="B4863" t="s">
        <v>239</v>
      </c>
      <c r="C4863" t="s">
        <v>88</v>
      </c>
      <c r="D4863" t="s">
        <v>17</v>
      </c>
      <c r="E4863" t="s">
        <v>32</v>
      </c>
      <c r="F4863" s="1">
        <v>41955</v>
      </c>
      <c r="G4863">
        <v>399256312</v>
      </c>
      <c r="H4863" s="1">
        <v>42125</v>
      </c>
      <c r="I4863">
        <v>7670</v>
      </c>
      <c r="J4863">
        <v>9.33</v>
      </c>
      <c r="K4863">
        <v>6.92</v>
      </c>
      <c r="L4863">
        <v>71561.100000000006</v>
      </c>
      <c r="M4863">
        <v>53076.4</v>
      </c>
      <c r="N4863">
        <v>18484.7</v>
      </c>
    </row>
    <row r="4864" spans="1:14" x14ac:dyDescent="0.25">
      <c r="A4864" t="s">
        <v>25</v>
      </c>
      <c r="B4864" t="s">
        <v>556</v>
      </c>
      <c r="C4864" t="s">
        <v>21</v>
      </c>
      <c r="D4864" t="s">
        <v>22</v>
      </c>
      <c r="E4864" t="s">
        <v>18</v>
      </c>
      <c r="F4864" s="1">
        <v>40605</v>
      </c>
      <c r="G4864">
        <v>488815915</v>
      </c>
      <c r="H4864" t="s">
        <v>1316</v>
      </c>
      <c r="I4864">
        <v>347</v>
      </c>
      <c r="J4864">
        <v>152.58000000000001</v>
      </c>
      <c r="K4864">
        <v>97.44</v>
      </c>
      <c r="L4864">
        <v>52945.26</v>
      </c>
      <c r="M4864">
        <v>33811.68</v>
      </c>
      <c r="N4864">
        <v>19133.580000000002</v>
      </c>
    </row>
    <row r="4865" spans="1:14" x14ac:dyDescent="0.25">
      <c r="A4865" t="s">
        <v>51</v>
      </c>
      <c r="B4865" t="s">
        <v>360</v>
      </c>
      <c r="C4865" t="s">
        <v>31</v>
      </c>
      <c r="D4865" t="s">
        <v>17</v>
      </c>
      <c r="E4865" t="s">
        <v>18</v>
      </c>
      <c r="F4865" s="1">
        <v>42678</v>
      </c>
      <c r="G4865">
        <v>350697600</v>
      </c>
      <c r="H4865" t="s">
        <v>1240</v>
      </c>
      <c r="I4865">
        <v>8068</v>
      </c>
      <c r="J4865">
        <v>205.7</v>
      </c>
      <c r="K4865">
        <v>117.11</v>
      </c>
      <c r="L4865">
        <v>1659587.6</v>
      </c>
      <c r="M4865">
        <v>944843.48</v>
      </c>
      <c r="N4865">
        <v>714744.12</v>
      </c>
    </row>
    <row r="4866" spans="1:14" x14ac:dyDescent="0.25">
      <c r="A4866" t="s">
        <v>25</v>
      </c>
      <c r="B4866" t="s">
        <v>363</v>
      </c>
      <c r="C4866" t="s">
        <v>44</v>
      </c>
      <c r="D4866" t="s">
        <v>22</v>
      </c>
      <c r="E4866" t="s">
        <v>23</v>
      </c>
      <c r="F4866" t="s">
        <v>180</v>
      </c>
      <c r="G4866">
        <v>530262696</v>
      </c>
      <c r="H4866" s="1">
        <v>41218</v>
      </c>
      <c r="I4866">
        <v>5370</v>
      </c>
      <c r="J4866">
        <v>109.28</v>
      </c>
      <c r="K4866">
        <v>35.840000000000003</v>
      </c>
      <c r="L4866">
        <v>586833.6</v>
      </c>
      <c r="M4866">
        <v>192460.79999999999</v>
      </c>
      <c r="N4866">
        <v>394372.8</v>
      </c>
    </row>
    <row r="4867" spans="1:14" x14ac:dyDescent="0.25">
      <c r="A4867" t="s">
        <v>14</v>
      </c>
      <c r="B4867" t="s">
        <v>213</v>
      </c>
      <c r="C4867" t="s">
        <v>44</v>
      </c>
      <c r="D4867" t="s">
        <v>22</v>
      </c>
      <c r="E4867" t="s">
        <v>18</v>
      </c>
      <c r="F4867" s="1">
        <v>42711</v>
      </c>
      <c r="G4867">
        <v>743185031</v>
      </c>
      <c r="H4867" t="s">
        <v>1133</v>
      </c>
      <c r="I4867">
        <v>3821</v>
      </c>
      <c r="J4867">
        <v>109.28</v>
      </c>
      <c r="K4867">
        <v>35.840000000000003</v>
      </c>
      <c r="L4867">
        <v>417558.88</v>
      </c>
      <c r="M4867">
        <v>136944.64000000001</v>
      </c>
      <c r="N4867">
        <v>280614.24</v>
      </c>
    </row>
    <row r="4868" spans="1:14" x14ac:dyDescent="0.25">
      <c r="A4868" t="s">
        <v>38</v>
      </c>
      <c r="B4868" t="s">
        <v>83</v>
      </c>
      <c r="C4868" t="s">
        <v>131</v>
      </c>
      <c r="D4868" t="s">
        <v>17</v>
      </c>
      <c r="E4868" t="s">
        <v>23</v>
      </c>
      <c r="F4868" s="1">
        <v>42624</v>
      </c>
      <c r="G4868">
        <v>325450932</v>
      </c>
      <c r="H4868" t="s">
        <v>991</v>
      </c>
      <c r="I4868">
        <v>7018</v>
      </c>
      <c r="J4868">
        <v>668.27</v>
      </c>
      <c r="K4868">
        <v>502.54</v>
      </c>
      <c r="L4868">
        <v>4689918.8600000003</v>
      </c>
      <c r="M4868">
        <v>3526825.72</v>
      </c>
      <c r="N4868">
        <v>1163093.1399999999</v>
      </c>
    </row>
    <row r="4869" spans="1:14" x14ac:dyDescent="0.25">
      <c r="A4869" t="s">
        <v>51</v>
      </c>
      <c r="B4869" t="s">
        <v>258</v>
      </c>
      <c r="C4869" t="s">
        <v>113</v>
      </c>
      <c r="D4869" t="s">
        <v>22</v>
      </c>
      <c r="E4869" t="s">
        <v>45</v>
      </c>
      <c r="F4869" t="s">
        <v>1071</v>
      </c>
      <c r="G4869">
        <v>483359229</v>
      </c>
      <c r="H4869" s="1">
        <v>41557</v>
      </c>
      <c r="I4869">
        <v>5592</v>
      </c>
      <c r="J4869">
        <v>154.06</v>
      </c>
      <c r="K4869">
        <v>90.93</v>
      </c>
      <c r="L4869">
        <v>861503.52</v>
      </c>
      <c r="M4869">
        <v>508480.56</v>
      </c>
      <c r="N4869">
        <v>353022.96</v>
      </c>
    </row>
    <row r="4870" spans="1:14" x14ac:dyDescent="0.25">
      <c r="A4870" t="s">
        <v>25</v>
      </c>
      <c r="B4870" t="s">
        <v>119</v>
      </c>
      <c r="C4870" t="s">
        <v>59</v>
      </c>
      <c r="D4870" t="s">
        <v>17</v>
      </c>
      <c r="E4870" t="s">
        <v>32</v>
      </c>
      <c r="F4870" t="s">
        <v>1196</v>
      </c>
      <c r="G4870">
        <v>243521249</v>
      </c>
      <c r="H4870" t="s">
        <v>723</v>
      </c>
      <c r="I4870">
        <v>2204</v>
      </c>
      <c r="J4870">
        <v>437.2</v>
      </c>
      <c r="K4870">
        <v>263.33</v>
      </c>
      <c r="L4870">
        <v>963588.8</v>
      </c>
      <c r="M4870">
        <v>580379.31999999995</v>
      </c>
      <c r="N4870">
        <v>383209.48</v>
      </c>
    </row>
    <row r="4871" spans="1:14" x14ac:dyDescent="0.25">
      <c r="A4871" t="s">
        <v>38</v>
      </c>
      <c r="B4871" t="s">
        <v>288</v>
      </c>
      <c r="C4871" t="s">
        <v>131</v>
      </c>
      <c r="D4871" t="s">
        <v>22</v>
      </c>
      <c r="E4871" t="s">
        <v>23</v>
      </c>
      <c r="F4871" s="1">
        <v>42068</v>
      </c>
      <c r="G4871">
        <v>502860820</v>
      </c>
      <c r="H4871" t="s">
        <v>347</v>
      </c>
      <c r="I4871">
        <v>6546</v>
      </c>
      <c r="J4871">
        <v>668.27</v>
      </c>
      <c r="K4871">
        <v>502.54</v>
      </c>
      <c r="L4871">
        <v>4374495.42</v>
      </c>
      <c r="M4871">
        <v>3289626.84</v>
      </c>
      <c r="N4871">
        <v>1084868.58</v>
      </c>
    </row>
    <row r="4872" spans="1:14" x14ac:dyDescent="0.25">
      <c r="A4872" t="s">
        <v>25</v>
      </c>
      <c r="B4872" t="s">
        <v>533</v>
      </c>
      <c r="C4872" t="s">
        <v>59</v>
      </c>
      <c r="D4872" t="s">
        <v>17</v>
      </c>
      <c r="E4872" t="s">
        <v>18</v>
      </c>
      <c r="F4872" t="s">
        <v>543</v>
      </c>
      <c r="G4872">
        <v>878614270</v>
      </c>
      <c r="H4872" t="s">
        <v>591</v>
      </c>
      <c r="I4872">
        <v>342</v>
      </c>
      <c r="J4872">
        <v>437.2</v>
      </c>
      <c r="K4872">
        <v>263.33</v>
      </c>
      <c r="L4872">
        <v>149522.4</v>
      </c>
      <c r="M4872">
        <v>90058.86</v>
      </c>
      <c r="N4872">
        <v>59463.54</v>
      </c>
    </row>
    <row r="4873" spans="1:14" x14ac:dyDescent="0.25">
      <c r="A4873" t="s">
        <v>29</v>
      </c>
      <c r="B4873" t="s">
        <v>159</v>
      </c>
      <c r="C4873" t="s">
        <v>59</v>
      </c>
      <c r="D4873" t="s">
        <v>22</v>
      </c>
      <c r="E4873" t="s">
        <v>23</v>
      </c>
      <c r="F4873" s="1">
        <v>42255</v>
      </c>
      <c r="G4873">
        <v>158330428</v>
      </c>
      <c r="H4873" t="s">
        <v>1789</v>
      </c>
      <c r="I4873">
        <v>2347</v>
      </c>
      <c r="J4873">
        <v>437.2</v>
      </c>
      <c r="K4873">
        <v>263.33</v>
      </c>
      <c r="L4873">
        <v>1026108.4</v>
      </c>
      <c r="M4873">
        <v>618035.51</v>
      </c>
      <c r="N4873">
        <v>408072.89</v>
      </c>
    </row>
    <row r="4874" spans="1:14" x14ac:dyDescent="0.25">
      <c r="A4874" t="s">
        <v>29</v>
      </c>
      <c r="B4874" t="s">
        <v>323</v>
      </c>
      <c r="C4874" t="s">
        <v>44</v>
      </c>
      <c r="D4874" t="s">
        <v>17</v>
      </c>
      <c r="E4874" t="s">
        <v>18</v>
      </c>
      <c r="F4874" s="1">
        <v>40767</v>
      </c>
      <c r="G4874">
        <v>349870622</v>
      </c>
      <c r="H4874" t="s">
        <v>1004</v>
      </c>
      <c r="I4874">
        <v>3347</v>
      </c>
      <c r="J4874">
        <v>109.28</v>
      </c>
      <c r="K4874">
        <v>35.840000000000003</v>
      </c>
      <c r="L4874">
        <v>365760.16</v>
      </c>
      <c r="M4874">
        <v>119956.48</v>
      </c>
      <c r="N4874">
        <v>245803.68</v>
      </c>
    </row>
    <row r="4875" spans="1:14" x14ac:dyDescent="0.25">
      <c r="A4875" t="s">
        <v>51</v>
      </c>
      <c r="B4875" t="s">
        <v>100</v>
      </c>
      <c r="C4875" t="s">
        <v>59</v>
      </c>
      <c r="D4875" t="s">
        <v>17</v>
      </c>
      <c r="E4875" t="s">
        <v>18</v>
      </c>
      <c r="F4875" t="s">
        <v>1279</v>
      </c>
      <c r="G4875">
        <v>831408679</v>
      </c>
      <c r="H4875" s="1">
        <v>40219</v>
      </c>
      <c r="I4875">
        <v>1159</v>
      </c>
      <c r="J4875">
        <v>437.2</v>
      </c>
      <c r="K4875">
        <v>263.33</v>
      </c>
      <c r="L4875">
        <v>506714.8</v>
      </c>
      <c r="M4875">
        <v>305199.46999999997</v>
      </c>
      <c r="N4875">
        <v>201515.33</v>
      </c>
    </row>
    <row r="4876" spans="1:14" x14ac:dyDescent="0.25">
      <c r="A4876" t="s">
        <v>38</v>
      </c>
      <c r="B4876" t="s">
        <v>156</v>
      </c>
      <c r="C4876" t="s">
        <v>55</v>
      </c>
      <c r="D4876" t="s">
        <v>17</v>
      </c>
      <c r="E4876" t="s">
        <v>45</v>
      </c>
      <c r="F4876" t="s">
        <v>606</v>
      </c>
      <c r="G4876">
        <v>601430928</v>
      </c>
      <c r="H4876" t="s">
        <v>1459</v>
      </c>
      <c r="I4876">
        <v>5632</v>
      </c>
      <c r="J4876">
        <v>651.21</v>
      </c>
      <c r="K4876">
        <v>524.96</v>
      </c>
      <c r="L4876">
        <v>3667614.72</v>
      </c>
      <c r="M4876">
        <v>2956574.7200000002</v>
      </c>
      <c r="N4876">
        <v>711040</v>
      </c>
    </row>
    <row r="4877" spans="1:14" x14ac:dyDescent="0.25">
      <c r="A4877" t="s">
        <v>29</v>
      </c>
      <c r="B4877" t="s">
        <v>545</v>
      </c>
      <c r="C4877" t="s">
        <v>131</v>
      </c>
      <c r="D4877" t="s">
        <v>17</v>
      </c>
      <c r="E4877" t="s">
        <v>18</v>
      </c>
      <c r="F4877" t="s">
        <v>1617</v>
      </c>
      <c r="G4877">
        <v>528736197</v>
      </c>
      <c r="H4877" t="s">
        <v>1235</v>
      </c>
      <c r="I4877">
        <v>3645</v>
      </c>
      <c r="J4877">
        <v>668.27</v>
      </c>
      <c r="K4877">
        <v>502.54</v>
      </c>
      <c r="L4877">
        <v>2435844.15</v>
      </c>
      <c r="M4877">
        <v>1831758.3</v>
      </c>
      <c r="N4877">
        <v>604085.85</v>
      </c>
    </row>
    <row r="4878" spans="1:14" x14ac:dyDescent="0.25">
      <c r="A4878" t="s">
        <v>14</v>
      </c>
      <c r="B4878" t="s">
        <v>835</v>
      </c>
      <c r="C4878" t="s">
        <v>44</v>
      </c>
      <c r="D4878" t="s">
        <v>17</v>
      </c>
      <c r="E4878" t="s">
        <v>23</v>
      </c>
      <c r="F4878" s="1">
        <v>41884</v>
      </c>
      <c r="G4878">
        <v>202435815</v>
      </c>
      <c r="H4878" t="s">
        <v>1774</v>
      </c>
      <c r="I4878">
        <v>4111</v>
      </c>
      <c r="J4878">
        <v>109.28</v>
      </c>
      <c r="K4878">
        <v>35.840000000000003</v>
      </c>
      <c r="L4878">
        <v>449250.08</v>
      </c>
      <c r="M4878">
        <v>147338.23999999999</v>
      </c>
      <c r="N4878">
        <v>301911.84000000003</v>
      </c>
    </row>
    <row r="4879" spans="1:14" x14ac:dyDescent="0.25">
      <c r="A4879" t="s">
        <v>51</v>
      </c>
      <c r="B4879" t="s">
        <v>414</v>
      </c>
      <c r="C4879" t="s">
        <v>69</v>
      </c>
      <c r="D4879" t="s">
        <v>22</v>
      </c>
      <c r="E4879" t="s">
        <v>23</v>
      </c>
      <c r="F4879" t="s">
        <v>867</v>
      </c>
      <c r="G4879">
        <v>181953608</v>
      </c>
      <c r="H4879" t="s">
        <v>145</v>
      </c>
      <c r="I4879">
        <v>2971</v>
      </c>
      <c r="J4879">
        <v>421.89</v>
      </c>
      <c r="K4879">
        <v>364.69</v>
      </c>
      <c r="L4879">
        <v>1253435.19</v>
      </c>
      <c r="M4879">
        <v>1083493.99</v>
      </c>
      <c r="N4879">
        <v>169941.2</v>
      </c>
    </row>
    <row r="4880" spans="1:14" x14ac:dyDescent="0.25">
      <c r="A4880" t="s">
        <v>38</v>
      </c>
      <c r="B4880" t="s">
        <v>388</v>
      </c>
      <c r="C4880" t="s">
        <v>44</v>
      </c>
      <c r="D4880" t="s">
        <v>22</v>
      </c>
      <c r="E4880" t="s">
        <v>18</v>
      </c>
      <c r="F4880" t="s">
        <v>1742</v>
      </c>
      <c r="G4880">
        <v>647025907</v>
      </c>
      <c r="H4880" t="s">
        <v>1742</v>
      </c>
      <c r="I4880">
        <v>8199</v>
      </c>
      <c r="J4880">
        <v>109.28</v>
      </c>
      <c r="K4880">
        <v>35.840000000000003</v>
      </c>
      <c r="L4880">
        <v>895986.72</v>
      </c>
      <c r="M4880">
        <v>293852.15999999997</v>
      </c>
      <c r="N4880">
        <v>602134.56000000006</v>
      </c>
    </row>
    <row r="4881" spans="1:14" x14ac:dyDescent="0.25">
      <c r="A4881" t="s">
        <v>29</v>
      </c>
      <c r="B4881" t="s">
        <v>356</v>
      </c>
      <c r="C4881" t="s">
        <v>59</v>
      </c>
      <c r="D4881" t="s">
        <v>22</v>
      </c>
      <c r="E4881" t="s">
        <v>23</v>
      </c>
      <c r="F4881" t="s">
        <v>1854</v>
      </c>
      <c r="G4881">
        <v>947701537</v>
      </c>
      <c r="H4881" t="s">
        <v>1591</v>
      </c>
      <c r="I4881">
        <v>4800</v>
      </c>
      <c r="J4881">
        <v>437.2</v>
      </c>
      <c r="K4881">
        <v>263.33</v>
      </c>
      <c r="L4881">
        <v>2098560</v>
      </c>
      <c r="M4881">
        <v>1263984</v>
      </c>
      <c r="N4881">
        <v>834576</v>
      </c>
    </row>
    <row r="4882" spans="1:14" x14ac:dyDescent="0.25">
      <c r="A4882" t="s">
        <v>25</v>
      </c>
      <c r="B4882" t="s">
        <v>303</v>
      </c>
      <c r="C4882" t="s">
        <v>113</v>
      </c>
      <c r="D4882" t="s">
        <v>22</v>
      </c>
      <c r="E4882" t="s">
        <v>45</v>
      </c>
      <c r="F4882" t="s">
        <v>1077</v>
      </c>
      <c r="G4882">
        <v>954341828</v>
      </c>
      <c r="H4882" s="1">
        <v>41950</v>
      </c>
      <c r="I4882">
        <v>9809</v>
      </c>
      <c r="J4882">
        <v>154.06</v>
      </c>
      <c r="K4882">
        <v>90.93</v>
      </c>
      <c r="L4882">
        <v>1511174.54</v>
      </c>
      <c r="M4882">
        <v>891932.37</v>
      </c>
      <c r="N4882">
        <v>619242.17000000004</v>
      </c>
    </row>
    <row r="4883" spans="1:14" x14ac:dyDescent="0.25">
      <c r="A4883" t="s">
        <v>25</v>
      </c>
      <c r="B4883" t="s">
        <v>386</v>
      </c>
      <c r="C4883" t="s">
        <v>27</v>
      </c>
      <c r="D4883" t="s">
        <v>17</v>
      </c>
      <c r="E4883" t="s">
        <v>45</v>
      </c>
      <c r="F4883" s="1">
        <v>40521</v>
      </c>
      <c r="G4883">
        <v>607620608</v>
      </c>
      <c r="H4883" t="s">
        <v>435</v>
      </c>
      <c r="I4883">
        <v>7296</v>
      </c>
      <c r="J4883">
        <v>47.45</v>
      </c>
      <c r="K4883">
        <v>31.79</v>
      </c>
      <c r="L4883">
        <v>346195.20000000001</v>
      </c>
      <c r="M4883">
        <v>231939.84</v>
      </c>
      <c r="N4883">
        <v>114255.36</v>
      </c>
    </row>
    <row r="4884" spans="1:14" x14ac:dyDescent="0.25">
      <c r="A4884" t="s">
        <v>14</v>
      </c>
      <c r="B4884" t="s">
        <v>98</v>
      </c>
      <c r="C4884" t="s">
        <v>88</v>
      </c>
      <c r="D4884" t="s">
        <v>22</v>
      </c>
      <c r="E4884" t="s">
        <v>23</v>
      </c>
      <c r="F4884" t="s">
        <v>1584</v>
      </c>
      <c r="G4884">
        <v>368524205</v>
      </c>
      <c r="H4884" t="s">
        <v>726</v>
      </c>
      <c r="I4884">
        <v>3357</v>
      </c>
      <c r="J4884">
        <v>9.33</v>
      </c>
      <c r="K4884">
        <v>6.92</v>
      </c>
      <c r="L4884">
        <v>31320.81</v>
      </c>
      <c r="M4884">
        <v>23230.44</v>
      </c>
      <c r="N4884">
        <v>8090.37</v>
      </c>
    </row>
    <row r="4885" spans="1:14" x14ac:dyDescent="0.25">
      <c r="A4885" t="s">
        <v>77</v>
      </c>
      <c r="B4885" t="s">
        <v>320</v>
      </c>
      <c r="C4885" t="s">
        <v>21</v>
      </c>
      <c r="D4885" t="s">
        <v>17</v>
      </c>
      <c r="E4885" t="s">
        <v>18</v>
      </c>
      <c r="F4885" t="s">
        <v>899</v>
      </c>
      <c r="G4885">
        <v>768351447</v>
      </c>
      <c r="H4885" t="s">
        <v>1009</v>
      </c>
      <c r="I4885">
        <v>1123</v>
      </c>
      <c r="J4885">
        <v>152.58000000000001</v>
      </c>
      <c r="K4885">
        <v>97.44</v>
      </c>
      <c r="L4885">
        <v>171347.34</v>
      </c>
      <c r="M4885">
        <v>109425.12</v>
      </c>
      <c r="N4885">
        <v>61922.22</v>
      </c>
    </row>
    <row r="4886" spans="1:14" x14ac:dyDescent="0.25">
      <c r="A4886" t="s">
        <v>51</v>
      </c>
      <c r="B4886" t="s">
        <v>308</v>
      </c>
      <c r="C4886" t="s">
        <v>21</v>
      </c>
      <c r="D4886" t="s">
        <v>22</v>
      </c>
      <c r="E4886" t="s">
        <v>18</v>
      </c>
      <c r="F4886" t="s">
        <v>362</v>
      </c>
      <c r="G4886">
        <v>158713662</v>
      </c>
      <c r="H4886" t="s">
        <v>1668</v>
      </c>
      <c r="I4886">
        <v>5754</v>
      </c>
      <c r="J4886">
        <v>152.58000000000001</v>
      </c>
      <c r="K4886">
        <v>97.44</v>
      </c>
      <c r="L4886">
        <v>877945.32</v>
      </c>
      <c r="M4886">
        <v>560669.76</v>
      </c>
      <c r="N4886">
        <v>317275.56</v>
      </c>
    </row>
    <row r="4887" spans="1:14" x14ac:dyDescent="0.25">
      <c r="A4887" t="s">
        <v>25</v>
      </c>
      <c r="B4887" t="s">
        <v>252</v>
      </c>
      <c r="C4887" t="s">
        <v>40</v>
      </c>
      <c r="D4887" t="s">
        <v>17</v>
      </c>
      <c r="E4887" t="s">
        <v>32</v>
      </c>
      <c r="F4887" s="1">
        <v>41671</v>
      </c>
      <c r="G4887">
        <v>561534678</v>
      </c>
      <c r="H4887" t="s">
        <v>947</v>
      </c>
      <c r="I4887">
        <v>9445</v>
      </c>
      <c r="J4887">
        <v>81.73</v>
      </c>
      <c r="K4887">
        <v>56.67</v>
      </c>
      <c r="L4887">
        <v>771939.85</v>
      </c>
      <c r="M4887">
        <v>535248.15</v>
      </c>
      <c r="N4887">
        <v>236691.7</v>
      </c>
    </row>
    <row r="4888" spans="1:14" x14ac:dyDescent="0.25">
      <c r="A4888" t="s">
        <v>42</v>
      </c>
      <c r="B4888" t="s">
        <v>552</v>
      </c>
      <c r="C4888" t="s">
        <v>88</v>
      </c>
      <c r="D4888" t="s">
        <v>22</v>
      </c>
      <c r="E4888" t="s">
        <v>32</v>
      </c>
      <c r="F4888" s="1">
        <v>40304</v>
      </c>
      <c r="G4888">
        <v>919050824</v>
      </c>
      <c r="H4888" t="s">
        <v>658</v>
      </c>
      <c r="I4888">
        <v>6417</v>
      </c>
      <c r="J4888">
        <v>9.33</v>
      </c>
      <c r="K4888">
        <v>6.92</v>
      </c>
      <c r="L4888">
        <v>59870.61</v>
      </c>
      <c r="M4888">
        <v>44405.64</v>
      </c>
      <c r="N4888">
        <v>15464.97</v>
      </c>
    </row>
    <row r="4889" spans="1:14" x14ac:dyDescent="0.25">
      <c r="A4889" t="s">
        <v>42</v>
      </c>
      <c r="B4889" t="s">
        <v>361</v>
      </c>
      <c r="C4889" t="s">
        <v>21</v>
      </c>
      <c r="D4889" t="s">
        <v>17</v>
      </c>
      <c r="E4889" t="s">
        <v>23</v>
      </c>
      <c r="F4889" t="s">
        <v>1610</v>
      </c>
      <c r="G4889">
        <v>243810927</v>
      </c>
      <c r="H4889" s="1">
        <v>42102</v>
      </c>
      <c r="I4889">
        <v>7926</v>
      </c>
      <c r="J4889">
        <v>152.58000000000001</v>
      </c>
      <c r="K4889">
        <v>97.44</v>
      </c>
      <c r="L4889">
        <v>1209349.08</v>
      </c>
      <c r="M4889">
        <v>772309.44</v>
      </c>
      <c r="N4889">
        <v>437039.64</v>
      </c>
    </row>
    <row r="4890" spans="1:14" x14ac:dyDescent="0.25">
      <c r="A4890" t="s">
        <v>25</v>
      </c>
      <c r="B4890" t="s">
        <v>343</v>
      </c>
      <c r="C4890" t="s">
        <v>113</v>
      </c>
      <c r="D4890" t="s">
        <v>22</v>
      </c>
      <c r="E4890" t="s">
        <v>32</v>
      </c>
      <c r="F4890" s="1">
        <v>41791</v>
      </c>
      <c r="G4890">
        <v>768676316</v>
      </c>
      <c r="H4890" s="1">
        <v>41853</v>
      </c>
      <c r="I4890">
        <v>7259</v>
      </c>
      <c r="J4890">
        <v>154.06</v>
      </c>
      <c r="K4890">
        <v>90.93</v>
      </c>
      <c r="L4890">
        <v>1118321.54</v>
      </c>
      <c r="M4890">
        <v>660060.87</v>
      </c>
      <c r="N4890">
        <v>458260.67</v>
      </c>
    </row>
    <row r="4891" spans="1:14" x14ac:dyDescent="0.25">
      <c r="A4891" t="s">
        <v>51</v>
      </c>
      <c r="B4891" t="s">
        <v>367</v>
      </c>
      <c r="C4891" t="s">
        <v>21</v>
      </c>
      <c r="D4891" t="s">
        <v>17</v>
      </c>
      <c r="E4891" t="s">
        <v>23</v>
      </c>
      <c r="F4891" t="s">
        <v>587</v>
      </c>
      <c r="G4891">
        <v>296820819</v>
      </c>
      <c r="H4891" s="1">
        <v>40818</v>
      </c>
      <c r="I4891">
        <v>4731</v>
      </c>
      <c r="J4891">
        <v>152.58000000000001</v>
      </c>
      <c r="K4891">
        <v>97.44</v>
      </c>
      <c r="L4891">
        <v>721855.98</v>
      </c>
      <c r="M4891">
        <v>460988.64</v>
      </c>
      <c r="N4891">
        <v>260867.34</v>
      </c>
    </row>
    <row r="4892" spans="1:14" x14ac:dyDescent="0.25">
      <c r="A4892" t="s">
        <v>14</v>
      </c>
      <c r="B4892" t="s">
        <v>208</v>
      </c>
      <c r="C4892" t="s">
        <v>27</v>
      </c>
      <c r="D4892" t="s">
        <v>22</v>
      </c>
      <c r="E4892" t="s">
        <v>23</v>
      </c>
      <c r="F4892" s="1">
        <v>41004</v>
      </c>
      <c r="G4892">
        <v>751730763</v>
      </c>
      <c r="H4892" s="1">
        <v>41219</v>
      </c>
      <c r="I4892">
        <v>2693</v>
      </c>
      <c r="J4892">
        <v>47.45</v>
      </c>
      <c r="K4892">
        <v>31.79</v>
      </c>
      <c r="L4892">
        <v>127782.85</v>
      </c>
      <c r="M4892">
        <v>85610.47</v>
      </c>
      <c r="N4892">
        <v>42172.38</v>
      </c>
    </row>
    <row r="4893" spans="1:14" x14ac:dyDescent="0.25">
      <c r="A4893" t="s">
        <v>14</v>
      </c>
      <c r="B4893" t="s">
        <v>488</v>
      </c>
      <c r="C4893" t="s">
        <v>69</v>
      </c>
      <c r="D4893" t="s">
        <v>17</v>
      </c>
      <c r="E4893" t="s">
        <v>32</v>
      </c>
      <c r="F4893" t="s">
        <v>605</v>
      </c>
      <c r="G4893">
        <v>527204978</v>
      </c>
      <c r="H4893" s="1">
        <v>41343</v>
      </c>
      <c r="I4893">
        <v>523</v>
      </c>
      <c r="J4893">
        <v>421.89</v>
      </c>
      <c r="K4893">
        <v>364.69</v>
      </c>
      <c r="L4893">
        <v>220648.47</v>
      </c>
      <c r="M4893">
        <v>190732.87</v>
      </c>
      <c r="N4893">
        <v>29915.599999999999</v>
      </c>
    </row>
    <row r="4894" spans="1:14" x14ac:dyDescent="0.25">
      <c r="A4894" t="s">
        <v>25</v>
      </c>
      <c r="B4894" t="s">
        <v>266</v>
      </c>
      <c r="C4894" t="s">
        <v>59</v>
      </c>
      <c r="D4894" t="s">
        <v>22</v>
      </c>
      <c r="E4894" t="s">
        <v>32</v>
      </c>
      <c r="F4894" s="1">
        <v>40798</v>
      </c>
      <c r="G4894">
        <v>337354791</v>
      </c>
      <c r="H4894" t="s">
        <v>1668</v>
      </c>
      <c r="I4894">
        <v>9634</v>
      </c>
      <c r="J4894">
        <v>437.2</v>
      </c>
      <c r="K4894">
        <v>263.33</v>
      </c>
      <c r="L4894">
        <v>4211984.8</v>
      </c>
      <c r="M4894">
        <v>2536921.2200000002</v>
      </c>
      <c r="N4894">
        <v>1675063.58</v>
      </c>
    </row>
    <row r="4895" spans="1:14" x14ac:dyDescent="0.25">
      <c r="A4895" t="s">
        <v>38</v>
      </c>
      <c r="B4895" t="s">
        <v>527</v>
      </c>
      <c r="C4895" t="s">
        <v>44</v>
      </c>
      <c r="D4895" t="s">
        <v>17</v>
      </c>
      <c r="E4895" t="s">
        <v>18</v>
      </c>
      <c r="F4895" t="s">
        <v>595</v>
      </c>
      <c r="G4895">
        <v>966604030</v>
      </c>
      <c r="H4895" t="s">
        <v>757</v>
      </c>
      <c r="I4895">
        <v>8467</v>
      </c>
      <c r="J4895">
        <v>109.28</v>
      </c>
      <c r="K4895">
        <v>35.840000000000003</v>
      </c>
      <c r="L4895">
        <v>925273.76</v>
      </c>
      <c r="M4895">
        <v>303457.28000000003</v>
      </c>
      <c r="N4895">
        <v>621816.48</v>
      </c>
    </row>
    <row r="4896" spans="1:14" x14ac:dyDescent="0.25">
      <c r="A4896" t="s">
        <v>42</v>
      </c>
      <c r="B4896" t="s">
        <v>573</v>
      </c>
      <c r="C4896" t="s">
        <v>55</v>
      </c>
      <c r="D4896" t="s">
        <v>22</v>
      </c>
      <c r="E4896" t="s">
        <v>32</v>
      </c>
      <c r="F4896" t="s">
        <v>981</v>
      </c>
      <c r="G4896">
        <v>119689023</v>
      </c>
      <c r="H4896" t="s">
        <v>636</v>
      </c>
      <c r="I4896">
        <v>7497</v>
      </c>
      <c r="J4896">
        <v>651.21</v>
      </c>
      <c r="K4896">
        <v>524.96</v>
      </c>
      <c r="L4896">
        <v>4882121.37</v>
      </c>
      <c r="M4896">
        <v>3935625.12</v>
      </c>
      <c r="N4896">
        <v>946496.25</v>
      </c>
    </row>
    <row r="4897" spans="1:14" x14ac:dyDescent="0.25">
      <c r="A4897" t="s">
        <v>42</v>
      </c>
      <c r="B4897" t="s">
        <v>43</v>
      </c>
      <c r="C4897" t="s">
        <v>16</v>
      </c>
      <c r="D4897" t="s">
        <v>22</v>
      </c>
      <c r="E4897" t="s">
        <v>45</v>
      </c>
      <c r="F4897" t="s">
        <v>135</v>
      </c>
      <c r="G4897">
        <v>971658599</v>
      </c>
      <c r="H4897" s="1">
        <v>40973</v>
      </c>
      <c r="I4897">
        <v>4227</v>
      </c>
      <c r="J4897">
        <v>255.28</v>
      </c>
      <c r="K4897">
        <v>159.41999999999999</v>
      </c>
      <c r="L4897">
        <v>1079068.56</v>
      </c>
      <c r="M4897">
        <v>673868.34</v>
      </c>
      <c r="N4897">
        <v>405200.22</v>
      </c>
    </row>
    <row r="4898" spans="1:14" x14ac:dyDescent="0.25">
      <c r="A4898" t="s">
        <v>25</v>
      </c>
      <c r="B4898" t="s">
        <v>266</v>
      </c>
      <c r="C4898" t="s">
        <v>69</v>
      </c>
      <c r="D4898" t="s">
        <v>22</v>
      </c>
      <c r="E4898" t="s">
        <v>18</v>
      </c>
      <c r="F4898" s="1">
        <v>41252</v>
      </c>
      <c r="G4898">
        <v>917874085</v>
      </c>
      <c r="H4898" t="s">
        <v>1065</v>
      </c>
      <c r="I4898">
        <v>8194</v>
      </c>
      <c r="J4898">
        <v>421.89</v>
      </c>
      <c r="K4898">
        <v>364.69</v>
      </c>
      <c r="L4898">
        <v>3456966.66</v>
      </c>
      <c r="M4898">
        <v>2988269.86</v>
      </c>
      <c r="N4898">
        <v>468696.8</v>
      </c>
    </row>
    <row r="4899" spans="1:14" x14ac:dyDescent="0.25">
      <c r="A4899" t="s">
        <v>29</v>
      </c>
      <c r="B4899" t="s">
        <v>35</v>
      </c>
      <c r="C4899" t="s">
        <v>40</v>
      </c>
      <c r="D4899" t="s">
        <v>22</v>
      </c>
      <c r="E4899" t="s">
        <v>45</v>
      </c>
      <c r="F4899" t="s">
        <v>1319</v>
      </c>
      <c r="G4899">
        <v>124009311</v>
      </c>
      <c r="H4899" s="1">
        <v>41492</v>
      </c>
      <c r="I4899">
        <v>5966</v>
      </c>
      <c r="J4899">
        <v>81.73</v>
      </c>
      <c r="K4899">
        <v>56.67</v>
      </c>
      <c r="L4899">
        <v>487601.18</v>
      </c>
      <c r="M4899">
        <v>338093.22</v>
      </c>
      <c r="N4899">
        <v>149507.96</v>
      </c>
    </row>
    <row r="4900" spans="1:14" x14ac:dyDescent="0.25">
      <c r="A4900" t="s">
        <v>25</v>
      </c>
      <c r="B4900" t="s">
        <v>218</v>
      </c>
      <c r="C4900" t="s">
        <v>31</v>
      </c>
      <c r="D4900" t="s">
        <v>17</v>
      </c>
      <c r="E4900" t="s">
        <v>23</v>
      </c>
      <c r="F4900" s="1">
        <v>41495</v>
      </c>
      <c r="G4900">
        <v>176050603</v>
      </c>
      <c r="H4900" t="s">
        <v>1121</v>
      </c>
      <c r="I4900">
        <v>6140</v>
      </c>
      <c r="J4900">
        <v>205.7</v>
      </c>
      <c r="K4900">
        <v>117.11</v>
      </c>
      <c r="L4900">
        <v>1262998</v>
      </c>
      <c r="M4900">
        <v>719055.4</v>
      </c>
      <c r="N4900">
        <v>543942.6</v>
      </c>
    </row>
    <row r="4901" spans="1:14" x14ac:dyDescent="0.25">
      <c r="A4901" t="s">
        <v>25</v>
      </c>
      <c r="B4901" t="s">
        <v>363</v>
      </c>
      <c r="C4901" t="s">
        <v>69</v>
      </c>
      <c r="D4901" t="s">
        <v>22</v>
      </c>
      <c r="E4901" t="s">
        <v>23</v>
      </c>
      <c r="F4901" t="s">
        <v>570</v>
      </c>
      <c r="G4901">
        <v>930296790</v>
      </c>
      <c r="H4901" t="s">
        <v>531</v>
      </c>
      <c r="I4901">
        <v>4348</v>
      </c>
      <c r="J4901">
        <v>421.89</v>
      </c>
      <c r="K4901">
        <v>364.69</v>
      </c>
      <c r="L4901">
        <v>1834377.72</v>
      </c>
      <c r="M4901">
        <v>1585672.12</v>
      </c>
      <c r="N4901">
        <v>248705.6</v>
      </c>
    </row>
    <row r="4902" spans="1:14" x14ac:dyDescent="0.25">
      <c r="A4902" t="s">
        <v>51</v>
      </c>
      <c r="B4902" t="s">
        <v>593</v>
      </c>
      <c r="C4902" t="s">
        <v>40</v>
      </c>
      <c r="D4902" t="s">
        <v>17</v>
      </c>
      <c r="E4902" t="s">
        <v>18</v>
      </c>
      <c r="F4902" s="1">
        <v>42163</v>
      </c>
      <c r="G4902">
        <v>963359200</v>
      </c>
      <c r="H4902" t="s">
        <v>253</v>
      </c>
      <c r="I4902">
        <v>8250</v>
      </c>
      <c r="J4902">
        <v>81.73</v>
      </c>
      <c r="K4902">
        <v>56.67</v>
      </c>
      <c r="L4902">
        <v>674272.5</v>
      </c>
      <c r="M4902">
        <v>467527.5</v>
      </c>
      <c r="N4902">
        <v>206745</v>
      </c>
    </row>
    <row r="4903" spans="1:14" x14ac:dyDescent="0.25">
      <c r="A4903" t="s">
        <v>51</v>
      </c>
      <c r="B4903" t="s">
        <v>575</v>
      </c>
      <c r="C4903" t="s">
        <v>69</v>
      </c>
      <c r="D4903" t="s">
        <v>22</v>
      </c>
      <c r="E4903" t="s">
        <v>32</v>
      </c>
      <c r="F4903" s="1">
        <v>43014</v>
      </c>
      <c r="G4903">
        <v>722161662</v>
      </c>
      <c r="H4903" t="s">
        <v>1311</v>
      </c>
      <c r="I4903">
        <v>2539</v>
      </c>
      <c r="J4903">
        <v>421.89</v>
      </c>
      <c r="K4903">
        <v>364.69</v>
      </c>
      <c r="L4903">
        <v>1071178.71</v>
      </c>
      <c r="M4903">
        <v>925947.91</v>
      </c>
      <c r="N4903">
        <v>145230.79999999999</v>
      </c>
    </row>
    <row r="4904" spans="1:14" x14ac:dyDescent="0.25">
      <c r="A4904" t="s">
        <v>25</v>
      </c>
      <c r="B4904" t="s">
        <v>752</v>
      </c>
      <c r="C4904" t="s">
        <v>31</v>
      </c>
      <c r="D4904" t="s">
        <v>17</v>
      </c>
      <c r="E4904" t="s">
        <v>32</v>
      </c>
      <c r="F4904" t="s">
        <v>1612</v>
      </c>
      <c r="G4904">
        <v>273940503</v>
      </c>
      <c r="H4904" t="s">
        <v>736</v>
      </c>
      <c r="I4904">
        <v>3937</v>
      </c>
      <c r="J4904">
        <v>205.7</v>
      </c>
      <c r="K4904">
        <v>117.11</v>
      </c>
      <c r="L4904">
        <v>809840.9</v>
      </c>
      <c r="M4904">
        <v>461062.07</v>
      </c>
      <c r="N4904">
        <v>348778.83</v>
      </c>
    </row>
    <row r="4905" spans="1:14" x14ac:dyDescent="0.25">
      <c r="A4905" t="s">
        <v>25</v>
      </c>
      <c r="B4905" t="s">
        <v>462</v>
      </c>
      <c r="C4905" t="s">
        <v>88</v>
      </c>
      <c r="D4905" t="s">
        <v>22</v>
      </c>
      <c r="E4905" t="s">
        <v>23</v>
      </c>
      <c r="F4905" t="s">
        <v>1194</v>
      </c>
      <c r="G4905">
        <v>656244552</v>
      </c>
      <c r="H4905" t="s">
        <v>1273</v>
      </c>
      <c r="I4905">
        <v>6201</v>
      </c>
      <c r="J4905">
        <v>9.33</v>
      </c>
      <c r="K4905">
        <v>6.92</v>
      </c>
      <c r="L4905">
        <v>57855.33</v>
      </c>
      <c r="M4905">
        <v>42910.92</v>
      </c>
      <c r="N4905">
        <v>14944.41</v>
      </c>
    </row>
    <row r="4906" spans="1:14" x14ac:dyDescent="0.25">
      <c r="A4906" t="s">
        <v>51</v>
      </c>
      <c r="B4906" t="s">
        <v>210</v>
      </c>
      <c r="C4906" t="s">
        <v>40</v>
      </c>
      <c r="D4906" t="s">
        <v>22</v>
      </c>
      <c r="E4906" t="s">
        <v>18</v>
      </c>
      <c r="F4906" s="1">
        <v>40973</v>
      </c>
      <c r="G4906">
        <v>726935136</v>
      </c>
      <c r="H4906" t="s">
        <v>1855</v>
      </c>
      <c r="I4906">
        <v>5116</v>
      </c>
      <c r="J4906">
        <v>81.73</v>
      </c>
      <c r="K4906">
        <v>56.67</v>
      </c>
      <c r="L4906">
        <v>418130.68</v>
      </c>
      <c r="M4906">
        <v>289923.71999999997</v>
      </c>
      <c r="N4906">
        <v>128206.96</v>
      </c>
    </row>
    <row r="4907" spans="1:14" x14ac:dyDescent="0.25">
      <c r="A4907" t="s">
        <v>14</v>
      </c>
      <c r="B4907" t="s">
        <v>357</v>
      </c>
      <c r="C4907" t="s">
        <v>27</v>
      </c>
      <c r="D4907" t="s">
        <v>17</v>
      </c>
      <c r="E4907" t="s">
        <v>32</v>
      </c>
      <c r="F4907" t="s">
        <v>766</v>
      </c>
      <c r="G4907">
        <v>314186084</v>
      </c>
      <c r="H4907" t="s">
        <v>1460</v>
      </c>
      <c r="I4907">
        <v>3499</v>
      </c>
      <c r="J4907">
        <v>47.45</v>
      </c>
      <c r="K4907">
        <v>31.79</v>
      </c>
      <c r="L4907">
        <v>166027.54999999999</v>
      </c>
      <c r="M4907">
        <v>111233.21</v>
      </c>
      <c r="N4907">
        <v>54794.34</v>
      </c>
    </row>
    <row r="4908" spans="1:14" x14ac:dyDescent="0.25">
      <c r="A4908" t="s">
        <v>25</v>
      </c>
      <c r="B4908" t="s">
        <v>458</v>
      </c>
      <c r="C4908" t="s">
        <v>131</v>
      </c>
      <c r="D4908" t="s">
        <v>17</v>
      </c>
      <c r="E4908" t="s">
        <v>23</v>
      </c>
      <c r="F4908" t="s">
        <v>870</v>
      </c>
      <c r="G4908">
        <v>666483724</v>
      </c>
      <c r="H4908" t="s">
        <v>1362</v>
      </c>
      <c r="I4908">
        <v>6199</v>
      </c>
      <c r="J4908">
        <v>668.27</v>
      </c>
      <c r="K4908">
        <v>502.54</v>
      </c>
      <c r="L4908">
        <v>4142605.73</v>
      </c>
      <c r="M4908">
        <v>3115245.46</v>
      </c>
      <c r="N4908">
        <v>1027360.27</v>
      </c>
    </row>
    <row r="4909" spans="1:14" x14ac:dyDescent="0.25">
      <c r="A4909" t="s">
        <v>38</v>
      </c>
      <c r="B4909" t="s">
        <v>92</v>
      </c>
      <c r="C4909" t="s">
        <v>69</v>
      </c>
      <c r="D4909" t="s">
        <v>17</v>
      </c>
      <c r="E4909" t="s">
        <v>23</v>
      </c>
      <c r="F4909" t="s">
        <v>1056</v>
      </c>
      <c r="G4909">
        <v>402626883</v>
      </c>
      <c r="H4909" s="1">
        <v>42592</v>
      </c>
      <c r="I4909">
        <v>5097</v>
      </c>
      <c r="J4909">
        <v>421.89</v>
      </c>
      <c r="K4909">
        <v>364.69</v>
      </c>
      <c r="L4909">
        <v>2150373.33</v>
      </c>
      <c r="M4909">
        <v>1858824.93</v>
      </c>
      <c r="N4909">
        <v>291548.40000000002</v>
      </c>
    </row>
    <row r="4910" spans="1:14" x14ac:dyDescent="0.25">
      <c r="A4910" t="s">
        <v>29</v>
      </c>
      <c r="B4910" t="s">
        <v>315</v>
      </c>
      <c r="C4910" t="s">
        <v>44</v>
      </c>
      <c r="D4910" t="s">
        <v>17</v>
      </c>
      <c r="E4910" t="s">
        <v>18</v>
      </c>
      <c r="F4910" t="s">
        <v>839</v>
      </c>
      <c r="G4910">
        <v>461726891</v>
      </c>
      <c r="H4910" t="s">
        <v>1113</v>
      </c>
      <c r="I4910">
        <v>4103</v>
      </c>
      <c r="J4910">
        <v>109.28</v>
      </c>
      <c r="K4910">
        <v>35.840000000000003</v>
      </c>
      <c r="L4910">
        <v>448375.84</v>
      </c>
      <c r="M4910">
        <v>147051.51999999999</v>
      </c>
      <c r="N4910">
        <v>301324.32</v>
      </c>
    </row>
    <row r="4911" spans="1:14" x14ac:dyDescent="0.25">
      <c r="A4911" t="s">
        <v>29</v>
      </c>
      <c r="B4911" t="s">
        <v>35</v>
      </c>
      <c r="C4911" t="s">
        <v>21</v>
      </c>
      <c r="D4911" t="s">
        <v>22</v>
      </c>
      <c r="E4911" t="s">
        <v>32</v>
      </c>
      <c r="F4911" s="1">
        <v>41005</v>
      </c>
      <c r="G4911">
        <v>953207576</v>
      </c>
      <c r="H4911" t="s">
        <v>230</v>
      </c>
      <c r="I4911">
        <v>4159</v>
      </c>
      <c r="J4911">
        <v>152.58000000000001</v>
      </c>
      <c r="K4911">
        <v>97.44</v>
      </c>
      <c r="L4911">
        <v>634580.22</v>
      </c>
      <c r="M4911">
        <v>405252.96</v>
      </c>
      <c r="N4911">
        <v>229327.26</v>
      </c>
    </row>
    <row r="4912" spans="1:14" x14ac:dyDescent="0.25">
      <c r="A4912" t="s">
        <v>51</v>
      </c>
      <c r="B4912" t="s">
        <v>360</v>
      </c>
      <c r="C4912" t="s">
        <v>16</v>
      </c>
      <c r="D4912" t="s">
        <v>17</v>
      </c>
      <c r="E4912" t="s">
        <v>32</v>
      </c>
      <c r="F4912" s="1">
        <v>41730</v>
      </c>
      <c r="G4912">
        <v>706805264</v>
      </c>
      <c r="H4912" s="1">
        <v>41821</v>
      </c>
      <c r="I4912">
        <v>8239</v>
      </c>
      <c r="J4912">
        <v>255.28</v>
      </c>
      <c r="K4912">
        <v>159.41999999999999</v>
      </c>
      <c r="L4912">
        <v>2103251.92</v>
      </c>
      <c r="M4912">
        <v>1313461.3799999999</v>
      </c>
      <c r="N4912">
        <v>789790.54</v>
      </c>
    </row>
    <row r="4913" spans="1:14" x14ac:dyDescent="0.25">
      <c r="A4913" t="s">
        <v>25</v>
      </c>
      <c r="B4913" t="s">
        <v>242</v>
      </c>
      <c r="C4913" t="s">
        <v>69</v>
      </c>
      <c r="D4913" t="s">
        <v>17</v>
      </c>
      <c r="E4913" t="s">
        <v>45</v>
      </c>
      <c r="F4913" t="s">
        <v>1696</v>
      </c>
      <c r="G4913">
        <v>422568786</v>
      </c>
      <c r="H4913" t="s">
        <v>924</v>
      </c>
      <c r="I4913">
        <v>6349</v>
      </c>
      <c r="J4913">
        <v>421.89</v>
      </c>
      <c r="K4913">
        <v>364.69</v>
      </c>
      <c r="L4913">
        <v>2678579.61</v>
      </c>
      <c r="M4913">
        <v>2315416.81</v>
      </c>
      <c r="N4913">
        <v>363162.8</v>
      </c>
    </row>
    <row r="4914" spans="1:14" x14ac:dyDescent="0.25">
      <c r="A4914" t="s">
        <v>51</v>
      </c>
      <c r="B4914" t="s">
        <v>276</v>
      </c>
      <c r="C4914" t="s">
        <v>113</v>
      </c>
      <c r="D4914" t="s">
        <v>22</v>
      </c>
      <c r="E4914" t="s">
        <v>32</v>
      </c>
      <c r="F4914" t="s">
        <v>1856</v>
      </c>
      <c r="G4914">
        <v>420859467</v>
      </c>
      <c r="H4914" t="s">
        <v>1856</v>
      </c>
      <c r="I4914">
        <v>524</v>
      </c>
      <c r="J4914">
        <v>154.06</v>
      </c>
      <c r="K4914">
        <v>90.93</v>
      </c>
      <c r="L4914">
        <v>80727.44</v>
      </c>
      <c r="M4914">
        <v>47647.32</v>
      </c>
      <c r="N4914">
        <v>33080.120000000003</v>
      </c>
    </row>
    <row r="4915" spans="1:14" x14ac:dyDescent="0.25">
      <c r="A4915" t="s">
        <v>14</v>
      </c>
      <c r="B4915" t="s">
        <v>98</v>
      </c>
      <c r="C4915" t="s">
        <v>40</v>
      </c>
      <c r="D4915" t="s">
        <v>22</v>
      </c>
      <c r="E4915" t="s">
        <v>23</v>
      </c>
      <c r="F4915" s="1">
        <v>42949</v>
      </c>
      <c r="G4915">
        <v>192351138</v>
      </c>
      <c r="H4915" t="s">
        <v>852</v>
      </c>
      <c r="I4915">
        <v>9831</v>
      </c>
      <c r="J4915">
        <v>81.73</v>
      </c>
      <c r="K4915">
        <v>56.67</v>
      </c>
      <c r="L4915">
        <v>803487.63</v>
      </c>
      <c r="M4915">
        <v>557122.77</v>
      </c>
      <c r="N4915">
        <v>246364.86</v>
      </c>
    </row>
    <row r="4916" spans="1:14" x14ac:dyDescent="0.25">
      <c r="A4916" t="s">
        <v>51</v>
      </c>
      <c r="B4916" t="s">
        <v>182</v>
      </c>
      <c r="C4916" t="s">
        <v>113</v>
      </c>
      <c r="D4916" t="s">
        <v>17</v>
      </c>
      <c r="E4916" t="s">
        <v>45</v>
      </c>
      <c r="F4916" t="s">
        <v>927</v>
      </c>
      <c r="G4916">
        <v>648030126</v>
      </c>
      <c r="H4916" t="s">
        <v>1611</v>
      </c>
      <c r="I4916">
        <v>5370</v>
      </c>
      <c r="J4916">
        <v>154.06</v>
      </c>
      <c r="K4916">
        <v>90.93</v>
      </c>
      <c r="L4916">
        <v>827302.2</v>
      </c>
      <c r="M4916">
        <v>488294.1</v>
      </c>
      <c r="N4916">
        <v>339008.1</v>
      </c>
    </row>
    <row r="4917" spans="1:14" x14ac:dyDescent="0.25">
      <c r="A4917" t="s">
        <v>25</v>
      </c>
      <c r="B4917" t="s">
        <v>303</v>
      </c>
      <c r="C4917" t="s">
        <v>113</v>
      </c>
      <c r="D4917" t="s">
        <v>17</v>
      </c>
      <c r="E4917" t="s">
        <v>32</v>
      </c>
      <c r="F4917" t="s">
        <v>1719</v>
      </c>
      <c r="G4917">
        <v>969195258</v>
      </c>
      <c r="H4917" t="s">
        <v>1127</v>
      </c>
      <c r="I4917">
        <v>5269</v>
      </c>
      <c r="J4917">
        <v>154.06</v>
      </c>
      <c r="K4917">
        <v>90.93</v>
      </c>
      <c r="L4917">
        <v>811742.14</v>
      </c>
      <c r="M4917">
        <v>479110.17</v>
      </c>
      <c r="N4917">
        <v>332631.96999999997</v>
      </c>
    </row>
    <row r="4918" spans="1:14" x14ac:dyDescent="0.25">
      <c r="A4918" t="s">
        <v>25</v>
      </c>
      <c r="B4918" t="s">
        <v>172</v>
      </c>
      <c r="C4918" t="s">
        <v>55</v>
      </c>
      <c r="D4918" t="s">
        <v>17</v>
      </c>
      <c r="E4918" t="s">
        <v>23</v>
      </c>
      <c r="F4918" t="s">
        <v>1259</v>
      </c>
      <c r="G4918">
        <v>857457864</v>
      </c>
      <c r="H4918" t="s">
        <v>1252</v>
      </c>
      <c r="I4918">
        <v>9691</v>
      </c>
      <c r="J4918">
        <v>651.21</v>
      </c>
      <c r="K4918">
        <v>524.96</v>
      </c>
      <c r="L4918">
        <v>6310876.1100000003</v>
      </c>
      <c r="M4918">
        <v>5087387.3600000003</v>
      </c>
      <c r="N4918">
        <v>1223488.75</v>
      </c>
    </row>
    <row r="4919" spans="1:14" x14ac:dyDescent="0.25">
      <c r="A4919" t="s">
        <v>77</v>
      </c>
      <c r="B4919" t="s">
        <v>794</v>
      </c>
      <c r="C4919" t="s">
        <v>55</v>
      </c>
      <c r="D4919" t="s">
        <v>17</v>
      </c>
      <c r="E4919" t="s">
        <v>18</v>
      </c>
      <c r="F4919" t="s">
        <v>1397</v>
      </c>
      <c r="G4919">
        <v>984741771</v>
      </c>
      <c r="H4919" t="s">
        <v>549</v>
      </c>
      <c r="I4919">
        <v>5828</v>
      </c>
      <c r="J4919">
        <v>651.21</v>
      </c>
      <c r="K4919">
        <v>524.96</v>
      </c>
      <c r="L4919">
        <v>3795251.88</v>
      </c>
      <c r="M4919">
        <v>3059466.88</v>
      </c>
      <c r="N4919">
        <v>735785</v>
      </c>
    </row>
    <row r="4920" spans="1:14" x14ac:dyDescent="0.25">
      <c r="A4920" t="s">
        <v>42</v>
      </c>
      <c r="B4920" t="s">
        <v>361</v>
      </c>
      <c r="C4920" t="s">
        <v>21</v>
      </c>
      <c r="D4920" t="s">
        <v>17</v>
      </c>
      <c r="E4920" t="s">
        <v>45</v>
      </c>
      <c r="F4920" t="s">
        <v>365</v>
      </c>
      <c r="G4920">
        <v>743283307</v>
      </c>
      <c r="H4920" s="1">
        <v>42095</v>
      </c>
      <c r="I4920">
        <v>2903</v>
      </c>
      <c r="J4920">
        <v>152.58000000000001</v>
      </c>
      <c r="K4920">
        <v>97.44</v>
      </c>
      <c r="L4920">
        <v>442939.74</v>
      </c>
      <c r="M4920">
        <v>282868.32</v>
      </c>
      <c r="N4920">
        <v>160071.42000000001</v>
      </c>
    </row>
    <row r="4921" spans="1:14" x14ac:dyDescent="0.25">
      <c r="A4921" t="s">
        <v>25</v>
      </c>
      <c r="B4921" t="s">
        <v>343</v>
      </c>
      <c r="C4921" t="s">
        <v>113</v>
      </c>
      <c r="D4921" t="s">
        <v>17</v>
      </c>
      <c r="E4921" t="s">
        <v>18</v>
      </c>
      <c r="F4921" s="1">
        <v>41035</v>
      </c>
      <c r="G4921">
        <v>495631301</v>
      </c>
      <c r="H4921" t="s">
        <v>1687</v>
      </c>
      <c r="I4921">
        <v>7171</v>
      </c>
      <c r="J4921">
        <v>154.06</v>
      </c>
      <c r="K4921">
        <v>90.93</v>
      </c>
      <c r="L4921">
        <v>1104764.26</v>
      </c>
      <c r="M4921">
        <v>652059.03</v>
      </c>
      <c r="N4921">
        <v>452705.23</v>
      </c>
    </row>
    <row r="4922" spans="1:14" x14ac:dyDescent="0.25">
      <c r="A4922" t="s">
        <v>25</v>
      </c>
      <c r="B4922" t="s">
        <v>569</v>
      </c>
      <c r="C4922" t="s">
        <v>55</v>
      </c>
      <c r="D4922" t="s">
        <v>22</v>
      </c>
      <c r="E4922" t="s">
        <v>45</v>
      </c>
      <c r="F4922" t="s">
        <v>1078</v>
      </c>
      <c r="G4922">
        <v>224647080</v>
      </c>
      <c r="H4922" t="s">
        <v>1142</v>
      </c>
      <c r="I4922">
        <v>6918</v>
      </c>
      <c r="J4922">
        <v>651.21</v>
      </c>
      <c r="K4922">
        <v>524.96</v>
      </c>
      <c r="L4922">
        <v>4505070.78</v>
      </c>
      <c r="M4922">
        <v>3631673.28</v>
      </c>
      <c r="N4922">
        <v>873397.5</v>
      </c>
    </row>
    <row r="4923" spans="1:14" x14ac:dyDescent="0.25">
      <c r="A4923" t="s">
        <v>25</v>
      </c>
      <c r="B4923" t="s">
        <v>284</v>
      </c>
      <c r="C4923" t="s">
        <v>55</v>
      </c>
      <c r="D4923" t="s">
        <v>22</v>
      </c>
      <c r="E4923" t="s">
        <v>45</v>
      </c>
      <c r="F4923" s="1">
        <v>41706</v>
      </c>
      <c r="G4923">
        <v>883504474</v>
      </c>
      <c r="H4923" s="1">
        <v>41860</v>
      </c>
      <c r="I4923">
        <v>7462</v>
      </c>
      <c r="J4923">
        <v>651.21</v>
      </c>
      <c r="K4923">
        <v>524.96</v>
      </c>
      <c r="L4923">
        <v>4859329.0199999996</v>
      </c>
      <c r="M4923">
        <v>3917251.52</v>
      </c>
      <c r="N4923">
        <v>942077.5</v>
      </c>
    </row>
    <row r="4924" spans="1:14" x14ac:dyDescent="0.25">
      <c r="A4924" t="s">
        <v>51</v>
      </c>
      <c r="B4924" t="s">
        <v>487</v>
      </c>
      <c r="C4924" t="s">
        <v>44</v>
      </c>
      <c r="D4924" t="s">
        <v>17</v>
      </c>
      <c r="E4924" t="s">
        <v>23</v>
      </c>
      <c r="F4924" s="1">
        <v>41894</v>
      </c>
      <c r="G4924">
        <v>345689809</v>
      </c>
      <c r="H4924" t="s">
        <v>1175</v>
      </c>
      <c r="I4924">
        <v>6151</v>
      </c>
      <c r="J4924">
        <v>109.28</v>
      </c>
      <c r="K4924">
        <v>35.840000000000003</v>
      </c>
      <c r="L4924">
        <v>672181.28</v>
      </c>
      <c r="M4924">
        <v>220451.84</v>
      </c>
      <c r="N4924">
        <v>451729.44</v>
      </c>
    </row>
    <row r="4925" spans="1:14" x14ac:dyDescent="0.25">
      <c r="A4925" t="s">
        <v>42</v>
      </c>
      <c r="B4925" t="s">
        <v>43</v>
      </c>
      <c r="C4925" t="s">
        <v>44</v>
      </c>
      <c r="D4925" t="s">
        <v>17</v>
      </c>
      <c r="E4925" t="s">
        <v>18</v>
      </c>
      <c r="F4925" t="s">
        <v>1784</v>
      </c>
      <c r="G4925">
        <v>155001914</v>
      </c>
      <c r="H4925" t="s">
        <v>1739</v>
      </c>
      <c r="I4925">
        <v>7366</v>
      </c>
      <c r="J4925">
        <v>109.28</v>
      </c>
      <c r="K4925">
        <v>35.840000000000003</v>
      </c>
      <c r="L4925">
        <v>804956.48</v>
      </c>
      <c r="M4925">
        <v>263997.44</v>
      </c>
      <c r="N4925">
        <v>540959.04</v>
      </c>
    </row>
    <row r="4926" spans="1:14" x14ac:dyDescent="0.25">
      <c r="A4926" t="s">
        <v>25</v>
      </c>
      <c r="B4926" t="s">
        <v>72</v>
      </c>
      <c r="C4926" t="s">
        <v>55</v>
      </c>
      <c r="D4926" t="s">
        <v>22</v>
      </c>
      <c r="E4926" t="s">
        <v>23</v>
      </c>
      <c r="F4926" s="1">
        <v>42067</v>
      </c>
      <c r="G4926">
        <v>575552117</v>
      </c>
      <c r="H4926" t="s">
        <v>245</v>
      </c>
      <c r="I4926">
        <v>7516</v>
      </c>
      <c r="J4926">
        <v>651.21</v>
      </c>
      <c r="K4926">
        <v>524.96</v>
      </c>
      <c r="L4926">
        <v>4894494.3600000003</v>
      </c>
      <c r="M4926">
        <v>3945599.36</v>
      </c>
      <c r="N4926">
        <v>948895</v>
      </c>
    </row>
    <row r="4927" spans="1:14" x14ac:dyDescent="0.25">
      <c r="A4927" t="s">
        <v>25</v>
      </c>
      <c r="B4927" t="s">
        <v>529</v>
      </c>
      <c r="C4927" t="s">
        <v>16</v>
      </c>
      <c r="D4927" t="s">
        <v>22</v>
      </c>
      <c r="E4927" t="s">
        <v>45</v>
      </c>
      <c r="F4927" t="s">
        <v>1327</v>
      </c>
      <c r="G4927">
        <v>141764247</v>
      </c>
      <c r="H4927" t="s">
        <v>635</v>
      </c>
      <c r="I4927">
        <v>46</v>
      </c>
      <c r="J4927">
        <v>255.28</v>
      </c>
      <c r="K4927">
        <v>159.41999999999999</v>
      </c>
      <c r="L4927">
        <v>11742.88</v>
      </c>
      <c r="M4927">
        <v>7333.32</v>
      </c>
      <c r="N4927">
        <v>4409.5600000000004</v>
      </c>
    </row>
    <row r="4928" spans="1:14" x14ac:dyDescent="0.25">
      <c r="A4928" t="s">
        <v>25</v>
      </c>
      <c r="B4928" t="s">
        <v>469</v>
      </c>
      <c r="C4928" t="s">
        <v>113</v>
      </c>
      <c r="D4928" t="s">
        <v>22</v>
      </c>
      <c r="E4928" t="s">
        <v>18</v>
      </c>
      <c r="F4928" s="1">
        <v>42678</v>
      </c>
      <c r="G4928">
        <v>608374631</v>
      </c>
      <c r="H4928" s="1">
        <v>42708</v>
      </c>
      <c r="I4928">
        <v>428</v>
      </c>
      <c r="J4928">
        <v>154.06</v>
      </c>
      <c r="K4928">
        <v>90.93</v>
      </c>
      <c r="L4928">
        <v>65937.679999999993</v>
      </c>
      <c r="M4928">
        <v>38918.04</v>
      </c>
      <c r="N4928">
        <v>27019.64</v>
      </c>
    </row>
    <row r="4929" spans="1:14" x14ac:dyDescent="0.25">
      <c r="A4929" t="s">
        <v>25</v>
      </c>
      <c r="B4929" t="s">
        <v>211</v>
      </c>
      <c r="C4929" t="s">
        <v>131</v>
      </c>
      <c r="D4929" t="s">
        <v>17</v>
      </c>
      <c r="E4929" t="s">
        <v>32</v>
      </c>
      <c r="F4929" t="s">
        <v>99</v>
      </c>
      <c r="G4929">
        <v>200432097</v>
      </c>
      <c r="H4929" t="s">
        <v>1810</v>
      </c>
      <c r="I4929">
        <v>1167</v>
      </c>
      <c r="J4929">
        <v>668.27</v>
      </c>
      <c r="K4929">
        <v>502.54</v>
      </c>
      <c r="L4929">
        <v>779871.09</v>
      </c>
      <c r="M4929">
        <v>586464.18000000005</v>
      </c>
      <c r="N4929">
        <v>193406.91</v>
      </c>
    </row>
    <row r="4930" spans="1:14" x14ac:dyDescent="0.25">
      <c r="A4930" t="s">
        <v>38</v>
      </c>
      <c r="B4930" t="s">
        <v>105</v>
      </c>
      <c r="C4930" t="s">
        <v>131</v>
      </c>
      <c r="D4930" t="s">
        <v>17</v>
      </c>
      <c r="E4930" t="s">
        <v>32</v>
      </c>
      <c r="F4930" s="1">
        <v>41550</v>
      </c>
      <c r="G4930">
        <v>363297975</v>
      </c>
      <c r="H4930" t="s">
        <v>885</v>
      </c>
      <c r="I4930">
        <v>6799</v>
      </c>
      <c r="J4930">
        <v>668.27</v>
      </c>
      <c r="K4930">
        <v>502.54</v>
      </c>
      <c r="L4930">
        <v>4543567.7300000004</v>
      </c>
      <c r="M4930">
        <v>3416769.46</v>
      </c>
      <c r="N4930">
        <v>1126798.27</v>
      </c>
    </row>
    <row r="4931" spans="1:14" x14ac:dyDescent="0.25">
      <c r="A4931" t="s">
        <v>42</v>
      </c>
      <c r="B4931" t="s">
        <v>107</v>
      </c>
      <c r="C4931" t="s">
        <v>59</v>
      </c>
      <c r="D4931" t="s">
        <v>22</v>
      </c>
      <c r="E4931" t="s">
        <v>32</v>
      </c>
      <c r="F4931" t="s">
        <v>1262</v>
      </c>
      <c r="G4931">
        <v>812646090</v>
      </c>
      <c r="H4931" t="s">
        <v>1027</v>
      </c>
      <c r="I4931">
        <v>8892</v>
      </c>
      <c r="J4931">
        <v>437.2</v>
      </c>
      <c r="K4931">
        <v>263.33</v>
      </c>
      <c r="L4931">
        <v>3887582.4</v>
      </c>
      <c r="M4931">
        <v>2341530.36</v>
      </c>
      <c r="N4931">
        <v>1546052.04</v>
      </c>
    </row>
    <row r="4932" spans="1:14" x14ac:dyDescent="0.25">
      <c r="A4932" t="s">
        <v>25</v>
      </c>
      <c r="B4932" t="s">
        <v>752</v>
      </c>
      <c r="C4932" t="s">
        <v>21</v>
      </c>
      <c r="D4932" t="s">
        <v>22</v>
      </c>
      <c r="E4932" t="s">
        <v>18</v>
      </c>
      <c r="F4932" t="s">
        <v>237</v>
      </c>
      <c r="G4932">
        <v>884462773</v>
      </c>
      <c r="H4932" s="1">
        <v>40308</v>
      </c>
      <c r="I4932">
        <v>1044</v>
      </c>
      <c r="J4932">
        <v>152.58000000000001</v>
      </c>
      <c r="K4932">
        <v>97.44</v>
      </c>
      <c r="L4932">
        <v>159293.51999999999</v>
      </c>
      <c r="M4932">
        <v>101727.36</v>
      </c>
      <c r="N4932">
        <v>57566.16</v>
      </c>
    </row>
    <row r="4933" spans="1:14" x14ac:dyDescent="0.25">
      <c r="A4933" t="s">
        <v>25</v>
      </c>
      <c r="B4933" t="s">
        <v>26</v>
      </c>
      <c r="C4933" t="s">
        <v>55</v>
      </c>
      <c r="D4933" t="s">
        <v>22</v>
      </c>
      <c r="E4933" t="s">
        <v>18</v>
      </c>
      <c r="F4933" t="s">
        <v>589</v>
      </c>
      <c r="G4933">
        <v>885046851</v>
      </c>
      <c r="H4933" t="s">
        <v>1801</v>
      </c>
      <c r="I4933">
        <v>3886</v>
      </c>
      <c r="J4933">
        <v>651.21</v>
      </c>
      <c r="K4933">
        <v>524.96</v>
      </c>
      <c r="L4933">
        <v>2530602.06</v>
      </c>
      <c r="M4933">
        <v>2039994.56</v>
      </c>
      <c r="N4933">
        <v>490607.5</v>
      </c>
    </row>
    <row r="4934" spans="1:14" x14ac:dyDescent="0.25">
      <c r="A4934" t="s">
        <v>51</v>
      </c>
      <c r="B4934" t="s">
        <v>295</v>
      </c>
      <c r="C4934" t="s">
        <v>113</v>
      </c>
      <c r="D4934" t="s">
        <v>22</v>
      </c>
      <c r="E4934" t="s">
        <v>32</v>
      </c>
      <c r="F4934" t="s">
        <v>1857</v>
      </c>
      <c r="G4934">
        <v>741009652</v>
      </c>
      <c r="H4934" t="s">
        <v>1016</v>
      </c>
      <c r="I4934">
        <v>78</v>
      </c>
      <c r="J4934">
        <v>154.06</v>
      </c>
      <c r="K4934">
        <v>90.93</v>
      </c>
      <c r="L4934">
        <v>12016.68</v>
      </c>
      <c r="M4934">
        <v>7092.54</v>
      </c>
      <c r="N4934">
        <v>4924.1400000000003</v>
      </c>
    </row>
    <row r="4935" spans="1:14" x14ac:dyDescent="0.25">
      <c r="A4935" t="s">
        <v>14</v>
      </c>
      <c r="B4935" t="s">
        <v>98</v>
      </c>
      <c r="C4935" t="s">
        <v>88</v>
      </c>
      <c r="D4935" t="s">
        <v>17</v>
      </c>
      <c r="E4935" t="s">
        <v>18</v>
      </c>
      <c r="F4935" t="s">
        <v>1199</v>
      </c>
      <c r="G4935">
        <v>449275004</v>
      </c>
      <c r="H4935" t="s">
        <v>1157</v>
      </c>
      <c r="I4935">
        <v>9313</v>
      </c>
      <c r="J4935">
        <v>9.33</v>
      </c>
      <c r="K4935">
        <v>6.92</v>
      </c>
      <c r="L4935">
        <v>86890.29</v>
      </c>
      <c r="M4935">
        <v>64445.96</v>
      </c>
      <c r="N4935">
        <v>22444.33</v>
      </c>
    </row>
    <row r="4936" spans="1:14" x14ac:dyDescent="0.25">
      <c r="A4936" t="s">
        <v>25</v>
      </c>
      <c r="B4936" t="s">
        <v>26</v>
      </c>
      <c r="C4936" t="s">
        <v>113</v>
      </c>
      <c r="D4936" t="s">
        <v>17</v>
      </c>
      <c r="E4936" t="s">
        <v>18</v>
      </c>
      <c r="F4936" t="s">
        <v>990</v>
      </c>
      <c r="G4936">
        <v>527079236</v>
      </c>
      <c r="H4936" t="s">
        <v>1351</v>
      </c>
      <c r="I4936">
        <v>3314</v>
      </c>
      <c r="J4936">
        <v>154.06</v>
      </c>
      <c r="K4936">
        <v>90.93</v>
      </c>
      <c r="L4936">
        <v>510554.84</v>
      </c>
      <c r="M4936">
        <v>301342.02</v>
      </c>
      <c r="N4936">
        <v>209212.82</v>
      </c>
    </row>
    <row r="4937" spans="1:14" x14ac:dyDescent="0.25">
      <c r="A4937" t="s">
        <v>42</v>
      </c>
      <c r="B4937" t="s">
        <v>565</v>
      </c>
      <c r="C4937" t="s">
        <v>59</v>
      </c>
      <c r="D4937" t="s">
        <v>22</v>
      </c>
      <c r="E4937" t="s">
        <v>32</v>
      </c>
      <c r="F4937" s="1">
        <v>42980</v>
      </c>
      <c r="G4937">
        <v>661971175</v>
      </c>
      <c r="H4937" t="s">
        <v>730</v>
      </c>
      <c r="I4937">
        <v>836</v>
      </c>
      <c r="J4937">
        <v>437.2</v>
      </c>
      <c r="K4937">
        <v>263.33</v>
      </c>
      <c r="L4937">
        <v>365499.2</v>
      </c>
      <c r="M4937">
        <v>220143.88</v>
      </c>
      <c r="N4937">
        <v>145355.32</v>
      </c>
    </row>
    <row r="4938" spans="1:14" x14ac:dyDescent="0.25">
      <c r="A4938" t="s">
        <v>25</v>
      </c>
      <c r="B4938" t="s">
        <v>303</v>
      </c>
      <c r="C4938" t="s">
        <v>44</v>
      </c>
      <c r="D4938" t="s">
        <v>17</v>
      </c>
      <c r="E4938" t="s">
        <v>23</v>
      </c>
      <c r="F4938" s="1">
        <v>41163</v>
      </c>
      <c r="G4938">
        <v>161812150</v>
      </c>
      <c r="H4938" s="1">
        <v>41254</v>
      </c>
      <c r="I4938">
        <v>2666</v>
      </c>
      <c r="J4938">
        <v>109.28</v>
      </c>
      <c r="K4938">
        <v>35.840000000000003</v>
      </c>
      <c r="L4938">
        <v>291340.48</v>
      </c>
      <c r="M4938">
        <v>95549.440000000002</v>
      </c>
      <c r="N4938">
        <v>195791.04</v>
      </c>
    </row>
    <row r="4939" spans="1:14" x14ac:dyDescent="0.25">
      <c r="A4939" t="s">
        <v>51</v>
      </c>
      <c r="B4939" t="s">
        <v>258</v>
      </c>
      <c r="C4939" t="s">
        <v>55</v>
      </c>
      <c r="D4939" t="s">
        <v>17</v>
      </c>
      <c r="E4939" t="s">
        <v>32</v>
      </c>
      <c r="F4939" s="1">
        <v>40516</v>
      </c>
      <c r="G4939">
        <v>204775989</v>
      </c>
      <c r="H4939" t="s">
        <v>1266</v>
      </c>
      <c r="I4939">
        <v>6620</v>
      </c>
      <c r="J4939">
        <v>651.21</v>
      </c>
      <c r="K4939">
        <v>524.96</v>
      </c>
      <c r="L4939">
        <v>4311010.2</v>
      </c>
      <c r="M4939">
        <v>3475235.2</v>
      </c>
      <c r="N4939">
        <v>835775</v>
      </c>
    </row>
    <row r="4940" spans="1:14" x14ac:dyDescent="0.25">
      <c r="A4940" t="s">
        <v>25</v>
      </c>
      <c r="B4940" t="s">
        <v>343</v>
      </c>
      <c r="C4940" t="s">
        <v>59</v>
      </c>
      <c r="D4940" t="s">
        <v>22</v>
      </c>
      <c r="E4940" t="s">
        <v>45</v>
      </c>
      <c r="F4940" s="1">
        <v>41553</v>
      </c>
      <c r="G4940">
        <v>689349019</v>
      </c>
      <c r="H4940" t="s">
        <v>384</v>
      </c>
      <c r="I4940">
        <v>2548</v>
      </c>
      <c r="J4940">
        <v>437.2</v>
      </c>
      <c r="K4940">
        <v>263.33</v>
      </c>
      <c r="L4940">
        <v>1113985.6000000001</v>
      </c>
      <c r="M4940">
        <v>670964.84</v>
      </c>
      <c r="N4940">
        <v>443020.76</v>
      </c>
    </row>
    <row r="4941" spans="1:14" x14ac:dyDescent="0.25">
      <c r="A4941" t="s">
        <v>51</v>
      </c>
      <c r="B4941" t="s">
        <v>398</v>
      </c>
      <c r="C4941" t="s">
        <v>59</v>
      </c>
      <c r="D4941" t="s">
        <v>22</v>
      </c>
      <c r="E4941" t="s">
        <v>45</v>
      </c>
      <c r="F4941" t="s">
        <v>489</v>
      </c>
      <c r="G4941">
        <v>684330070</v>
      </c>
      <c r="H4941" t="s">
        <v>312</v>
      </c>
      <c r="I4941">
        <v>7330</v>
      </c>
      <c r="J4941">
        <v>437.2</v>
      </c>
      <c r="K4941">
        <v>263.33</v>
      </c>
      <c r="L4941">
        <v>3204676</v>
      </c>
      <c r="M4941">
        <v>1930208.9</v>
      </c>
      <c r="N4941">
        <v>1274467.1000000001</v>
      </c>
    </row>
    <row r="4942" spans="1:14" x14ac:dyDescent="0.25">
      <c r="A4942" t="s">
        <v>38</v>
      </c>
      <c r="B4942" t="s">
        <v>1268</v>
      </c>
      <c r="C4942" t="s">
        <v>31</v>
      </c>
      <c r="D4942" t="s">
        <v>17</v>
      </c>
      <c r="E4942" t="s">
        <v>18</v>
      </c>
      <c r="F4942" s="1">
        <v>41308</v>
      </c>
      <c r="G4942">
        <v>678830468</v>
      </c>
      <c r="H4942" t="s">
        <v>675</v>
      </c>
      <c r="I4942">
        <v>9876</v>
      </c>
      <c r="J4942">
        <v>205.7</v>
      </c>
      <c r="K4942">
        <v>117.11</v>
      </c>
      <c r="L4942">
        <v>2031493.2</v>
      </c>
      <c r="M4942">
        <v>1156578.3600000001</v>
      </c>
      <c r="N4942">
        <v>874914.84</v>
      </c>
    </row>
    <row r="4943" spans="1:14" x14ac:dyDescent="0.25">
      <c r="A4943" t="s">
        <v>51</v>
      </c>
      <c r="B4943" t="s">
        <v>575</v>
      </c>
      <c r="C4943" t="s">
        <v>16</v>
      </c>
      <c r="D4943" t="s">
        <v>22</v>
      </c>
      <c r="E4943" t="s">
        <v>45</v>
      </c>
      <c r="F4943" s="1">
        <v>40613</v>
      </c>
      <c r="G4943">
        <v>332274043</v>
      </c>
      <c r="H4943" s="1">
        <v>40675</v>
      </c>
      <c r="I4943">
        <v>6128</v>
      </c>
      <c r="J4943">
        <v>255.28</v>
      </c>
      <c r="K4943">
        <v>159.41999999999999</v>
      </c>
      <c r="L4943">
        <v>1564355.84</v>
      </c>
      <c r="M4943">
        <v>976925.76</v>
      </c>
      <c r="N4943">
        <v>587430.07999999996</v>
      </c>
    </row>
    <row r="4944" spans="1:14" x14ac:dyDescent="0.25">
      <c r="A4944" t="s">
        <v>29</v>
      </c>
      <c r="B4944" t="s">
        <v>243</v>
      </c>
      <c r="C4944" t="s">
        <v>40</v>
      </c>
      <c r="D4944" t="s">
        <v>17</v>
      </c>
      <c r="E4944" t="s">
        <v>18</v>
      </c>
      <c r="F4944" t="s">
        <v>1232</v>
      </c>
      <c r="G4944">
        <v>724397122</v>
      </c>
      <c r="H4944" s="1">
        <v>41102</v>
      </c>
      <c r="I4944">
        <v>4061</v>
      </c>
      <c r="J4944">
        <v>81.73</v>
      </c>
      <c r="K4944">
        <v>56.67</v>
      </c>
      <c r="L4944">
        <v>331905.53000000003</v>
      </c>
      <c r="M4944">
        <v>230136.87</v>
      </c>
      <c r="N4944">
        <v>101768.66</v>
      </c>
    </row>
    <row r="4945" spans="1:14" x14ac:dyDescent="0.25">
      <c r="A4945" t="s">
        <v>29</v>
      </c>
      <c r="B4945" t="s">
        <v>121</v>
      </c>
      <c r="C4945" t="s">
        <v>40</v>
      </c>
      <c r="D4945" t="s">
        <v>17</v>
      </c>
      <c r="E4945" t="s">
        <v>45</v>
      </c>
      <c r="F4945" t="s">
        <v>1474</v>
      </c>
      <c r="G4945">
        <v>305248534</v>
      </c>
      <c r="H4945" t="s">
        <v>758</v>
      </c>
      <c r="I4945">
        <v>8679</v>
      </c>
      <c r="J4945">
        <v>81.73</v>
      </c>
      <c r="K4945">
        <v>56.67</v>
      </c>
      <c r="L4945">
        <v>709334.67</v>
      </c>
      <c r="M4945">
        <v>491838.93</v>
      </c>
      <c r="N4945">
        <v>217495.74</v>
      </c>
    </row>
    <row r="4946" spans="1:14" x14ac:dyDescent="0.25">
      <c r="A4946" t="s">
        <v>42</v>
      </c>
      <c r="B4946" t="s">
        <v>552</v>
      </c>
      <c r="C4946" t="s">
        <v>69</v>
      </c>
      <c r="D4946" t="s">
        <v>22</v>
      </c>
      <c r="E4946" t="s">
        <v>18</v>
      </c>
      <c r="F4946" t="s">
        <v>1686</v>
      </c>
      <c r="G4946">
        <v>745189607</v>
      </c>
      <c r="H4946" t="s">
        <v>1721</v>
      </c>
      <c r="I4946">
        <v>7019</v>
      </c>
      <c r="J4946">
        <v>421.89</v>
      </c>
      <c r="K4946">
        <v>364.69</v>
      </c>
      <c r="L4946">
        <v>2961245.91</v>
      </c>
      <c r="M4946">
        <v>2559759.11</v>
      </c>
      <c r="N4946">
        <v>401486.8</v>
      </c>
    </row>
    <row r="4947" spans="1:14" x14ac:dyDescent="0.25">
      <c r="A4947" t="s">
        <v>29</v>
      </c>
      <c r="B4947" t="s">
        <v>356</v>
      </c>
      <c r="C4947" t="s">
        <v>31</v>
      </c>
      <c r="D4947" t="s">
        <v>22</v>
      </c>
      <c r="E4947" t="s">
        <v>45</v>
      </c>
      <c r="F4947" s="1">
        <v>41217</v>
      </c>
      <c r="G4947">
        <v>184894168</v>
      </c>
      <c r="H4947" t="s">
        <v>1559</v>
      </c>
      <c r="I4947">
        <v>3148</v>
      </c>
      <c r="J4947">
        <v>205.7</v>
      </c>
      <c r="K4947">
        <v>117.11</v>
      </c>
      <c r="L4947">
        <v>647543.6</v>
      </c>
      <c r="M4947">
        <v>368662.28</v>
      </c>
      <c r="N4947">
        <v>278881.32</v>
      </c>
    </row>
    <row r="4948" spans="1:14" x14ac:dyDescent="0.25">
      <c r="A4948" t="s">
        <v>14</v>
      </c>
      <c r="B4948" t="s">
        <v>20</v>
      </c>
      <c r="C4948" t="s">
        <v>131</v>
      </c>
      <c r="D4948" t="s">
        <v>17</v>
      </c>
      <c r="E4948" t="s">
        <v>23</v>
      </c>
      <c r="F4948" s="1">
        <v>40331</v>
      </c>
      <c r="G4948">
        <v>885348546</v>
      </c>
      <c r="H4948" s="1">
        <v>40271</v>
      </c>
      <c r="I4948">
        <v>3164</v>
      </c>
      <c r="J4948">
        <v>668.27</v>
      </c>
      <c r="K4948">
        <v>502.54</v>
      </c>
      <c r="L4948">
        <v>2114406.2799999998</v>
      </c>
      <c r="M4948">
        <v>1590036.56</v>
      </c>
      <c r="N4948">
        <v>524369.72</v>
      </c>
    </row>
    <row r="4949" spans="1:14" x14ac:dyDescent="0.25">
      <c r="A4949" t="s">
        <v>25</v>
      </c>
      <c r="B4949" t="s">
        <v>469</v>
      </c>
      <c r="C4949" t="s">
        <v>131</v>
      </c>
      <c r="D4949" t="s">
        <v>22</v>
      </c>
      <c r="E4949" t="s">
        <v>18</v>
      </c>
      <c r="F4949" t="s">
        <v>1230</v>
      </c>
      <c r="G4949">
        <v>677851569</v>
      </c>
      <c r="H4949" s="1">
        <v>40577</v>
      </c>
      <c r="I4949">
        <v>198</v>
      </c>
      <c r="J4949">
        <v>668.27</v>
      </c>
      <c r="K4949">
        <v>502.54</v>
      </c>
      <c r="L4949">
        <v>132317.46</v>
      </c>
      <c r="M4949">
        <v>99502.92</v>
      </c>
      <c r="N4949">
        <v>32814.54</v>
      </c>
    </row>
    <row r="4950" spans="1:14" x14ac:dyDescent="0.25">
      <c r="A4950" t="s">
        <v>51</v>
      </c>
      <c r="B4950" t="s">
        <v>219</v>
      </c>
      <c r="C4950" t="s">
        <v>113</v>
      </c>
      <c r="D4950" t="s">
        <v>17</v>
      </c>
      <c r="E4950" t="s">
        <v>32</v>
      </c>
      <c r="F4950" s="1">
        <v>40850</v>
      </c>
      <c r="G4950">
        <v>614014565</v>
      </c>
      <c r="H4950" t="s">
        <v>345</v>
      </c>
      <c r="I4950">
        <v>9410</v>
      </c>
      <c r="J4950">
        <v>154.06</v>
      </c>
      <c r="K4950">
        <v>90.93</v>
      </c>
      <c r="L4950">
        <v>1449704.6</v>
      </c>
      <c r="M4950">
        <v>855651.3</v>
      </c>
      <c r="N4950">
        <v>594053.30000000005</v>
      </c>
    </row>
    <row r="4951" spans="1:14" x14ac:dyDescent="0.25">
      <c r="A4951" t="s">
        <v>29</v>
      </c>
      <c r="B4951" t="s">
        <v>619</v>
      </c>
      <c r="C4951" t="s">
        <v>16</v>
      </c>
      <c r="D4951" t="s">
        <v>17</v>
      </c>
      <c r="E4951" t="s">
        <v>23</v>
      </c>
      <c r="F4951" t="s">
        <v>1615</v>
      </c>
      <c r="G4951">
        <v>915761363</v>
      </c>
      <c r="H4951" s="1">
        <v>40603</v>
      </c>
      <c r="I4951">
        <v>2992</v>
      </c>
      <c r="J4951">
        <v>255.28</v>
      </c>
      <c r="K4951">
        <v>159.41999999999999</v>
      </c>
      <c r="L4951">
        <v>763797.76</v>
      </c>
      <c r="M4951">
        <v>476984.64</v>
      </c>
      <c r="N4951">
        <v>286813.12</v>
      </c>
    </row>
    <row r="4952" spans="1:14" x14ac:dyDescent="0.25">
      <c r="A4952" t="s">
        <v>51</v>
      </c>
      <c r="B4952" t="s">
        <v>115</v>
      </c>
      <c r="C4952" t="s">
        <v>44</v>
      </c>
      <c r="D4952" t="s">
        <v>17</v>
      </c>
      <c r="E4952" t="s">
        <v>45</v>
      </c>
      <c r="F4952" s="1">
        <v>40645</v>
      </c>
      <c r="G4952">
        <v>525328290</v>
      </c>
      <c r="H4952" s="1">
        <v>41214</v>
      </c>
      <c r="I4952">
        <v>5170</v>
      </c>
      <c r="J4952">
        <v>109.28</v>
      </c>
      <c r="K4952">
        <v>35.840000000000003</v>
      </c>
      <c r="L4952">
        <v>564977.6</v>
      </c>
      <c r="M4952">
        <v>185292.79999999999</v>
      </c>
      <c r="N4952">
        <v>379684.8</v>
      </c>
    </row>
    <row r="4953" spans="1:14" x14ac:dyDescent="0.25">
      <c r="A4953" t="s">
        <v>29</v>
      </c>
      <c r="B4953" t="s">
        <v>206</v>
      </c>
      <c r="C4953" t="s">
        <v>131</v>
      </c>
      <c r="D4953" t="s">
        <v>22</v>
      </c>
      <c r="E4953" t="s">
        <v>18</v>
      </c>
      <c r="F4953" t="s">
        <v>879</v>
      </c>
      <c r="G4953">
        <v>255264174</v>
      </c>
      <c r="H4953" s="1">
        <v>41552</v>
      </c>
      <c r="I4953">
        <v>7197</v>
      </c>
      <c r="J4953">
        <v>668.27</v>
      </c>
      <c r="K4953">
        <v>502.54</v>
      </c>
      <c r="L4953">
        <v>4809539.1900000004</v>
      </c>
      <c r="M4953">
        <v>3616780.38</v>
      </c>
      <c r="N4953">
        <v>1192758.81</v>
      </c>
    </row>
    <row r="4954" spans="1:14" x14ac:dyDescent="0.25">
      <c r="A4954" t="s">
        <v>25</v>
      </c>
      <c r="B4954" t="s">
        <v>343</v>
      </c>
      <c r="C4954" t="s">
        <v>44</v>
      </c>
      <c r="D4954" t="s">
        <v>22</v>
      </c>
      <c r="E4954" t="s">
        <v>45</v>
      </c>
      <c r="F4954" t="s">
        <v>378</v>
      </c>
      <c r="G4954">
        <v>538430345</v>
      </c>
      <c r="H4954" s="1">
        <v>42280</v>
      </c>
      <c r="I4954">
        <v>2359</v>
      </c>
      <c r="J4954">
        <v>109.28</v>
      </c>
      <c r="K4954">
        <v>35.840000000000003</v>
      </c>
      <c r="L4954">
        <v>257791.52</v>
      </c>
      <c r="M4954">
        <v>84546.559999999998</v>
      </c>
      <c r="N4954">
        <v>173244.96</v>
      </c>
    </row>
    <row r="4955" spans="1:14" x14ac:dyDescent="0.25">
      <c r="A4955" t="s">
        <v>29</v>
      </c>
      <c r="B4955" t="s">
        <v>356</v>
      </c>
      <c r="C4955" t="s">
        <v>27</v>
      </c>
      <c r="D4955" t="s">
        <v>17</v>
      </c>
      <c r="E4955" t="s">
        <v>23</v>
      </c>
      <c r="F4955" s="1">
        <v>41889</v>
      </c>
      <c r="G4955">
        <v>978000628</v>
      </c>
      <c r="H4955" t="s">
        <v>1654</v>
      </c>
      <c r="I4955">
        <v>974</v>
      </c>
      <c r="J4955">
        <v>47.45</v>
      </c>
      <c r="K4955">
        <v>31.79</v>
      </c>
      <c r="L4955">
        <v>46216.3</v>
      </c>
      <c r="M4955">
        <v>30963.46</v>
      </c>
      <c r="N4955">
        <v>15252.84</v>
      </c>
    </row>
    <row r="4956" spans="1:14" x14ac:dyDescent="0.25">
      <c r="A4956" t="s">
        <v>25</v>
      </c>
      <c r="B4956" t="s">
        <v>119</v>
      </c>
      <c r="C4956" t="s">
        <v>27</v>
      </c>
      <c r="D4956" t="s">
        <v>17</v>
      </c>
      <c r="E4956" t="s">
        <v>45</v>
      </c>
      <c r="F4956" t="s">
        <v>1699</v>
      </c>
      <c r="G4956">
        <v>797461354</v>
      </c>
      <c r="H4956" s="1">
        <v>40300</v>
      </c>
      <c r="I4956">
        <v>5391</v>
      </c>
      <c r="J4956">
        <v>47.45</v>
      </c>
      <c r="K4956">
        <v>31.79</v>
      </c>
      <c r="L4956">
        <v>255802.95</v>
      </c>
      <c r="M4956">
        <v>171379.89</v>
      </c>
      <c r="N4956">
        <v>84423.06</v>
      </c>
    </row>
    <row r="4957" spans="1:14" x14ac:dyDescent="0.25">
      <c r="A4957" t="s">
        <v>14</v>
      </c>
      <c r="B4957" t="s">
        <v>213</v>
      </c>
      <c r="C4957" t="s">
        <v>44</v>
      </c>
      <c r="D4957" t="s">
        <v>22</v>
      </c>
      <c r="E4957" t="s">
        <v>23</v>
      </c>
      <c r="F4957" t="s">
        <v>979</v>
      </c>
      <c r="G4957">
        <v>190611350</v>
      </c>
      <c r="H4957" t="s">
        <v>1578</v>
      </c>
      <c r="I4957">
        <v>4989</v>
      </c>
      <c r="J4957">
        <v>109.28</v>
      </c>
      <c r="K4957">
        <v>35.840000000000003</v>
      </c>
      <c r="L4957">
        <v>545197.92000000004</v>
      </c>
      <c r="M4957">
        <v>178805.76000000001</v>
      </c>
      <c r="N4957">
        <v>366392.16</v>
      </c>
    </row>
    <row r="4958" spans="1:14" x14ac:dyDescent="0.25">
      <c r="A4958" t="s">
        <v>51</v>
      </c>
      <c r="B4958" t="s">
        <v>299</v>
      </c>
      <c r="C4958" t="s">
        <v>21</v>
      </c>
      <c r="D4958" t="s">
        <v>17</v>
      </c>
      <c r="E4958" t="s">
        <v>18</v>
      </c>
      <c r="F4958" s="1">
        <v>40849</v>
      </c>
      <c r="G4958">
        <v>771561944</v>
      </c>
      <c r="H4958" t="s">
        <v>1096</v>
      </c>
      <c r="I4958">
        <v>1180</v>
      </c>
      <c r="J4958">
        <v>152.58000000000001</v>
      </c>
      <c r="K4958">
        <v>97.44</v>
      </c>
      <c r="L4958">
        <v>180044.4</v>
      </c>
      <c r="M4958">
        <v>114979.2</v>
      </c>
      <c r="N4958">
        <v>65065.2</v>
      </c>
    </row>
    <row r="4959" spans="1:14" x14ac:dyDescent="0.25">
      <c r="A4959" t="s">
        <v>14</v>
      </c>
      <c r="B4959" t="s">
        <v>835</v>
      </c>
      <c r="C4959" t="s">
        <v>16</v>
      </c>
      <c r="D4959" t="s">
        <v>17</v>
      </c>
      <c r="E4959" t="s">
        <v>32</v>
      </c>
      <c r="F4959" t="s">
        <v>365</v>
      </c>
      <c r="G4959">
        <v>624736964</v>
      </c>
      <c r="H4959" t="s">
        <v>807</v>
      </c>
      <c r="I4959">
        <v>2406</v>
      </c>
      <c r="J4959">
        <v>255.28</v>
      </c>
      <c r="K4959">
        <v>159.41999999999999</v>
      </c>
      <c r="L4959">
        <v>614203.68000000005</v>
      </c>
      <c r="M4959">
        <v>383564.52</v>
      </c>
      <c r="N4959">
        <v>230639.16</v>
      </c>
    </row>
    <row r="4960" spans="1:14" x14ac:dyDescent="0.25">
      <c r="A4960" t="s">
        <v>14</v>
      </c>
      <c r="B4960" t="s">
        <v>213</v>
      </c>
      <c r="C4960" t="s">
        <v>40</v>
      </c>
      <c r="D4960" t="s">
        <v>17</v>
      </c>
      <c r="E4960" t="s">
        <v>45</v>
      </c>
      <c r="F4960" s="1">
        <v>40792</v>
      </c>
      <c r="G4960">
        <v>154872739</v>
      </c>
      <c r="H4960" t="s">
        <v>1177</v>
      </c>
      <c r="I4960">
        <v>9140</v>
      </c>
      <c r="J4960">
        <v>81.73</v>
      </c>
      <c r="K4960">
        <v>56.67</v>
      </c>
      <c r="L4960">
        <v>747012.2</v>
      </c>
      <c r="M4960">
        <v>517963.8</v>
      </c>
      <c r="N4960">
        <v>229048.4</v>
      </c>
    </row>
    <row r="4961" spans="1:14" x14ac:dyDescent="0.25">
      <c r="A4961" t="s">
        <v>38</v>
      </c>
      <c r="B4961" t="s">
        <v>117</v>
      </c>
      <c r="C4961" t="s">
        <v>59</v>
      </c>
      <c r="D4961" t="s">
        <v>17</v>
      </c>
      <c r="E4961" t="s">
        <v>45</v>
      </c>
      <c r="F4961" t="s">
        <v>86</v>
      </c>
      <c r="G4961">
        <v>737018096</v>
      </c>
      <c r="H4961" t="s">
        <v>536</v>
      </c>
      <c r="I4961">
        <v>8888</v>
      </c>
      <c r="J4961">
        <v>437.2</v>
      </c>
      <c r="K4961">
        <v>263.33</v>
      </c>
      <c r="L4961">
        <v>3885833.6</v>
      </c>
      <c r="M4961">
        <v>2340477.04</v>
      </c>
      <c r="N4961">
        <v>1545356.56</v>
      </c>
    </row>
    <row r="4962" spans="1:14" x14ac:dyDescent="0.25">
      <c r="A4962" t="s">
        <v>51</v>
      </c>
      <c r="B4962" t="s">
        <v>578</v>
      </c>
      <c r="C4962" t="s">
        <v>16</v>
      </c>
      <c r="D4962" t="s">
        <v>22</v>
      </c>
      <c r="E4962" t="s">
        <v>23</v>
      </c>
      <c r="F4962" t="s">
        <v>652</v>
      </c>
      <c r="G4962">
        <v>666534364</v>
      </c>
      <c r="H4962" t="s">
        <v>1022</v>
      </c>
      <c r="I4962">
        <v>1185</v>
      </c>
      <c r="J4962">
        <v>255.28</v>
      </c>
      <c r="K4962">
        <v>159.41999999999999</v>
      </c>
      <c r="L4962">
        <v>302506.8</v>
      </c>
      <c r="M4962">
        <v>188912.7</v>
      </c>
      <c r="N4962">
        <v>113594.1</v>
      </c>
    </row>
    <row r="4963" spans="1:14" x14ac:dyDescent="0.25">
      <c r="A4963" t="s">
        <v>42</v>
      </c>
      <c r="B4963" t="s">
        <v>90</v>
      </c>
      <c r="C4963" t="s">
        <v>40</v>
      </c>
      <c r="D4963" t="s">
        <v>22</v>
      </c>
      <c r="E4963" t="s">
        <v>23</v>
      </c>
      <c r="F4963" t="s">
        <v>1461</v>
      </c>
      <c r="G4963">
        <v>109095370</v>
      </c>
      <c r="H4963" s="1">
        <v>40700</v>
      </c>
      <c r="I4963">
        <v>2599</v>
      </c>
      <c r="J4963">
        <v>81.73</v>
      </c>
      <c r="K4963">
        <v>56.67</v>
      </c>
      <c r="L4963">
        <v>212416.27</v>
      </c>
      <c r="M4963">
        <v>147285.32999999999</v>
      </c>
      <c r="N4963">
        <v>65130.94</v>
      </c>
    </row>
    <row r="4964" spans="1:14" x14ac:dyDescent="0.25">
      <c r="A4964" t="s">
        <v>38</v>
      </c>
      <c r="B4964" t="s">
        <v>1268</v>
      </c>
      <c r="C4964" t="s">
        <v>21</v>
      </c>
      <c r="D4964" t="s">
        <v>22</v>
      </c>
      <c r="E4964" t="s">
        <v>18</v>
      </c>
      <c r="F4964" s="1">
        <v>42312</v>
      </c>
      <c r="G4964">
        <v>650687444</v>
      </c>
      <c r="H4964" t="s">
        <v>1225</v>
      </c>
      <c r="I4964">
        <v>1729</v>
      </c>
      <c r="J4964">
        <v>152.58000000000001</v>
      </c>
      <c r="K4964">
        <v>97.44</v>
      </c>
      <c r="L4964">
        <v>263810.82</v>
      </c>
      <c r="M4964">
        <v>168473.76</v>
      </c>
      <c r="N4964">
        <v>95337.06</v>
      </c>
    </row>
    <row r="4965" spans="1:14" x14ac:dyDescent="0.25">
      <c r="A4965" t="s">
        <v>25</v>
      </c>
      <c r="B4965" t="s">
        <v>119</v>
      </c>
      <c r="C4965" t="s">
        <v>59</v>
      </c>
      <c r="D4965" t="s">
        <v>22</v>
      </c>
      <c r="E4965" t="s">
        <v>23</v>
      </c>
      <c r="F4965" s="1">
        <v>41921</v>
      </c>
      <c r="G4965">
        <v>347609412</v>
      </c>
      <c r="H4965" t="s">
        <v>834</v>
      </c>
      <c r="I4965">
        <v>4205</v>
      </c>
      <c r="J4965">
        <v>437.2</v>
      </c>
      <c r="K4965">
        <v>263.33</v>
      </c>
      <c r="L4965">
        <v>1838426</v>
      </c>
      <c r="M4965">
        <v>1107302.6499999999</v>
      </c>
      <c r="N4965">
        <v>731123.35</v>
      </c>
    </row>
    <row r="4966" spans="1:14" x14ac:dyDescent="0.25">
      <c r="A4966" t="s">
        <v>14</v>
      </c>
      <c r="B4966" t="s">
        <v>208</v>
      </c>
      <c r="C4966" t="s">
        <v>55</v>
      </c>
      <c r="D4966" t="s">
        <v>22</v>
      </c>
      <c r="E4966" t="s">
        <v>23</v>
      </c>
      <c r="F4966" t="s">
        <v>1051</v>
      </c>
      <c r="G4966">
        <v>476472604</v>
      </c>
      <c r="H4966" s="1">
        <v>41651</v>
      </c>
      <c r="I4966">
        <v>7687</v>
      </c>
      <c r="J4966">
        <v>651.21</v>
      </c>
      <c r="K4966">
        <v>524.96</v>
      </c>
      <c r="L4966">
        <v>5005851.2699999996</v>
      </c>
      <c r="M4966">
        <v>4035367.52</v>
      </c>
      <c r="N4966">
        <v>970483.75</v>
      </c>
    </row>
    <row r="4967" spans="1:14" x14ac:dyDescent="0.25">
      <c r="A4967" t="s">
        <v>51</v>
      </c>
      <c r="B4967" t="s">
        <v>414</v>
      </c>
      <c r="C4967" t="s">
        <v>44</v>
      </c>
      <c r="D4967" t="s">
        <v>17</v>
      </c>
      <c r="E4967" t="s">
        <v>23</v>
      </c>
      <c r="F4967" t="s">
        <v>1118</v>
      </c>
      <c r="G4967">
        <v>584200847</v>
      </c>
      <c r="H4967" t="s">
        <v>238</v>
      </c>
      <c r="I4967">
        <v>6868</v>
      </c>
      <c r="J4967">
        <v>109.28</v>
      </c>
      <c r="K4967">
        <v>35.840000000000003</v>
      </c>
      <c r="L4967">
        <v>750535.04</v>
      </c>
      <c r="M4967">
        <v>246149.12</v>
      </c>
      <c r="N4967">
        <v>504385.92</v>
      </c>
    </row>
    <row r="4968" spans="1:14" x14ac:dyDescent="0.25">
      <c r="A4968" t="s">
        <v>42</v>
      </c>
      <c r="B4968" t="s">
        <v>552</v>
      </c>
      <c r="C4968" t="s">
        <v>27</v>
      </c>
      <c r="D4968" t="s">
        <v>22</v>
      </c>
      <c r="E4968" t="s">
        <v>18</v>
      </c>
      <c r="F4968" t="s">
        <v>640</v>
      </c>
      <c r="G4968">
        <v>738030469</v>
      </c>
      <c r="H4968" t="s">
        <v>1319</v>
      </c>
      <c r="I4968">
        <v>8471</v>
      </c>
      <c r="J4968">
        <v>47.45</v>
      </c>
      <c r="K4968">
        <v>31.79</v>
      </c>
      <c r="L4968">
        <v>401948.95</v>
      </c>
      <c r="M4968">
        <v>269293.09000000003</v>
      </c>
      <c r="N4968">
        <v>132655.85999999999</v>
      </c>
    </row>
    <row r="4969" spans="1:14" x14ac:dyDescent="0.25">
      <c r="A4969" t="s">
        <v>51</v>
      </c>
      <c r="B4969" t="s">
        <v>664</v>
      </c>
      <c r="C4969" t="s">
        <v>21</v>
      </c>
      <c r="D4969" t="s">
        <v>17</v>
      </c>
      <c r="E4969" t="s">
        <v>45</v>
      </c>
      <c r="F4969" t="s">
        <v>856</v>
      </c>
      <c r="G4969">
        <v>175510299</v>
      </c>
      <c r="H4969" t="s">
        <v>671</v>
      </c>
      <c r="I4969">
        <v>6252</v>
      </c>
      <c r="J4969">
        <v>152.58000000000001</v>
      </c>
      <c r="K4969">
        <v>97.44</v>
      </c>
      <c r="L4969">
        <v>953930.16</v>
      </c>
      <c r="M4969">
        <v>609194.88</v>
      </c>
      <c r="N4969">
        <v>344735.28</v>
      </c>
    </row>
    <row r="4970" spans="1:14" x14ac:dyDescent="0.25">
      <c r="A4970" t="s">
        <v>14</v>
      </c>
      <c r="B4970" t="s">
        <v>627</v>
      </c>
      <c r="C4970" t="s">
        <v>88</v>
      </c>
      <c r="D4970" t="s">
        <v>22</v>
      </c>
      <c r="E4970" t="s">
        <v>18</v>
      </c>
      <c r="F4970" t="s">
        <v>933</v>
      </c>
      <c r="G4970">
        <v>454501664</v>
      </c>
      <c r="H4970" t="s">
        <v>158</v>
      </c>
      <c r="I4970">
        <v>5997</v>
      </c>
      <c r="J4970">
        <v>9.33</v>
      </c>
      <c r="K4970">
        <v>6.92</v>
      </c>
      <c r="L4970">
        <v>55952.01</v>
      </c>
      <c r="M4970">
        <v>41499.24</v>
      </c>
      <c r="N4970">
        <v>14452.77</v>
      </c>
    </row>
    <row r="4971" spans="1:14" x14ac:dyDescent="0.25">
      <c r="A4971" t="s">
        <v>38</v>
      </c>
      <c r="B4971" t="s">
        <v>49</v>
      </c>
      <c r="C4971" t="s">
        <v>21</v>
      </c>
      <c r="D4971" t="s">
        <v>22</v>
      </c>
      <c r="E4971" t="s">
        <v>18</v>
      </c>
      <c r="F4971" t="s">
        <v>1726</v>
      </c>
      <c r="G4971">
        <v>503178393</v>
      </c>
      <c r="H4971" s="1">
        <v>41063</v>
      </c>
      <c r="I4971">
        <v>523</v>
      </c>
      <c r="J4971">
        <v>152.58000000000001</v>
      </c>
      <c r="K4971">
        <v>97.44</v>
      </c>
      <c r="L4971">
        <v>79799.34</v>
      </c>
      <c r="M4971">
        <v>50961.120000000003</v>
      </c>
      <c r="N4971">
        <v>28838.22</v>
      </c>
    </row>
    <row r="4972" spans="1:14" x14ac:dyDescent="0.25">
      <c r="A4972" t="s">
        <v>29</v>
      </c>
      <c r="B4972" t="s">
        <v>199</v>
      </c>
      <c r="C4972" t="s">
        <v>16</v>
      </c>
      <c r="D4972" t="s">
        <v>17</v>
      </c>
      <c r="E4972" t="s">
        <v>18</v>
      </c>
      <c r="F4972" s="1">
        <v>41066</v>
      </c>
      <c r="G4972">
        <v>670026814</v>
      </c>
      <c r="H4972" t="s">
        <v>1238</v>
      </c>
      <c r="I4972">
        <v>4679</v>
      </c>
      <c r="J4972">
        <v>255.28</v>
      </c>
      <c r="K4972">
        <v>159.41999999999999</v>
      </c>
      <c r="L4972">
        <v>1194455.1200000001</v>
      </c>
      <c r="M4972">
        <v>745926.18</v>
      </c>
      <c r="N4972">
        <v>448528.94</v>
      </c>
    </row>
    <row r="4973" spans="1:14" x14ac:dyDescent="0.25">
      <c r="A4973" t="s">
        <v>25</v>
      </c>
      <c r="B4973" t="s">
        <v>185</v>
      </c>
      <c r="C4973" t="s">
        <v>40</v>
      </c>
      <c r="D4973" t="s">
        <v>22</v>
      </c>
      <c r="E4973" t="s">
        <v>45</v>
      </c>
      <c r="F4973" s="1">
        <v>40888</v>
      </c>
      <c r="G4973">
        <v>473845756</v>
      </c>
      <c r="H4973" t="s">
        <v>770</v>
      </c>
      <c r="I4973">
        <v>344</v>
      </c>
      <c r="J4973">
        <v>81.73</v>
      </c>
      <c r="K4973">
        <v>56.67</v>
      </c>
      <c r="L4973">
        <v>28115.119999999999</v>
      </c>
      <c r="M4973">
        <v>19494.48</v>
      </c>
      <c r="N4973">
        <v>8620.64</v>
      </c>
    </row>
    <row r="4974" spans="1:14" x14ac:dyDescent="0.25">
      <c r="A4974" t="s">
        <v>38</v>
      </c>
      <c r="B4974" t="s">
        <v>156</v>
      </c>
      <c r="C4974" t="s">
        <v>44</v>
      </c>
      <c r="D4974" t="s">
        <v>17</v>
      </c>
      <c r="E4974" t="s">
        <v>32</v>
      </c>
      <c r="F4974" t="s">
        <v>1334</v>
      </c>
      <c r="G4974">
        <v>853746545</v>
      </c>
      <c r="H4974" t="s">
        <v>1438</v>
      </c>
      <c r="I4974">
        <v>1430</v>
      </c>
      <c r="J4974">
        <v>109.28</v>
      </c>
      <c r="K4974">
        <v>35.840000000000003</v>
      </c>
      <c r="L4974">
        <v>156270.39999999999</v>
      </c>
      <c r="M4974">
        <v>51251.199999999997</v>
      </c>
      <c r="N4974">
        <v>105019.2</v>
      </c>
    </row>
    <row r="4975" spans="1:14" x14ac:dyDescent="0.25">
      <c r="A4975" t="s">
        <v>51</v>
      </c>
      <c r="B4975" t="s">
        <v>250</v>
      </c>
      <c r="C4975" t="s">
        <v>27</v>
      </c>
      <c r="D4975" t="s">
        <v>22</v>
      </c>
      <c r="E4975" t="s">
        <v>32</v>
      </c>
      <c r="F4975" t="s">
        <v>270</v>
      </c>
      <c r="G4975">
        <v>119153010</v>
      </c>
      <c r="H4975" s="1">
        <v>42127</v>
      </c>
      <c r="I4975">
        <v>8878</v>
      </c>
      <c r="J4975">
        <v>47.45</v>
      </c>
      <c r="K4975">
        <v>31.79</v>
      </c>
      <c r="L4975">
        <v>421261.1</v>
      </c>
      <c r="M4975">
        <v>282231.62</v>
      </c>
      <c r="N4975">
        <v>139029.48000000001</v>
      </c>
    </row>
    <row r="4976" spans="1:14" x14ac:dyDescent="0.25">
      <c r="A4976" t="s">
        <v>29</v>
      </c>
      <c r="B4976" t="s">
        <v>61</v>
      </c>
      <c r="C4976" t="s">
        <v>55</v>
      </c>
      <c r="D4976" t="s">
        <v>22</v>
      </c>
      <c r="E4976" t="s">
        <v>32</v>
      </c>
      <c r="F4976" t="s">
        <v>1048</v>
      </c>
      <c r="G4976">
        <v>699801480</v>
      </c>
      <c r="H4976" t="s">
        <v>490</v>
      </c>
      <c r="I4976">
        <v>5664</v>
      </c>
      <c r="J4976">
        <v>651.21</v>
      </c>
      <c r="K4976">
        <v>524.96</v>
      </c>
      <c r="L4976">
        <v>3688453.44</v>
      </c>
      <c r="M4976">
        <v>2973373.44</v>
      </c>
      <c r="N4976">
        <v>715080</v>
      </c>
    </row>
    <row r="4977" spans="1:14" x14ac:dyDescent="0.25">
      <c r="A4977" t="s">
        <v>42</v>
      </c>
      <c r="B4977" t="s">
        <v>150</v>
      </c>
      <c r="C4977" t="s">
        <v>69</v>
      </c>
      <c r="D4977" t="s">
        <v>17</v>
      </c>
      <c r="E4977" t="s">
        <v>23</v>
      </c>
      <c r="F4977" s="1">
        <v>42708</v>
      </c>
      <c r="G4977">
        <v>595740783</v>
      </c>
      <c r="H4977" t="s">
        <v>1483</v>
      </c>
      <c r="I4977">
        <v>1791</v>
      </c>
      <c r="J4977">
        <v>421.89</v>
      </c>
      <c r="K4977">
        <v>364.69</v>
      </c>
      <c r="L4977">
        <v>755604.99</v>
      </c>
      <c r="M4977">
        <v>653159.79</v>
      </c>
      <c r="N4977">
        <v>102445.2</v>
      </c>
    </row>
    <row r="4978" spans="1:14" x14ac:dyDescent="0.25">
      <c r="A4978" t="s">
        <v>51</v>
      </c>
      <c r="B4978" t="s">
        <v>231</v>
      </c>
      <c r="C4978" t="s">
        <v>31</v>
      </c>
      <c r="D4978" t="s">
        <v>17</v>
      </c>
      <c r="E4978" t="s">
        <v>18</v>
      </c>
      <c r="F4978" t="s">
        <v>855</v>
      </c>
      <c r="G4978">
        <v>127332246</v>
      </c>
      <c r="H4978" s="1">
        <v>42676</v>
      </c>
      <c r="I4978">
        <v>9296</v>
      </c>
      <c r="J4978">
        <v>205.7</v>
      </c>
      <c r="K4978">
        <v>117.11</v>
      </c>
      <c r="L4978">
        <v>1912187.2</v>
      </c>
      <c r="M4978">
        <v>1088654.56</v>
      </c>
      <c r="N4978">
        <v>823532.64</v>
      </c>
    </row>
    <row r="4979" spans="1:14" x14ac:dyDescent="0.25">
      <c r="A4979" t="s">
        <v>51</v>
      </c>
      <c r="B4979" t="s">
        <v>258</v>
      </c>
      <c r="C4979" t="s">
        <v>55</v>
      </c>
      <c r="D4979" t="s">
        <v>17</v>
      </c>
      <c r="E4979" t="s">
        <v>18</v>
      </c>
      <c r="F4979" s="1">
        <v>40791</v>
      </c>
      <c r="G4979">
        <v>585249698</v>
      </c>
      <c r="H4979" s="1">
        <v>40669</v>
      </c>
      <c r="I4979">
        <v>7246</v>
      </c>
      <c r="J4979">
        <v>651.21</v>
      </c>
      <c r="K4979">
        <v>524.96</v>
      </c>
      <c r="L4979">
        <v>4718667.66</v>
      </c>
      <c r="M4979">
        <v>3803860.16</v>
      </c>
      <c r="N4979">
        <v>914807.5</v>
      </c>
    </row>
    <row r="4980" spans="1:14" x14ac:dyDescent="0.25">
      <c r="A4980" t="s">
        <v>25</v>
      </c>
      <c r="B4980" t="s">
        <v>609</v>
      </c>
      <c r="C4980" t="s">
        <v>113</v>
      </c>
      <c r="D4980" t="s">
        <v>17</v>
      </c>
      <c r="E4980" t="s">
        <v>23</v>
      </c>
      <c r="F4980" s="1">
        <v>40664</v>
      </c>
      <c r="G4980">
        <v>180479466</v>
      </c>
      <c r="H4980" s="1">
        <v>40878</v>
      </c>
      <c r="I4980">
        <v>6740</v>
      </c>
      <c r="J4980">
        <v>154.06</v>
      </c>
      <c r="K4980">
        <v>90.93</v>
      </c>
      <c r="L4980">
        <v>1038364.4</v>
      </c>
      <c r="M4980">
        <v>612868.19999999995</v>
      </c>
      <c r="N4980">
        <v>425496.2</v>
      </c>
    </row>
    <row r="4981" spans="1:14" x14ac:dyDescent="0.25">
      <c r="A4981" t="s">
        <v>51</v>
      </c>
      <c r="B4981" t="s">
        <v>360</v>
      </c>
      <c r="C4981" t="s">
        <v>21</v>
      </c>
      <c r="D4981" t="s">
        <v>22</v>
      </c>
      <c r="E4981" t="s">
        <v>18</v>
      </c>
      <c r="F4981" t="s">
        <v>1858</v>
      </c>
      <c r="G4981">
        <v>794320380</v>
      </c>
      <c r="H4981" s="1">
        <v>41616</v>
      </c>
      <c r="I4981">
        <v>5907</v>
      </c>
      <c r="J4981">
        <v>152.58000000000001</v>
      </c>
      <c r="K4981">
        <v>97.44</v>
      </c>
      <c r="L4981">
        <v>901290.06</v>
      </c>
      <c r="M4981">
        <v>575578.07999999996</v>
      </c>
      <c r="N4981">
        <v>325711.98</v>
      </c>
    </row>
    <row r="4982" spans="1:14" x14ac:dyDescent="0.25">
      <c r="A4982" t="s">
        <v>29</v>
      </c>
      <c r="B4982" t="s">
        <v>440</v>
      </c>
      <c r="C4982" t="s">
        <v>40</v>
      </c>
      <c r="D4982" t="s">
        <v>22</v>
      </c>
      <c r="E4982" t="s">
        <v>32</v>
      </c>
      <c r="F4982" s="1">
        <v>40310</v>
      </c>
      <c r="G4982">
        <v>328383767</v>
      </c>
      <c r="H4982" t="s">
        <v>349</v>
      </c>
      <c r="I4982">
        <v>4909</v>
      </c>
      <c r="J4982">
        <v>81.73</v>
      </c>
      <c r="K4982">
        <v>56.67</v>
      </c>
      <c r="L4982">
        <v>401212.57</v>
      </c>
      <c r="M4982">
        <v>278193.03000000003</v>
      </c>
      <c r="N4982">
        <v>123019.54</v>
      </c>
    </row>
    <row r="4983" spans="1:14" x14ac:dyDescent="0.25">
      <c r="A4983" t="s">
        <v>51</v>
      </c>
      <c r="B4983" t="s">
        <v>194</v>
      </c>
      <c r="C4983" t="s">
        <v>55</v>
      </c>
      <c r="D4983" t="s">
        <v>17</v>
      </c>
      <c r="E4983" t="s">
        <v>45</v>
      </c>
      <c r="F4983" s="1">
        <v>42188</v>
      </c>
      <c r="G4983">
        <v>354593455</v>
      </c>
      <c r="H4983" s="1">
        <v>42067</v>
      </c>
      <c r="I4983">
        <v>938</v>
      </c>
      <c r="J4983">
        <v>651.21</v>
      </c>
      <c r="K4983">
        <v>524.96</v>
      </c>
      <c r="L4983">
        <v>610834.98</v>
      </c>
      <c r="M4983">
        <v>492412.48</v>
      </c>
      <c r="N4983">
        <v>118422.5</v>
      </c>
    </row>
    <row r="4984" spans="1:14" x14ac:dyDescent="0.25">
      <c r="A4984" t="s">
        <v>38</v>
      </c>
      <c r="B4984" t="s">
        <v>177</v>
      </c>
      <c r="C4984" t="s">
        <v>27</v>
      </c>
      <c r="D4984" t="s">
        <v>22</v>
      </c>
      <c r="E4984" t="s">
        <v>45</v>
      </c>
      <c r="F4984" t="s">
        <v>956</v>
      </c>
      <c r="G4984">
        <v>265185773</v>
      </c>
      <c r="H4984" s="1">
        <v>42500</v>
      </c>
      <c r="I4984">
        <v>3218</v>
      </c>
      <c r="J4984">
        <v>47.45</v>
      </c>
      <c r="K4984">
        <v>31.79</v>
      </c>
      <c r="L4984">
        <v>152694.1</v>
      </c>
      <c r="M4984">
        <v>102300.22</v>
      </c>
      <c r="N4984">
        <v>50393.88</v>
      </c>
    </row>
    <row r="4985" spans="1:14" x14ac:dyDescent="0.25">
      <c r="A4985" t="s">
        <v>29</v>
      </c>
      <c r="B4985" t="s">
        <v>159</v>
      </c>
      <c r="C4985" t="s">
        <v>44</v>
      </c>
      <c r="D4985" t="s">
        <v>17</v>
      </c>
      <c r="E4985" t="s">
        <v>18</v>
      </c>
      <c r="F4985" s="1">
        <v>40244</v>
      </c>
      <c r="G4985">
        <v>422709548</v>
      </c>
      <c r="H4985" s="1">
        <v>40276</v>
      </c>
      <c r="I4985">
        <v>8004</v>
      </c>
      <c r="J4985">
        <v>109.28</v>
      </c>
      <c r="K4985">
        <v>35.840000000000003</v>
      </c>
      <c r="L4985">
        <v>874677.12</v>
      </c>
      <c r="M4985">
        <v>286863.35999999999</v>
      </c>
      <c r="N4985">
        <v>587813.76</v>
      </c>
    </row>
    <row r="4986" spans="1:14" x14ac:dyDescent="0.25">
      <c r="A4986" t="s">
        <v>29</v>
      </c>
      <c r="B4986" t="s">
        <v>467</v>
      </c>
      <c r="C4986" t="s">
        <v>113</v>
      </c>
      <c r="D4986" t="s">
        <v>22</v>
      </c>
      <c r="E4986" t="s">
        <v>32</v>
      </c>
      <c r="F4986" s="1">
        <v>42073</v>
      </c>
      <c r="G4986">
        <v>810026109</v>
      </c>
      <c r="H4986" t="s">
        <v>1583</v>
      </c>
      <c r="I4986">
        <v>3581</v>
      </c>
      <c r="J4986">
        <v>154.06</v>
      </c>
      <c r="K4986">
        <v>90.93</v>
      </c>
      <c r="L4986">
        <v>551688.86</v>
      </c>
      <c r="M4986">
        <v>325620.33</v>
      </c>
      <c r="N4986">
        <v>226068.53</v>
      </c>
    </row>
    <row r="4987" spans="1:14" x14ac:dyDescent="0.25">
      <c r="A4987" t="s">
        <v>29</v>
      </c>
      <c r="B4987" t="s">
        <v>121</v>
      </c>
      <c r="C4987" t="s">
        <v>59</v>
      </c>
      <c r="D4987" t="s">
        <v>22</v>
      </c>
      <c r="E4987" t="s">
        <v>32</v>
      </c>
      <c r="F4987" t="s">
        <v>1824</v>
      </c>
      <c r="G4987">
        <v>580309283</v>
      </c>
      <c r="H4987" t="s">
        <v>436</v>
      </c>
      <c r="I4987">
        <v>5268</v>
      </c>
      <c r="J4987">
        <v>437.2</v>
      </c>
      <c r="K4987">
        <v>263.33</v>
      </c>
      <c r="L4987">
        <v>2303169.6</v>
      </c>
      <c r="M4987">
        <v>1387222.44</v>
      </c>
      <c r="N4987">
        <v>915947.16</v>
      </c>
    </row>
    <row r="4988" spans="1:14" x14ac:dyDescent="0.25">
      <c r="A4988" t="s">
        <v>29</v>
      </c>
      <c r="B4988" t="s">
        <v>35</v>
      </c>
      <c r="C4988" t="s">
        <v>55</v>
      </c>
      <c r="D4988" t="s">
        <v>17</v>
      </c>
      <c r="E4988" t="s">
        <v>23</v>
      </c>
      <c r="F4988" s="1">
        <v>40920</v>
      </c>
      <c r="G4988">
        <v>307045400</v>
      </c>
      <c r="H4988" s="1">
        <v>40951</v>
      </c>
      <c r="I4988">
        <v>412</v>
      </c>
      <c r="J4988">
        <v>651.21</v>
      </c>
      <c r="K4988">
        <v>524.96</v>
      </c>
      <c r="L4988">
        <v>268298.52</v>
      </c>
      <c r="M4988">
        <v>216283.51999999999</v>
      </c>
      <c r="N4988">
        <v>52015</v>
      </c>
    </row>
    <row r="4989" spans="1:14" x14ac:dyDescent="0.25">
      <c r="A4989" t="s">
        <v>25</v>
      </c>
      <c r="B4989" t="s">
        <v>266</v>
      </c>
      <c r="C4989" t="s">
        <v>40</v>
      </c>
      <c r="D4989" t="s">
        <v>22</v>
      </c>
      <c r="E4989" t="s">
        <v>18</v>
      </c>
      <c r="F4989" t="s">
        <v>1371</v>
      </c>
      <c r="G4989">
        <v>634033286</v>
      </c>
      <c r="H4989" t="s">
        <v>422</v>
      </c>
      <c r="I4989">
        <v>3394</v>
      </c>
      <c r="J4989">
        <v>81.73</v>
      </c>
      <c r="K4989">
        <v>56.67</v>
      </c>
      <c r="L4989">
        <v>277391.62</v>
      </c>
      <c r="M4989">
        <v>192337.98</v>
      </c>
      <c r="N4989">
        <v>85053.64</v>
      </c>
    </row>
    <row r="4990" spans="1:14" x14ac:dyDescent="0.25">
      <c r="A4990" t="s">
        <v>38</v>
      </c>
      <c r="B4990" t="s">
        <v>105</v>
      </c>
      <c r="C4990" t="s">
        <v>131</v>
      </c>
      <c r="D4990" t="s">
        <v>17</v>
      </c>
      <c r="E4990" t="s">
        <v>45</v>
      </c>
      <c r="F4990" t="s">
        <v>1362</v>
      </c>
      <c r="G4990">
        <v>925384271</v>
      </c>
      <c r="H4990" s="1">
        <v>41983</v>
      </c>
      <c r="I4990">
        <v>625</v>
      </c>
      <c r="J4990">
        <v>668.27</v>
      </c>
      <c r="K4990">
        <v>502.54</v>
      </c>
      <c r="L4990">
        <v>417668.75</v>
      </c>
      <c r="M4990">
        <v>314087.5</v>
      </c>
      <c r="N4990">
        <v>103581.25</v>
      </c>
    </row>
    <row r="4991" spans="1:14" x14ac:dyDescent="0.25">
      <c r="A4991" t="s">
        <v>29</v>
      </c>
      <c r="B4991" t="s">
        <v>271</v>
      </c>
      <c r="C4991" t="s">
        <v>21</v>
      </c>
      <c r="D4991" t="s">
        <v>17</v>
      </c>
      <c r="E4991" t="s">
        <v>23</v>
      </c>
      <c r="F4991" s="1">
        <v>41129</v>
      </c>
      <c r="G4991">
        <v>615522181</v>
      </c>
      <c r="H4991" t="s">
        <v>571</v>
      </c>
      <c r="I4991">
        <v>5547</v>
      </c>
      <c r="J4991">
        <v>152.58000000000001</v>
      </c>
      <c r="K4991">
        <v>97.44</v>
      </c>
      <c r="L4991">
        <v>846361.26</v>
      </c>
      <c r="M4991">
        <v>540499.68000000005</v>
      </c>
      <c r="N4991">
        <v>305861.58</v>
      </c>
    </row>
    <row r="4992" spans="1:14" x14ac:dyDescent="0.25">
      <c r="A4992" t="s">
        <v>25</v>
      </c>
      <c r="B4992" t="s">
        <v>196</v>
      </c>
      <c r="C4992" t="s">
        <v>31</v>
      </c>
      <c r="D4992" t="s">
        <v>22</v>
      </c>
      <c r="E4992" t="s">
        <v>32</v>
      </c>
      <c r="F4992" t="s">
        <v>1010</v>
      </c>
      <c r="G4992">
        <v>559183347</v>
      </c>
      <c r="H4992" t="s">
        <v>450</v>
      </c>
      <c r="I4992">
        <v>3633</v>
      </c>
      <c r="J4992">
        <v>205.7</v>
      </c>
      <c r="K4992">
        <v>117.11</v>
      </c>
      <c r="L4992">
        <v>747308.1</v>
      </c>
      <c r="M4992">
        <v>425460.63</v>
      </c>
      <c r="N4992">
        <v>321847.46999999997</v>
      </c>
    </row>
    <row r="4993" spans="1:14" x14ac:dyDescent="0.25">
      <c r="A4993" t="s">
        <v>25</v>
      </c>
      <c r="B4993" t="s">
        <v>284</v>
      </c>
      <c r="C4993" t="s">
        <v>69</v>
      </c>
      <c r="D4993" t="s">
        <v>22</v>
      </c>
      <c r="E4993" t="s">
        <v>18</v>
      </c>
      <c r="F4993" s="1">
        <v>42258</v>
      </c>
      <c r="G4993">
        <v>781416594</v>
      </c>
      <c r="H4993" t="s">
        <v>548</v>
      </c>
      <c r="I4993">
        <v>7390</v>
      </c>
      <c r="J4993">
        <v>421.89</v>
      </c>
      <c r="K4993">
        <v>364.69</v>
      </c>
      <c r="L4993">
        <v>3117767.1</v>
      </c>
      <c r="M4993">
        <v>2695059.1</v>
      </c>
      <c r="N4993">
        <v>422708</v>
      </c>
    </row>
    <row r="4994" spans="1:14" x14ac:dyDescent="0.25">
      <c r="A4994" t="s">
        <v>38</v>
      </c>
      <c r="B4994" t="s">
        <v>177</v>
      </c>
      <c r="C4994" t="s">
        <v>44</v>
      </c>
      <c r="D4994" t="s">
        <v>22</v>
      </c>
      <c r="E4994" t="s">
        <v>32</v>
      </c>
      <c r="F4994" s="1">
        <v>41950</v>
      </c>
      <c r="G4994">
        <v>927583253</v>
      </c>
      <c r="H4994" t="s">
        <v>1596</v>
      </c>
      <c r="I4994">
        <v>1352</v>
      </c>
      <c r="J4994">
        <v>109.28</v>
      </c>
      <c r="K4994">
        <v>35.840000000000003</v>
      </c>
      <c r="L4994">
        <v>147746.56</v>
      </c>
      <c r="M4994">
        <v>48455.68</v>
      </c>
      <c r="N4994">
        <v>99290.880000000005</v>
      </c>
    </row>
    <row r="4995" spans="1:14" x14ac:dyDescent="0.25">
      <c r="A4995" t="s">
        <v>25</v>
      </c>
      <c r="B4995" t="s">
        <v>303</v>
      </c>
      <c r="C4995" t="s">
        <v>44</v>
      </c>
      <c r="D4995" t="s">
        <v>22</v>
      </c>
      <c r="E4995" t="s">
        <v>45</v>
      </c>
      <c r="F4995" s="1">
        <v>41157</v>
      </c>
      <c r="G4995">
        <v>713357150</v>
      </c>
      <c r="H4995" s="1">
        <v>40974</v>
      </c>
      <c r="I4995">
        <v>7088</v>
      </c>
      <c r="J4995">
        <v>109.28</v>
      </c>
      <c r="K4995">
        <v>35.840000000000003</v>
      </c>
      <c r="L4995">
        <v>774576.64000000001</v>
      </c>
      <c r="M4995">
        <v>254033.92000000001</v>
      </c>
      <c r="N4995">
        <v>520542.71999999997</v>
      </c>
    </row>
    <row r="4996" spans="1:14" x14ac:dyDescent="0.25">
      <c r="A4996" t="s">
        <v>51</v>
      </c>
      <c r="B4996" t="s">
        <v>367</v>
      </c>
      <c r="C4996" t="s">
        <v>59</v>
      </c>
      <c r="D4996" t="s">
        <v>22</v>
      </c>
      <c r="E4996" t="s">
        <v>18</v>
      </c>
      <c r="F4996" t="s">
        <v>445</v>
      </c>
      <c r="G4996">
        <v>374724614</v>
      </c>
      <c r="H4996" t="s">
        <v>273</v>
      </c>
      <c r="I4996">
        <v>8195</v>
      </c>
      <c r="J4996">
        <v>437.2</v>
      </c>
      <c r="K4996">
        <v>263.33</v>
      </c>
      <c r="L4996">
        <v>3582854</v>
      </c>
      <c r="M4996">
        <v>2157989.35</v>
      </c>
      <c r="N4996">
        <v>1424864.65</v>
      </c>
    </row>
    <row r="4997" spans="1:14" x14ac:dyDescent="0.25">
      <c r="A4997" t="s">
        <v>42</v>
      </c>
      <c r="B4997" t="s">
        <v>476</v>
      </c>
      <c r="C4997" t="s">
        <v>131</v>
      </c>
      <c r="D4997" t="s">
        <v>22</v>
      </c>
      <c r="E4997" t="s">
        <v>23</v>
      </c>
      <c r="F4997" s="1">
        <v>42067</v>
      </c>
      <c r="G4997">
        <v>217984473</v>
      </c>
      <c r="H4997" t="s">
        <v>1859</v>
      </c>
      <c r="I4997">
        <v>5305</v>
      </c>
      <c r="J4997">
        <v>668.27</v>
      </c>
      <c r="K4997">
        <v>502.54</v>
      </c>
      <c r="L4997">
        <v>3545172.35</v>
      </c>
      <c r="M4997">
        <v>2665974.7000000002</v>
      </c>
      <c r="N4997">
        <v>879197.65</v>
      </c>
    </row>
    <row r="4998" spans="1:14" x14ac:dyDescent="0.25">
      <c r="A4998" t="s">
        <v>38</v>
      </c>
      <c r="B4998" t="s">
        <v>187</v>
      </c>
      <c r="C4998" t="s">
        <v>44</v>
      </c>
      <c r="D4998" t="s">
        <v>22</v>
      </c>
      <c r="E4998" t="s">
        <v>32</v>
      </c>
      <c r="F4998" t="s">
        <v>974</v>
      </c>
      <c r="G4998">
        <v>169748055</v>
      </c>
      <c r="H4998" s="1">
        <v>41680</v>
      </c>
      <c r="I4998">
        <v>1077</v>
      </c>
      <c r="J4998">
        <v>109.28</v>
      </c>
      <c r="K4998">
        <v>35.840000000000003</v>
      </c>
      <c r="L4998">
        <v>117694.56</v>
      </c>
      <c r="M4998">
        <v>38599.68</v>
      </c>
      <c r="N4998">
        <v>79094.880000000005</v>
      </c>
    </row>
    <row r="4999" spans="1:14" x14ac:dyDescent="0.25">
      <c r="A4999" t="s">
        <v>29</v>
      </c>
      <c r="B4999" t="s">
        <v>199</v>
      </c>
      <c r="C4999" t="s">
        <v>16</v>
      </c>
      <c r="D4999" t="s">
        <v>22</v>
      </c>
      <c r="E4999" t="s">
        <v>45</v>
      </c>
      <c r="F4999" t="s">
        <v>144</v>
      </c>
      <c r="G4999">
        <v>226939189</v>
      </c>
      <c r="H4999" s="1">
        <v>42655</v>
      </c>
      <c r="I4999">
        <v>5204</v>
      </c>
      <c r="J4999">
        <v>255.28</v>
      </c>
      <c r="K4999">
        <v>159.41999999999999</v>
      </c>
      <c r="L4999">
        <v>1328477.1200000001</v>
      </c>
      <c r="M4999">
        <v>829621.68</v>
      </c>
      <c r="N4999">
        <v>498855.44</v>
      </c>
    </row>
    <row r="5000" spans="1:14" x14ac:dyDescent="0.25">
      <c r="A5000" t="s">
        <v>25</v>
      </c>
      <c r="B5000" t="s">
        <v>134</v>
      </c>
      <c r="C5000" t="s">
        <v>44</v>
      </c>
      <c r="D5000" t="s">
        <v>17</v>
      </c>
      <c r="E5000" t="s">
        <v>32</v>
      </c>
      <c r="F5000" t="s">
        <v>1714</v>
      </c>
      <c r="G5000">
        <v>906794202</v>
      </c>
      <c r="H5000" s="1">
        <v>41948</v>
      </c>
      <c r="I5000">
        <v>9410</v>
      </c>
      <c r="J5000">
        <v>109.28</v>
      </c>
      <c r="K5000">
        <v>35.840000000000003</v>
      </c>
      <c r="L5000">
        <v>1028324.8</v>
      </c>
      <c r="M5000">
        <v>337254.40000000002</v>
      </c>
      <c r="N5000">
        <v>691070.4</v>
      </c>
    </row>
    <row r="5001" spans="1:14" x14ac:dyDescent="0.25">
      <c r="A5001" t="s">
        <v>51</v>
      </c>
      <c r="B5001" t="s">
        <v>299</v>
      </c>
      <c r="C5001" t="s">
        <v>113</v>
      </c>
      <c r="D5001" t="s">
        <v>17</v>
      </c>
      <c r="E5001" t="s">
        <v>32</v>
      </c>
      <c r="F5001" s="1">
        <v>40762</v>
      </c>
      <c r="G5001">
        <v>996861922</v>
      </c>
      <c r="H5001" s="1">
        <v>40732</v>
      </c>
      <c r="I5001">
        <v>2450</v>
      </c>
      <c r="J5001">
        <v>154.06</v>
      </c>
      <c r="K5001">
        <v>90.93</v>
      </c>
      <c r="L5001">
        <v>377447</v>
      </c>
      <c r="M5001">
        <v>222778.5</v>
      </c>
      <c r="N5001">
        <v>154668.5</v>
      </c>
    </row>
  </sheetData>
  <pageMargins left="0.7" right="0.7" top="0.75" bottom="0.75" header="0.3" footer="0.3"/>
  <pageSetup paperSize="9" orientation="portrait" r:id="rId2"/>
  <headerFooter>
    <oddHeader>&amp;C&amp;"Aptos"&amp;10&amp;K4A569E Internal&amp;1#_x000D_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9B624-C5A5-405C-A9C7-96B28CA5E3E9}">
  <dimension ref="A1"/>
  <sheetViews>
    <sheetView workbookViewId="0">
      <selection activeCell="A3" sqref="A3"/>
    </sheetView>
  </sheetViews>
  <sheetFormatPr defaultRowHeight="13.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1A761-0AE2-4932-B6CA-7A1F2AC96188}">
  <dimension ref="A1:C27"/>
  <sheetViews>
    <sheetView workbookViewId="0">
      <selection activeCell="A8" sqref="A1:C27"/>
    </sheetView>
  </sheetViews>
  <sheetFormatPr defaultRowHeight="13.5" x14ac:dyDescent="0.25"/>
  <cols>
    <col min="1" max="1" width="10.640625" bestFit="1" customWidth="1"/>
    <col min="2" max="2" width="6.92578125" bestFit="1" customWidth="1"/>
    <col min="3" max="3" width="15.85546875" customWidth="1"/>
    <col min="4" max="5" width="12.92578125" bestFit="1" customWidth="1"/>
  </cols>
  <sheetData>
    <row r="1" spans="1:3" x14ac:dyDescent="0.25">
      <c r="A1" s="9" t="s">
        <v>1872</v>
      </c>
      <c r="B1" s="9" t="s">
        <v>0</v>
      </c>
      <c r="C1" s="9" t="s">
        <v>1873</v>
      </c>
    </row>
    <row r="2" spans="1:3" x14ac:dyDescent="0.25">
      <c r="A2" s="10" t="s">
        <v>1874</v>
      </c>
      <c r="B2" s="10" t="s">
        <v>1875</v>
      </c>
      <c r="C2" s="11">
        <v>5315</v>
      </c>
    </row>
    <row r="3" spans="1:3" x14ac:dyDescent="0.25">
      <c r="A3" s="10" t="s">
        <v>1874</v>
      </c>
      <c r="B3" s="10" t="s">
        <v>1875</v>
      </c>
      <c r="C3" s="11">
        <v>2384</v>
      </c>
    </row>
    <row r="4" spans="1:3" x14ac:dyDescent="0.25">
      <c r="A4" s="10" t="s">
        <v>1874</v>
      </c>
      <c r="B4" s="10" t="s">
        <v>1875</v>
      </c>
      <c r="C4" s="11">
        <v>1517</v>
      </c>
    </row>
    <row r="5" spans="1:3" x14ac:dyDescent="0.25">
      <c r="A5" s="10" t="s">
        <v>1876</v>
      </c>
      <c r="B5" s="10" t="s">
        <v>1875</v>
      </c>
      <c r="C5" s="11">
        <v>1691</v>
      </c>
    </row>
    <row r="6" spans="1:3" x14ac:dyDescent="0.25">
      <c r="A6" s="10" t="s">
        <v>1877</v>
      </c>
      <c r="B6" s="10" t="s">
        <v>1878</v>
      </c>
      <c r="C6" s="11">
        <v>3404</v>
      </c>
    </row>
    <row r="7" spans="1:3" x14ac:dyDescent="0.25">
      <c r="A7" s="10" t="s">
        <v>1879</v>
      </c>
      <c r="B7" s="10" t="s">
        <v>1878</v>
      </c>
      <c r="C7" s="11">
        <v>2355</v>
      </c>
    </row>
    <row r="8" spans="1:3" x14ac:dyDescent="0.25">
      <c r="A8" s="10" t="s">
        <v>1880</v>
      </c>
      <c r="B8" s="10" t="s">
        <v>1878</v>
      </c>
      <c r="C8" s="11">
        <v>5544</v>
      </c>
    </row>
    <row r="9" spans="1:3" x14ac:dyDescent="0.25">
      <c r="A9" s="10" t="s">
        <v>45</v>
      </c>
      <c r="B9" s="10" t="s">
        <v>1878</v>
      </c>
      <c r="C9" s="11">
        <v>3937</v>
      </c>
    </row>
    <row r="10" spans="1:3" x14ac:dyDescent="0.25">
      <c r="A10" s="10" t="s">
        <v>1881</v>
      </c>
      <c r="B10" s="10" t="s">
        <v>1882</v>
      </c>
      <c r="C10" s="11">
        <v>5409</v>
      </c>
    </row>
    <row r="11" spans="1:3" x14ac:dyDescent="0.25">
      <c r="A11" s="10" t="s">
        <v>1883</v>
      </c>
      <c r="B11" s="10" t="s">
        <v>1882</v>
      </c>
      <c r="C11" s="11">
        <v>3728</v>
      </c>
    </row>
    <row r="12" spans="1:3" x14ac:dyDescent="0.25">
      <c r="A12" s="10" t="s">
        <v>1884</v>
      </c>
      <c r="B12" s="10" t="s">
        <v>1882</v>
      </c>
      <c r="C12" s="11">
        <v>3252</v>
      </c>
    </row>
    <row r="13" spans="1:3" x14ac:dyDescent="0.25">
      <c r="A13" s="10" t="s">
        <v>32</v>
      </c>
      <c r="B13" s="10" t="s">
        <v>1882</v>
      </c>
      <c r="C13" s="11">
        <v>3833</v>
      </c>
    </row>
    <row r="14" spans="1:3" x14ac:dyDescent="0.25">
      <c r="A14" s="10" t="s">
        <v>18</v>
      </c>
      <c r="B14" s="10" t="s">
        <v>1885</v>
      </c>
      <c r="C14" s="11">
        <v>3219</v>
      </c>
    </row>
    <row r="15" spans="1:3" x14ac:dyDescent="0.25">
      <c r="A15" s="10" t="s">
        <v>1886</v>
      </c>
      <c r="B15" s="10" t="s">
        <v>1885</v>
      </c>
      <c r="C15" s="11">
        <v>3190</v>
      </c>
    </row>
    <row r="16" spans="1:3" x14ac:dyDescent="0.25">
      <c r="A16" s="10" t="s">
        <v>1887</v>
      </c>
      <c r="B16" s="10" t="s">
        <v>1885</v>
      </c>
      <c r="C16" s="11">
        <v>3868</v>
      </c>
    </row>
    <row r="17" spans="1:3" x14ac:dyDescent="0.25">
      <c r="A17" s="10" t="s">
        <v>1888</v>
      </c>
      <c r="B17" s="10" t="s">
        <v>1885</v>
      </c>
      <c r="C17" s="11">
        <v>3272</v>
      </c>
    </row>
    <row r="18" spans="1:3" x14ac:dyDescent="0.25">
      <c r="A18" s="10" t="s">
        <v>1889</v>
      </c>
      <c r="B18" s="10" t="s">
        <v>1885</v>
      </c>
      <c r="C18" s="11">
        <v>3934</v>
      </c>
    </row>
    <row r="19" spans="1:3" x14ac:dyDescent="0.25">
      <c r="A19" s="10" t="s">
        <v>1890</v>
      </c>
      <c r="B19" s="10" t="s">
        <v>1882</v>
      </c>
      <c r="C19" s="11">
        <v>3142</v>
      </c>
    </row>
    <row r="20" spans="1:3" x14ac:dyDescent="0.25">
      <c r="A20" s="10" t="s">
        <v>1891</v>
      </c>
      <c r="B20" s="10" t="s">
        <v>1878</v>
      </c>
      <c r="C20" s="11">
        <v>3884</v>
      </c>
    </row>
    <row r="21" spans="1:3" x14ac:dyDescent="0.25">
      <c r="A21" s="10" t="s">
        <v>1892</v>
      </c>
      <c r="B21" s="10" t="s">
        <v>1875</v>
      </c>
      <c r="C21" s="11">
        <v>3727</v>
      </c>
    </row>
    <row r="22" spans="1:3" x14ac:dyDescent="0.25">
      <c r="A22" s="10" t="s">
        <v>1889</v>
      </c>
      <c r="B22" s="10" t="s">
        <v>1885</v>
      </c>
      <c r="C22" s="11">
        <v>3538</v>
      </c>
    </row>
    <row r="23" spans="1:3" x14ac:dyDescent="0.25">
      <c r="A23" s="10" t="s">
        <v>1890</v>
      </c>
      <c r="B23" s="10" t="s">
        <v>1882</v>
      </c>
      <c r="C23" s="11">
        <v>3499</v>
      </c>
    </row>
    <row r="24" spans="1:3" x14ac:dyDescent="0.25">
      <c r="A24" s="10" t="s">
        <v>1891</v>
      </c>
      <c r="B24" s="10" t="s">
        <v>1878</v>
      </c>
      <c r="C24" s="11">
        <v>3712</v>
      </c>
    </row>
    <row r="25" spans="1:3" x14ac:dyDescent="0.25">
      <c r="A25" s="10" t="s">
        <v>1892</v>
      </c>
      <c r="B25" s="10" t="s">
        <v>1875</v>
      </c>
      <c r="C25" s="11">
        <v>3521</v>
      </c>
    </row>
    <row r="26" spans="1:3" x14ac:dyDescent="0.25">
      <c r="A26" s="10" t="s">
        <v>32</v>
      </c>
      <c r="B26" s="10" t="s">
        <v>1885</v>
      </c>
      <c r="C26" s="11">
        <v>3880</v>
      </c>
    </row>
    <row r="27" spans="1:3" x14ac:dyDescent="0.25">
      <c r="A27" s="10" t="s">
        <v>1874</v>
      </c>
      <c r="B27" s="10" t="s">
        <v>1882</v>
      </c>
      <c r="C27" s="11">
        <v>3703</v>
      </c>
    </row>
  </sheetData>
  <pageMargins left="0.7" right="0.7" top="0.75" bottom="0.75" header="0.3" footer="0.3"/>
  <headerFooter>
    <oddHeader>&amp;C&amp;"Aptos"&amp;10&amp;K4A569E Internal&amp;1#_x000D_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DD6F9-3AF5-4428-89FF-BB9DBB98EFCC}">
  <dimension ref="A1:H57"/>
  <sheetViews>
    <sheetView topLeftCell="A13" workbookViewId="0">
      <selection activeCell="A2" sqref="A2"/>
    </sheetView>
  </sheetViews>
  <sheetFormatPr defaultRowHeight="13.5" x14ac:dyDescent="0.25"/>
  <cols>
    <col min="1" max="1" width="28.7109375" bestFit="1" customWidth="1"/>
    <col min="2" max="2" width="64.140625" bestFit="1" customWidth="1"/>
    <col min="3" max="3" width="21.92578125" bestFit="1" customWidth="1"/>
    <col min="4" max="4" width="11.85546875" bestFit="1" customWidth="1"/>
    <col min="5" max="5" width="11.35546875" bestFit="1" customWidth="1"/>
    <col min="6" max="6" width="21.92578125" bestFit="1" customWidth="1"/>
    <col min="7" max="7" width="9.78515625" bestFit="1" customWidth="1"/>
    <col min="8" max="8" width="10.2109375" bestFit="1" customWidth="1"/>
  </cols>
  <sheetData>
    <row r="1" spans="1:8" x14ac:dyDescent="0.25">
      <c r="D1" s="22"/>
    </row>
    <row r="2" spans="1:8" x14ac:dyDescent="0.25">
      <c r="A2" s="2" t="s">
        <v>1915</v>
      </c>
      <c r="B2" t="s">
        <v>1913</v>
      </c>
      <c r="C2" s="4">
        <v>40559</v>
      </c>
      <c r="D2" s="22" t="s">
        <v>1861</v>
      </c>
    </row>
    <row r="3" spans="1:8" x14ac:dyDescent="0.25">
      <c r="A3" s="2" t="s">
        <v>1916</v>
      </c>
      <c r="B3" t="s">
        <v>1914</v>
      </c>
      <c r="C3" s="13" t="s">
        <v>1863</v>
      </c>
    </row>
    <row r="4" spans="1:8" x14ac:dyDescent="0.25">
      <c r="A4" s="2" t="s">
        <v>1917</v>
      </c>
      <c r="B4" t="s">
        <v>1860</v>
      </c>
      <c r="C4" s="3"/>
    </row>
    <row r="6" spans="1:8" x14ac:dyDescent="0.25">
      <c r="A6" s="2" t="s">
        <v>0</v>
      </c>
      <c r="B6" s="2" t="s">
        <v>1</v>
      </c>
      <c r="C6" s="2" t="s">
        <v>2</v>
      </c>
      <c r="D6" s="2" t="s">
        <v>3</v>
      </c>
      <c r="E6" s="2" t="s">
        <v>4</v>
      </c>
      <c r="F6" s="2" t="s">
        <v>5</v>
      </c>
      <c r="G6" s="2" t="s">
        <v>6</v>
      </c>
      <c r="H6" s="2" t="s">
        <v>1862</v>
      </c>
    </row>
    <row r="7" spans="1:8" x14ac:dyDescent="0.25">
      <c r="A7" t="s">
        <v>14</v>
      </c>
      <c r="B7" t="s">
        <v>15</v>
      </c>
      <c r="C7" t="s">
        <v>16</v>
      </c>
      <c r="D7" t="s">
        <v>17</v>
      </c>
      <c r="E7" t="s">
        <v>18</v>
      </c>
      <c r="F7" s="1">
        <v>40559</v>
      </c>
      <c r="G7">
        <v>957081544</v>
      </c>
      <c r="H7">
        <v>9053032</v>
      </c>
    </row>
    <row r="8" spans="1:8" x14ac:dyDescent="0.25">
      <c r="A8" t="s">
        <v>14</v>
      </c>
      <c r="B8" t="s">
        <v>20</v>
      </c>
      <c r="C8" t="s">
        <v>21</v>
      </c>
      <c r="D8" t="s">
        <v>22</v>
      </c>
      <c r="E8" t="s">
        <v>23</v>
      </c>
      <c r="F8" s="1">
        <v>40516</v>
      </c>
      <c r="G8">
        <v>694968783</v>
      </c>
      <c r="H8">
        <v>1802310</v>
      </c>
    </row>
    <row r="9" spans="1:8" x14ac:dyDescent="0.25">
      <c r="A9" t="s">
        <v>25</v>
      </c>
      <c r="B9" t="s">
        <v>26</v>
      </c>
      <c r="C9" t="s">
        <v>27</v>
      </c>
      <c r="D9" t="s">
        <v>22</v>
      </c>
      <c r="E9" t="s">
        <v>23</v>
      </c>
      <c r="F9" s="1">
        <v>40422</v>
      </c>
      <c r="G9">
        <v>441150701</v>
      </c>
      <c r="H9">
        <v>9875064</v>
      </c>
    </row>
    <row r="10" spans="1:8" x14ac:dyDescent="0.25">
      <c r="A10" t="s">
        <v>29</v>
      </c>
      <c r="B10" t="s">
        <v>30</v>
      </c>
      <c r="C10" t="s">
        <v>31</v>
      </c>
      <c r="D10" t="s">
        <v>22</v>
      </c>
      <c r="E10" t="s">
        <v>32</v>
      </c>
      <c r="F10" s="1">
        <v>40538</v>
      </c>
      <c r="G10">
        <v>552037513</v>
      </c>
      <c r="H10">
        <v>9459379</v>
      </c>
    </row>
    <row r="11" spans="1:8" x14ac:dyDescent="0.25">
      <c r="A11" t="s">
        <v>29</v>
      </c>
      <c r="B11" t="s">
        <v>35</v>
      </c>
      <c r="C11" t="s">
        <v>21</v>
      </c>
      <c r="D11" t="s">
        <v>22</v>
      </c>
      <c r="E11" t="s">
        <v>23</v>
      </c>
      <c r="F11" s="1">
        <v>40595</v>
      </c>
      <c r="G11">
        <v>571902596</v>
      </c>
      <c r="H11">
        <v>7787888</v>
      </c>
    </row>
    <row r="12" spans="1:8" x14ac:dyDescent="0.25">
      <c r="A12" t="s">
        <v>38</v>
      </c>
      <c r="B12" t="s">
        <v>39</v>
      </c>
      <c r="C12" t="s">
        <v>40</v>
      </c>
      <c r="D12" t="s">
        <v>22</v>
      </c>
      <c r="E12" t="s">
        <v>32</v>
      </c>
      <c r="F12" s="1">
        <v>40472</v>
      </c>
      <c r="G12">
        <v>412882792</v>
      </c>
      <c r="H12">
        <v>6936804</v>
      </c>
    </row>
    <row r="13" spans="1:8" x14ac:dyDescent="0.25">
      <c r="A13" t="s">
        <v>42</v>
      </c>
      <c r="B13" t="s">
        <v>43</v>
      </c>
      <c r="C13" t="s">
        <v>44</v>
      </c>
      <c r="D13" t="s">
        <v>22</v>
      </c>
      <c r="E13" t="s">
        <v>45</v>
      </c>
      <c r="F13" s="1">
        <v>40375</v>
      </c>
      <c r="G13">
        <v>932776868</v>
      </c>
      <c r="H13">
        <v>7155414</v>
      </c>
    </row>
    <row r="14" spans="1:8" x14ac:dyDescent="0.25">
      <c r="A14" t="s">
        <v>25</v>
      </c>
      <c r="B14" t="s">
        <v>47</v>
      </c>
      <c r="C14" t="s">
        <v>44</v>
      </c>
      <c r="D14" t="s">
        <v>17</v>
      </c>
      <c r="E14" t="s">
        <v>18</v>
      </c>
      <c r="F14" s="1">
        <v>40423</v>
      </c>
      <c r="G14">
        <v>919133651</v>
      </c>
      <c r="H14">
        <v>6550988</v>
      </c>
    </row>
    <row r="15" spans="1:8" x14ac:dyDescent="0.25">
      <c r="A15" t="s">
        <v>38</v>
      </c>
      <c r="B15" t="s">
        <v>49</v>
      </c>
      <c r="C15" t="s">
        <v>44</v>
      </c>
      <c r="D15" t="s">
        <v>22</v>
      </c>
      <c r="E15" t="s">
        <v>18</v>
      </c>
      <c r="F15" s="1">
        <v>40544</v>
      </c>
      <c r="G15">
        <v>579814469</v>
      </c>
      <c r="H15">
        <v>9799094</v>
      </c>
    </row>
    <row r="16" spans="1:8" x14ac:dyDescent="0.25">
      <c r="A16" t="s">
        <v>51</v>
      </c>
      <c r="B16" t="s">
        <v>52</v>
      </c>
      <c r="C16" t="s">
        <v>16</v>
      </c>
      <c r="D16" t="s">
        <v>17</v>
      </c>
      <c r="E16" t="s">
        <v>18</v>
      </c>
      <c r="F16" s="1">
        <v>40532</v>
      </c>
      <c r="G16">
        <v>192993152</v>
      </c>
      <c r="H16">
        <v>1244300</v>
      </c>
    </row>
    <row r="17" spans="1:8" x14ac:dyDescent="0.25">
      <c r="A17" t="s">
        <v>38</v>
      </c>
      <c r="B17" t="s">
        <v>54</v>
      </c>
      <c r="C17" t="s">
        <v>55</v>
      </c>
      <c r="D17" t="s">
        <v>22</v>
      </c>
      <c r="E17" t="s">
        <v>23</v>
      </c>
      <c r="F17" s="1">
        <v>40583</v>
      </c>
      <c r="G17">
        <v>557156026</v>
      </c>
      <c r="H17">
        <v>3385544</v>
      </c>
    </row>
    <row r="18" spans="1:8" x14ac:dyDescent="0.25">
      <c r="A18" t="s">
        <v>38</v>
      </c>
      <c r="B18" t="s">
        <v>58</v>
      </c>
      <c r="C18" t="s">
        <v>59</v>
      </c>
      <c r="D18" t="s">
        <v>17</v>
      </c>
      <c r="E18" t="s">
        <v>18</v>
      </c>
      <c r="F18" s="1">
        <v>40326</v>
      </c>
      <c r="G18">
        <v>741101920</v>
      </c>
      <c r="H18">
        <v>7248081</v>
      </c>
    </row>
    <row r="19" spans="1:8" x14ac:dyDescent="0.25">
      <c r="A19" t="s">
        <v>29</v>
      </c>
      <c r="B19" t="s">
        <v>61</v>
      </c>
      <c r="C19" t="s">
        <v>31</v>
      </c>
      <c r="D19" t="s">
        <v>22</v>
      </c>
      <c r="E19" t="s">
        <v>32</v>
      </c>
      <c r="F19" s="1">
        <v>40558</v>
      </c>
      <c r="G19">
        <v>333942162</v>
      </c>
      <c r="H19">
        <v>195612</v>
      </c>
    </row>
    <row r="20" spans="1:8" x14ac:dyDescent="0.25">
      <c r="A20" t="s">
        <v>14</v>
      </c>
      <c r="B20" t="s">
        <v>64</v>
      </c>
      <c r="C20" t="s">
        <v>59</v>
      </c>
      <c r="D20" t="s">
        <v>22</v>
      </c>
      <c r="E20" t="s">
        <v>45</v>
      </c>
      <c r="F20" s="1">
        <v>40319</v>
      </c>
      <c r="G20">
        <v>795100581</v>
      </c>
      <c r="H20">
        <v>9702841</v>
      </c>
    </row>
    <row r="21" spans="1:8" x14ac:dyDescent="0.25">
      <c r="A21" t="s">
        <v>14</v>
      </c>
      <c r="B21" t="s">
        <v>66</v>
      </c>
      <c r="C21" t="s">
        <v>16</v>
      </c>
      <c r="D21" t="s">
        <v>17</v>
      </c>
      <c r="E21" t="s">
        <v>32</v>
      </c>
      <c r="F21" s="1">
        <v>40563</v>
      </c>
      <c r="G21">
        <v>504313504</v>
      </c>
      <c r="H21">
        <v>4401376</v>
      </c>
    </row>
    <row r="22" spans="1:8" x14ac:dyDescent="0.25">
      <c r="A22" t="s">
        <v>38</v>
      </c>
      <c r="B22" t="s">
        <v>68</v>
      </c>
      <c r="C22" t="s">
        <v>69</v>
      </c>
      <c r="D22" t="s">
        <v>22</v>
      </c>
      <c r="E22" t="s">
        <v>45</v>
      </c>
      <c r="F22" s="1">
        <v>40439</v>
      </c>
      <c r="G22">
        <v>611629760</v>
      </c>
      <c r="H22">
        <v>1875383</v>
      </c>
    </row>
    <row r="23" spans="1:8" x14ac:dyDescent="0.25">
      <c r="A23" t="s">
        <v>25</v>
      </c>
      <c r="B23" t="s">
        <v>72</v>
      </c>
      <c r="C23" t="s">
        <v>31</v>
      </c>
      <c r="D23" t="s">
        <v>22</v>
      </c>
      <c r="E23" t="s">
        <v>23</v>
      </c>
      <c r="F23" s="1">
        <v>40511</v>
      </c>
      <c r="G23">
        <v>987410676</v>
      </c>
      <c r="H23">
        <v>7817863</v>
      </c>
    </row>
    <row r="24" spans="1:8" x14ac:dyDescent="0.25">
      <c r="A24" t="s">
        <v>25</v>
      </c>
      <c r="B24" t="s">
        <v>74</v>
      </c>
      <c r="C24" t="s">
        <v>55</v>
      </c>
      <c r="D24" t="s">
        <v>17</v>
      </c>
      <c r="E24" t="s">
        <v>32</v>
      </c>
      <c r="F24" s="1">
        <v>40378</v>
      </c>
      <c r="G24">
        <v>672330081</v>
      </c>
      <c r="H24">
        <v>4860481</v>
      </c>
    </row>
    <row r="25" spans="1:8" x14ac:dyDescent="0.25">
      <c r="A25" t="s">
        <v>77</v>
      </c>
      <c r="B25" t="s">
        <v>78</v>
      </c>
      <c r="C25" t="s">
        <v>27</v>
      </c>
      <c r="D25" t="s">
        <v>17</v>
      </c>
      <c r="E25" t="s">
        <v>23</v>
      </c>
      <c r="F25" s="1">
        <v>40364</v>
      </c>
      <c r="G25">
        <v>127374303</v>
      </c>
      <c r="H25">
        <v>6375961</v>
      </c>
    </row>
    <row r="26" spans="1:8" x14ac:dyDescent="0.25">
      <c r="A26" t="s">
        <v>14</v>
      </c>
      <c r="B26" t="s">
        <v>81</v>
      </c>
      <c r="C26" t="s">
        <v>16</v>
      </c>
      <c r="D26" t="s">
        <v>22</v>
      </c>
      <c r="E26" t="s">
        <v>23</v>
      </c>
      <c r="F26" s="1">
        <v>40497</v>
      </c>
      <c r="G26">
        <v>783842170</v>
      </c>
      <c r="H26">
        <v>8248706</v>
      </c>
    </row>
    <row r="27" spans="1:8" x14ac:dyDescent="0.25">
      <c r="A27" t="s">
        <v>38</v>
      </c>
      <c r="B27" t="s">
        <v>83</v>
      </c>
      <c r="C27" t="s">
        <v>27</v>
      </c>
      <c r="D27" t="s">
        <v>22</v>
      </c>
      <c r="E27" t="s">
        <v>32</v>
      </c>
      <c r="F27" s="1">
        <v>40350</v>
      </c>
      <c r="G27">
        <v>993345010</v>
      </c>
      <c r="H27">
        <v>7480480</v>
      </c>
    </row>
    <row r="28" spans="1:8" x14ac:dyDescent="0.25">
      <c r="A28" t="s">
        <v>38</v>
      </c>
      <c r="B28" t="s">
        <v>85</v>
      </c>
      <c r="C28" t="s">
        <v>16</v>
      </c>
      <c r="D28" t="s">
        <v>22</v>
      </c>
      <c r="E28" t="s">
        <v>18</v>
      </c>
      <c r="F28" s="1">
        <v>40326</v>
      </c>
      <c r="G28">
        <v>977806651</v>
      </c>
      <c r="H28">
        <v>8218031</v>
      </c>
    </row>
    <row r="29" spans="1:8" x14ac:dyDescent="0.25">
      <c r="A29" t="s">
        <v>25</v>
      </c>
      <c r="B29" t="s">
        <v>87</v>
      </c>
      <c r="C29" t="s">
        <v>88</v>
      </c>
      <c r="D29" t="s">
        <v>17</v>
      </c>
      <c r="E29" t="s">
        <v>32</v>
      </c>
      <c r="F29" s="1">
        <v>40409</v>
      </c>
      <c r="G29">
        <v>579463422</v>
      </c>
      <c r="H29">
        <v>937805</v>
      </c>
    </row>
    <row r="30" spans="1:8" x14ac:dyDescent="0.25">
      <c r="A30" t="s">
        <v>42</v>
      </c>
      <c r="B30" t="s">
        <v>90</v>
      </c>
      <c r="C30" t="s">
        <v>27</v>
      </c>
      <c r="D30" t="s">
        <v>22</v>
      </c>
      <c r="E30" t="s">
        <v>32</v>
      </c>
      <c r="F30" s="1">
        <v>40353</v>
      </c>
      <c r="G30">
        <v>610864150</v>
      </c>
      <c r="H30">
        <v>7456066</v>
      </c>
    </row>
    <row r="31" spans="1:8" x14ac:dyDescent="0.25">
      <c r="A31" t="s">
        <v>38</v>
      </c>
      <c r="B31" t="s">
        <v>92</v>
      </c>
      <c r="C31" t="s">
        <v>21</v>
      </c>
      <c r="D31" t="s">
        <v>22</v>
      </c>
      <c r="E31" t="s">
        <v>32</v>
      </c>
      <c r="F31" s="1">
        <v>40427</v>
      </c>
      <c r="G31">
        <v>604870164</v>
      </c>
      <c r="H31">
        <v>2041568</v>
      </c>
    </row>
    <row r="32" spans="1:8" x14ac:dyDescent="0.25">
      <c r="A32" t="s">
        <v>14</v>
      </c>
      <c r="B32" t="s">
        <v>94</v>
      </c>
      <c r="C32" t="s">
        <v>31</v>
      </c>
      <c r="D32" t="s">
        <v>17</v>
      </c>
      <c r="E32" t="s">
        <v>45</v>
      </c>
      <c r="F32" s="1">
        <v>40446</v>
      </c>
      <c r="G32">
        <v>164655292</v>
      </c>
      <c r="H32">
        <v>2002347</v>
      </c>
    </row>
    <row r="33" spans="1:8" x14ac:dyDescent="0.25">
      <c r="A33" t="s">
        <v>25</v>
      </c>
      <c r="B33" t="s">
        <v>96</v>
      </c>
      <c r="C33" t="s">
        <v>88</v>
      </c>
      <c r="D33" t="s">
        <v>22</v>
      </c>
      <c r="E33" t="s">
        <v>32</v>
      </c>
      <c r="F33" s="1">
        <v>40588</v>
      </c>
      <c r="G33">
        <v>313705861</v>
      </c>
      <c r="H33">
        <v>2518468</v>
      </c>
    </row>
    <row r="34" spans="1:8" x14ac:dyDescent="0.25">
      <c r="A34" t="s">
        <v>14</v>
      </c>
      <c r="B34" t="s">
        <v>98</v>
      </c>
      <c r="C34" t="s">
        <v>55</v>
      </c>
      <c r="D34" t="s">
        <v>17</v>
      </c>
      <c r="E34" t="s">
        <v>18</v>
      </c>
      <c r="F34" s="1">
        <v>40560</v>
      </c>
      <c r="G34">
        <v>345820701</v>
      </c>
      <c r="H34">
        <v>5748788</v>
      </c>
    </row>
    <row r="35" spans="1:8" x14ac:dyDescent="0.25">
      <c r="A35" t="s">
        <v>51</v>
      </c>
      <c r="B35" t="s">
        <v>100</v>
      </c>
      <c r="C35" t="s">
        <v>16</v>
      </c>
      <c r="D35" t="s">
        <v>17</v>
      </c>
      <c r="E35" t="s">
        <v>18</v>
      </c>
      <c r="F35" s="1">
        <v>40311</v>
      </c>
      <c r="G35">
        <v>975111138</v>
      </c>
      <c r="H35">
        <v>7516484</v>
      </c>
    </row>
    <row r="36" spans="1:8" x14ac:dyDescent="0.25">
      <c r="A36" t="s">
        <v>42</v>
      </c>
      <c r="B36" t="s">
        <v>103</v>
      </c>
      <c r="C36" t="s">
        <v>21</v>
      </c>
      <c r="D36" t="s">
        <v>17</v>
      </c>
      <c r="E36" t="s">
        <v>23</v>
      </c>
      <c r="F36" s="1">
        <v>40319</v>
      </c>
      <c r="G36">
        <v>286001002</v>
      </c>
      <c r="H36">
        <v>3043748</v>
      </c>
    </row>
    <row r="37" spans="1:8" x14ac:dyDescent="0.25">
      <c r="A37" t="s">
        <v>38</v>
      </c>
      <c r="B37" t="s">
        <v>105</v>
      </c>
      <c r="C37" t="s">
        <v>59</v>
      </c>
      <c r="D37" t="s">
        <v>22</v>
      </c>
      <c r="E37" t="s">
        <v>45</v>
      </c>
      <c r="F37" s="1">
        <v>40410</v>
      </c>
      <c r="G37">
        <v>483226621</v>
      </c>
      <c r="H37">
        <v>7753187</v>
      </c>
    </row>
    <row r="38" spans="1:8" x14ac:dyDescent="0.25">
      <c r="A38" t="s">
        <v>42</v>
      </c>
      <c r="B38" t="s">
        <v>107</v>
      </c>
      <c r="C38" t="s">
        <v>44</v>
      </c>
      <c r="D38" t="s">
        <v>22</v>
      </c>
      <c r="E38" t="s">
        <v>18</v>
      </c>
      <c r="F38" s="1">
        <v>40422</v>
      </c>
      <c r="G38">
        <v>241836822</v>
      </c>
      <c r="H38">
        <v>8011130</v>
      </c>
    </row>
    <row r="39" spans="1:8" x14ac:dyDescent="0.25">
      <c r="A39" t="s">
        <v>38</v>
      </c>
      <c r="B39" t="s">
        <v>58</v>
      </c>
      <c r="C39" t="s">
        <v>44</v>
      </c>
      <c r="D39" t="s">
        <v>17</v>
      </c>
      <c r="E39" t="s">
        <v>45</v>
      </c>
      <c r="F39" s="1">
        <v>40495</v>
      </c>
      <c r="G39">
        <v>557192933</v>
      </c>
      <c r="H39">
        <v>1847901</v>
      </c>
    </row>
    <row r="40" spans="1:8" x14ac:dyDescent="0.25">
      <c r="A40" t="s">
        <v>51</v>
      </c>
      <c r="B40" t="s">
        <v>108</v>
      </c>
      <c r="C40" t="s">
        <v>69</v>
      </c>
      <c r="D40" t="s">
        <v>17</v>
      </c>
      <c r="E40" t="s">
        <v>32</v>
      </c>
      <c r="F40" s="1">
        <v>40340</v>
      </c>
      <c r="G40">
        <v>694968783</v>
      </c>
      <c r="H40">
        <v>2241341</v>
      </c>
    </row>
    <row r="41" spans="1:8" x14ac:dyDescent="0.25">
      <c r="A41" t="s">
        <v>38</v>
      </c>
      <c r="B41" t="s">
        <v>68</v>
      </c>
      <c r="C41" t="s">
        <v>88</v>
      </c>
      <c r="D41" t="s">
        <v>17</v>
      </c>
      <c r="E41" t="s">
        <v>45</v>
      </c>
      <c r="F41" s="1">
        <v>40573</v>
      </c>
      <c r="G41">
        <v>441150701</v>
      </c>
      <c r="H41">
        <v>4996602</v>
      </c>
    </row>
    <row r="42" spans="1:8" x14ac:dyDescent="0.25">
      <c r="A42" t="s">
        <v>25</v>
      </c>
      <c r="B42" t="s">
        <v>26</v>
      </c>
      <c r="C42" t="s">
        <v>31</v>
      </c>
      <c r="D42" t="s">
        <v>17</v>
      </c>
      <c r="E42" t="s">
        <v>18</v>
      </c>
      <c r="F42" s="1">
        <v>40536</v>
      </c>
      <c r="G42">
        <v>552037513</v>
      </c>
      <c r="H42">
        <v>6405957</v>
      </c>
    </row>
    <row r="43" spans="1:8" x14ac:dyDescent="0.25">
      <c r="A43" t="s">
        <v>42</v>
      </c>
      <c r="B43" t="s">
        <v>103</v>
      </c>
      <c r="C43" t="s">
        <v>59</v>
      </c>
      <c r="D43" t="s">
        <v>22</v>
      </c>
      <c r="E43" t="s">
        <v>23</v>
      </c>
      <c r="F43" s="1">
        <v>40561</v>
      </c>
      <c r="G43">
        <v>504240548</v>
      </c>
      <c r="H43">
        <v>192633</v>
      </c>
    </row>
    <row r="44" spans="1:8" x14ac:dyDescent="0.25">
      <c r="A44" t="s">
        <v>25</v>
      </c>
      <c r="B44" t="s">
        <v>112</v>
      </c>
      <c r="C44" t="s">
        <v>113</v>
      </c>
      <c r="D44" t="s">
        <v>22</v>
      </c>
      <c r="E44" t="s">
        <v>32</v>
      </c>
      <c r="F44" s="1">
        <v>40346</v>
      </c>
      <c r="G44">
        <v>744683635</v>
      </c>
      <c r="H44">
        <v>3086281</v>
      </c>
    </row>
    <row r="45" spans="1:8" x14ac:dyDescent="0.25">
      <c r="A45" t="s">
        <v>51</v>
      </c>
      <c r="B45" t="s">
        <v>115</v>
      </c>
      <c r="C45" t="s">
        <v>40</v>
      </c>
      <c r="D45" t="s">
        <v>17</v>
      </c>
      <c r="E45" t="s">
        <v>32</v>
      </c>
      <c r="F45" s="1">
        <v>40417</v>
      </c>
      <c r="G45">
        <v>440603101</v>
      </c>
      <c r="H45">
        <v>8422261</v>
      </c>
    </row>
    <row r="46" spans="1:8" x14ac:dyDescent="0.25">
      <c r="A46" t="s">
        <v>38</v>
      </c>
      <c r="B46" t="s">
        <v>117</v>
      </c>
      <c r="C46" t="s">
        <v>44</v>
      </c>
      <c r="D46" t="s">
        <v>22</v>
      </c>
      <c r="E46" t="s">
        <v>32</v>
      </c>
      <c r="F46" s="1">
        <v>40560</v>
      </c>
      <c r="G46">
        <v>629547774</v>
      </c>
      <c r="H46">
        <v>676476</v>
      </c>
    </row>
    <row r="47" spans="1:8" x14ac:dyDescent="0.25">
      <c r="A47" t="s">
        <v>25</v>
      </c>
      <c r="B47" t="s">
        <v>119</v>
      </c>
      <c r="C47" t="s">
        <v>69</v>
      </c>
      <c r="D47" t="s">
        <v>17</v>
      </c>
      <c r="E47" t="s">
        <v>32</v>
      </c>
      <c r="F47" s="1">
        <v>40511</v>
      </c>
      <c r="G47">
        <v>169378983</v>
      </c>
      <c r="H47">
        <v>4749364</v>
      </c>
    </row>
    <row r="48" spans="1:8" x14ac:dyDescent="0.25">
      <c r="A48" t="s">
        <v>38</v>
      </c>
      <c r="B48" t="s">
        <v>92</v>
      </c>
      <c r="C48" t="s">
        <v>40</v>
      </c>
      <c r="D48" t="s">
        <v>22</v>
      </c>
      <c r="E48" t="s">
        <v>32</v>
      </c>
      <c r="F48" s="1">
        <v>40586</v>
      </c>
      <c r="G48">
        <v>688270556</v>
      </c>
      <c r="H48">
        <v>6762848</v>
      </c>
    </row>
    <row r="49" spans="1:8" x14ac:dyDescent="0.25">
      <c r="A49" t="s">
        <v>29</v>
      </c>
      <c r="B49" t="s">
        <v>121</v>
      </c>
      <c r="C49" t="s">
        <v>69</v>
      </c>
      <c r="D49" t="s">
        <v>17</v>
      </c>
      <c r="E49" t="s">
        <v>32</v>
      </c>
      <c r="F49" s="1">
        <v>40422</v>
      </c>
      <c r="G49">
        <v>734708821</v>
      </c>
      <c r="H49">
        <v>3422508</v>
      </c>
    </row>
    <row r="50" spans="1:8" x14ac:dyDescent="0.25">
      <c r="A50" t="s">
        <v>29</v>
      </c>
      <c r="B50" t="s">
        <v>124</v>
      </c>
      <c r="C50" t="s">
        <v>21</v>
      </c>
      <c r="D50" t="s">
        <v>17</v>
      </c>
      <c r="E50" t="s">
        <v>23</v>
      </c>
      <c r="F50" s="1">
        <v>40572</v>
      </c>
      <c r="G50">
        <v>727492606</v>
      </c>
      <c r="H50">
        <v>4724738</v>
      </c>
    </row>
    <row r="51" spans="1:8" x14ac:dyDescent="0.25">
      <c r="A51" t="s">
        <v>38</v>
      </c>
      <c r="B51" t="s">
        <v>85</v>
      </c>
      <c r="C51" t="s">
        <v>16</v>
      </c>
      <c r="D51" t="s">
        <v>22</v>
      </c>
      <c r="E51" t="s">
        <v>18</v>
      </c>
      <c r="F51" s="1">
        <v>40496</v>
      </c>
      <c r="G51">
        <v>705733239</v>
      </c>
      <c r="H51">
        <v>9886103</v>
      </c>
    </row>
    <row r="52" spans="1:8" x14ac:dyDescent="0.25">
      <c r="A52" t="s">
        <v>51</v>
      </c>
      <c r="B52" t="s">
        <v>128</v>
      </c>
      <c r="C52" t="s">
        <v>55</v>
      </c>
      <c r="D52" t="s">
        <v>22</v>
      </c>
      <c r="E52" t="s">
        <v>23</v>
      </c>
      <c r="F52" s="1">
        <v>40434</v>
      </c>
      <c r="G52">
        <v>778854548</v>
      </c>
      <c r="H52">
        <v>1608674</v>
      </c>
    </row>
    <row r="53" spans="1:8" x14ac:dyDescent="0.25">
      <c r="A53" t="s">
        <v>51</v>
      </c>
      <c r="B53" t="s">
        <v>129</v>
      </c>
      <c r="C53" t="s">
        <v>59</v>
      </c>
      <c r="D53" t="s">
        <v>22</v>
      </c>
      <c r="E53" t="s">
        <v>18</v>
      </c>
      <c r="F53" s="1">
        <v>40381</v>
      </c>
      <c r="G53">
        <v>557192933</v>
      </c>
      <c r="H53">
        <v>2925658</v>
      </c>
    </row>
    <row r="54" spans="1:8" x14ac:dyDescent="0.25">
      <c r="A54" t="s">
        <v>38</v>
      </c>
      <c r="B54" t="s">
        <v>68</v>
      </c>
      <c r="C54" t="s">
        <v>131</v>
      </c>
      <c r="D54" t="s">
        <v>22</v>
      </c>
      <c r="E54" t="s">
        <v>18</v>
      </c>
      <c r="F54" s="1">
        <v>40572</v>
      </c>
      <c r="G54">
        <v>694968783</v>
      </c>
      <c r="H54">
        <v>1787532</v>
      </c>
    </row>
    <row r="55" spans="1:8" x14ac:dyDescent="0.25">
      <c r="A55" t="s">
        <v>25</v>
      </c>
      <c r="B55" t="s">
        <v>134</v>
      </c>
      <c r="C55" t="s">
        <v>27</v>
      </c>
      <c r="D55" t="s">
        <v>17</v>
      </c>
      <c r="E55" t="s">
        <v>45</v>
      </c>
      <c r="F55" s="1">
        <v>40538</v>
      </c>
      <c r="G55">
        <v>441150701</v>
      </c>
      <c r="H55">
        <v>5727135</v>
      </c>
    </row>
    <row r="56" spans="1:8" x14ac:dyDescent="0.25">
      <c r="A56" t="s">
        <v>29</v>
      </c>
      <c r="B56" t="s">
        <v>137</v>
      </c>
      <c r="C56" t="s">
        <v>16</v>
      </c>
      <c r="D56" t="s">
        <v>17</v>
      </c>
      <c r="E56" t="s">
        <v>18</v>
      </c>
      <c r="F56" s="1">
        <v>40396</v>
      </c>
      <c r="G56">
        <v>552037513</v>
      </c>
      <c r="H56">
        <v>3198169</v>
      </c>
    </row>
    <row r="57" spans="1:8" x14ac:dyDescent="0.25">
      <c r="A57" t="s">
        <v>25</v>
      </c>
      <c r="B57" t="s">
        <v>140</v>
      </c>
      <c r="C57" t="s">
        <v>21</v>
      </c>
      <c r="D57" t="s">
        <v>17</v>
      </c>
      <c r="E57" t="s">
        <v>18</v>
      </c>
      <c r="F57" s="1">
        <v>40411</v>
      </c>
      <c r="G57">
        <v>504240548</v>
      </c>
      <c r="H57">
        <v>2193213</v>
      </c>
    </row>
  </sheetData>
  <pageMargins left="0.7" right="0.7" top="0.75" bottom="0.75" header="0.3" footer="0.3"/>
  <headerFooter>
    <oddHeader>&amp;C&amp;"Aptos"&amp;10&amp;K4A569E Internal&amp;1#_x000D_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2C863-2D0F-4E77-AEB5-CA982AB378D6}">
  <dimension ref="A1:E48"/>
  <sheetViews>
    <sheetView tabSelected="1" workbookViewId="0">
      <selection activeCell="C14" sqref="C14"/>
    </sheetView>
  </sheetViews>
  <sheetFormatPr defaultRowHeight="13.5" x14ac:dyDescent="0.25"/>
  <cols>
    <col min="1" max="1" width="11.0703125" bestFit="1" customWidth="1"/>
    <col min="2" max="2" width="10.5" bestFit="1" customWidth="1"/>
    <col min="3" max="3" width="46.2109375" customWidth="1"/>
    <col min="4" max="4" width="30.42578125" customWidth="1"/>
    <col min="5" max="5" width="31.5703125" customWidth="1"/>
  </cols>
  <sheetData>
    <row r="1" spans="1:5" x14ac:dyDescent="0.25">
      <c r="A1" s="2" t="s">
        <v>1868</v>
      </c>
    </row>
    <row r="2" spans="1:5" s="12" customFormat="1" ht="33" customHeight="1" x14ac:dyDescent="0.25">
      <c r="A2" s="6" t="s">
        <v>1864</v>
      </c>
      <c r="B2" s="6" t="s">
        <v>1865</v>
      </c>
      <c r="C2" s="6" t="s">
        <v>1869</v>
      </c>
      <c r="D2" s="6" t="s">
        <v>1870</v>
      </c>
      <c r="E2" s="6" t="s">
        <v>1871</v>
      </c>
    </row>
    <row r="3" spans="1:5" x14ac:dyDescent="0.25">
      <c r="A3" s="7">
        <v>1</v>
      </c>
      <c r="B3" s="7">
        <v>123</v>
      </c>
      <c r="C3" s="8" t="b" cm="1">
        <f t="array" ref="C3:C7">NOT(ISTEXT(B3:B7))</f>
        <v>1</v>
      </c>
      <c r="D3" s="8" t="b" cm="1">
        <f t="array" ref="D3:D7">ISNUMBER(B3:B7)</f>
        <v>1</v>
      </c>
      <c r="E3" s="8" t="b" cm="1">
        <f t="array" ref="E3:E7">ISTEXT(B3:B7)</f>
        <v>0</v>
      </c>
    </row>
    <row r="4" spans="1:5" x14ac:dyDescent="0.25">
      <c r="A4" s="7">
        <v>2</v>
      </c>
      <c r="B4" s="7" t="s">
        <v>1866</v>
      </c>
      <c r="C4" s="8" t="b">
        <v>0</v>
      </c>
      <c r="D4" s="8" t="b">
        <v>0</v>
      </c>
      <c r="E4" s="8" t="b">
        <v>1</v>
      </c>
    </row>
    <row r="5" spans="1:5" x14ac:dyDescent="0.25">
      <c r="A5" s="7">
        <v>3</v>
      </c>
      <c r="B5" s="7">
        <v>456</v>
      </c>
      <c r="C5" s="8" t="b">
        <v>1</v>
      </c>
      <c r="D5" s="8" t="b">
        <v>1</v>
      </c>
      <c r="E5" s="8" t="b">
        <v>0</v>
      </c>
    </row>
    <row r="6" spans="1:5" x14ac:dyDescent="0.25">
      <c r="A6" s="7">
        <v>4</v>
      </c>
      <c r="B6" s="7" t="s">
        <v>1867</v>
      </c>
      <c r="C6" s="8" t="b">
        <v>0</v>
      </c>
      <c r="D6" s="8" t="b">
        <v>0</v>
      </c>
      <c r="E6" s="8" t="b">
        <v>1</v>
      </c>
    </row>
    <row r="7" spans="1:5" x14ac:dyDescent="0.25">
      <c r="A7" s="7">
        <v>5</v>
      </c>
      <c r="B7" s="7">
        <v>789</v>
      </c>
      <c r="C7" s="8" t="b">
        <v>1</v>
      </c>
      <c r="D7" s="8" t="b">
        <v>1</v>
      </c>
      <c r="E7" s="8" t="b">
        <v>0</v>
      </c>
    </row>
    <row r="12" spans="1:5" x14ac:dyDescent="0.25">
      <c r="A12" s="2" t="s">
        <v>1898</v>
      </c>
      <c r="B12" s="2" t="s">
        <v>1896</v>
      </c>
      <c r="C12" s="2" t="s">
        <v>1895</v>
      </c>
    </row>
    <row r="13" spans="1:5" x14ac:dyDescent="0.25">
      <c r="B13" s="14" t="s">
        <v>0</v>
      </c>
      <c r="C13" s="14" t="s">
        <v>1893</v>
      </c>
    </row>
    <row r="14" spans="1:5" x14ac:dyDescent="0.25">
      <c r="B14" s="8" t="s">
        <v>1875</v>
      </c>
      <c r="C14" s="15" cm="1">
        <f t="array" ref="C14:C17">COUNTIF('Data Set for Que 5 to 7'!B:B,B14:B17)</f>
        <v>6</v>
      </c>
      <c r="D14" s="22" t="s">
        <v>1921</v>
      </c>
    </row>
    <row r="15" spans="1:5" x14ac:dyDescent="0.25">
      <c r="B15" s="8" t="s">
        <v>1878</v>
      </c>
      <c r="C15" s="15">
        <v>6</v>
      </c>
    </row>
    <row r="16" spans="1:5" x14ac:dyDescent="0.25">
      <c r="B16" s="8" t="s">
        <v>1882</v>
      </c>
      <c r="C16" s="15">
        <v>7</v>
      </c>
    </row>
    <row r="17" spans="1:5" x14ac:dyDescent="0.25">
      <c r="B17" s="8" t="s">
        <v>1885</v>
      </c>
      <c r="C17" s="15">
        <v>7</v>
      </c>
    </row>
    <row r="21" spans="1:5" x14ac:dyDescent="0.25">
      <c r="A21" s="2" t="s">
        <v>1897</v>
      </c>
      <c r="B21" s="2" t="s">
        <v>1896</v>
      </c>
      <c r="C21" s="2" t="s">
        <v>1901</v>
      </c>
    </row>
    <row r="22" spans="1:5" x14ac:dyDescent="0.25">
      <c r="B22" s="14" t="s">
        <v>0</v>
      </c>
      <c r="C22" s="14" t="s">
        <v>1894</v>
      </c>
    </row>
    <row r="23" spans="1:5" x14ac:dyDescent="0.25">
      <c r="B23" s="8" t="s">
        <v>1875</v>
      </c>
      <c r="C23" s="15" cm="1">
        <f t="array" ref="C23:C26">SUMIF('Data Set for Que 5 to 7'!B:B,B23:B26,'Data Set for Que 5 to 7'!C:C)</f>
        <v>18155</v>
      </c>
      <c r="D23" s="22" t="s">
        <v>1922</v>
      </c>
    </row>
    <row r="24" spans="1:5" x14ac:dyDescent="0.25">
      <c r="B24" s="8" t="s">
        <v>1878</v>
      </c>
      <c r="C24" s="15">
        <v>22836</v>
      </c>
    </row>
    <row r="25" spans="1:5" x14ac:dyDescent="0.25">
      <c r="B25" s="8" t="s">
        <v>1882</v>
      </c>
      <c r="C25" s="15">
        <v>26566</v>
      </c>
    </row>
    <row r="26" spans="1:5" x14ac:dyDescent="0.25">
      <c r="B26" s="8" t="s">
        <v>1885</v>
      </c>
      <c r="C26" s="15">
        <v>24901</v>
      </c>
    </row>
    <row r="29" spans="1:5" x14ac:dyDescent="0.25">
      <c r="A29" s="2" t="s">
        <v>1899</v>
      </c>
      <c r="B29" s="2" t="s">
        <v>1896</v>
      </c>
      <c r="C29" s="2" t="s">
        <v>1900</v>
      </c>
    </row>
    <row r="31" spans="1:5" x14ac:dyDescent="0.25">
      <c r="B31" s="14" t="s">
        <v>0</v>
      </c>
      <c r="C31" s="14" t="s">
        <v>1872</v>
      </c>
      <c r="D31" s="14" t="s">
        <v>1894</v>
      </c>
    </row>
    <row r="32" spans="1:5" x14ac:dyDescent="0.25">
      <c r="B32" s="8" t="s">
        <v>1875</v>
      </c>
      <c r="C32" s="10" t="s">
        <v>45</v>
      </c>
      <c r="D32" s="15" cm="1">
        <f t="array" ref="D32:D35">SUMIFS('Data Set for Que 5 to 7'!C:C,'Data Set for Que 5 to 7'!B:B,B32:B35,'Data Set for Que 5 to 7'!A:A,C32:C35)</f>
        <v>0</v>
      </c>
      <c r="E32" s="22" t="s">
        <v>1920</v>
      </c>
    </row>
    <row r="33" spans="1:5" x14ac:dyDescent="0.25">
      <c r="B33" s="8" t="s">
        <v>1878</v>
      </c>
      <c r="C33" s="10" t="s">
        <v>1881</v>
      </c>
      <c r="D33" s="15">
        <v>0</v>
      </c>
    </row>
    <row r="34" spans="1:5" x14ac:dyDescent="0.25">
      <c r="B34" s="8" t="s">
        <v>1882</v>
      </c>
      <c r="C34" s="10" t="s">
        <v>1883</v>
      </c>
      <c r="D34" s="15">
        <v>3728</v>
      </c>
    </row>
    <row r="35" spans="1:5" x14ac:dyDescent="0.25">
      <c r="B35" s="8" t="s">
        <v>1885</v>
      </c>
      <c r="C35" s="10" t="s">
        <v>1884</v>
      </c>
      <c r="D35" s="15">
        <v>0</v>
      </c>
    </row>
    <row r="39" spans="1:5" ht="81" x14ac:dyDescent="0.25">
      <c r="A39" s="20" t="s">
        <v>1918</v>
      </c>
      <c r="B39" s="19" t="s">
        <v>1896</v>
      </c>
      <c r="C39" s="18" t="s">
        <v>1923</v>
      </c>
      <c r="D39" s="17"/>
    </row>
    <row r="40" spans="1:5" x14ac:dyDescent="0.25">
      <c r="B40" s="2" t="s">
        <v>1902</v>
      </c>
      <c r="C40" s="2" t="s">
        <v>1911</v>
      </c>
      <c r="D40" s="2" t="s">
        <v>1912</v>
      </c>
    </row>
    <row r="41" spans="1:5" x14ac:dyDescent="0.25">
      <c r="B41" t="s">
        <v>1903</v>
      </c>
      <c r="C41" s="16">
        <v>67</v>
      </c>
      <c r="D41" s="13" t="str" cm="1">
        <f t="array" ref="D41:D48">IF(C41:C48&lt;45,"FAIL",IF(C41:C48&lt;65,"AVERAGE","MERIT"))</f>
        <v>MERIT</v>
      </c>
      <c r="E41" t="s">
        <v>1919</v>
      </c>
    </row>
    <row r="42" spans="1:5" x14ac:dyDescent="0.25">
      <c r="B42" t="s">
        <v>1904</v>
      </c>
      <c r="C42" s="16">
        <v>77</v>
      </c>
      <c r="D42" s="13" t="str">
        <v>MERIT</v>
      </c>
    </row>
    <row r="43" spans="1:5" x14ac:dyDescent="0.25">
      <c r="B43" t="s">
        <v>1905</v>
      </c>
      <c r="C43" s="16">
        <v>33</v>
      </c>
      <c r="D43" s="13" t="str">
        <v>FAIL</v>
      </c>
    </row>
    <row r="44" spans="1:5" x14ac:dyDescent="0.25">
      <c r="B44" t="s">
        <v>1906</v>
      </c>
      <c r="C44" s="16">
        <v>89</v>
      </c>
      <c r="D44" s="13" t="str">
        <v>MERIT</v>
      </c>
    </row>
    <row r="45" spans="1:5" x14ac:dyDescent="0.25">
      <c r="B45" t="s">
        <v>1907</v>
      </c>
      <c r="C45" s="16">
        <v>67</v>
      </c>
      <c r="D45" s="13" t="str">
        <v>MERIT</v>
      </c>
    </row>
    <row r="46" spans="1:5" x14ac:dyDescent="0.25">
      <c r="B46" t="s">
        <v>1908</v>
      </c>
      <c r="C46" s="16">
        <v>59</v>
      </c>
      <c r="D46" s="13" t="str">
        <v>AVERAGE</v>
      </c>
    </row>
    <row r="47" spans="1:5" x14ac:dyDescent="0.25">
      <c r="B47" t="s">
        <v>1909</v>
      </c>
      <c r="C47" s="16">
        <v>49</v>
      </c>
      <c r="D47" s="13" t="str">
        <v>AVERAGE</v>
      </c>
    </row>
    <row r="48" spans="1:5" x14ac:dyDescent="0.25">
      <c r="B48" t="s">
        <v>1910</v>
      </c>
      <c r="C48" s="16">
        <v>82</v>
      </c>
      <c r="D48" s="13" t="str">
        <v>MERIT</v>
      </c>
    </row>
  </sheetData>
  <pageMargins left="0.7" right="0.7" top="0.75" bottom="0.75" header="0.3" footer="0.3"/>
  <pageSetup paperSize="9" orientation="portrait" r:id="rId1"/>
  <headerFooter>
    <oddHeader>&amp;C&amp;"Aptos"&amp;10&amp;K4A569E Internal&amp;1#_x000D_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0CC43-1F8A-4D90-B5BE-86C0CE733920}">
  <dimension ref="A2:G16"/>
  <sheetViews>
    <sheetView workbookViewId="0">
      <selection activeCell="E13" sqref="E13"/>
    </sheetView>
  </sheetViews>
  <sheetFormatPr defaultRowHeight="13.5" x14ac:dyDescent="0.25"/>
  <cols>
    <col min="2" max="2" width="10.0703125" bestFit="1" customWidth="1"/>
    <col min="3" max="3" width="13.42578125" bestFit="1" customWidth="1"/>
    <col min="4" max="4" width="12.5703125" bestFit="1" customWidth="1"/>
    <col min="5" max="5" width="49.28515625" bestFit="1" customWidth="1"/>
    <col min="6" max="6" width="50.92578125" bestFit="1" customWidth="1"/>
    <col min="7" max="7" width="39.0703125" bestFit="1" customWidth="1"/>
  </cols>
  <sheetData>
    <row r="2" spans="1:7" ht="40.5" x14ac:dyDescent="0.25">
      <c r="A2" s="19" t="s">
        <v>1939</v>
      </c>
      <c r="B2" s="5" t="s">
        <v>1864</v>
      </c>
      <c r="C2" s="5" t="s">
        <v>1932</v>
      </c>
      <c r="D2" s="5" t="s">
        <v>1924</v>
      </c>
      <c r="E2" s="6" t="s">
        <v>1930</v>
      </c>
      <c r="F2" s="6" t="s">
        <v>1931</v>
      </c>
      <c r="G2" s="6" t="s">
        <v>1938</v>
      </c>
    </row>
    <row r="3" spans="1:7" x14ac:dyDescent="0.25">
      <c r="B3" s="7">
        <v>1</v>
      </c>
      <c r="C3" s="7" t="s">
        <v>1933</v>
      </c>
      <c r="D3" s="10" t="s">
        <v>1925</v>
      </c>
      <c r="E3" s="8" t="str" cm="1">
        <f t="array" ref="E3:E7">LEFT(D3:D7,3)</f>
        <v>ABC</v>
      </c>
      <c r="F3" s="8" t="str" cm="1">
        <f t="array" ref="F3:F7">RIGHT(D3:D7,3)</f>
        <v>123</v>
      </c>
      <c r="G3" s="8" cm="1">
        <f t="array" ref="G3:G7">LEN(D3:D7)</f>
        <v>6</v>
      </c>
    </row>
    <row r="4" spans="1:7" x14ac:dyDescent="0.25">
      <c r="B4" s="7">
        <v>2</v>
      </c>
      <c r="C4" s="7" t="s">
        <v>1934</v>
      </c>
      <c r="D4" s="10" t="s">
        <v>1926</v>
      </c>
      <c r="E4" s="8" t="str">
        <v>DEF</v>
      </c>
      <c r="F4" s="8" t="str">
        <v>456</v>
      </c>
      <c r="G4" s="8">
        <v>6</v>
      </c>
    </row>
    <row r="5" spans="1:7" x14ac:dyDescent="0.25">
      <c r="B5" s="7">
        <v>3</v>
      </c>
      <c r="C5" s="7" t="s">
        <v>1935</v>
      </c>
      <c r="D5" s="10" t="s">
        <v>1927</v>
      </c>
      <c r="E5" s="8" t="str">
        <v>GHI</v>
      </c>
      <c r="F5" s="8" t="str">
        <v>789</v>
      </c>
      <c r="G5" s="8">
        <v>6</v>
      </c>
    </row>
    <row r="6" spans="1:7" x14ac:dyDescent="0.25">
      <c r="B6" s="7">
        <v>4</v>
      </c>
      <c r="C6" s="7" t="s">
        <v>1936</v>
      </c>
      <c r="D6" s="10" t="s">
        <v>1928</v>
      </c>
      <c r="E6" s="8" t="str">
        <v>JKL</v>
      </c>
      <c r="F6" s="8" t="str">
        <v>012</v>
      </c>
      <c r="G6" s="8">
        <v>6</v>
      </c>
    </row>
    <row r="7" spans="1:7" x14ac:dyDescent="0.25">
      <c r="B7" s="7">
        <v>5</v>
      </c>
      <c r="C7" s="7" t="s">
        <v>1937</v>
      </c>
      <c r="D7" s="10" t="s">
        <v>1929</v>
      </c>
      <c r="E7" s="8" t="str">
        <v>MNO</v>
      </c>
      <c r="F7" s="8" t="str">
        <v>345</v>
      </c>
      <c r="G7" s="8">
        <v>6</v>
      </c>
    </row>
    <row r="11" spans="1:7" ht="27" x14ac:dyDescent="0.25">
      <c r="A11" s="19" t="s">
        <v>1953</v>
      </c>
      <c r="B11" s="5" t="s">
        <v>1864</v>
      </c>
      <c r="C11" s="6" t="s">
        <v>1940</v>
      </c>
      <c r="D11" s="6" t="s">
        <v>1941</v>
      </c>
      <c r="E11" s="6" t="s">
        <v>1942</v>
      </c>
    </row>
    <row r="12" spans="1:7" x14ac:dyDescent="0.25">
      <c r="B12" s="7">
        <v>1</v>
      </c>
      <c r="C12" s="21" t="s">
        <v>1943</v>
      </c>
      <c r="D12" s="21" t="s">
        <v>1944</v>
      </c>
      <c r="E12" s="8" t="str" cm="1">
        <f t="array" ref="E12:E16">C12:C16&amp;" "&amp;D12:D16</f>
        <v>John Doe</v>
      </c>
    </row>
    <row r="13" spans="1:7" x14ac:dyDescent="0.25">
      <c r="B13" s="7">
        <v>2</v>
      </c>
      <c r="C13" s="21" t="s">
        <v>1945</v>
      </c>
      <c r="D13" s="21" t="s">
        <v>1946</v>
      </c>
      <c r="E13" s="8" t="str">
        <v>Jane Smith</v>
      </c>
    </row>
    <row r="14" spans="1:7" x14ac:dyDescent="0.25">
      <c r="B14" s="7">
        <v>3</v>
      </c>
      <c r="C14" s="21" t="s">
        <v>1947</v>
      </c>
      <c r="D14" s="21" t="s">
        <v>1948</v>
      </c>
      <c r="E14" s="8" t="str">
        <v>Alice Johnson</v>
      </c>
    </row>
    <row r="15" spans="1:7" x14ac:dyDescent="0.25">
      <c r="B15" s="7">
        <v>4</v>
      </c>
      <c r="C15" s="21" t="s">
        <v>1949</v>
      </c>
      <c r="D15" s="21" t="s">
        <v>1950</v>
      </c>
      <c r="E15" s="8" t="str">
        <v>Bob Brown</v>
      </c>
    </row>
    <row r="16" spans="1:7" x14ac:dyDescent="0.25">
      <c r="B16" s="7">
        <v>5</v>
      </c>
      <c r="C16" s="21" t="s">
        <v>1951</v>
      </c>
      <c r="D16" s="21" t="s">
        <v>1952</v>
      </c>
      <c r="E16" s="8" t="str">
        <v>Carol Davis</v>
      </c>
    </row>
  </sheetData>
  <pageMargins left="0.7" right="0.7" top="0.75" bottom="0.75" header="0.3" footer="0.3"/>
  <headerFooter>
    <oddHeader>&amp;C&amp;"Aptos"&amp;10&amp;K4A569E Internal&amp;1#_x000D_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42F73-C66E-46AC-B43F-E80F8C17223F}">
  <dimension ref="A1:C32"/>
  <sheetViews>
    <sheetView topLeftCell="A11" workbookViewId="0">
      <selection activeCell="C27" sqref="C27"/>
    </sheetView>
  </sheetViews>
  <sheetFormatPr defaultRowHeight="13.5" x14ac:dyDescent="0.25"/>
  <cols>
    <col min="1" max="1" width="12.7109375" bestFit="1" customWidth="1"/>
    <col min="2" max="2" width="18.85546875" bestFit="1" customWidth="1"/>
    <col min="3" max="3" width="12.92578125" bestFit="1" customWidth="1"/>
  </cols>
  <sheetData>
    <row r="1" spans="1:3" x14ac:dyDescent="0.25">
      <c r="A1" s="2" t="s">
        <v>1954</v>
      </c>
      <c r="B1" s="2" t="s">
        <v>1896</v>
      </c>
      <c r="C1" s="2" t="s">
        <v>1961</v>
      </c>
    </row>
    <row r="2" spans="1:3" x14ac:dyDescent="0.25">
      <c r="B2" t="s">
        <v>1957</v>
      </c>
      <c r="C2" t="s">
        <v>1955</v>
      </c>
    </row>
    <row r="3" spans="1:3" ht="38.5" x14ac:dyDescent="0.25">
      <c r="B3" t="s">
        <v>1958</v>
      </c>
      <c r="C3" s="12" t="s">
        <v>1956</v>
      </c>
    </row>
    <row r="4" spans="1:3" x14ac:dyDescent="0.25">
      <c r="B4" t="s">
        <v>1959</v>
      </c>
      <c r="C4" t="s">
        <v>1960</v>
      </c>
    </row>
    <row r="9" spans="1:3" x14ac:dyDescent="0.25">
      <c r="A9" t="s">
        <v>1966</v>
      </c>
    </row>
    <row r="10" spans="1:3" x14ac:dyDescent="0.25">
      <c r="A10" s="23" t="s">
        <v>1962</v>
      </c>
      <c r="B10" t="s">
        <v>1965</v>
      </c>
    </row>
    <row r="11" spans="1:3" x14ac:dyDescent="0.25">
      <c r="A11" s="24" t="s">
        <v>1878</v>
      </c>
      <c r="B11" s="25">
        <v>22836</v>
      </c>
    </row>
    <row r="12" spans="1:3" x14ac:dyDescent="0.25">
      <c r="A12" s="24" t="s">
        <v>1882</v>
      </c>
      <c r="B12" s="25">
        <v>26566</v>
      </c>
    </row>
    <row r="13" spans="1:3" x14ac:dyDescent="0.25">
      <c r="A13" s="24" t="s">
        <v>1885</v>
      </c>
      <c r="B13" s="25">
        <v>24901</v>
      </c>
    </row>
    <row r="14" spans="1:3" x14ac:dyDescent="0.25">
      <c r="A14" s="24" t="s">
        <v>1875</v>
      </c>
      <c r="B14" s="25">
        <v>18155</v>
      </c>
    </row>
    <row r="15" spans="1:3" x14ac:dyDescent="0.25">
      <c r="A15" s="24" t="s">
        <v>1964</v>
      </c>
      <c r="B15" s="25">
        <v>92458</v>
      </c>
    </row>
    <row r="18" spans="1:3" x14ac:dyDescent="0.25">
      <c r="A18" s="24" t="s">
        <v>1967</v>
      </c>
    </row>
    <row r="19" spans="1:3" x14ac:dyDescent="0.25">
      <c r="A19" s="23" t="s">
        <v>1962</v>
      </c>
      <c r="B19" t="s">
        <v>1965</v>
      </c>
      <c r="C19" t="s">
        <v>1893</v>
      </c>
    </row>
    <row r="20" spans="1:3" x14ac:dyDescent="0.25">
      <c r="A20" s="24" t="s">
        <v>1878</v>
      </c>
      <c r="B20" s="25">
        <v>22836</v>
      </c>
      <c r="C20" s="25">
        <v>6</v>
      </c>
    </row>
    <row r="21" spans="1:3" x14ac:dyDescent="0.25">
      <c r="A21" s="24" t="s">
        <v>1882</v>
      </c>
      <c r="B21" s="25">
        <v>26566</v>
      </c>
      <c r="C21" s="25">
        <v>7</v>
      </c>
    </row>
    <row r="22" spans="1:3" x14ac:dyDescent="0.25">
      <c r="A22" s="24" t="s">
        <v>1885</v>
      </c>
      <c r="B22" s="25">
        <v>24901</v>
      </c>
      <c r="C22" s="25">
        <v>7</v>
      </c>
    </row>
    <row r="23" spans="1:3" x14ac:dyDescent="0.25">
      <c r="A23" s="24" t="s">
        <v>1875</v>
      </c>
      <c r="B23" s="25">
        <v>18155</v>
      </c>
      <c r="C23" s="25">
        <v>6</v>
      </c>
    </row>
    <row r="24" spans="1:3" x14ac:dyDescent="0.25">
      <c r="A24" s="24" t="s">
        <v>1964</v>
      </c>
      <c r="B24" s="25">
        <v>92458</v>
      </c>
      <c r="C24" s="25">
        <v>26</v>
      </c>
    </row>
    <row r="26" spans="1:3" x14ac:dyDescent="0.25">
      <c r="A26" s="24" t="s">
        <v>1968</v>
      </c>
    </row>
    <row r="27" spans="1:3" x14ac:dyDescent="0.25">
      <c r="A27" s="23" t="s">
        <v>1962</v>
      </c>
      <c r="B27" t="s">
        <v>1893</v>
      </c>
      <c r="C27" t="s">
        <v>1965</v>
      </c>
    </row>
    <row r="28" spans="1:3" x14ac:dyDescent="0.25">
      <c r="A28" s="24" t="s">
        <v>1878</v>
      </c>
      <c r="B28" s="25">
        <v>6</v>
      </c>
      <c r="C28" s="25">
        <v>22836</v>
      </c>
    </row>
    <row r="29" spans="1:3" x14ac:dyDescent="0.25">
      <c r="A29" s="24" t="s">
        <v>1882</v>
      </c>
      <c r="B29" s="25">
        <v>7</v>
      </c>
      <c r="C29" s="25">
        <v>26566</v>
      </c>
    </row>
    <row r="30" spans="1:3" x14ac:dyDescent="0.25">
      <c r="A30" s="24" t="s">
        <v>1885</v>
      </c>
      <c r="B30" s="25">
        <v>7</v>
      </c>
      <c r="C30" s="25">
        <v>24901</v>
      </c>
    </row>
    <row r="31" spans="1:3" x14ac:dyDescent="0.25">
      <c r="A31" s="24" t="s">
        <v>1875</v>
      </c>
      <c r="B31" s="25">
        <v>6</v>
      </c>
      <c r="C31" s="25">
        <v>18155</v>
      </c>
    </row>
    <row r="32" spans="1:3" x14ac:dyDescent="0.25">
      <c r="A32" s="24" t="s">
        <v>1964</v>
      </c>
      <c r="B32" s="25">
        <v>26</v>
      </c>
      <c r="C32" s="25">
        <v>92458</v>
      </c>
    </row>
  </sheetData>
  <sortState xmlns:xlrd2="http://schemas.microsoft.com/office/spreadsheetml/2017/richdata2" ref="A27:C32">
    <sortCondition ref="B27"/>
  </sortState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e3dcb88-8425-4e1d-b1a3-bd5572915bbc}" enabled="1" method="Privileged" siteId="{aca3c8d6-aa71-4e1a-a10e-03572fc58c0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Raw_Data</vt:lpstr>
      <vt:lpstr>Sheet2</vt:lpstr>
      <vt:lpstr>Data Set for Que 5 to 7</vt:lpstr>
      <vt:lpstr>Que 1-3</vt:lpstr>
      <vt:lpstr>Que 4-8</vt:lpstr>
      <vt:lpstr>Que 9-10</vt:lpstr>
      <vt:lpstr>Que 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Sharma, Sourabh /IN</dc:creator>
  <cp:lastModifiedBy>Atukuri, Maithili /IN/EXT</cp:lastModifiedBy>
  <dcterms:created xsi:type="dcterms:W3CDTF">2026-01-31T15:11:43Z</dcterms:created>
  <dcterms:modified xsi:type="dcterms:W3CDTF">2026-02-03T05:22:22Z</dcterms:modified>
</cp:coreProperties>
</file>